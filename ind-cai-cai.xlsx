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i Cai/Planilha Controle/"/>
    </mc:Choice>
  </mc:AlternateContent>
  <xr:revisionPtr revIDLastSave="28427" documentId="8_{DAC6C9CA-70D7-4111-A0A7-BC6755E560D9}" xr6:coauthVersionLast="47" xr6:coauthVersionMax="47" xr10:uidLastSave="{9439BC04-3A13-4DB7-B29E-EC991080A9A7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3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RESUMO CAI CAI" sheetId="22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PRIORIDADES!$B$4:$BL$55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D6" i="20" l="1"/>
  <c r="BD8" i="20"/>
  <c r="BD10" i="20"/>
  <c r="BD9" i="20"/>
  <c r="BD11" i="20"/>
  <c r="BD12" i="20"/>
  <c r="BD16" i="20"/>
  <c r="BD14" i="20"/>
  <c r="BD15" i="20"/>
  <c r="BD29" i="20"/>
  <c r="BD30" i="20"/>
  <c r="BD18" i="20"/>
  <c r="BD19" i="20"/>
  <c r="BD21" i="20"/>
  <c r="BD22" i="20"/>
  <c r="BD23" i="20"/>
  <c r="BD24" i="20"/>
  <c r="BD28" i="20"/>
  <c r="BD20" i="20"/>
  <c r="BD25" i="20"/>
  <c r="BD26" i="20"/>
  <c r="BD27" i="20"/>
  <c r="BD31" i="20"/>
  <c r="BD34" i="20"/>
  <c r="BD37" i="20"/>
  <c r="BD32" i="20"/>
  <c r="BD38" i="20"/>
  <c r="BD33" i="20"/>
  <c r="BD36" i="20"/>
  <c r="BD35" i="20"/>
  <c r="BD39" i="20"/>
  <c r="BD45" i="20"/>
  <c r="BD49" i="20"/>
  <c r="BD40" i="20"/>
  <c r="BD41" i="20"/>
  <c r="BD42" i="20"/>
  <c r="BD44" i="20"/>
  <c r="BD50" i="20"/>
  <c r="BD51" i="20"/>
  <c r="BD53" i="20"/>
  <c r="BD54" i="20"/>
  <c r="BD52" i="20"/>
  <c r="BD13" i="20"/>
  <c r="BD47" i="20"/>
  <c r="BD17" i="20"/>
  <c r="BD48" i="20"/>
  <c r="BD7" i="20"/>
  <c r="BD46" i="20"/>
  <c r="BD43" i="20"/>
  <c r="BD55" i="20"/>
  <c r="BC6" i="20"/>
  <c r="BC8" i="20"/>
  <c r="BC10" i="20"/>
  <c r="BC9" i="20"/>
  <c r="BC11" i="20"/>
  <c r="BC12" i="20"/>
  <c r="BC16" i="20"/>
  <c r="BC14" i="20"/>
  <c r="BC15" i="20"/>
  <c r="BC29" i="20"/>
  <c r="BC30" i="20"/>
  <c r="BC18" i="20"/>
  <c r="BC19" i="20"/>
  <c r="BC21" i="20"/>
  <c r="BC22" i="20"/>
  <c r="BC23" i="20"/>
  <c r="BC24" i="20"/>
  <c r="BC28" i="20"/>
  <c r="BC20" i="20"/>
  <c r="BC25" i="20"/>
  <c r="BC26" i="20"/>
  <c r="BC27" i="20"/>
  <c r="BC31" i="20"/>
  <c r="BC34" i="20"/>
  <c r="BC37" i="20"/>
  <c r="BC32" i="20"/>
  <c r="BC38" i="20"/>
  <c r="BC33" i="20"/>
  <c r="BC36" i="20"/>
  <c r="BC35" i="20"/>
  <c r="BC39" i="20"/>
  <c r="BC45" i="20"/>
  <c r="BC49" i="20"/>
  <c r="BC40" i="20"/>
  <c r="BC41" i="20"/>
  <c r="BC42" i="20"/>
  <c r="BC44" i="20"/>
  <c r="BC50" i="20"/>
  <c r="BC51" i="20"/>
  <c r="BC53" i="20"/>
  <c r="BC54" i="20"/>
  <c r="BC52" i="20"/>
  <c r="BC13" i="20"/>
  <c r="BC47" i="20"/>
  <c r="BC17" i="20"/>
  <c r="BC48" i="20"/>
  <c r="BC7" i="20"/>
  <c r="BC46" i="20"/>
  <c r="BC43" i="20"/>
  <c r="BC55" i="20"/>
  <c r="BD5" i="20"/>
  <c r="BC5" i="20"/>
  <c r="BB43" i="20"/>
  <c r="BB9" i="20"/>
  <c r="BB48" i="20"/>
  <c r="BB47" i="20"/>
  <c r="BB7" i="20"/>
  <c r="BB6" i="20"/>
  <c r="BB8" i="20"/>
  <c r="BB10" i="20"/>
  <c r="BB11" i="20"/>
  <c r="BB12" i="20"/>
  <c r="BB13" i="20"/>
  <c r="BB14" i="20"/>
  <c r="BB15" i="20"/>
  <c r="BB16" i="20"/>
  <c r="BB17" i="20"/>
  <c r="BB18" i="20"/>
  <c r="BB19" i="20"/>
  <c r="BB20" i="20"/>
  <c r="BB21" i="20"/>
  <c r="BB22" i="20"/>
  <c r="BB23" i="20"/>
  <c r="BB24" i="20"/>
  <c r="BB25" i="20"/>
  <c r="BB26" i="20"/>
  <c r="BB27" i="20"/>
  <c r="BB28" i="20"/>
  <c r="BB29" i="20"/>
  <c r="BB30" i="20"/>
  <c r="BB31" i="20"/>
  <c r="BB32" i="20"/>
  <c r="BB33" i="20"/>
  <c r="BB34" i="20"/>
  <c r="BB35" i="20"/>
  <c r="BB36" i="20"/>
  <c r="BB37" i="20"/>
  <c r="BB38" i="20"/>
  <c r="BB39" i="20"/>
  <c r="BB40" i="20"/>
  <c r="BB41" i="20"/>
  <c r="BB42" i="20"/>
  <c r="BB44" i="20"/>
  <c r="BB45" i="20"/>
  <c r="BB46" i="20"/>
  <c r="BB49" i="20"/>
  <c r="BB50" i="20"/>
  <c r="BB51" i="20"/>
  <c r="BB52" i="20"/>
  <c r="BB53" i="20"/>
  <c r="BB54" i="20"/>
  <c r="BB55" i="20"/>
  <c r="F19" i="22"/>
  <c r="F12" i="22"/>
  <c r="F7" i="22"/>
  <c r="F14" i="22"/>
  <c r="F22" i="22"/>
  <c r="BB5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<sst xmlns="http://schemas.openxmlformats.org/spreadsheetml/2006/main" count="9210" uniqueCount="4686">
  <si>
    <t>INFORMAÇÕES INICIAIS</t>
  </si>
  <si>
    <t>INFORMAÇÕES AUXÍLIO ALUGUEL</t>
  </si>
  <si>
    <t>INFORMAÇÕES INDENIZAÇÃO</t>
  </si>
  <si>
    <t>PROCESSO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</si>
  <si>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</si>
  <si>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</si>
  <si>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</si>
  <si>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</si>
  <si>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</si>
  <si>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</si>
  <si>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</si>
  <si>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</si>
  <si>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</si>
  <si>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</si>
  <si>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</si>
  <si>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</si>
  <si>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</si>
  <si>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</si>
  <si>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PLANILHA DADOS</t>
  </si>
  <si>
    <t>SOLICITAÇÃO                                                    AUXÍLIO ALUGUEL ÁREA</t>
  </si>
  <si>
    <t>No PROCESSO SEI                           (AUXÍLIO ALUGUEL)</t>
  </si>
  <si>
    <t xml:space="preserve">SOLICITAÇÃO AUXÍLIO ALUGUEL                  DTS </t>
  </si>
  <si>
    <t>INSTRUÇÃO PROCESSO SEI                                                     DTS</t>
  </si>
  <si>
    <t>ASSINATURA                              GABINETE</t>
  </si>
  <si>
    <t>DATA PUBLICAÇÃO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</si>
  <si>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</si>
  <si>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</si>
  <si>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</si>
  <si>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</si>
  <si>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</si>
  <si>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</si>
  <si>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</si>
  <si>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</si>
  <si>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VALOR INDENIZAÇÃO</t>
  </si>
  <si>
    <t>VALOR COM BONIFICAÇÃO</t>
  </si>
  <si>
    <t>ACEITA VALOR                                                         INDENIZAÇÃO</t>
  </si>
  <si>
    <t>LAUDO VALOR  INDENIZAÇÃO</t>
  </si>
  <si>
    <t>CADASTRO HABITASAMPA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</si>
  <si>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</si>
  <si>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</si>
  <si>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</si>
  <si>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</si>
  <si>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</si>
  <si>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</si>
  <si>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</si>
  <si>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</si>
  <si>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</si>
  <si>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</si>
  <si>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</si>
  <si>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</si>
  <si>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</si>
  <si>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</si>
  <si>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</si>
  <si>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</si>
  <si>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</si>
  <si>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</si>
  <si>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BLOQUEIO AA</t>
  </si>
  <si>
    <t>SOLICITAÇÃO               BLOQUEIO AA  DTS</t>
  </si>
  <si>
    <t>SOLICITAÇÃO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</si>
  <si>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</si>
  <si>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</si>
  <si>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</si>
  <si>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</si>
  <si>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</si>
  <si>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PQ EUROPA/CAI CAI</t>
  </si>
  <si>
    <t>001/0004/A</t>
  </si>
  <si>
    <t>OCUPADO</t>
  </si>
  <si>
    <t>RESIDENCIAL</t>
  </si>
  <si>
    <t>PROPRIETÁRIO RESIDENTE</t>
  </si>
  <si>
    <t>DAYSE ALESSANDRA PEREIRA</t>
  </si>
  <si>
    <t>28.472.158-X</t>
  </si>
  <si>
    <t>286.280.978-05</t>
  </si>
  <si>
    <t>CADASTRADO</t>
  </si>
  <si>
    <t>INDENIZAÇÃO</t>
  </si>
  <si>
    <t>N/A</t>
  </si>
  <si>
    <t>SIM</t>
  </si>
  <si>
    <t>FINALIZADO</t>
  </si>
  <si>
    <t>SEM PENDÊNCIA</t>
  </si>
  <si>
    <t>6014.2022/0003968-9</t>
  </si>
  <si>
    <t>DEMOLIDO</t>
  </si>
  <si>
    <t>001/0005/A</t>
  </si>
  <si>
    <t>VALDELICE BARBOSA</t>
  </si>
  <si>
    <t>39.670.270-3</t>
  </si>
  <si>
    <t>424.047.895-20</t>
  </si>
  <si>
    <t>AUXÍLIO ALUGUEL ATÉ INDENIZAÇÃO</t>
  </si>
  <si>
    <t>SOLICITADO BLOQUEIO DE AA POR PAGAMENTO DE INDENIZAÇÃO</t>
  </si>
  <si>
    <t>6014.2022/0003970-0</t>
  </si>
  <si>
    <t>001/0006/A</t>
  </si>
  <si>
    <t>JURACI ARAUJO DA COSTA</t>
  </si>
  <si>
    <t>36.301.759-8</t>
  </si>
  <si>
    <t>607.749.835-15</t>
  </si>
  <si>
    <t>6014.2023/0000202-7</t>
  </si>
  <si>
    <t>001/0007/A</t>
  </si>
  <si>
    <t>PATRICK SANTOS COSTA</t>
  </si>
  <si>
    <t>37.002.316-X</t>
  </si>
  <si>
    <t>459.090.618-01</t>
  </si>
  <si>
    <t>6014.2022/0004036-9</t>
  </si>
  <si>
    <t>001/0008/A</t>
  </si>
  <si>
    <t>MARIA JOSÉ APOLÔNIO BORGES</t>
  </si>
  <si>
    <t>60.029.904-1</t>
  </si>
  <si>
    <t>682.883.283-34</t>
  </si>
  <si>
    <t>AUXÍLIO ALUGUEL UH</t>
  </si>
  <si>
    <t>6045.2018/0000.284-1</t>
  </si>
  <si>
    <t>07-fev-23</t>
  </si>
  <si>
    <t>UH</t>
  </si>
  <si>
    <t>001/0008/B</t>
  </si>
  <si>
    <t>ANTONIA MARIA ALVES PEREIRA FERREIRA</t>
  </si>
  <si>
    <t>60.407.320-3</t>
  </si>
  <si>
    <t>018.273.933-35</t>
  </si>
  <si>
    <t>6014.2022/0004037-7</t>
  </si>
  <si>
    <t>001/0009/A</t>
  </si>
  <si>
    <t>TAINÁ SANTOS DA SILVA</t>
  </si>
  <si>
    <t>53.598.080-2</t>
  </si>
  <si>
    <t>234.007.078-30</t>
  </si>
  <si>
    <t>6014.2022/0004038-5</t>
  </si>
  <si>
    <t>001/0009/B</t>
  </si>
  <si>
    <t>ALINE DOS SANTOS SOUSA</t>
  </si>
  <si>
    <t>60.045.374-1</t>
  </si>
  <si>
    <t>055.089.025-46</t>
  </si>
  <si>
    <t>6014.2022/0004039-3</t>
  </si>
  <si>
    <t>001/0009/C</t>
  </si>
  <si>
    <t xml:space="preserve"> BEATRIZ FERREIRA SOUSA DE OLIVEIRA </t>
  </si>
  <si>
    <t>56.515.351-1</t>
  </si>
  <si>
    <t>054.823.313-69</t>
  </si>
  <si>
    <t>6014.2022/0003971-9</t>
  </si>
  <si>
    <t>001/0010/A</t>
  </si>
  <si>
    <t>LUZINETE PAULINO DE ANDRADE</t>
  </si>
  <si>
    <t>52.780.724-2</t>
  </si>
  <si>
    <t>445.089.135-04</t>
  </si>
  <si>
    <t>6014.2022/0003972-7</t>
  </si>
  <si>
    <t>001/0010/B</t>
  </si>
  <si>
    <t>ORNELIA SILVA SANTOS</t>
  </si>
  <si>
    <t>36.375.506-8</t>
  </si>
  <si>
    <t>450.689.505-30</t>
  </si>
  <si>
    <t>6014.2022/0003974-3</t>
  </si>
  <si>
    <t>001/0011/A</t>
  </si>
  <si>
    <t>LUZIA PEREIRA DA SILVA</t>
  </si>
  <si>
    <t>20.497.533-5</t>
  </si>
  <si>
    <t>103.162.408-26</t>
  </si>
  <si>
    <t>6014.2022/0004040-7</t>
  </si>
  <si>
    <t>001/0012/A</t>
  </si>
  <si>
    <t>CLAUDIO PONCIANO DA SILVA</t>
  </si>
  <si>
    <t>46.750.284-5</t>
  </si>
  <si>
    <t>392.554.978-12</t>
  </si>
  <si>
    <t>6014.2022/0004108-0</t>
  </si>
  <si>
    <t>001/0013/A</t>
  </si>
  <si>
    <t>ALESSANDRO OLIVEIRA DANTAS</t>
  </si>
  <si>
    <t>58.714.201-7</t>
  </si>
  <si>
    <t>858.475.615-98</t>
  </si>
  <si>
    <t>6014.2022/0004109-8</t>
  </si>
  <si>
    <t>001/0014/A</t>
  </si>
  <si>
    <t>TAMIRES DE JESUS BRAGA</t>
  </si>
  <si>
    <t>55.622.929-0</t>
  </si>
  <si>
    <t>443.069.718-30</t>
  </si>
  <si>
    <t>6014.2022/0004041-5</t>
  </si>
  <si>
    <t>001/0014/B</t>
  </si>
  <si>
    <t>TATIANA DE JESUS BRAGA</t>
  </si>
  <si>
    <t>42.936.886-0</t>
  </si>
  <si>
    <t>421.093.088-18</t>
  </si>
  <si>
    <t>6014.2022/0003977-8</t>
  </si>
  <si>
    <t>001/0014/C</t>
  </si>
  <si>
    <t>LUCIA DE JESUS ANDRADE</t>
  </si>
  <si>
    <t>27.287.570-3</t>
  </si>
  <si>
    <t>709.731.305-63</t>
  </si>
  <si>
    <t>6014.2022/0004042-3</t>
  </si>
  <si>
    <t>001/0015/A</t>
  </si>
  <si>
    <t>COMERCIAL</t>
  </si>
  <si>
    <t>PROPRIETÁRIO NÃO RESIDENTE</t>
  </si>
  <si>
    <t>ANDRÉ IZAIAS DA SILVA</t>
  </si>
  <si>
    <t>52.158.351-2</t>
  </si>
  <si>
    <t>291.271.138-09</t>
  </si>
  <si>
    <t>6014.2022/0004043-1</t>
  </si>
  <si>
    <t>001/0015/B</t>
  </si>
  <si>
    <t>LAUDECI DE ANDRADE FREIRE</t>
  </si>
  <si>
    <t>34.013.885-3</t>
  </si>
  <si>
    <t>271.461.298-96</t>
  </si>
  <si>
    <t>6014.2022/0004044-0</t>
  </si>
  <si>
    <t>001/0016/A</t>
  </si>
  <si>
    <t xml:space="preserve">RAIMUNDO PEDRO DOS SANTOS FILHO </t>
  </si>
  <si>
    <t>68.095.318-8</t>
  </si>
  <si>
    <t>551.996.073-91</t>
  </si>
  <si>
    <t>6014.2022/0004045-8</t>
  </si>
  <si>
    <t>001/0016/B</t>
  </si>
  <si>
    <t>INQUILINO</t>
  </si>
  <si>
    <t>KATIA SISLANE SOUZA SANTOS</t>
  </si>
  <si>
    <t>29.129.594-0</t>
  </si>
  <si>
    <t>272.900.898-55</t>
  </si>
  <si>
    <t>EDILSON MENDES MONTEIRO</t>
  </si>
  <si>
    <t>39.945.839-X</t>
  </si>
  <si>
    <t>125.226.018-06</t>
  </si>
  <si>
    <t>6014.2022/0004110-1</t>
  </si>
  <si>
    <t>001/0017/A</t>
  </si>
  <si>
    <t>ANA CLAUDIA DA SILVA</t>
  </si>
  <si>
    <t>59.262.330-0</t>
  </si>
  <si>
    <t>232.917.078-50</t>
  </si>
  <si>
    <t>6014.2022/0004046-6</t>
  </si>
  <si>
    <t>001/0018/A</t>
  </si>
  <si>
    <t>GUSTAVO CRUZ DE JESUS</t>
  </si>
  <si>
    <t>52.116.407-2</t>
  </si>
  <si>
    <t>448.191.238-31</t>
  </si>
  <si>
    <t>6014.2022/0004047-4</t>
  </si>
  <si>
    <t>001/0019/A</t>
  </si>
  <si>
    <t>EDINA NILZA FERREIRA</t>
  </si>
  <si>
    <t>19.399.075-1</t>
  </si>
  <si>
    <t>430.814.446-91</t>
  </si>
  <si>
    <t>6014.2022/0003979-4</t>
  </si>
  <si>
    <t>001/0019/B</t>
  </si>
  <si>
    <t>ROSENILDE RODRIGUES</t>
  </si>
  <si>
    <t>34.851.322-7</t>
  </si>
  <si>
    <t>278.079.848-30</t>
  </si>
  <si>
    <t>6014.2022/0004048-2</t>
  </si>
  <si>
    <t>001/0020/A</t>
  </si>
  <si>
    <t>CLALDINEI DA SILVA</t>
  </si>
  <si>
    <t>26.222.153-6</t>
  </si>
  <si>
    <t>189.767.798-78</t>
  </si>
  <si>
    <t>CLAUDINEI DA SILVA</t>
  </si>
  <si>
    <t>6014.2022/0004111-0</t>
  </si>
  <si>
    <t>001/0020/B</t>
  </si>
  <si>
    <t>ANTONIO FRANCISCO RODRIGUES DA SILVA CARDOSO</t>
  </si>
  <si>
    <t>57.912.361-3</t>
  </si>
  <si>
    <t>055.871.043-38</t>
  </si>
  <si>
    <t>6014.2022/0004049-0</t>
  </si>
  <si>
    <t>001/0020/C</t>
  </si>
  <si>
    <t>JENIFER DA SILVA ESTEVES</t>
  </si>
  <si>
    <t>37.219.280-4</t>
  </si>
  <si>
    <t>370.340.468-08</t>
  </si>
  <si>
    <t>6014.2022/0004112-8</t>
  </si>
  <si>
    <t>001/0021/A</t>
  </si>
  <si>
    <t>RAQUEL RIBEIRO SOUZA DAS VIRGENS</t>
  </si>
  <si>
    <t>63.930.998-7</t>
  </si>
  <si>
    <t>541.874.538-73</t>
  </si>
  <si>
    <t>001/0022/A</t>
  </si>
  <si>
    <t>VALDIVA RODRIGUES DE SOUZA</t>
  </si>
  <si>
    <t>29.178.457-4</t>
  </si>
  <si>
    <t>179.925.338-44</t>
  </si>
  <si>
    <t>6014.2022/0004050-4</t>
  </si>
  <si>
    <t>001/0023/A</t>
  </si>
  <si>
    <t>JOSE ERIDANON DE MORAIS</t>
  </si>
  <si>
    <t>24.739.241-8</t>
  </si>
  <si>
    <t>136.127.478-60</t>
  </si>
  <si>
    <t>AA ATIVO DESDE 11/2020</t>
  </si>
  <si>
    <t>001/0024/A</t>
  </si>
  <si>
    <t>RODRIGO DOS SANTOS</t>
  </si>
  <si>
    <t>36.484.406-1</t>
  </si>
  <si>
    <t>387.141.878-17</t>
  </si>
  <si>
    <t>6014.2022/0004113-6</t>
  </si>
  <si>
    <t>001/0025/A</t>
  </si>
  <si>
    <t>MARIA DO LIVRAMENTO DA SILVA</t>
  </si>
  <si>
    <t>58.927.531-8</t>
  </si>
  <si>
    <t>972.853.233-49</t>
  </si>
  <si>
    <t>6014.2022/0004114-4</t>
  </si>
  <si>
    <t>001/0026/A</t>
  </si>
  <si>
    <t>MARIA DA CONCEIÇÃO</t>
  </si>
  <si>
    <t>26.312.674-2</t>
  </si>
  <si>
    <t>106.862.098-69</t>
  </si>
  <si>
    <t>6014.2022/0004051-2</t>
  </si>
  <si>
    <t>001/0027/A</t>
  </si>
  <si>
    <t>PEDRO WELLINGTON PESSOA DE BARROS</t>
  </si>
  <si>
    <t>27.977.101-0</t>
  </si>
  <si>
    <t>271.259.788-51</t>
  </si>
  <si>
    <t>6014.2022/0004052-0</t>
  </si>
  <si>
    <t>001/0028/A</t>
  </si>
  <si>
    <t>ANDREA DONATO DE ALMEIDA SILVA</t>
  </si>
  <si>
    <t>35.915.226-0</t>
  </si>
  <si>
    <t>225.510.028-26</t>
  </si>
  <si>
    <t>6014.2022/0003958-1</t>
  </si>
  <si>
    <t>001/0029/A</t>
  </si>
  <si>
    <t>JULIANA MACHADO DE SOUZA</t>
  </si>
  <si>
    <t>39.964.448-9</t>
  </si>
  <si>
    <t>003.478.963-40</t>
  </si>
  <si>
    <t>6014.2022/0004115-2</t>
  </si>
  <si>
    <t>001/0029/B</t>
  </si>
  <si>
    <t>ADRIANA NOGUEIRA DA SILVA</t>
  </si>
  <si>
    <t>26.252.626-8</t>
  </si>
  <si>
    <t>116.259.988-93</t>
  </si>
  <si>
    <t>6014.2022/0004116-0</t>
  </si>
  <si>
    <t>001/0030/A</t>
  </si>
  <si>
    <t>ENY NASCIMENTO JESUS</t>
  </si>
  <si>
    <t>5.518.875-8</t>
  </si>
  <si>
    <t>048.892.018-31</t>
  </si>
  <si>
    <t>6014.2023/0001510-2</t>
  </si>
  <si>
    <t>001/0031/A</t>
  </si>
  <si>
    <t>ELIZANGELA CARDOSO</t>
  </si>
  <si>
    <t>57.288.245-2</t>
  </si>
  <si>
    <t>828.760.023-53</t>
  </si>
  <si>
    <t>6014.2022/0004118-7</t>
  </si>
  <si>
    <t>001/0032/A</t>
  </si>
  <si>
    <t>ADELIO GOMES PIMENTA</t>
  </si>
  <si>
    <t>24.263.258-0</t>
  </si>
  <si>
    <t>002.365.318-32</t>
  </si>
  <si>
    <t>6014.2022/0004053-9</t>
  </si>
  <si>
    <t>001/0032/B</t>
  </si>
  <si>
    <t>FLORISA ALVES</t>
  </si>
  <si>
    <t>16.206.957-1</t>
  </si>
  <si>
    <t>044.829.748-54</t>
  </si>
  <si>
    <t>TROCOU OPÇÃO DE ATENDIMENTO PARA INDENIZAÇÃO</t>
  </si>
  <si>
    <t>6014.2023/0000708-8</t>
  </si>
  <si>
    <t>001/0033/A</t>
  </si>
  <si>
    <t>EDISANDRA INES RAMOS DA SILVA</t>
  </si>
  <si>
    <t>40.183.249-1</t>
  </si>
  <si>
    <t>336.720.158-81</t>
  </si>
  <si>
    <t>FALTA RG - VALOR ERRADO TERMO IND.</t>
  </si>
  <si>
    <t>6014.2022/0004119-5</t>
  </si>
  <si>
    <t>001/0033/B</t>
  </si>
  <si>
    <t>JOSE FRANCISCO DE FREITAS</t>
  </si>
  <si>
    <t>39.594.164-7</t>
  </si>
  <si>
    <t>996.938.954-87</t>
  </si>
  <si>
    <t>SELO ERRADO TERMO CHAVE</t>
  </si>
  <si>
    <t>6014.2022/0004120-9</t>
  </si>
  <si>
    <t>001/0034/A</t>
  </si>
  <si>
    <t>MARIA JUSCINEIDE DA MOTA ARAÚJO</t>
  </si>
  <si>
    <t>36.966.819-4</t>
  </si>
  <si>
    <t>153.143.778-88</t>
  </si>
  <si>
    <t>6014.2022/0004054-7</t>
  </si>
  <si>
    <t>001/0035/A</t>
  </si>
  <si>
    <t>DAMIANA PAULINO DE ANDRADE</t>
  </si>
  <si>
    <t>53.525.274-2</t>
  </si>
  <si>
    <t>036.383.745-05</t>
  </si>
  <si>
    <t>6014.2022/0004055-5</t>
  </si>
  <si>
    <t>001/0035/B</t>
  </si>
  <si>
    <t>ALERNANDO ISAIAS DA SILVA</t>
  </si>
  <si>
    <t>39.929.587-2</t>
  </si>
  <si>
    <t> 391.421.278-70</t>
  </si>
  <si>
    <t>6014.2022/0004121-7</t>
  </si>
  <si>
    <t>001/0036/A</t>
  </si>
  <si>
    <t>IVONETE SILVA ANTONIO MENDES</t>
  </si>
  <si>
    <t>28.303.632-1</t>
  </si>
  <si>
    <t>322.754.828-30</t>
  </si>
  <si>
    <t>6014.2022/0004056-3</t>
  </si>
  <si>
    <t>001/0036/B</t>
  </si>
  <si>
    <t>OZANA MARIA DOS SANTOS</t>
  </si>
  <si>
    <t>36.634.457-2</t>
  </si>
  <si>
    <t>642.062.625-00</t>
  </si>
  <si>
    <t>6014.2022/0004057-1</t>
  </si>
  <si>
    <t>001/0037/A</t>
  </si>
  <si>
    <t>ADELSON DE SOUZA FERNANDES</t>
  </si>
  <si>
    <t>38.248.972-X</t>
  </si>
  <si>
    <t>614.666.625-49</t>
  </si>
  <si>
    <t>6014.2022/0004090-3</t>
  </si>
  <si>
    <t>001/0037/B</t>
  </si>
  <si>
    <t>VANJA FELIX DE SOUZA</t>
  </si>
  <si>
    <t>35.718.514-6</t>
  </si>
  <si>
    <t>221.431.128-90</t>
  </si>
  <si>
    <t>ALCIDES FERNANDES NASCIMENTO FILHO</t>
  </si>
  <si>
    <t>358.063.385-68</t>
  </si>
  <si>
    <t>PROCESSO SEI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</si>
  <si>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</si>
  <si>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</si>
  <si>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</si>
  <si>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</si>
  <si>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</si>
  <si>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</si>
  <si>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</si>
  <si>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</si>
  <si>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</si>
  <si>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</si>
  <si>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</si>
  <si>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</si>
  <si>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</si>
  <si>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</si>
  <si>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</si>
  <si>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</si>
  <si>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</si>
  <si>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</si>
  <si>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</si>
  <si>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</si>
  <si>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</si>
  <si>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</si>
  <si>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</si>
  <si>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</si>
  <si>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</si>
  <si>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</si>
  <si>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</si>
  <si>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</si>
  <si>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</si>
  <si>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</si>
  <si>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</si>
  <si>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</si>
  <si>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</si>
  <si>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</si>
  <si>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</si>
  <si>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</si>
  <si>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</si>
  <si>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</si>
  <si>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</si>
  <si>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</si>
  <si>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</si>
  <si>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</si>
  <si>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</si>
  <si>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</si>
  <si>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</si>
  <si>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</si>
  <si>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</si>
  <si>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</si>
  <si>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</si>
  <si>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</si>
  <si>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</si>
  <si>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</si>
  <si>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</si>
  <si>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</si>
  <si>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</si>
  <si>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</si>
  <si>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</si>
  <si>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</si>
  <si>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</si>
  <si>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</si>
  <si>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</si>
  <si>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</si>
  <si>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</si>
  <si>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</si>
  <si>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</si>
  <si>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</si>
  <si>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</si>
  <si>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</si>
  <si>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</si>
  <si>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</si>
  <si>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</si>
  <si>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</si>
  <si>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</si>
  <si>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</si>
  <si>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</si>
  <si>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</si>
  <si>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</si>
  <si>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</si>
  <si>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</si>
  <si>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</si>
  <si>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</si>
  <si>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</si>
  <si>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</si>
  <si>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</si>
  <si>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</si>
  <si>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</si>
  <si>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</si>
  <si>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</si>
  <si>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</si>
  <si>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</si>
  <si>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</si>
  <si>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</si>
  <si>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</si>
  <si>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</si>
  <si>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</si>
  <si>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</si>
  <si>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</si>
  <si>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</si>
  <si>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</si>
  <si>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</si>
  <si>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</si>
  <si>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</si>
  <si>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</si>
  <si>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</si>
  <si>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</si>
  <si>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</si>
  <si>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</si>
  <si>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</si>
  <si>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</si>
  <si>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</si>
  <si>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</si>
  <si>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</si>
  <si>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</si>
  <si>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</si>
  <si>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</si>
  <si>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</si>
  <si>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</si>
  <si>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</si>
  <si>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</si>
  <si>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</si>
  <si>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</si>
  <si>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</si>
  <si>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</si>
  <si>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</si>
  <si>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</si>
  <si>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</si>
  <si>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</si>
  <si>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</si>
  <si>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</si>
  <si>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</si>
  <si>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</si>
  <si>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</si>
  <si>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</si>
  <si>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</si>
  <si>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</si>
  <si>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</si>
  <si>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</si>
  <si>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</si>
  <si>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</si>
  <si>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</si>
  <si>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</si>
  <si>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</si>
  <si>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</si>
  <si>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</si>
  <si>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</si>
  <si>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</si>
  <si>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</si>
  <si>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</si>
  <si>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</si>
  <si>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</si>
  <si>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</si>
  <si>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</si>
  <si>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</si>
  <si>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</si>
  <si>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</si>
  <si>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</si>
  <si>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</si>
  <si>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</si>
  <si>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</si>
  <si>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</si>
  <si>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</si>
  <si>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</si>
  <si>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</si>
  <si>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</si>
  <si>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</si>
  <si>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</si>
  <si>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</si>
  <si>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</si>
  <si>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</si>
  <si>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</si>
  <si>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</si>
  <si>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</si>
  <si>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</si>
  <si>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</si>
  <si>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</si>
  <si>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</si>
  <si>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</si>
  <si>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</si>
  <si>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</si>
  <si>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</si>
  <si>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</si>
  <si>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</si>
  <si>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</si>
  <si>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</si>
  <si>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</si>
  <si>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</si>
  <si>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</si>
  <si>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</si>
  <si>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</si>
  <si>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</si>
  <si>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</si>
  <si>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</si>
  <si>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</si>
  <si>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</si>
  <si>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</si>
  <si>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</si>
  <si>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</si>
  <si>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</si>
  <si>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</si>
  <si>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</si>
  <si>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</si>
  <si>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</si>
  <si>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</si>
  <si>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</si>
  <si>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</si>
  <si>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</si>
  <si>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</si>
  <si>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</si>
  <si>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</si>
  <si>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</si>
  <si>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</si>
  <si>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</si>
  <si>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</si>
  <si>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</si>
  <si>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</si>
  <si>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</si>
  <si>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</si>
  <si>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</si>
  <si>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</si>
  <si>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</si>
  <si>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</si>
  <si>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</si>
  <si>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</si>
  <si>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</si>
  <si>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</si>
  <si>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</si>
  <si>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</si>
  <si>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</si>
  <si>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</si>
  <si>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</si>
  <si>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</si>
  <si>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</si>
  <si>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</si>
  <si>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</si>
  <si>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</si>
  <si>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</si>
  <si>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</si>
  <si>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</si>
  <si>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</si>
  <si>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</si>
  <si>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</si>
  <si>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</si>
  <si>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</si>
  <si>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</si>
  <si>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</si>
  <si>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</si>
  <si>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</si>
  <si>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</si>
  <si>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</si>
  <si>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</si>
  <si>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</si>
  <si>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</si>
  <si>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</si>
  <si>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</si>
  <si>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</si>
  <si>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</si>
  <si>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</si>
  <si>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</si>
  <si>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</si>
  <si>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</si>
  <si>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</si>
  <si>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</si>
  <si>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</si>
  <si>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</si>
  <si>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</si>
  <si>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</si>
  <si>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</si>
  <si>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</si>
  <si>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</si>
  <si>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</si>
  <si>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</si>
  <si>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</si>
  <si>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</si>
  <si>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</si>
  <si>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</si>
  <si>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</si>
  <si>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</si>
  <si>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</si>
  <si>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</si>
  <si>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</si>
  <si>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</si>
  <si>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</si>
  <si>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</si>
  <si>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</si>
  <si>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</si>
  <si>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</si>
  <si>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</si>
  <si>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</si>
  <si>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</si>
  <si>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</si>
  <si>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</si>
  <si>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</si>
  <si>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</si>
  <si>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</si>
  <si>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</si>
  <si>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</si>
  <si>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</si>
  <si>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</si>
  <si>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</si>
  <si>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</si>
  <si>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</si>
  <si>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</si>
  <si>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</si>
  <si>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</si>
  <si>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</si>
  <si>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</si>
  <si>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</si>
  <si>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</si>
  <si>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</si>
  <si>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</si>
  <si>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</si>
  <si>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</si>
  <si>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</si>
  <si>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</si>
  <si>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</si>
  <si>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</si>
  <si>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</si>
  <si>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</si>
  <si>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</si>
  <si>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</si>
  <si>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</si>
  <si>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</si>
  <si>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</si>
  <si>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</si>
  <si>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</si>
  <si>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</si>
  <si>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</si>
  <si>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</si>
  <si>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</si>
  <si>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</si>
  <si>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</si>
  <si>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</si>
  <si>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</si>
  <si>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</si>
  <si>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</si>
  <si>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</si>
  <si>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</si>
  <si>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</si>
  <si>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</si>
  <si>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</si>
  <si>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</si>
  <si>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</si>
  <si>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</si>
  <si>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</si>
  <si>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</si>
  <si>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</si>
  <si>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</si>
  <si>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</si>
  <si>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</si>
  <si>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</si>
  <si>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</si>
  <si>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</si>
  <si>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</si>
  <si>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</si>
  <si>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</si>
  <si>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</si>
  <si>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</si>
  <si>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</si>
  <si>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</si>
  <si>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</si>
  <si>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</si>
  <si>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</si>
  <si>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</si>
  <si>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</si>
  <si>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</si>
  <si>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</si>
  <si>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</si>
  <si>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</si>
  <si>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</si>
  <si>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</si>
  <si>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</si>
  <si>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</si>
  <si>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</si>
  <si>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</si>
  <si>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</si>
  <si>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</si>
  <si>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</si>
  <si>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</si>
  <si>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</si>
  <si>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</si>
  <si>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</si>
  <si>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</si>
  <si>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</si>
  <si>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</si>
  <si>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</si>
  <si>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</si>
  <si>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</si>
  <si>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</si>
  <si>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</si>
  <si>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</si>
  <si>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</si>
  <si>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</si>
  <si>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</si>
  <si>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</si>
  <si>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</si>
  <si>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</si>
  <si>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</si>
  <si>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</si>
  <si>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</si>
  <si>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</si>
  <si>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</si>
  <si>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</si>
  <si>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</si>
  <si>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</si>
  <si>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</si>
  <si>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</si>
  <si>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</si>
  <si>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</si>
  <si>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</si>
  <si>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</si>
  <si>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</si>
  <si>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</si>
  <si>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</si>
  <si>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</si>
  <si>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</si>
  <si>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</si>
  <si>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</si>
  <si>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</si>
  <si>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</si>
  <si>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</si>
  <si>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</si>
  <si>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</si>
  <si>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</si>
  <si>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</si>
  <si>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</si>
  <si>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</si>
  <si>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</si>
  <si>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</si>
  <si>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</si>
  <si>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</si>
  <si>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</si>
  <si>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</si>
  <si>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</si>
  <si>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</si>
  <si>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</si>
  <si>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</si>
  <si>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</si>
  <si>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</si>
  <si>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</si>
  <si>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</si>
  <si>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</si>
  <si>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</si>
  <si>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</si>
  <si>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</si>
  <si>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</si>
  <si>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</si>
  <si>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</si>
  <si>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</si>
  <si>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</si>
  <si>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</si>
  <si>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</si>
  <si>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</si>
  <si>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</si>
  <si>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</si>
  <si>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</si>
  <si>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</si>
  <si>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</si>
  <si>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</si>
  <si>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</si>
  <si>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</si>
  <si>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</si>
  <si>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</si>
  <si>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</si>
  <si>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</si>
  <si>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</si>
  <si>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</si>
  <si>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</si>
  <si>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</si>
  <si>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</si>
  <si>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</si>
  <si>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</si>
  <si>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</si>
  <si>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</si>
  <si>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</si>
  <si>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</si>
  <si>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</si>
  <si>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</si>
  <si>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</si>
  <si>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</si>
  <si>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</si>
  <si>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</si>
  <si>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</si>
  <si>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</si>
  <si>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</si>
  <si>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</si>
  <si>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</si>
  <si>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</si>
  <si>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</si>
  <si>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</si>
  <si>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</si>
  <si>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</si>
  <si>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</si>
  <si>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</si>
  <si>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</si>
  <si>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</si>
  <si>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</si>
  <si>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</si>
  <si>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</si>
  <si>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</si>
  <si>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</si>
  <si>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</si>
  <si>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</si>
  <si>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</si>
  <si>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</si>
  <si>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</si>
  <si>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</si>
  <si>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</si>
  <si>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</si>
  <si>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</si>
  <si>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</si>
  <si>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</si>
  <si>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</si>
  <si>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</si>
  <si>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</si>
  <si>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</si>
  <si>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</si>
  <si>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</si>
  <si>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</si>
  <si>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</si>
  <si>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</si>
  <si>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</si>
  <si>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</si>
  <si>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</si>
  <si>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</si>
  <si>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</si>
  <si>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</si>
  <si>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</si>
  <si>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</si>
  <si>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</si>
  <si>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</si>
  <si>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</si>
  <si>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</si>
  <si>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</si>
  <si>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</si>
  <si>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</si>
  <si>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</si>
  <si>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</si>
  <si>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</si>
  <si>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</si>
  <si>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</si>
  <si>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</si>
  <si>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</si>
  <si>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</si>
  <si>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</si>
  <si>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</si>
  <si>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</si>
  <si>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</si>
  <si>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</si>
  <si>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</si>
  <si>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</si>
  <si>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</si>
  <si>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</si>
  <si>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</si>
  <si>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</si>
  <si>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</si>
  <si>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</si>
  <si>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</si>
  <si>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</si>
  <si>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</si>
  <si>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</si>
  <si>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</si>
  <si>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</si>
  <si>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</si>
  <si>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</si>
  <si>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</si>
  <si>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</si>
  <si>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</si>
  <si>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</si>
  <si>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</si>
  <si>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</si>
  <si>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</si>
  <si>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</si>
  <si>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</si>
  <si>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</si>
  <si>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</si>
  <si>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</si>
  <si>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</si>
  <si>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</si>
  <si>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</si>
  <si>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</si>
  <si>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</si>
  <si>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</si>
  <si>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</si>
  <si>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</si>
  <si>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</si>
  <si>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</si>
  <si>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</si>
  <si>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</si>
  <si>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</si>
  <si>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</si>
  <si>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</si>
  <si>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</si>
  <si>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</si>
  <si>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</si>
  <si>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</si>
  <si>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</si>
  <si>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</si>
  <si>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</si>
  <si>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</si>
  <si>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</si>
  <si>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</si>
  <si>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</si>
  <si>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</si>
  <si>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</si>
  <si>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</si>
  <si>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</si>
  <si>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</si>
  <si>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</si>
  <si>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</si>
  <si>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</si>
  <si>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</si>
  <si>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</si>
  <si>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</si>
  <si>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</si>
  <si>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</si>
  <si>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</si>
  <si>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</si>
  <si>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</si>
  <si>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</si>
  <si>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</si>
  <si>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</si>
  <si>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</si>
  <si>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</si>
  <si>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</si>
  <si>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</si>
  <si>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</si>
  <si>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</si>
  <si>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</si>
  <si>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</si>
  <si>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</si>
  <si>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</si>
  <si>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</si>
  <si>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</si>
  <si>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</si>
  <si>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</si>
  <si>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</si>
  <si>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</si>
  <si>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</si>
  <si>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</si>
  <si>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</si>
  <si>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</si>
  <si>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</si>
  <si>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</si>
  <si>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</si>
  <si>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</si>
  <si>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</si>
  <si>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</si>
  <si>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</si>
  <si>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</si>
  <si>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</si>
  <si>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</si>
  <si>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</si>
  <si>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</si>
  <si>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</si>
  <si>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</si>
  <si>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</si>
  <si>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</si>
  <si>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</si>
  <si>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</si>
  <si>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</si>
  <si>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</si>
  <si>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</si>
  <si>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</si>
  <si>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</si>
  <si>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</si>
  <si>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</si>
  <si>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</si>
  <si>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</si>
  <si>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</si>
  <si>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</si>
  <si>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</si>
  <si>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</si>
  <si>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</si>
  <si>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</si>
  <si>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</si>
  <si>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</si>
  <si>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</si>
  <si>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</si>
  <si>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</si>
  <si>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</si>
  <si>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</si>
  <si>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</si>
  <si>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</si>
  <si>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</si>
  <si>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</si>
  <si>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</si>
  <si>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</si>
  <si>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</si>
  <si>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</si>
  <si>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</si>
  <si>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</si>
  <si>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</si>
  <si>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</si>
  <si>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</si>
  <si>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</si>
  <si>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</si>
  <si>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</si>
  <si>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</si>
  <si>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</si>
  <si>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</si>
  <si>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</si>
  <si>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</si>
  <si>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</si>
  <si>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</si>
  <si>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</si>
  <si>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</si>
  <si>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</si>
  <si>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</si>
  <si>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</si>
  <si>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</si>
  <si>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</si>
  <si>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</si>
  <si>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</si>
  <si>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</si>
  <si>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</si>
  <si>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</si>
  <si>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</si>
  <si>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</si>
  <si>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</si>
  <si>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</si>
  <si>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</si>
  <si>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</si>
  <si>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</si>
  <si>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</si>
  <si>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</si>
  <si>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</si>
  <si>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</si>
  <si>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</si>
  <si>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</si>
  <si>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</si>
  <si>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</si>
  <si>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</si>
  <si>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</si>
  <si>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</si>
  <si>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</si>
  <si>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</si>
  <si>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</si>
  <si>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</si>
  <si>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</si>
  <si>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</si>
  <si>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</si>
  <si>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</si>
  <si>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</si>
  <si>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</si>
  <si>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</si>
  <si>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</si>
  <si>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</si>
  <si>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</si>
  <si>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</si>
  <si>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</si>
  <si>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</si>
  <si>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</si>
  <si>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</si>
  <si>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</si>
  <si>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</si>
  <si>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</si>
  <si>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</si>
  <si>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</si>
  <si>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</si>
  <si>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</si>
  <si>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</si>
  <si>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</si>
  <si>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</si>
  <si>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</si>
  <si>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</si>
  <si>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</si>
  <si>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</si>
  <si>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</si>
  <si>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</si>
  <si>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</si>
  <si>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</si>
  <si>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</si>
  <si>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</si>
  <si>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</si>
  <si>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</si>
  <si>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</si>
  <si>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</si>
  <si>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</si>
  <si>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</si>
  <si>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</si>
  <si>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</si>
  <si>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</si>
  <si>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</si>
  <si>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</si>
  <si>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</si>
  <si>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</si>
  <si>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</si>
  <si>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</si>
  <si>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</si>
  <si>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</si>
  <si>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</si>
  <si>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</si>
  <si>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</si>
  <si>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</si>
  <si>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</si>
  <si>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</si>
  <si>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</si>
  <si>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</si>
  <si>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</si>
  <si>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</si>
  <si>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</si>
  <si>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</si>
  <si>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</si>
  <si>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</si>
  <si>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</si>
  <si>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</si>
  <si>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</si>
  <si>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</si>
  <si>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</si>
  <si>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</si>
  <si>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</si>
  <si>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</si>
  <si>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</si>
  <si>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</si>
  <si>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</si>
  <si>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</si>
  <si>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</si>
  <si>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</si>
  <si>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</si>
  <si>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</si>
  <si>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</si>
  <si>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</si>
  <si>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</si>
  <si>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</si>
  <si>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</si>
  <si>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</si>
  <si>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</si>
  <si>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</si>
  <si>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</si>
  <si>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</si>
  <si>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</si>
  <si>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</si>
  <si>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</si>
  <si>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</si>
  <si>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</si>
  <si>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</si>
  <si>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</si>
  <si>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</si>
  <si>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</si>
  <si>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</si>
  <si>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</si>
  <si>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</si>
  <si>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</si>
  <si>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</si>
  <si>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</si>
  <si>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</si>
  <si>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</si>
  <si>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</si>
  <si>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</si>
  <si>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</si>
  <si>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</si>
  <si>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</si>
  <si>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</si>
  <si>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</si>
  <si>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</si>
  <si>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</si>
  <si>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</si>
  <si>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</si>
  <si>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</si>
  <si>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</si>
  <si>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</si>
  <si>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</si>
  <si>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</si>
  <si>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</si>
  <si>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</si>
  <si>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</si>
  <si>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</si>
  <si>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</si>
  <si>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</si>
  <si>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</si>
  <si>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</si>
  <si>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</si>
  <si>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</si>
  <si>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</si>
  <si>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</si>
  <si>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</si>
  <si>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</si>
  <si>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</si>
  <si>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</si>
  <si>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</si>
  <si>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</si>
  <si>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</si>
  <si>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</si>
  <si>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</si>
  <si>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</si>
  <si>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</si>
  <si>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</si>
  <si>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</si>
  <si>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</si>
  <si>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</si>
  <si>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</si>
  <si>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</si>
  <si>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</si>
  <si>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</si>
  <si>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</si>
  <si>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</si>
  <si>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</si>
  <si>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</si>
  <si>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</si>
  <si>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</si>
  <si>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</si>
  <si>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</si>
  <si>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</si>
  <si>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</si>
  <si>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</si>
  <si>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</si>
  <si>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</si>
  <si>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</si>
  <si>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</si>
  <si>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</si>
  <si>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</si>
  <si>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</si>
  <si>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</si>
  <si>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</si>
  <si>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</si>
  <si>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</si>
  <si>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</si>
  <si>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</si>
  <si>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</si>
  <si>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</si>
  <si>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</si>
  <si>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</si>
  <si>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</si>
  <si>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</si>
  <si>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</si>
  <si>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</si>
  <si>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</si>
  <si>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</si>
  <si>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</si>
  <si>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</si>
  <si>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</si>
  <si>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</si>
  <si>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</si>
  <si>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</si>
  <si>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</si>
  <si>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</si>
  <si>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</si>
  <si>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</si>
  <si>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</si>
  <si>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</si>
  <si>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</si>
  <si>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</si>
  <si>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</si>
  <si>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</si>
  <si>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</si>
  <si>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</si>
  <si>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</si>
  <si>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</si>
  <si>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</si>
  <si>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</si>
  <si>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</si>
  <si>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</si>
  <si>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</si>
  <si>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</si>
  <si>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</si>
  <si>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</si>
  <si>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</si>
  <si>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</si>
  <si>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</si>
  <si>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</si>
  <si>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</si>
  <si>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</si>
  <si>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</si>
  <si>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</si>
  <si>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</si>
  <si>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</si>
  <si>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</si>
  <si>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</si>
  <si>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</si>
  <si>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</si>
  <si>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</si>
  <si>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</si>
  <si>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</si>
  <si>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</si>
  <si>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</si>
  <si>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</si>
  <si>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</si>
  <si>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</si>
  <si>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</si>
  <si>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</si>
  <si>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</si>
  <si>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</si>
  <si>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</si>
  <si>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</si>
  <si>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</si>
  <si>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</si>
  <si>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</si>
  <si>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</si>
  <si>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</si>
  <si>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</si>
  <si>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</si>
  <si>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</si>
  <si>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</si>
  <si>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</si>
  <si>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</si>
  <si>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</si>
  <si>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</si>
  <si>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</si>
  <si>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</si>
  <si>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</si>
  <si>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</si>
  <si>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</si>
  <si>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</si>
  <si>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</si>
  <si>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</si>
  <si>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</si>
  <si>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</si>
  <si>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</si>
  <si>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</si>
  <si>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</si>
  <si>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</si>
  <si>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</si>
  <si>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</si>
  <si>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</si>
  <si>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</si>
  <si>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</si>
  <si>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</si>
  <si>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</si>
  <si>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</si>
  <si>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</si>
  <si>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</si>
  <si>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</si>
  <si>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</si>
  <si>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</si>
  <si>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</si>
  <si>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</si>
  <si>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</si>
  <si>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</si>
  <si>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</si>
  <si>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</si>
  <si>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</si>
  <si>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</si>
  <si>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</si>
  <si>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</si>
  <si>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</si>
  <si>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</si>
  <si>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</si>
  <si>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</si>
  <si>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</si>
  <si>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</si>
  <si>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</si>
  <si>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</si>
  <si>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</si>
  <si>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</si>
  <si>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</si>
  <si>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</si>
  <si>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</si>
  <si>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</si>
  <si>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</si>
  <si>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</si>
  <si>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</si>
  <si>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</si>
  <si>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</si>
  <si>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</si>
  <si>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</si>
  <si>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</si>
  <si>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</si>
  <si>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</si>
  <si>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</si>
  <si>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</si>
  <si>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</si>
  <si>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</si>
  <si>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</si>
  <si>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</si>
  <si>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</si>
  <si>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</si>
  <si>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</si>
  <si>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</si>
  <si>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</si>
  <si>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</si>
  <si>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</si>
  <si>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</si>
  <si>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</si>
  <si>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</si>
  <si>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</si>
  <si>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</si>
  <si>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</si>
  <si>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</si>
  <si>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</si>
  <si>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</si>
  <si>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</si>
  <si>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</si>
  <si>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</si>
  <si>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</si>
  <si>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</si>
  <si>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</si>
  <si>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</si>
  <si>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</si>
  <si>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</si>
  <si>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</si>
  <si>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</si>
  <si>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</si>
  <si>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</si>
  <si>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</si>
  <si>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</si>
  <si>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</si>
  <si>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</si>
  <si>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</si>
  <si>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</si>
  <si>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</si>
  <si>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</si>
  <si>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</si>
  <si>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</si>
  <si>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</si>
  <si>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</si>
  <si>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</si>
  <si>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</si>
  <si>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</si>
  <si>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</si>
  <si>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</si>
  <si>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</si>
  <si>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</si>
  <si>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</si>
  <si>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</si>
  <si>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</si>
  <si>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</si>
  <si>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</si>
  <si>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</si>
  <si>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</si>
  <si>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</si>
  <si>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</si>
  <si>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</si>
  <si>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</si>
  <si>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</si>
  <si>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</si>
  <si>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</si>
  <si>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</si>
  <si>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</si>
  <si>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</si>
  <si>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</si>
  <si>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</si>
  <si>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</si>
  <si>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</si>
  <si>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</si>
  <si>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</si>
  <si>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</si>
  <si>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</si>
  <si>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</si>
  <si>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</si>
  <si>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</si>
  <si>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</si>
  <si>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</si>
  <si>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</si>
  <si>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</si>
  <si>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</si>
  <si>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</si>
  <si>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</si>
  <si>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</si>
  <si>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</si>
  <si>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</si>
  <si>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</si>
  <si>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</si>
  <si>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</si>
  <si>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</si>
  <si>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</si>
  <si>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</si>
  <si>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</si>
  <si>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</si>
  <si>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</si>
  <si>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</si>
  <si>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</si>
  <si>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</si>
  <si>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</si>
  <si>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</si>
  <si>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</si>
  <si>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</si>
  <si>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</si>
  <si>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</si>
  <si>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</si>
  <si>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</si>
  <si>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</si>
  <si>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</si>
  <si>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</si>
  <si>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</si>
  <si>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</si>
  <si>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</si>
  <si>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</si>
  <si>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</si>
  <si>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</si>
  <si>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</si>
  <si>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</si>
  <si>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</si>
  <si>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</si>
  <si>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</si>
  <si>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</si>
  <si>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</si>
  <si>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</si>
  <si>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</si>
  <si>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</si>
  <si>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</si>
  <si>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</si>
  <si>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</si>
  <si>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</si>
  <si>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</si>
  <si>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</si>
  <si>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</si>
  <si>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</si>
  <si>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</si>
  <si>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</si>
  <si>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</si>
  <si>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</si>
  <si>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</si>
  <si>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</si>
  <si>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</si>
  <si>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</si>
  <si>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</si>
  <si>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</si>
  <si>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</si>
  <si>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</si>
  <si>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</si>
  <si>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</si>
  <si>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</si>
  <si>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</si>
  <si>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</si>
  <si>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</si>
  <si>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</si>
  <si>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</si>
  <si>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</si>
  <si>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</si>
  <si>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</si>
  <si>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</si>
  <si>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</si>
  <si>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</si>
  <si>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</si>
  <si>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</si>
  <si>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</si>
  <si>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</si>
  <si>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</si>
  <si>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</si>
  <si>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</si>
  <si>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</si>
  <si>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</si>
  <si>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</si>
  <si>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</si>
  <si>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</si>
  <si>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</si>
  <si>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</si>
  <si>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</si>
  <si>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</si>
  <si>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</si>
  <si>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</si>
  <si>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</si>
  <si>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</si>
  <si>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</si>
  <si>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</si>
  <si>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</si>
  <si>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</si>
  <si>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</si>
  <si>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</si>
  <si>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</si>
  <si>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</si>
  <si>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</si>
  <si>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</si>
  <si>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</si>
  <si>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</si>
  <si>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</si>
  <si>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</si>
  <si>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</si>
  <si>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</si>
  <si>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</si>
  <si>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</si>
  <si>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</si>
  <si>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</si>
  <si>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</si>
  <si>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</si>
  <si>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</si>
  <si>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</si>
  <si>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</si>
  <si>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</si>
  <si>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</si>
  <si>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</si>
  <si>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</si>
  <si>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</si>
  <si>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</si>
  <si>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</si>
  <si>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</si>
  <si>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</si>
  <si>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</si>
  <si>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</si>
  <si>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</si>
  <si>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</si>
  <si>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</si>
  <si>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</si>
  <si>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</si>
  <si>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</si>
  <si>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</si>
  <si>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</si>
  <si>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</si>
  <si>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</si>
  <si>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</si>
  <si>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</si>
  <si>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</si>
  <si>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</si>
  <si>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</si>
  <si>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</si>
  <si>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</si>
  <si>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</si>
  <si>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</si>
  <si>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</si>
  <si>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</si>
  <si>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</si>
  <si>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</si>
  <si>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</si>
  <si>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</si>
  <si>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</si>
  <si>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</si>
  <si>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</si>
  <si>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</si>
  <si>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</si>
  <si>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</si>
  <si>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</si>
  <si>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</si>
  <si>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</si>
  <si>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</si>
  <si>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</si>
  <si>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</si>
  <si>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</si>
  <si>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</si>
  <si>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</si>
  <si>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</si>
  <si>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</si>
  <si>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</si>
  <si>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</si>
  <si>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</si>
  <si>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</si>
  <si>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</si>
  <si>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</si>
  <si>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</si>
  <si>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</si>
  <si>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</si>
  <si>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</si>
  <si>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</si>
  <si>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</si>
  <si>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</si>
  <si>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</si>
  <si>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</si>
  <si>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</si>
  <si>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</si>
  <si>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</si>
  <si>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</si>
  <si>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</si>
  <si>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</si>
  <si>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</si>
  <si>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</si>
  <si>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</si>
  <si>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</si>
  <si>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</si>
  <si>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</si>
  <si>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</si>
  <si>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</si>
  <si>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</si>
  <si>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</si>
  <si>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</si>
  <si>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</si>
  <si>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</si>
  <si>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</si>
  <si>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</si>
  <si>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</si>
  <si>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</si>
  <si>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</si>
  <si>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</si>
  <si>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</si>
  <si>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</si>
  <si>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</si>
  <si>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</si>
  <si>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</si>
  <si>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</si>
  <si>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</si>
  <si>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</si>
  <si>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</si>
  <si>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</si>
  <si>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</si>
  <si>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</si>
  <si>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</si>
  <si>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</si>
  <si>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</si>
  <si>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</si>
  <si>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</si>
  <si>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</si>
  <si>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</si>
  <si>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</si>
  <si>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</si>
  <si>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</si>
  <si>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</si>
  <si>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</si>
  <si>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</si>
  <si>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</si>
  <si>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</si>
  <si>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</si>
  <si>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</si>
  <si>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</si>
  <si>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</si>
  <si>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</si>
  <si>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</si>
  <si>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</si>
  <si>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</si>
  <si>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</si>
  <si>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</si>
  <si>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</si>
  <si>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</si>
  <si>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</si>
  <si>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</si>
  <si>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</si>
  <si>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</si>
  <si>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</si>
  <si>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</si>
  <si>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</si>
  <si>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</si>
  <si>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</si>
  <si>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</si>
  <si>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</si>
  <si>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</si>
  <si>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</si>
  <si>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</si>
  <si>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</si>
  <si>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</si>
  <si>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</si>
  <si>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</si>
  <si>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</si>
  <si>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</si>
  <si>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</si>
  <si>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</si>
  <si>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</si>
  <si>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</si>
  <si>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</si>
  <si>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</si>
  <si>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</si>
  <si>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</si>
  <si>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</si>
  <si>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</si>
  <si>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</si>
  <si>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</si>
  <si>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</si>
  <si>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</si>
  <si>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</si>
  <si>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</si>
  <si>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</si>
  <si>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</si>
  <si>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</si>
  <si>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</si>
  <si>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</si>
  <si>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</si>
  <si>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</si>
  <si>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</si>
  <si>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</si>
  <si>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</si>
  <si>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</si>
  <si>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</si>
  <si>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</si>
  <si>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</si>
  <si>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</si>
  <si>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</si>
  <si>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</si>
  <si>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</si>
  <si>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</si>
  <si>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</si>
  <si>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</si>
  <si>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</si>
  <si>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</si>
  <si>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</si>
  <si>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</si>
  <si>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</si>
  <si>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</si>
  <si>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</si>
  <si>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</si>
  <si>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</si>
  <si>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</si>
  <si>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</si>
  <si>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</si>
  <si>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</si>
  <si>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</si>
  <si>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</si>
  <si>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</si>
  <si>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</si>
  <si>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</si>
  <si>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</si>
  <si>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</si>
  <si>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</si>
  <si>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</si>
  <si>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</si>
  <si>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</si>
  <si>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</si>
  <si>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</si>
  <si>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</si>
  <si>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</si>
  <si>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</si>
  <si>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</si>
  <si>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</si>
  <si>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</si>
  <si>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</si>
  <si>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</si>
  <si>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</si>
  <si>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</si>
  <si>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</si>
  <si>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</si>
  <si>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</si>
  <si>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</si>
  <si>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</si>
  <si>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</si>
  <si>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</si>
  <si>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</si>
  <si>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</si>
  <si>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</si>
  <si>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</si>
  <si>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</si>
  <si>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</si>
  <si>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</si>
  <si>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</si>
  <si>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</si>
  <si>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</si>
  <si>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</si>
  <si>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</si>
  <si>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</si>
  <si>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</si>
  <si>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</si>
  <si>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</si>
  <si>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</si>
  <si>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</si>
  <si>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</si>
  <si>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</si>
  <si>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</si>
  <si>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</si>
  <si>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</si>
  <si>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</si>
  <si>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</si>
  <si>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</si>
  <si>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</si>
  <si>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</si>
  <si>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</si>
  <si>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</si>
  <si>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</si>
  <si>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</si>
  <si>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</si>
  <si>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</si>
  <si>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</si>
  <si>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</si>
  <si>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</si>
  <si>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</si>
  <si>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</si>
  <si>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</si>
  <si>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</si>
  <si>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</si>
  <si>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</si>
  <si>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</si>
  <si>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</si>
  <si>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</si>
  <si>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</si>
  <si>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</si>
  <si>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</si>
  <si>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</si>
  <si>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</si>
  <si>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</si>
  <si>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</si>
  <si>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</si>
  <si>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</si>
  <si>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</si>
  <si>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</si>
  <si>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</si>
  <si>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</si>
  <si>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</si>
  <si>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</si>
  <si>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</si>
  <si>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</si>
  <si>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</si>
  <si>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</si>
  <si>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</si>
  <si>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</si>
  <si>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</si>
  <si>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</si>
  <si>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</si>
  <si>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</si>
  <si>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</si>
  <si>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</si>
  <si>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</si>
  <si>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</si>
  <si>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</si>
  <si>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</si>
  <si>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</si>
  <si>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</si>
  <si>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</si>
  <si>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</si>
  <si>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</si>
  <si>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</si>
  <si>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</si>
  <si>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</si>
  <si>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</si>
  <si>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</si>
  <si>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</si>
  <si>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</si>
  <si>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</si>
  <si>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</si>
  <si>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</si>
  <si>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</si>
  <si>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</si>
  <si>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</si>
  <si>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</si>
  <si>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</si>
  <si>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</si>
  <si>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</si>
  <si>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</si>
  <si>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</si>
  <si>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</si>
  <si>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</si>
  <si>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</si>
  <si>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</si>
  <si>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</si>
  <si>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</si>
  <si>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</si>
  <si>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</si>
  <si>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</si>
  <si>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</si>
  <si>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</si>
  <si>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</si>
  <si>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</si>
  <si>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</si>
  <si>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</si>
  <si>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</si>
  <si>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</si>
  <si>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</si>
  <si>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</si>
  <si>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</si>
  <si>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</si>
  <si>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</si>
  <si>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</si>
  <si>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</si>
  <si>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</si>
  <si>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</si>
  <si>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</si>
  <si>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</si>
  <si>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</si>
  <si>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</si>
  <si>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</si>
  <si>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</si>
  <si>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</si>
  <si>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</si>
  <si>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</si>
  <si>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</si>
  <si>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</si>
  <si>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</si>
  <si>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</si>
  <si>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</si>
  <si>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</si>
  <si>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</si>
  <si>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</si>
  <si>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</si>
  <si>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</si>
  <si>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</si>
  <si>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</si>
  <si>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</si>
  <si>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</si>
  <si>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</si>
  <si>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</si>
  <si>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</si>
  <si>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</si>
  <si>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</si>
  <si>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</si>
  <si>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</si>
  <si>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</si>
  <si>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</si>
  <si>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</si>
  <si>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</si>
  <si>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</si>
  <si>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</si>
  <si>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</si>
  <si>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</si>
  <si>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</si>
  <si>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</si>
  <si>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</si>
  <si>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</si>
  <si>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</si>
  <si>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</si>
  <si>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</si>
  <si>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</si>
  <si>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</si>
  <si>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</si>
  <si>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</si>
  <si>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</si>
  <si>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</si>
  <si>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</si>
  <si>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</si>
  <si>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</si>
  <si>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</si>
  <si>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</si>
  <si>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</si>
  <si>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</si>
  <si>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</si>
  <si>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</si>
  <si>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</si>
  <si>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</si>
  <si>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</si>
  <si>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</si>
  <si>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</si>
  <si>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</si>
  <si>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</si>
  <si>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</si>
  <si>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</si>
  <si>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</si>
  <si>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</si>
  <si>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</si>
  <si>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</si>
  <si>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</si>
  <si>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</si>
  <si>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</si>
  <si>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</si>
  <si>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</si>
  <si>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</si>
  <si>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</si>
  <si>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</si>
  <si>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</si>
  <si>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</si>
  <si>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</si>
  <si>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</si>
  <si>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</si>
  <si>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</si>
  <si>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</si>
  <si>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</si>
  <si>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</si>
  <si>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</si>
  <si>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</si>
  <si>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</si>
  <si>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</si>
  <si>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</si>
  <si>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</si>
  <si>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</si>
  <si>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</si>
  <si>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</si>
  <si>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</si>
  <si>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</si>
  <si>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</si>
  <si>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</si>
  <si>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</si>
  <si>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</si>
  <si>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</si>
  <si>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</si>
  <si>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</si>
  <si>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</si>
  <si>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</si>
  <si>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</si>
  <si>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</si>
  <si>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</si>
  <si>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</si>
  <si>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</si>
  <si>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</si>
  <si>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</si>
  <si>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</si>
  <si>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</si>
  <si>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</si>
  <si>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</si>
  <si>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</si>
  <si>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</si>
  <si>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</si>
  <si>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</si>
  <si>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</si>
  <si>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</si>
  <si>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</si>
  <si>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</si>
  <si>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</si>
  <si>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</si>
  <si>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</si>
  <si>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</si>
  <si>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</si>
  <si>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</si>
  <si>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</si>
  <si>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</si>
  <si>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</si>
  <si>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</si>
  <si>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</si>
  <si>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</si>
  <si>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</si>
  <si>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</si>
  <si>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</si>
  <si>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</si>
  <si>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</si>
  <si>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</si>
  <si>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</si>
  <si>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</si>
  <si>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</si>
  <si>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</si>
  <si>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</si>
  <si>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</si>
  <si>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</si>
  <si>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</si>
  <si>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</si>
  <si>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</si>
  <si>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</si>
  <si>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</si>
  <si>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</si>
  <si>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</si>
  <si>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</si>
  <si>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</si>
  <si>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</si>
  <si>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</si>
  <si>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</si>
  <si>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</si>
  <si>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</si>
  <si>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</si>
  <si>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</si>
  <si>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</si>
  <si>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</si>
  <si>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</si>
  <si>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</si>
  <si>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</si>
  <si>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</si>
  <si>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</si>
  <si>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</si>
  <si>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</si>
  <si>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</si>
  <si>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</si>
  <si>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</si>
  <si>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</si>
  <si>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</si>
  <si>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</si>
  <si>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</si>
  <si>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</si>
  <si>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</si>
  <si>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</si>
  <si>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</si>
  <si>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</si>
  <si>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</si>
  <si>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</si>
  <si>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</si>
  <si>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</si>
  <si>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</si>
  <si>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</si>
  <si>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</si>
  <si>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</si>
  <si>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</si>
  <si>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</si>
  <si>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</si>
  <si>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</si>
  <si>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</si>
  <si>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</si>
  <si>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</si>
  <si>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</si>
  <si>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</si>
  <si>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</si>
  <si>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</si>
  <si>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</si>
  <si>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</si>
  <si>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</si>
  <si>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</si>
  <si>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</si>
  <si>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</si>
  <si>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</si>
  <si>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</si>
  <si>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</si>
  <si>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</si>
  <si>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</si>
  <si>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</si>
  <si>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</si>
  <si>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</si>
  <si>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</si>
  <si>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</si>
  <si>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</si>
  <si>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</si>
  <si>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</si>
  <si>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</si>
  <si>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</si>
  <si>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</si>
  <si>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</si>
  <si>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</si>
  <si>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</si>
  <si>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</si>
  <si>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</si>
  <si>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</si>
  <si>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</si>
  <si>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</si>
  <si>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</si>
  <si>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</si>
  <si>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</si>
  <si>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</si>
  <si>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</si>
  <si>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</si>
  <si>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</si>
  <si>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</si>
  <si>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</si>
  <si>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</si>
  <si>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</si>
  <si>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</si>
  <si>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</si>
  <si>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</si>
  <si>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</si>
  <si>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</si>
  <si>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</si>
  <si>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</si>
  <si>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</si>
  <si>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</si>
  <si>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</si>
  <si>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</si>
  <si>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</si>
  <si>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</si>
  <si>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</si>
  <si>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</si>
  <si>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</si>
  <si>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</si>
  <si>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</si>
  <si>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</si>
  <si>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</si>
  <si>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</si>
  <si>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</si>
  <si>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</si>
  <si>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</si>
  <si>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</si>
  <si>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</si>
  <si>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</si>
  <si>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</si>
  <si>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</si>
  <si>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</si>
  <si>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</si>
  <si>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</si>
  <si>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</si>
  <si>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</si>
  <si>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</si>
  <si>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</si>
  <si>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</si>
  <si>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</si>
  <si>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</si>
  <si>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</si>
  <si>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</si>
  <si>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</si>
  <si>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</si>
  <si>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</si>
  <si>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</si>
  <si>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</si>
  <si>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</si>
  <si>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</si>
  <si>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</si>
  <si>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</si>
  <si>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</si>
  <si>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</si>
  <si>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</si>
  <si>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</si>
  <si>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</si>
  <si>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</si>
  <si>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</si>
  <si>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</si>
  <si>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</si>
  <si>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</si>
  <si>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</si>
  <si>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</si>
  <si>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</si>
  <si>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</si>
  <si>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</si>
  <si>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</si>
  <si>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</si>
  <si>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</si>
  <si>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</si>
  <si>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</si>
  <si>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</si>
  <si>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</si>
  <si>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</si>
  <si>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</si>
  <si>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</si>
  <si>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</si>
  <si>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</si>
  <si>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</si>
  <si>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</si>
  <si>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</si>
  <si>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</si>
  <si>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</si>
  <si>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</si>
  <si>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</si>
  <si>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</si>
  <si>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</si>
  <si>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</si>
  <si>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</si>
  <si>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</si>
  <si>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</si>
  <si>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</si>
  <si>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</si>
  <si>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</si>
  <si>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</si>
  <si>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</si>
  <si>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</si>
  <si>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</si>
  <si>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</si>
  <si>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</si>
  <si>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</si>
  <si>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</si>
  <si>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</si>
  <si>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</si>
  <si>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</si>
  <si>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</si>
  <si>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</si>
  <si>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</si>
  <si>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</si>
  <si>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</si>
  <si>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</si>
  <si>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</si>
  <si>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</si>
  <si>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</si>
  <si>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</si>
  <si>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</si>
  <si>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</si>
  <si>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</si>
  <si>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</si>
  <si>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</si>
  <si>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</si>
  <si>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</si>
  <si>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</si>
  <si>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</si>
  <si>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</si>
  <si>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</si>
  <si>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</si>
  <si>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</si>
  <si>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</si>
  <si>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</si>
  <si>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</si>
  <si>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</si>
  <si>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</si>
  <si>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</si>
  <si>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</si>
  <si>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</si>
  <si>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</si>
  <si>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</si>
  <si>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</si>
  <si>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</si>
  <si>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</si>
  <si>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</si>
  <si>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</si>
  <si>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</si>
  <si>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</si>
  <si>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</si>
  <si>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</si>
  <si>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</si>
  <si>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</si>
  <si>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</si>
  <si>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</si>
  <si>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</si>
  <si>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</si>
  <si>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</si>
  <si>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</si>
  <si>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</si>
  <si>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</si>
  <si>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</si>
  <si>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</si>
  <si>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</si>
  <si>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</si>
  <si>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</si>
  <si>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</si>
  <si>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</si>
  <si>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</si>
  <si>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</si>
  <si>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</si>
  <si>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</si>
  <si>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</si>
  <si>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</si>
  <si>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</si>
  <si>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</si>
  <si>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</si>
  <si>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</si>
  <si>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</si>
  <si>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</si>
  <si>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</si>
  <si>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</si>
  <si>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</si>
  <si>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</si>
  <si>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</si>
  <si>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</si>
  <si>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</si>
  <si>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</si>
  <si>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</si>
  <si>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</si>
  <si>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</si>
  <si>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</si>
  <si>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</si>
  <si>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</si>
  <si>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</si>
  <si>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</si>
  <si>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</si>
  <si>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</si>
  <si>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</si>
  <si>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</si>
  <si>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</si>
  <si>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</si>
  <si>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</si>
  <si>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</si>
  <si>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</si>
  <si>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</si>
  <si>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</si>
  <si>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</si>
  <si>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</si>
  <si>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</si>
  <si>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</si>
  <si>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</si>
  <si>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</si>
  <si>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</si>
  <si>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</si>
  <si>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</si>
  <si>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</si>
  <si>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</si>
  <si>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</si>
  <si>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</si>
  <si>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</si>
  <si>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</si>
  <si>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</si>
  <si>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</si>
  <si>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</si>
  <si>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</si>
  <si>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</si>
  <si>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</si>
  <si>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</si>
  <si>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</si>
  <si>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</si>
  <si>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</si>
  <si>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</si>
  <si>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</si>
  <si>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</si>
  <si>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</si>
  <si>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</si>
  <si>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</si>
  <si>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</si>
  <si>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</si>
  <si>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</si>
  <si>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</si>
  <si>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</si>
  <si>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</si>
  <si>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</si>
  <si>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</si>
  <si>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</si>
  <si>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</si>
  <si>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</si>
  <si>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</si>
  <si>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</si>
  <si>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</si>
  <si>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</si>
  <si>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</si>
  <si>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</si>
  <si>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</si>
  <si>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</si>
  <si>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</si>
  <si>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</si>
  <si>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</si>
  <si>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</si>
  <si>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</si>
  <si>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</si>
  <si>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</si>
  <si>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</si>
  <si>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</si>
  <si>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</si>
  <si>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</si>
  <si>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</si>
  <si>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</si>
  <si>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</si>
  <si>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</si>
  <si>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</si>
  <si>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</si>
  <si>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</si>
  <si>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</si>
  <si>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</si>
  <si>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</si>
  <si>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</si>
  <si>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</si>
  <si>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</si>
  <si>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</si>
  <si>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</si>
  <si>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</si>
  <si>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</si>
  <si>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</si>
  <si>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</si>
  <si>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</si>
  <si>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</si>
  <si>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</si>
  <si>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</si>
  <si>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</si>
  <si>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</si>
  <si>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</si>
  <si>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</si>
  <si>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</si>
  <si>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</si>
  <si>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</si>
  <si>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</si>
  <si>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</si>
  <si>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</si>
  <si>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</si>
  <si>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</si>
  <si>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</si>
  <si>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</si>
  <si>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</si>
  <si>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</si>
  <si>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</si>
  <si>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</si>
  <si>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</si>
  <si>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</si>
  <si>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</si>
  <si>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</si>
  <si>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</si>
  <si>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</si>
  <si>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</si>
  <si>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</si>
  <si>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</si>
  <si>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</si>
  <si>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</si>
  <si>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</si>
  <si>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</si>
  <si>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</si>
  <si>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</si>
  <si>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</si>
  <si>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</si>
  <si>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</si>
  <si>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</si>
  <si>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</si>
  <si>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</si>
  <si>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</si>
  <si>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</si>
  <si>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</si>
  <si>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</si>
  <si>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</si>
  <si>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</si>
  <si>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</si>
  <si>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</si>
  <si>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</si>
  <si>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</si>
  <si>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</si>
  <si>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</si>
  <si>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</si>
  <si>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</si>
  <si>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</si>
  <si>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</si>
  <si>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</si>
  <si>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</si>
  <si>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</si>
  <si>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</si>
  <si>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</si>
  <si>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</si>
  <si>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</si>
  <si>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</si>
  <si>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</si>
  <si>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</si>
  <si>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</si>
  <si>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</si>
  <si>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</si>
  <si>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</si>
  <si>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</si>
  <si>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</si>
  <si>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</si>
  <si>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</si>
  <si>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</si>
  <si>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</si>
  <si>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</si>
  <si>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</si>
  <si>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</si>
  <si>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</si>
  <si>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</si>
  <si>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</si>
  <si>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</si>
  <si>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</si>
  <si>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</si>
  <si>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</si>
  <si>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</si>
  <si>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</si>
  <si>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</si>
  <si>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</si>
  <si>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</si>
  <si>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</si>
  <si>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</si>
  <si>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</si>
  <si>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</si>
  <si>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</si>
  <si>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</si>
  <si>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</si>
  <si>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</si>
  <si>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</si>
  <si>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</si>
  <si>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</si>
  <si>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</si>
  <si>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</si>
  <si>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</si>
  <si>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</si>
  <si>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</si>
  <si>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</si>
  <si>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</si>
  <si>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</si>
  <si>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</si>
  <si>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</si>
  <si>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</si>
  <si>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</si>
  <si>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</si>
  <si>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</si>
  <si>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</si>
  <si>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</si>
  <si>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</si>
  <si>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</si>
  <si>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</si>
  <si>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</si>
  <si>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</si>
  <si>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</si>
  <si>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</si>
  <si>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</si>
  <si>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</si>
  <si>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</si>
  <si>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</si>
  <si>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</si>
  <si>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</si>
  <si>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</si>
  <si>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</si>
  <si>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</si>
  <si>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</si>
  <si>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</si>
  <si>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</si>
  <si>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</si>
  <si>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</si>
  <si>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</si>
  <si>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</si>
  <si>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</si>
  <si>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</si>
  <si>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</si>
  <si>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</si>
  <si>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</si>
  <si>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</si>
  <si>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</si>
  <si>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</si>
  <si>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</si>
  <si>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</si>
  <si>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</si>
  <si>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</si>
  <si>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</si>
  <si>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</si>
  <si>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</si>
  <si>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</si>
  <si>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</si>
  <si>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</si>
  <si>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</si>
  <si>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</si>
  <si>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</si>
  <si>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</si>
  <si>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</si>
  <si>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</si>
  <si>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</si>
  <si>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</si>
  <si>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</si>
  <si>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</si>
  <si>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</si>
  <si>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</si>
  <si>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</si>
  <si>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</si>
  <si>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</si>
  <si>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</si>
  <si>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</si>
  <si>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</si>
  <si>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</si>
  <si>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</si>
  <si>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</si>
  <si>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</si>
  <si>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</si>
  <si>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</si>
  <si>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</si>
  <si>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</si>
  <si>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</si>
  <si>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</si>
  <si>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</si>
  <si>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</si>
  <si>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</si>
  <si>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</si>
  <si>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</si>
  <si>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</si>
  <si>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</si>
  <si>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</si>
  <si>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</si>
  <si>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</si>
  <si>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</si>
  <si>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</si>
  <si>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</si>
  <si>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</si>
  <si>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</si>
  <si>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</si>
  <si>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</si>
  <si>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</si>
  <si>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</si>
  <si>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</si>
  <si>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</si>
  <si>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</si>
  <si>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</si>
  <si>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</si>
  <si>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</si>
  <si>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</si>
  <si>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</si>
  <si>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</si>
  <si>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</si>
  <si>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</si>
  <si>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</si>
  <si>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</si>
  <si>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</si>
  <si>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</si>
  <si>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</si>
  <si>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</si>
  <si>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</si>
  <si>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</si>
  <si>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</si>
  <si>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</si>
  <si>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</si>
  <si>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</si>
  <si>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</si>
  <si>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</si>
  <si>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</si>
  <si>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</si>
  <si>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</si>
  <si>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</si>
  <si>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</si>
  <si>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</si>
  <si>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</si>
  <si>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</si>
  <si>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</si>
  <si>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</si>
  <si>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</si>
  <si>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</si>
  <si>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</si>
  <si>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</si>
  <si>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</si>
  <si>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</si>
  <si>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</si>
  <si>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</si>
  <si>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</si>
  <si>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</si>
  <si>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</si>
  <si>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</si>
  <si>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</si>
  <si>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</si>
  <si>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</si>
  <si>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</si>
  <si>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</si>
  <si>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</si>
  <si>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</si>
  <si>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</si>
  <si>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</si>
  <si>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</si>
  <si>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</si>
  <si>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</si>
  <si>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</si>
  <si>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</si>
  <si>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</si>
  <si>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</si>
  <si>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</si>
  <si>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</si>
  <si>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</si>
  <si>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</si>
  <si>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</si>
  <si>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</si>
  <si>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</si>
  <si>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</si>
  <si>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</si>
  <si>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</si>
  <si>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</si>
  <si>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</si>
  <si>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</si>
  <si>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</si>
  <si>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</si>
  <si>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</si>
  <si>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</si>
  <si>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</si>
  <si>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</si>
  <si>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</si>
  <si>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</si>
  <si>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</si>
  <si>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</si>
  <si>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</si>
  <si>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</si>
  <si>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</si>
  <si>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</si>
  <si>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</si>
  <si>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</si>
  <si>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</si>
  <si>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</si>
  <si>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</si>
  <si>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</si>
  <si>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</si>
  <si>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</si>
  <si>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</si>
  <si>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</si>
  <si>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</si>
  <si>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</si>
  <si>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</si>
  <si>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</si>
  <si>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</si>
  <si>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</si>
  <si>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</si>
  <si>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</si>
  <si>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</si>
  <si>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</si>
  <si>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</si>
  <si>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</si>
  <si>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</si>
  <si>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</si>
  <si>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</si>
  <si>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</si>
  <si>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</si>
  <si>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</si>
  <si>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</si>
  <si>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</si>
  <si>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</si>
  <si>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</si>
  <si>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</si>
  <si>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</si>
  <si>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</si>
  <si>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</si>
  <si>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</si>
  <si>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</si>
  <si>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</si>
  <si>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</si>
  <si>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</si>
  <si>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</si>
  <si>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</si>
  <si>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</si>
  <si>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</si>
  <si>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</si>
  <si>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</si>
  <si>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</si>
  <si>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</si>
  <si>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</si>
  <si>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</si>
  <si>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</si>
  <si>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</si>
  <si>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</si>
  <si>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</si>
  <si>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</si>
  <si>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</si>
  <si>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</si>
  <si>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</si>
  <si>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</si>
  <si>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</si>
  <si>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</si>
  <si>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</si>
  <si>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</si>
  <si>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</si>
  <si>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</si>
  <si>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</si>
  <si>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</si>
  <si>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</si>
  <si>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</si>
  <si>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</si>
  <si>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</si>
  <si>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</si>
  <si>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</si>
  <si>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</si>
  <si>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</si>
  <si>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</si>
  <si>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</si>
  <si>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</si>
  <si>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</si>
  <si>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</si>
  <si>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</si>
  <si>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</si>
  <si>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</si>
  <si>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</si>
  <si>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</si>
  <si>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</si>
  <si>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</si>
  <si>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</si>
  <si>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</si>
  <si>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</si>
  <si>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</si>
  <si>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</si>
  <si>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</si>
  <si>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</si>
  <si>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</si>
  <si>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</si>
  <si>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</si>
  <si>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</si>
  <si>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</si>
  <si>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</si>
  <si>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</si>
  <si>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</si>
  <si>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</si>
  <si>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</si>
  <si>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</si>
  <si>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</si>
  <si>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</si>
  <si>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</si>
  <si>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</si>
  <si>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</si>
  <si>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</si>
  <si>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</si>
  <si>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</si>
  <si>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</si>
  <si>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</si>
  <si>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</si>
  <si>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</si>
  <si>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</si>
  <si>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</si>
  <si>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</si>
  <si>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</si>
  <si>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</si>
  <si>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</si>
  <si>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</si>
  <si>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</si>
  <si>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</si>
  <si>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</si>
  <si>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</si>
  <si>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</si>
  <si>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</si>
  <si>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</si>
  <si>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</si>
  <si>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</si>
  <si>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</si>
  <si>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</si>
  <si>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</si>
  <si>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</si>
  <si>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</si>
  <si>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</si>
  <si>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</si>
  <si>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</si>
  <si>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</si>
  <si>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</si>
  <si>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</si>
  <si>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</si>
  <si>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</si>
  <si>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</si>
  <si>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</si>
  <si>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</si>
  <si>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</si>
  <si>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</si>
  <si>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</si>
  <si>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</si>
  <si>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</si>
  <si>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</si>
  <si>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</si>
  <si>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</si>
  <si>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</si>
  <si>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</si>
  <si>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</si>
  <si>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</si>
  <si>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</si>
  <si>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</si>
  <si>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</si>
  <si>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</si>
  <si>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</si>
  <si>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</si>
  <si>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</si>
  <si>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</si>
  <si>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</si>
  <si>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</si>
  <si>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</si>
  <si>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</si>
  <si>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</si>
  <si>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</si>
  <si>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</si>
  <si>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</si>
  <si>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</si>
  <si>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</si>
  <si>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</si>
  <si>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</si>
  <si>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</si>
  <si>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</si>
  <si>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</si>
  <si>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</si>
  <si>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</si>
  <si>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</si>
  <si>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</si>
  <si>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</si>
  <si>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</si>
  <si>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</si>
  <si>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</si>
  <si>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</si>
  <si>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</si>
  <si>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</si>
  <si>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</si>
  <si>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</si>
  <si>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</si>
  <si>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</si>
  <si>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</si>
  <si>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</si>
  <si>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</si>
  <si>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</si>
  <si>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</si>
  <si>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</si>
  <si>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</si>
  <si>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</si>
  <si>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</si>
  <si>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</si>
  <si>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</si>
  <si>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</si>
  <si>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</si>
  <si>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</si>
  <si>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</si>
  <si>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</si>
  <si>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</si>
  <si>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</si>
  <si>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</si>
  <si>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</si>
  <si>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</si>
  <si>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</si>
  <si>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</si>
  <si>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</si>
  <si>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</si>
  <si>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</si>
  <si>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</si>
  <si>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</si>
  <si>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</si>
  <si>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</si>
  <si>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</si>
  <si>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</si>
  <si>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</si>
  <si>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</si>
  <si>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</si>
  <si>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</si>
  <si>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</si>
  <si>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</si>
  <si>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</si>
  <si>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</si>
  <si>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</si>
  <si>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</si>
  <si>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</si>
  <si>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</si>
  <si>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</si>
  <si>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</si>
  <si>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</si>
  <si>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</si>
  <si>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</si>
  <si>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</si>
  <si>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</si>
  <si>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</si>
  <si>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</si>
  <si>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</si>
  <si>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</si>
  <si>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</si>
  <si>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</si>
  <si>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</si>
  <si>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</si>
  <si>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</si>
  <si>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</si>
  <si>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</si>
  <si>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</si>
  <si>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</si>
  <si>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</si>
  <si>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</si>
  <si>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</si>
  <si>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</si>
  <si>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</si>
  <si>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</si>
  <si>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</si>
  <si>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</si>
  <si>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</si>
  <si>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</si>
  <si>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</si>
  <si>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</si>
  <si>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</si>
  <si>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</si>
  <si>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</si>
  <si>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</si>
  <si>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</si>
  <si>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</si>
  <si>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</si>
  <si>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</si>
  <si>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</si>
  <si>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</si>
  <si>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</si>
  <si>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</si>
  <si>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</si>
  <si>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</si>
  <si>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</si>
  <si>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</si>
  <si>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</si>
  <si>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</si>
  <si>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</si>
  <si>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</si>
  <si>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</si>
  <si>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</si>
  <si>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</si>
  <si>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</si>
  <si>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</si>
  <si>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</si>
  <si>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</si>
  <si>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</si>
  <si>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</si>
  <si>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</si>
  <si>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</si>
  <si>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</si>
  <si>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</si>
  <si>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</si>
  <si>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</si>
  <si>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</si>
  <si>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</si>
  <si>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</si>
  <si>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</si>
  <si>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</si>
  <si>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</si>
  <si>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</si>
  <si>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</si>
  <si>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</si>
  <si>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</si>
  <si>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</si>
  <si>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</si>
  <si>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</si>
  <si>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</si>
  <si>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</si>
  <si>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</si>
  <si>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</si>
  <si>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</si>
  <si>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</si>
  <si>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</si>
  <si>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</si>
  <si>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</si>
  <si>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</si>
  <si>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</si>
  <si>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</si>
  <si>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</si>
  <si>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</si>
  <si>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</si>
  <si>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</si>
  <si>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</si>
  <si>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</si>
  <si>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</si>
  <si>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</si>
  <si>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</si>
  <si>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</si>
  <si>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</si>
  <si>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</si>
  <si>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</si>
  <si>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</si>
  <si>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</si>
  <si>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</si>
  <si>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</si>
  <si>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</si>
  <si>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</si>
  <si>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</si>
  <si>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</si>
  <si>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</si>
  <si>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</si>
  <si>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</si>
  <si>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</si>
  <si>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</si>
  <si>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</si>
  <si>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</si>
  <si>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</si>
  <si>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</si>
  <si>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</si>
  <si>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</si>
  <si>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</si>
  <si>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</si>
  <si>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</si>
  <si>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</si>
  <si>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</si>
  <si>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</si>
  <si>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</si>
  <si>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</si>
  <si>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</si>
  <si>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</si>
  <si>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</si>
  <si>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</si>
  <si>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</si>
  <si>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</si>
  <si>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</si>
  <si>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</si>
  <si>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</si>
  <si>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</si>
  <si>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</si>
  <si>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</si>
  <si>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</si>
  <si>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</si>
  <si>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</si>
  <si>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</si>
  <si>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</si>
  <si>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</si>
  <si>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</si>
  <si>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</si>
  <si>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</si>
  <si>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</si>
  <si>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</si>
  <si>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</si>
  <si>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</si>
  <si>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</si>
  <si>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</si>
  <si>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</si>
  <si>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</si>
  <si>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</si>
  <si>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</si>
  <si>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</si>
  <si>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</si>
  <si>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</si>
  <si>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</si>
  <si>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</si>
  <si>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</si>
  <si>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</si>
  <si>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</si>
  <si>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</si>
  <si>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</si>
  <si>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</si>
  <si>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</si>
  <si>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</si>
  <si>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</si>
  <si>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</si>
  <si>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</si>
  <si>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</si>
  <si>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</si>
  <si>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</si>
  <si>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</si>
  <si>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</si>
  <si>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</si>
  <si>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</si>
  <si>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</si>
  <si>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</si>
  <si>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</si>
  <si>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</si>
  <si>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</si>
  <si>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</si>
  <si>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</si>
  <si>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</si>
  <si>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</si>
  <si>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</si>
  <si>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</si>
  <si>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</si>
  <si>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</si>
  <si>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</si>
  <si>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</si>
  <si>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</si>
  <si>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</si>
  <si>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</si>
  <si>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</si>
  <si>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</si>
  <si>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</si>
  <si>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</si>
  <si>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</si>
  <si>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</si>
  <si>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</si>
  <si>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</si>
  <si>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</si>
  <si>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</si>
  <si>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</si>
  <si>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</si>
  <si>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</si>
  <si>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</si>
  <si>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</si>
  <si>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</si>
  <si>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</si>
  <si>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</si>
  <si>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</si>
  <si>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</si>
  <si>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</si>
  <si>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</si>
  <si>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</si>
  <si>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</si>
  <si>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</si>
  <si>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</si>
  <si>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</si>
  <si>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</si>
  <si>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</si>
  <si>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</si>
  <si>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</si>
  <si>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</si>
  <si>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</si>
  <si>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</si>
  <si>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</si>
  <si>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</si>
  <si>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</si>
  <si>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</si>
  <si>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</si>
  <si>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</si>
  <si>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</si>
  <si>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</si>
  <si>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</si>
  <si>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</si>
  <si>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</si>
  <si>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</si>
  <si>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</si>
  <si>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</si>
  <si>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</si>
  <si>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</si>
  <si>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</si>
  <si>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</si>
  <si>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</si>
  <si>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</si>
  <si>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</si>
  <si>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</si>
  <si>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</si>
  <si>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</si>
  <si>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</si>
  <si>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</si>
  <si>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</si>
  <si>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</si>
  <si>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</si>
  <si>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</si>
  <si>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</si>
  <si>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</si>
  <si>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</si>
  <si>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</si>
  <si>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</si>
  <si>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</si>
  <si>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</si>
  <si>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</si>
  <si>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</si>
  <si>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</si>
  <si>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</si>
  <si>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</si>
  <si>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</si>
  <si>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</si>
  <si>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</si>
  <si>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</si>
  <si>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</si>
  <si>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</si>
  <si>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</si>
  <si>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</si>
  <si>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</si>
  <si>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</si>
  <si>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</si>
  <si>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</si>
  <si>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</si>
  <si>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</si>
  <si>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</si>
  <si>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</si>
  <si>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</si>
  <si>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</si>
  <si>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</si>
  <si>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</si>
  <si>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</si>
  <si>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</si>
  <si>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</si>
  <si>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</si>
  <si>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</si>
  <si>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</si>
  <si>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</si>
  <si>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</si>
  <si>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</si>
  <si>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</si>
  <si>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</si>
  <si>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</si>
  <si>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</si>
  <si>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</si>
  <si>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</si>
  <si>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</si>
  <si>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</si>
  <si>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</si>
  <si>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</si>
  <si>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</si>
  <si>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</si>
  <si>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</si>
  <si>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</si>
  <si>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</si>
  <si>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</si>
  <si>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</si>
  <si>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</si>
  <si>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</si>
  <si>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</si>
  <si>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</si>
  <si>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</si>
  <si>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</si>
  <si>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</si>
  <si>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</si>
  <si>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</si>
  <si>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</si>
  <si>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</si>
  <si>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</si>
  <si>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</si>
  <si>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</si>
  <si>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</si>
  <si>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</si>
  <si>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</si>
  <si>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</si>
  <si>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</si>
  <si>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</si>
  <si>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</si>
  <si>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</si>
  <si>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</si>
  <si>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</si>
  <si>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</si>
  <si>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</si>
  <si>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</si>
  <si>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</si>
  <si>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</si>
  <si>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</si>
  <si>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</si>
  <si>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</si>
  <si>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</si>
  <si>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</si>
  <si>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</si>
  <si>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</si>
  <si>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</si>
  <si>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</si>
  <si>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</si>
  <si>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</si>
  <si>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</si>
  <si>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</si>
  <si>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</si>
  <si>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</si>
  <si>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</si>
  <si>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</si>
  <si>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</si>
  <si>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</si>
  <si>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</si>
  <si>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</si>
  <si>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</si>
  <si>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</si>
  <si>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</si>
  <si>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</si>
  <si>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</si>
  <si>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</si>
  <si>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</si>
  <si>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</si>
  <si>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</si>
  <si>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</si>
  <si>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</si>
  <si>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</si>
  <si>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</si>
  <si>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</si>
  <si>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</si>
  <si>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</si>
  <si>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</si>
  <si>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</si>
  <si>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</si>
  <si>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</si>
  <si>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</si>
  <si>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</si>
  <si>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</si>
  <si>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</si>
  <si>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</si>
  <si>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</si>
  <si>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</si>
  <si>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</si>
  <si>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</si>
  <si>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</si>
  <si>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</si>
  <si>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</si>
  <si>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</si>
  <si>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</si>
  <si>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</si>
  <si>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</si>
  <si>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</si>
  <si>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</si>
  <si>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</si>
  <si>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</si>
  <si>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</si>
  <si>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</si>
  <si>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</si>
  <si>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</si>
  <si>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</si>
  <si>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</si>
  <si>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</si>
  <si>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</si>
  <si>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</si>
  <si>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</si>
  <si>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</si>
  <si>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</si>
  <si>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</si>
  <si>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</si>
  <si>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</si>
  <si>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</si>
  <si>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</si>
  <si>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</si>
  <si>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</si>
  <si>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</si>
  <si>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</si>
  <si>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</si>
  <si>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</si>
  <si>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</si>
  <si>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</si>
  <si>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</si>
  <si>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</si>
  <si>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</si>
  <si>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</si>
  <si>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</si>
  <si>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</si>
  <si>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</si>
  <si>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</si>
  <si>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</si>
  <si>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</si>
  <si>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</si>
  <si>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</si>
  <si>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</si>
  <si>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</si>
  <si>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</si>
  <si>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</si>
  <si>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</si>
  <si>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</si>
  <si>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</si>
  <si>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</si>
  <si>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</si>
  <si>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</si>
  <si>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</si>
  <si>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</si>
  <si>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</si>
  <si>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</si>
  <si>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</si>
  <si>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</si>
  <si>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</si>
  <si>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</si>
  <si>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</si>
  <si>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</si>
  <si>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</si>
  <si>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</si>
  <si>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</si>
  <si>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</si>
  <si>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</si>
  <si>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</si>
  <si>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</si>
  <si>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</si>
  <si>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</si>
  <si>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</si>
  <si>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</si>
  <si>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</si>
  <si>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</si>
  <si>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</si>
  <si>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</si>
  <si>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</si>
  <si>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</si>
  <si>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</si>
  <si>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</si>
  <si>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</si>
  <si>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</si>
  <si>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</si>
  <si>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</si>
  <si>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</si>
  <si>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</si>
  <si>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</si>
  <si>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</si>
  <si>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</si>
  <si>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</si>
  <si>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</si>
  <si>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</si>
  <si>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</si>
  <si>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</si>
  <si>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</si>
  <si>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</si>
  <si>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</si>
  <si>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</si>
  <si>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</si>
  <si>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</si>
  <si>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</si>
  <si>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</si>
  <si>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</si>
  <si>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</si>
  <si>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</si>
  <si>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</si>
  <si>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</si>
  <si>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</si>
  <si>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</si>
  <si>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</si>
  <si>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</si>
  <si>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</si>
  <si>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</si>
  <si>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</si>
  <si>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</si>
  <si>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</si>
  <si>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</si>
  <si>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</si>
  <si>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</si>
  <si>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</si>
  <si>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</si>
  <si>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</si>
  <si>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</si>
  <si>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</si>
  <si>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</si>
  <si>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</si>
  <si>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</si>
  <si>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</si>
  <si>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</si>
  <si>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</si>
  <si>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</si>
  <si>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</si>
  <si>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</si>
  <si>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</si>
  <si>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</si>
  <si>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</si>
  <si>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</si>
  <si>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</si>
  <si>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</si>
  <si>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</si>
  <si>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</si>
  <si>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</si>
  <si>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</si>
  <si>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</si>
  <si>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</si>
  <si>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</si>
  <si>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</si>
  <si>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</si>
  <si>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</si>
  <si>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</si>
  <si>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</si>
  <si>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</si>
  <si>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</si>
  <si>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</si>
  <si>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</si>
  <si>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</si>
  <si>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</si>
  <si>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</si>
  <si>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</si>
  <si>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</si>
  <si>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</si>
  <si>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</si>
  <si>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</si>
  <si>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</si>
  <si>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</si>
  <si>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</si>
  <si>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</si>
  <si>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</si>
  <si>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</si>
  <si>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</si>
  <si>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</si>
  <si>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</si>
  <si>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</si>
  <si>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</si>
  <si>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</si>
  <si>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</si>
  <si>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</si>
  <si>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</si>
  <si>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</si>
  <si>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</si>
  <si>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</si>
  <si>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</si>
  <si>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</si>
  <si>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</si>
  <si>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</si>
  <si>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</si>
  <si>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</si>
  <si>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</si>
  <si>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</si>
  <si>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</si>
  <si>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</si>
  <si>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</si>
  <si>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</si>
  <si>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</si>
  <si>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</si>
  <si>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</si>
  <si>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</si>
  <si>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</si>
  <si>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</si>
  <si>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</si>
  <si>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</si>
  <si>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</si>
  <si>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</si>
  <si>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</si>
  <si>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</si>
  <si>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</si>
  <si>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</si>
  <si>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</si>
  <si>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</si>
  <si>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</si>
  <si>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</si>
  <si>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</si>
  <si>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</si>
  <si>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</si>
  <si>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</si>
  <si>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</si>
  <si>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</si>
  <si>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</si>
  <si>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</si>
  <si>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</si>
  <si>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</si>
  <si>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</si>
  <si>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</si>
  <si>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</si>
  <si>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</si>
  <si>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</si>
  <si>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</si>
  <si>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</si>
  <si>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</si>
  <si>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</si>
  <si>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</si>
  <si>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</si>
  <si>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</si>
  <si>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</si>
  <si>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</si>
  <si>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</si>
  <si>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</si>
  <si>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</si>
  <si>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</si>
  <si>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</si>
  <si>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</si>
  <si>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</si>
  <si>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</si>
  <si>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</si>
  <si>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</si>
  <si>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</si>
  <si>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</si>
  <si>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</si>
  <si>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</si>
  <si>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</si>
  <si>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</si>
  <si>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</si>
  <si>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</si>
  <si>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</si>
  <si>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</si>
  <si>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</si>
  <si>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</si>
  <si>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</si>
  <si>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</si>
  <si>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</si>
  <si>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</si>
  <si>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</si>
  <si>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</si>
  <si>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</si>
  <si>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</si>
  <si>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</si>
  <si>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</si>
  <si>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</si>
  <si>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</si>
  <si>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</si>
  <si>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</si>
  <si>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</si>
  <si>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</si>
  <si>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</si>
  <si>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</si>
  <si>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</si>
  <si>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</si>
  <si>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</si>
  <si>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</si>
  <si>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</si>
  <si>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</si>
  <si>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</si>
  <si>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</si>
  <si>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</si>
  <si>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</si>
  <si>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</si>
  <si>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</si>
  <si>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</si>
  <si>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</si>
  <si>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</si>
  <si>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</si>
  <si>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</si>
  <si>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</si>
  <si>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</si>
  <si>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</si>
  <si>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</si>
  <si>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</si>
  <si>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</si>
  <si>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</si>
  <si>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</si>
  <si>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</si>
  <si>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</si>
  <si>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</si>
  <si>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</si>
  <si>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</si>
  <si>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</si>
  <si>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</si>
  <si>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</si>
  <si>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</si>
  <si>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</si>
  <si>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</si>
  <si>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</si>
  <si>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</si>
  <si>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</si>
  <si>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</si>
  <si>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</si>
  <si>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</si>
  <si>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</si>
  <si>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</si>
  <si>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</si>
  <si>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</si>
  <si>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</si>
  <si>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</si>
  <si>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</si>
  <si>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</si>
  <si>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</si>
  <si>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</si>
  <si>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</si>
  <si>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</si>
  <si>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</si>
  <si>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</si>
  <si>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</si>
  <si>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</si>
  <si>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</si>
  <si>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</si>
  <si>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</si>
  <si>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</si>
  <si>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</si>
  <si>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</si>
  <si>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</si>
  <si>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</si>
  <si>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</si>
  <si>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</si>
  <si>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</si>
  <si>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</si>
  <si>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</si>
  <si>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</si>
  <si>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</si>
  <si>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</si>
  <si>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</si>
  <si>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</si>
  <si>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</si>
  <si>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</si>
  <si>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</si>
  <si>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</si>
  <si>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</si>
  <si>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</si>
  <si>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</si>
  <si>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</si>
  <si>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</si>
  <si>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</si>
  <si>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</si>
  <si>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</si>
  <si>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</si>
  <si>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</si>
  <si>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</si>
  <si>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</si>
  <si>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</si>
  <si>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</si>
  <si>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</si>
  <si>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</si>
  <si>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</si>
  <si>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</si>
  <si>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</si>
  <si>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</si>
  <si>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</si>
  <si>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</si>
  <si>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</si>
  <si>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</si>
  <si>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</si>
  <si>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</si>
  <si>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</si>
  <si>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</si>
  <si>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</si>
  <si>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</si>
  <si>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</si>
  <si>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</si>
  <si>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</si>
  <si>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</si>
  <si>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</si>
  <si>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</si>
  <si>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</si>
  <si>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</si>
  <si>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</si>
  <si>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</si>
  <si>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</si>
  <si>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</si>
  <si>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</si>
  <si>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</si>
  <si>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</si>
  <si>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</si>
  <si>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</si>
  <si>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</si>
  <si>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</si>
  <si>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</si>
  <si>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</si>
  <si>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</si>
  <si>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</si>
  <si>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</si>
  <si>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</si>
  <si>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</si>
  <si>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</si>
  <si>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</si>
  <si>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</si>
  <si>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</si>
  <si>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</si>
  <si>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</si>
  <si>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</si>
  <si>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</si>
  <si>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</si>
  <si>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</si>
  <si>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</si>
  <si>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</si>
  <si>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</si>
  <si>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</si>
  <si>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</si>
  <si>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</si>
  <si>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</si>
  <si>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</si>
  <si>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</si>
  <si>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</si>
  <si>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</si>
  <si>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</si>
  <si>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</si>
  <si>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</si>
  <si>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</si>
  <si>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</si>
  <si>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</si>
  <si>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</si>
  <si>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</si>
  <si>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</si>
  <si>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</si>
  <si>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</si>
  <si>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</si>
  <si>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</si>
  <si>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</si>
  <si>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</si>
  <si>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</si>
  <si>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</si>
  <si>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</si>
  <si>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</si>
  <si>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</si>
  <si>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</si>
  <si>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</si>
  <si>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</si>
  <si>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</si>
  <si>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</si>
  <si>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</si>
  <si>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</si>
  <si>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</si>
  <si>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</si>
  <si>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</si>
  <si>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</si>
  <si>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</si>
  <si>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</si>
  <si>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</si>
  <si>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</si>
  <si>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</si>
  <si>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</si>
  <si>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</si>
  <si>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</si>
  <si>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</si>
  <si>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</si>
  <si>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</si>
  <si>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</si>
  <si>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</si>
  <si>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</si>
  <si>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</si>
  <si>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</si>
  <si>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</si>
  <si>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</si>
  <si>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</si>
  <si>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</si>
  <si>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</si>
  <si>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</si>
  <si>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</si>
  <si>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</si>
  <si>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</si>
  <si>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</si>
  <si>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</si>
  <si>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</si>
  <si>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</si>
  <si>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</si>
  <si>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</si>
  <si>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</si>
  <si>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</si>
  <si>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</si>
  <si>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</si>
  <si>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</si>
  <si>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</si>
  <si>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</si>
  <si>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</si>
  <si>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</si>
  <si>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</si>
  <si>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</si>
  <si>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</si>
  <si>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</si>
  <si>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</si>
  <si>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</si>
  <si>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</si>
  <si>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</si>
  <si>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</si>
  <si>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</si>
  <si>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</si>
  <si>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</si>
  <si>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</si>
  <si>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</si>
  <si>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</si>
  <si>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</si>
  <si>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</si>
  <si>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</si>
  <si>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</si>
  <si>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</si>
  <si>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</si>
  <si>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</si>
  <si>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</si>
  <si>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</si>
  <si>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</si>
  <si>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</si>
  <si>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</si>
  <si>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</si>
  <si>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</si>
  <si>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</si>
  <si>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</si>
  <si>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</si>
  <si>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</si>
  <si>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</si>
  <si>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</si>
  <si>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</si>
  <si>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</si>
  <si>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</si>
  <si>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</si>
  <si>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</si>
  <si>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</si>
  <si>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</si>
  <si>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</si>
  <si>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</si>
  <si>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</si>
  <si>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</si>
  <si>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</si>
  <si>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</si>
  <si>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</si>
  <si>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</si>
  <si>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</si>
  <si>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</si>
  <si>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</si>
  <si>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</si>
  <si>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</si>
  <si>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</si>
  <si>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</si>
  <si>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</si>
  <si>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</si>
  <si>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</si>
  <si>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</si>
  <si>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</si>
  <si>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</si>
  <si>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</si>
  <si>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</si>
  <si>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</si>
  <si>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</si>
  <si>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</si>
  <si>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</si>
  <si>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</si>
  <si>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</si>
  <si>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</si>
  <si>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</si>
  <si>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</si>
  <si>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</si>
  <si>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</si>
  <si>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</si>
  <si>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</si>
  <si>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</si>
  <si>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</si>
  <si>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</si>
  <si>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</si>
  <si>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</si>
  <si>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</si>
  <si>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</si>
  <si>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</si>
  <si>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</si>
  <si>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</si>
  <si>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</si>
  <si>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</si>
  <si>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</si>
  <si>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</si>
  <si>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</si>
  <si>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</si>
  <si>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</si>
  <si>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</si>
  <si>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</si>
  <si>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</si>
  <si>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</si>
  <si>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</si>
  <si>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</si>
  <si>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</si>
  <si>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</si>
  <si>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</si>
  <si>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</si>
  <si>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</si>
  <si>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</si>
  <si>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</si>
  <si>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</si>
  <si>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</si>
  <si>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</si>
  <si>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</si>
  <si>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</si>
  <si>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</si>
  <si>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</si>
  <si>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</si>
  <si>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</si>
  <si>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</si>
  <si>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</si>
  <si>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</si>
  <si>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</si>
  <si>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</si>
  <si>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</si>
  <si>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</si>
  <si>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</si>
  <si>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</si>
  <si>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</si>
  <si>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</si>
  <si>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</si>
  <si>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</si>
  <si>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</si>
  <si>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</si>
  <si>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</si>
  <si>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</si>
  <si>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</si>
  <si>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</si>
  <si>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</si>
  <si>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</si>
  <si>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</si>
  <si>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</si>
  <si>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</si>
  <si>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</si>
  <si>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</si>
  <si>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</si>
  <si>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</si>
  <si>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</si>
  <si>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</si>
  <si>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</si>
  <si>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</si>
  <si>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</si>
  <si>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</si>
  <si>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</si>
  <si>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</si>
  <si>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</si>
  <si>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</si>
  <si>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</si>
  <si>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</si>
  <si>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</si>
  <si>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</si>
  <si>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</si>
  <si>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</si>
  <si>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</si>
  <si>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</si>
  <si>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</si>
  <si>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</si>
  <si>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</si>
  <si>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</si>
  <si>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</si>
  <si>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</si>
  <si>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</si>
  <si>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</si>
  <si>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</si>
  <si>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</si>
  <si>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</si>
  <si>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</si>
  <si>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</si>
  <si>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</si>
  <si>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</si>
  <si>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</si>
  <si>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</si>
  <si>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</si>
  <si>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</si>
  <si>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</si>
  <si>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</si>
  <si>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</si>
  <si>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</si>
  <si>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</si>
  <si>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</si>
  <si>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</si>
  <si>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</si>
  <si>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</si>
  <si>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</si>
  <si>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</si>
  <si>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</si>
  <si>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</si>
  <si>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</si>
  <si>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</si>
  <si>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</si>
  <si>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</si>
  <si>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</si>
  <si>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</si>
  <si>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</si>
  <si>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</si>
  <si>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</si>
  <si>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</si>
  <si>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</si>
  <si>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</si>
  <si>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</si>
  <si>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</si>
  <si>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</si>
  <si>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</si>
  <si>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</si>
  <si>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</si>
  <si>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</si>
  <si>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</si>
  <si>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</si>
  <si>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</si>
  <si>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</si>
  <si>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</si>
  <si>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</si>
  <si>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</si>
  <si>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</si>
  <si>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</si>
  <si>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</si>
  <si>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</si>
  <si>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</si>
  <si>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</si>
  <si>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</si>
  <si>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</si>
  <si>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</si>
  <si>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</si>
  <si>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</si>
  <si>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</si>
  <si>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</si>
  <si>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</si>
  <si>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</si>
  <si>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</si>
  <si>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</si>
  <si>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</si>
  <si>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</si>
  <si>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</si>
  <si>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</si>
  <si>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</si>
  <si>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</si>
  <si>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</si>
  <si>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</si>
  <si>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</si>
  <si>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</si>
  <si>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</si>
  <si>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</si>
  <si>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</si>
  <si>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</si>
  <si>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</si>
  <si>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</si>
  <si>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</si>
  <si>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</si>
  <si>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</si>
  <si>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</si>
  <si>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</si>
  <si>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</si>
  <si>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</si>
  <si>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</si>
  <si>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</si>
  <si>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</si>
  <si>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</si>
  <si>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</si>
  <si>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</si>
  <si>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</si>
  <si>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</si>
  <si>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</si>
  <si>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</si>
  <si>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</si>
  <si>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</si>
  <si>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</si>
  <si>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</si>
  <si>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</si>
  <si>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</si>
  <si>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</si>
  <si>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</si>
  <si>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</si>
  <si>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</si>
  <si>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</si>
  <si>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</si>
  <si>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</si>
  <si>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</si>
  <si>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</si>
  <si>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</si>
  <si>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</si>
  <si>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</si>
  <si>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</si>
  <si>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</si>
  <si>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</si>
  <si>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</si>
  <si>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</si>
  <si>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</si>
  <si>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</si>
  <si>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</si>
  <si>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</si>
  <si>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</si>
  <si>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</si>
  <si>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</si>
  <si>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</si>
  <si>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</si>
  <si>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</si>
  <si>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</si>
  <si>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</si>
  <si>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</si>
  <si>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</si>
  <si>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</si>
  <si>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</si>
  <si>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</si>
  <si>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</si>
  <si>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</si>
  <si>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</si>
  <si>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</si>
  <si>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</si>
  <si>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</si>
  <si>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</si>
  <si>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</si>
  <si>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</si>
  <si>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</si>
  <si>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</si>
  <si>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</si>
  <si>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</si>
  <si>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</si>
  <si>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</si>
  <si>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</si>
  <si>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</si>
  <si>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</si>
  <si>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</si>
  <si>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</si>
  <si>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</si>
  <si>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</si>
  <si>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</si>
  <si>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</si>
  <si>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</si>
  <si>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</si>
  <si>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</si>
  <si>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</si>
  <si>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</si>
  <si>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</si>
  <si>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</si>
  <si>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</si>
  <si>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</si>
  <si>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</si>
  <si>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</si>
  <si>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</si>
  <si>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</si>
  <si>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</si>
  <si>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</si>
  <si>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</si>
  <si>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</si>
  <si>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</si>
  <si>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</si>
  <si>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</si>
  <si>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</si>
  <si>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</si>
  <si>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</si>
  <si>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</si>
  <si>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</si>
  <si>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</si>
  <si>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</si>
  <si>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</si>
  <si>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</si>
  <si>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</si>
  <si>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</si>
  <si>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</si>
  <si>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</si>
  <si>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</si>
  <si>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</si>
  <si>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</si>
  <si>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</si>
  <si>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</si>
  <si>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</si>
  <si>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</si>
  <si>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</si>
  <si>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</si>
  <si>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</si>
  <si>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</si>
  <si>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</si>
  <si>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</si>
  <si>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</si>
  <si>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</si>
  <si>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</si>
  <si>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</si>
  <si>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</si>
  <si>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</si>
  <si>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</si>
  <si>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</si>
  <si>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</si>
  <si>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</si>
  <si>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</si>
  <si>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</si>
  <si>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</si>
  <si>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</si>
  <si>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</si>
  <si>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</si>
  <si>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</si>
  <si>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</si>
  <si>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</si>
  <si>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</si>
  <si>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</si>
  <si>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</si>
  <si>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</si>
  <si>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</si>
  <si>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</si>
  <si>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</si>
  <si>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</si>
  <si>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</si>
  <si>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</si>
  <si>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</si>
  <si>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</si>
  <si>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</si>
  <si>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</si>
  <si>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</si>
  <si>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</si>
  <si>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</si>
  <si>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</si>
  <si>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</si>
  <si>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</si>
  <si>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</si>
  <si>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</si>
  <si>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</si>
  <si>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</si>
  <si>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</si>
  <si>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</si>
  <si>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</si>
  <si>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</si>
  <si>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</si>
  <si>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</si>
  <si>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</si>
  <si>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</si>
  <si>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</si>
  <si>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</si>
  <si>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</si>
  <si>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</si>
  <si>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</si>
  <si>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</si>
  <si>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</si>
  <si>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</si>
  <si>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</si>
  <si>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</si>
  <si>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</si>
  <si>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</si>
  <si>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</si>
  <si>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</si>
  <si>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</si>
  <si>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</si>
  <si>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</si>
  <si>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</si>
  <si>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</si>
  <si>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</si>
  <si>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</si>
  <si>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</si>
  <si>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</si>
  <si>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</si>
  <si>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</si>
  <si>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</si>
  <si>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</si>
  <si>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</si>
  <si>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</si>
  <si>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</si>
  <si>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</si>
  <si>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</si>
  <si>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</si>
  <si>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</si>
  <si>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</si>
  <si>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</si>
  <si>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</si>
  <si>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</si>
  <si>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</si>
  <si>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</si>
  <si>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</si>
  <si>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</si>
  <si>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</si>
  <si>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</si>
  <si>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</si>
  <si>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</si>
  <si>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</si>
  <si>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</si>
  <si>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</si>
  <si>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</si>
  <si>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</si>
  <si>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</si>
  <si>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</si>
  <si>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</si>
  <si>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</si>
  <si>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</si>
  <si>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</si>
  <si>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</si>
  <si>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</si>
  <si>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</si>
  <si>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</si>
  <si>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</si>
  <si>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</si>
  <si>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</si>
  <si>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</si>
  <si>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</si>
  <si>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</si>
  <si>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</si>
  <si>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</si>
  <si>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</si>
  <si>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</si>
  <si>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</si>
  <si>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</si>
  <si>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</si>
  <si>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</si>
  <si>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</si>
  <si>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</si>
  <si>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</si>
  <si>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</si>
  <si>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</si>
  <si>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</si>
  <si>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</si>
  <si>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</si>
  <si>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</si>
  <si>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</si>
  <si>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</si>
  <si>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</si>
  <si>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</si>
  <si>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</si>
  <si>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</si>
  <si>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</si>
  <si>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</si>
  <si>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</si>
  <si>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</si>
  <si>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</si>
  <si>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</si>
  <si>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</si>
  <si>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</si>
  <si>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</si>
  <si>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</si>
  <si>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</si>
  <si>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</si>
  <si>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</si>
  <si>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</si>
  <si>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</si>
  <si>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</si>
  <si>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</si>
  <si>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</si>
  <si>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</si>
  <si>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</si>
  <si>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</si>
  <si>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</si>
  <si>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</si>
  <si>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</si>
  <si>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</si>
  <si>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</si>
  <si>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</si>
  <si>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</si>
  <si>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</si>
  <si>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</si>
  <si>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</si>
  <si>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</si>
  <si>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</si>
  <si>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</si>
  <si>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</si>
  <si>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</si>
  <si>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</si>
  <si>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</si>
  <si>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</si>
  <si>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</si>
  <si>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</si>
  <si>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</si>
  <si>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</si>
  <si>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</si>
  <si>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</si>
  <si>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</si>
  <si>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</si>
  <si>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</si>
  <si>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</si>
  <si>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</si>
  <si>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</si>
  <si>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</si>
  <si>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</si>
  <si>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</si>
  <si>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</si>
  <si>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</si>
  <si>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</si>
  <si>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</si>
  <si>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</si>
  <si>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</si>
  <si>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</si>
  <si>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</si>
  <si>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</si>
  <si>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</si>
  <si>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</si>
  <si>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</si>
  <si>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</si>
  <si>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</si>
  <si>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</si>
  <si>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</si>
  <si>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</si>
  <si>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</si>
  <si>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</si>
  <si>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</si>
  <si>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</si>
  <si>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</si>
  <si>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</si>
  <si>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</si>
  <si>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</si>
  <si>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</si>
  <si>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</si>
  <si>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</si>
  <si>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</si>
  <si>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</si>
  <si>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</si>
  <si>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</si>
  <si>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</si>
  <si>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</si>
  <si>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</si>
  <si>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</si>
  <si>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</si>
  <si>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</si>
  <si>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</si>
  <si>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</si>
  <si>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</si>
  <si>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</si>
  <si>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</si>
  <si>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</si>
  <si>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</si>
  <si>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</si>
  <si>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</si>
  <si>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</si>
  <si>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</si>
  <si>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</si>
  <si>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</si>
  <si>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</si>
  <si>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</si>
  <si>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</si>
  <si>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</si>
  <si>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</si>
  <si>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</si>
  <si>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</si>
  <si>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</si>
  <si>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</si>
  <si>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</si>
  <si>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</si>
  <si>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</si>
  <si>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</si>
  <si>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</si>
  <si>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</si>
  <si>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</si>
  <si>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</si>
  <si>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</si>
  <si>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</si>
  <si>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</si>
  <si>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</si>
  <si>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</si>
  <si>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</si>
  <si>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</si>
  <si>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</si>
  <si>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</si>
  <si>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</si>
  <si>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</si>
  <si>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</si>
  <si>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</si>
  <si>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</si>
  <si>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</si>
  <si>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</si>
  <si>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</si>
  <si>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</si>
  <si>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</si>
  <si>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</si>
  <si>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</si>
  <si>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</si>
  <si>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</si>
  <si>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</si>
  <si>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</si>
  <si>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</si>
  <si>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</si>
  <si>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</si>
  <si>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</si>
  <si>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</si>
  <si>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</si>
  <si>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</si>
  <si>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</si>
  <si>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</si>
  <si>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</si>
  <si>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</si>
  <si>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</si>
  <si>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</si>
  <si>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</si>
  <si>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</si>
  <si>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</si>
  <si>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</si>
  <si>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</si>
  <si>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</si>
  <si>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</si>
  <si>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</si>
  <si>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</si>
  <si>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</si>
  <si>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</si>
  <si>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</si>
  <si>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</si>
  <si>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</si>
  <si>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</si>
  <si>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</si>
  <si>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</si>
  <si>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</si>
  <si>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</si>
  <si>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</si>
  <si>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</si>
  <si>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</si>
  <si>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</si>
  <si>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</si>
  <si>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</si>
  <si>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</si>
  <si>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</si>
  <si>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</si>
  <si>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</si>
  <si>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</si>
  <si>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</si>
  <si>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</si>
  <si>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</si>
  <si>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</si>
  <si>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CONTROLE INDENIZAÇÃO FASE 2</t>
  </si>
  <si>
    <t>PROCESSOS FINALIZADOS</t>
  </si>
  <si>
    <t>PROCESSOS EM ANDAMENTO</t>
  </si>
  <si>
    <t>CONTROLE INDENIZAÇÃO FASE 4</t>
  </si>
  <si>
    <t>TOTAL ANTONICO</t>
  </si>
  <si>
    <t>CONTROLE INDENIZAÇÃO COLOMBO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</si>
</sst>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4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</font>
    <font>
      <sz val="9"/>
      <color theme="1"/>
      <name val="Arial"/>
    </font>
    <font>
      <b/>
      <sz val="11"/>
      <color theme="1"/>
      <name val="Calibri"/>
      <family val="2"/>
      <scheme val="minor"/>
    </font>
    <font>
      <sz val="9"/>
      <color rgb="FF000000"/>
      <name val="Arial"/>
    </font>
    <font>
      <b/>
      <sz val="9"/>
      <name val="Arial"/>
    </font>
    <font>
      <sz val="10"/>
      <color rgb="FF000000"/>
      <name val="Arial Nova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b/>
      <sz val="12"/>
      <color rgb="FF000000"/>
      <name val="Arial"/>
    </font>
    <font>
      <b/>
      <sz val="12"/>
      <color indexed="9"/>
      <name val="Arial"/>
    </font>
    <font>
      <sz val="12"/>
      <color rgb="FFFFFFFF"/>
      <name val="Arial"/>
    </font>
    <font>
      <b/>
      <sz val="12"/>
      <color rgb="FFFFFFFF"/>
      <name val="Arial"/>
    </font>
    <font>
      <b/>
      <sz val="12"/>
      <name val="Arial"/>
    </font>
    <font>
      <b/>
      <sz val="12"/>
      <color rgb="FF000000"/>
      <name val="Arial"/>
      <family val="2"/>
    </font>
    <font>
      <sz val="12"/>
      <color theme="1"/>
      <name val="Arial"/>
    </font>
    <font>
      <b/>
      <sz val="12"/>
      <name val="Arial"/>
      <family val="2"/>
    </font>
    <font>
      <b/>
      <sz val="12"/>
      <name val="Arial"/>
      <charset val="1"/>
    </font>
    <font>
      <sz val="12"/>
      <color rgb="FF000000"/>
      <name val="Arial"/>
      <family val="2"/>
    </font>
    <font>
      <b/>
      <sz val="16"/>
      <color theme="0"/>
      <name val="Arial"/>
    </font>
  </fonts>
  <fills count="28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7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8" fillId="12" borderId="0" xfId="0" applyFont="1" applyFill="1" applyAlignment="1">
      <alignment vertical="center"/>
    </xf>
    <xf numFmtId="0" fontId="29" fillId="12" borderId="0" xfId="0" applyFont="1" applyFill="1" applyAlignment="1">
      <alignment vertical="center"/>
    </xf>
    <xf numFmtId="0" fontId="29" fillId="12" borderId="0" xfId="0" applyFont="1" applyFill="1" applyAlignment="1">
      <alignment horizontal="center" vertical="center"/>
    </xf>
    <xf numFmtId="165" fontId="28" fillId="12" borderId="0" xfId="0" applyNumberFormat="1" applyFont="1" applyFill="1" applyAlignment="1">
      <alignment horizontal="center" vertical="center"/>
    </xf>
    <xf numFmtId="0" fontId="0" fillId="12" borderId="0" xfId="0" applyFill="1"/>
    <xf numFmtId="0" fontId="28" fillId="12" borderId="9" xfId="0" applyFont="1" applyFill="1" applyBorder="1" applyAlignment="1">
      <alignment vertical="center"/>
    </xf>
    <xf numFmtId="0" fontId="28" fillId="12" borderId="0" xfId="0" applyFont="1" applyFill="1" applyAlignment="1">
      <alignment horizontal="center" vertical="center"/>
    </xf>
    <xf numFmtId="0" fontId="29" fillId="12" borderId="9" xfId="0" applyFont="1" applyFill="1" applyBorder="1" applyAlignment="1">
      <alignment vertical="center"/>
    </xf>
    <xf numFmtId="0" fontId="0" fillId="12" borderId="0" xfId="0" applyFill="1" applyAlignment="1">
      <alignment horizontal="center"/>
    </xf>
    <xf numFmtId="165" fontId="28" fillId="12" borderId="9" xfId="0" applyNumberFormat="1" applyFont="1" applyFill="1" applyBorder="1" applyAlignment="1">
      <alignment vertical="center"/>
    </xf>
    <xf numFmtId="165" fontId="28" fillId="12" borderId="0" xfId="0" applyNumberFormat="1" applyFont="1" applyFill="1" applyAlignment="1">
      <alignment vertical="center"/>
    </xf>
    <xf numFmtId="165" fontId="28" fillId="22" borderId="0" xfId="0" applyNumberFormat="1" applyFont="1" applyFill="1" applyAlignment="1">
      <alignment vertical="center"/>
    </xf>
    <xf numFmtId="0" fontId="30" fillId="22" borderId="0" xfId="0" applyFont="1" applyFill="1" applyAlignment="1">
      <alignment vertical="center"/>
    </xf>
    <xf numFmtId="0" fontId="0" fillId="22" borderId="0" xfId="0" applyFill="1" applyAlignment="1">
      <alignment vertical="center"/>
    </xf>
    <xf numFmtId="0" fontId="29" fillId="0" borderId="0" xfId="0" applyFont="1"/>
    <xf numFmtId="166" fontId="31" fillId="0" borderId="9" xfId="0" applyNumberFormat="1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/>
    </xf>
    <xf numFmtId="166" fontId="31" fillId="0" borderId="9" xfId="0" applyNumberFormat="1" applyFont="1" applyBorder="1" applyAlignment="1">
      <alignment horizontal="center" vertical="center" wrapText="1"/>
    </xf>
    <xf numFmtId="0" fontId="29" fillId="0" borderId="9" xfId="0" applyFont="1" applyBorder="1"/>
    <xf numFmtId="166" fontId="31" fillId="0" borderId="17" xfId="0" applyNumberFormat="1" applyFont="1" applyBorder="1" applyAlignment="1">
      <alignment horizontal="center" vertical="center"/>
    </xf>
    <xf numFmtId="166" fontId="31" fillId="0" borderId="17" xfId="0" applyNumberFormat="1" applyFont="1" applyBorder="1" applyAlignment="1">
      <alignment horizontal="center" vertical="center" wrapText="1"/>
    </xf>
    <xf numFmtId="0" fontId="32" fillId="11" borderId="18" xfId="1" applyFont="1" applyFill="1" applyBorder="1" applyAlignment="1">
      <alignment horizontal="center" vertical="center" wrapText="1"/>
    </xf>
    <xf numFmtId="0" fontId="32" fillId="17" borderId="18" xfId="0" applyFont="1" applyFill="1" applyBorder="1" applyAlignment="1">
      <alignment horizontal="center" vertical="center" wrapText="1"/>
    </xf>
    <xf numFmtId="166" fontId="33" fillId="0" borderId="9" xfId="0" applyNumberFormat="1" applyFont="1" applyBorder="1" applyAlignment="1">
      <alignment horizontal="center" vertical="center"/>
    </xf>
    <xf numFmtId="166" fontId="33" fillId="24" borderId="9" xfId="0" applyNumberFormat="1" applyFont="1" applyFill="1" applyBorder="1" applyAlignment="1">
      <alignment horizontal="center" vertical="center"/>
    </xf>
    <xf numFmtId="166" fontId="33" fillId="24" borderId="9" xfId="0" applyNumberFormat="1" applyFont="1" applyFill="1" applyBorder="1" applyAlignment="1">
      <alignment horizontal="center" vertical="center" wrapText="1"/>
    </xf>
    <xf numFmtId="166" fontId="33" fillId="0" borderId="9" xfId="0" applyNumberFormat="1" applyFont="1" applyBorder="1" applyAlignment="1">
      <alignment horizontal="center" vertical="center" wrapText="1"/>
    </xf>
    <xf numFmtId="166" fontId="34" fillId="0" borderId="0" xfId="0" applyNumberFormat="1" applyFont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5" fontId="36" fillId="0" borderId="0" xfId="0" applyNumberFormat="1" applyFont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1" fontId="35" fillId="0" borderId="0" xfId="0" applyNumberFormat="1" applyFont="1" applyAlignment="1">
      <alignment horizontal="center" vertical="center"/>
    </xf>
    <xf numFmtId="166" fontId="37" fillId="11" borderId="11" xfId="1" applyNumberFormat="1" applyFont="1" applyFill="1" applyBorder="1" applyAlignment="1">
      <alignment horizontal="center" vertical="center" wrapText="1"/>
    </xf>
    <xf numFmtId="166" fontId="41" fillId="11" borderId="11" xfId="1" applyNumberFormat="1" applyFont="1" applyFill="1" applyBorder="1" applyAlignment="1">
      <alignment horizontal="center" vertical="center" wrapText="1"/>
    </xf>
    <xf numFmtId="166" fontId="41" fillId="11" borderId="11" xfId="0" applyNumberFormat="1" applyFont="1" applyFill="1" applyBorder="1" applyAlignment="1">
      <alignment horizontal="center" vertical="center" wrapText="1"/>
    </xf>
    <xf numFmtId="166" fontId="41" fillId="16" borderId="11" xfId="0" applyNumberFormat="1" applyFont="1" applyFill="1" applyBorder="1" applyAlignment="1">
      <alignment horizontal="center" vertical="center" wrapText="1"/>
    </xf>
    <xf numFmtId="166" fontId="41" fillId="17" borderId="11" xfId="0" applyNumberFormat="1" applyFont="1" applyFill="1" applyBorder="1" applyAlignment="1">
      <alignment horizontal="center" vertical="center" wrapText="1"/>
    </xf>
    <xf numFmtId="166" fontId="41" fillId="17" borderId="11" xfId="1" applyNumberFormat="1" applyFont="1" applyFill="1" applyBorder="1" applyAlignment="1">
      <alignment horizontal="center" vertical="center" wrapText="1"/>
    </xf>
    <xf numFmtId="165" fontId="41" fillId="17" borderId="11" xfId="0" applyNumberFormat="1" applyFont="1" applyFill="1" applyBorder="1" applyAlignment="1">
      <alignment horizontal="center" vertical="center" wrapText="1"/>
    </xf>
    <xf numFmtId="166" fontId="37" fillId="17" borderId="11" xfId="0" applyNumberFormat="1" applyFont="1" applyFill="1" applyBorder="1" applyAlignment="1">
      <alignment horizontal="center" vertical="center" wrapText="1"/>
    </xf>
    <xf numFmtId="166" fontId="41" fillId="17" borderId="14" xfId="0" applyNumberFormat="1" applyFont="1" applyFill="1" applyBorder="1" applyAlignment="1">
      <alignment horizontal="center" vertical="center" wrapText="1"/>
    </xf>
    <xf numFmtId="166" fontId="41" fillId="18" borderId="12" xfId="0" applyNumberFormat="1" applyFont="1" applyFill="1" applyBorder="1" applyAlignment="1">
      <alignment horizontal="center" vertical="center"/>
    </xf>
    <xf numFmtId="1" fontId="41" fillId="18" borderId="14" xfId="0" applyNumberFormat="1" applyFont="1" applyFill="1" applyBorder="1" applyAlignment="1">
      <alignment horizontal="center" vertical="center"/>
    </xf>
    <xf numFmtId="1" fontId="34" fillId="0" borderId="10" xfId="0" applyNumberFormat="1" applyFont="1" applyBorder="1" applyAlignment="1">
      <alignment horizontal="center" vertical="center"/>
    </xf>
    <xf numFmtId="166" fontId="34" fillId="0" borderId="10" xfId="0" applyNumberFormat="1" applyFont="1" applyBorder="1" applyAlignment="1">
      <alignment horizontal="center" vertical="center"/>
    </xf>
    <xf numFmtId="166" fontId="37" fillId="0" borderId="10" xfId="0" applyNumberFormat="1" applyFont="1" applyBorder="1" applyAlignment="1">
      <alignment horizontal="center" vertical="center"/>
    </xf>
    <xf numFmtId="166" fontId="37" fillId="0" borderId="10" xfId="0" applyNumberFormat="1" applyFont="1" applyBorder="1" applyAlignment="1">
      <alignment horizontal="center" vertical="center" wrapText="1"/>
    </xf>
    <xf numFmtId="166" fontId="37" fillId="21" borderId="10" xfId="0" applyNumberFormat="1" applyFont="1" applyFill="1" applyBorder="1" applyAlignment="1">
      <alignment horizontal="center" vertical="center"/>
    </xf>
    <xf numFmtId="166" fontId="34" fillId="21" borderId="10" xfId="0" applyNumberFormat="1" applyFont="1" applyFill="1" applyBorder="1" applyAlignment="1">
      <alignment horizontal="center" vertical="center"/>
    </xf>
    <xf numFmtId="165" fontId="42" fillId="21" borderId="10" xfId="0" applyNumberFormat="1" applyFont="1" applyFill="1" applyBorder="1" applyAlignment="1">
      <alignment horizontal="center" vertical="center"/>
    </xf>
    <xf numFmtId="166" fontId="43" fillId="0" borderId="10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66" fontId="34" fillId="24" borderId="10" xfId="0" applyNumberFormat="1" applyFont="1" applyFill="1" applyBorder="1" applyAlignment="1">
      <alignment horizontal="center" vertical="center"/>
    </xf>
    <xf numFmtId="166" fontId="34" fillId="24" borderId="16" xfId="0" applyNumberFormat="1" applyFont="1" applyFill="1" applyBorder="1" applyAlignment="1">
      <alignment horizontal="center" vertical="center"/>
    </xf>
    <xf numFmtId="166" fontId="44" fillId="0" borderId="10" xfId="0" applyNumberFormat="1" applyFont="1" applyBorder="1" applyAlignment="1">
      <alignment horizontal="center" vertical="center" wrapText="1"/>
    </xf>
    <xf numFmtId="166" fontId="42" fillId="21" borderId="10" xfId="0" applyNumberFormat="1" applyFont="1" applyFill="1" applyBorder="1" applyAlignment="1">
      <alignment horizontal="center" vertical="center"/>
    </xf>
    <xf numFmtId="166" fontId="34" fillId="23" borderId="10" xfId="0" applyNumberFormat="1" applyFont="1" applyFill="1" applyBorder="1" applyAlignment="1">
      <alignment horizontal="center" vertical="center"/>
    </xf>
    <xf numFmtId="166" fontId="34" fillId="23" borderId="16" xfId="0" applyNumberFormat="1" applyFont="1" applyFill="1" applyBorder="1" applyAlignment="1">
      <alignment horizontal="center" vertical="center"/>
    </xf>
    <xf numFmtId="166" fontId="42" fillId="21" borderId="10" xfId="0" applyNumberFormat="1" applyFont="1" applyFill="1" applyBorder="1" applyAlignment="1">
      <alignment horizontal="center" vertical="center" wrapText="1"/>
    </xf>
    <xf numFmtId="1" fontId="34" fillId="24" borderId="10" xfId="0" applyNumberFormat="1" applyFont="1" applyFill="1" applyBorder="1" applyAlignment="1">
      <alignment horizontal="center" vertical="center"/>
    </xf>
    <xf numFmtId="166" fontId="37" fillId="24" borderId="10" xfId="0" applyNumberFormat="1" applyFont="1" applyFill="1" applyBorder="1" applyAlignment="1">
      <alignment horizontal="center" vertical="center"/>
    </xf>
    <xf numFmtId="166" fontId="37" fillId="24" borderId="10" xfId="0" applyNumberFormat="1" applyFont="1" applyFill="1" applyBorder="1" applyAlignment="1">
      <alignment horizontal="center" vertical="center" wrapText="1"/>
    </xf>
    <xf numFmtId="166" fontId="44" fillId="24" borderId="10" xfId="0" applyNumberFormat="1" applyFont="1" applyFill="1" applyBorder="1" applyAlignment="1">
      <alignment horizontal="center" vertical="center" wrapText="1"/>
    </xf>
    <xf numFmtId="165" fontId="42" fillId="24" borderId="10" xfId="0" applyNumberFormat="1" applyFont="1" applyFill="1" applyBorder="1" applyAlignment="1">
      <alignment horizontal="center" vertical="center"/>
    </xf>
    <xf numFmtId="166" fontId="45" fillId="0" borderId="10" xfId="0" applyNumberFormat="1" applyFont="1" applyBorder="1" applyAlignment="1">
      <alignment horizontal="center" vertical="center" wrapText="1"/>
    </xf>
    <xf numFmtId="166" fontId="34" fillId="22" borderId="10" xfId="0" applyNumberFormat="1" applyFont="1" applyFill="1" applyBorder="1" applyAlignment="1">
      <alignment horizontal="center" vertical="center"/>
    </xf>
    <xf numFmtId="166" fontId="34" fillId="20" borderId="10" xfId="0" applyNumberFormat="1" applyFont="1" applyFill="1" applyBorder="1" applyAlignment="1">
      <alignment horizontal="center" vertical="center"/>
    </xf>
    <xf numFmtId="166" fontId="34" fillId="20" borderId="16" xfId="0" applyNumberFormat="1" applyFont="1" applyFill="1" applyBorder="1" applyAlignment="1">
      <alignment horizontal="center" vertical="center"/>
    </xf>
    <xf numFmtId="165" fontId="42" fillId="0" borderId="10" xfId="0" applyNumberFormat="1" applyFont="1" applyBorder="1" applyAlignment="1">
      <alignment horizontal="center" vertical="center"/>
    </xf>
    <xf numFmtId="166" fontId="44" fillId="21" borderId="10" xfId="0" applyNumberFormat="1" applyFont="1" applyFill="1" applyBorder="1" applyAlignment="1">
      <alignment horizontal="center" vertical="center" wrapText="1"/>
    </xf>
    <xf numFmtId="165" fontId="37" fillId="0" borderId="10" xfId="0" applyNumberFormat="1" applyFont="1" applyBorder="1" applyAlignment="1">
      <alignment horizontal="center" vertical="center"/>
    </xf>
    <xf numFmtId="166" fontId="35" fillId="0" borderId="10" xfId="0" applyNumberFormat="1" applyFont="1" applyBorder="1" applyAlignment="1">
      <alignment horizontal="center" vertical="center"/>
    </xf>
    <xf numFmtId="166" fontId="42" fillId="0" borderId="10" xfId="0" applyNumberFormat="1" applyFont="1" applyBorder="1" applyAlignment="1">
      <alignment horizontal="center" vertical="center"/>
    </xf>
    <xf numFmtId="165" fontId="34" fillId="0" borderId="10" xfId="0" applyNumberFormat="1" applyFont="1" applyBorder="1" applyAlignment="1">
      <alignment horizontal="center" vertical="center"/>
    </xf>
    <xf numFmtId="166" fontId="34" fillId="0" borderId="10" xfId="0" applyNumberFormat="1" applyFont="1" applyBorder="1" applyAlignment="1">
      <alignment horizontal="center" vertical="center" wrapText="1"/>
    </xf>
    <xf numFmtId="166" fontId="46" fillId="0" borderId="10" xfId="0" applyNumberFormat="1" applyFont="1" applyBorder="1" applyAlignment="1">
      <alignment horizontal="center" vertical="center"/>
    </xf>
    <xf numFmtId="166" fontId="34" fillId="0" borderId="10" xfId="0" quotePrefix="1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5" fontId="37" fillId="0" borderId="15" xfId="0" applyNumberFormat="1" applyFont="1" applyBorder="1" applyAlignment="1">
      <alignment horizontal="center" vertical="center"/>
    </xf>
    <xf numFmtId="166" fontId="35" fillId="0" borderId="15" xfId="0" applyNumberFormat="1" applyFont="1" applyBorder="1" applyAlignment="1">
      <alignment horizontal="center" vertical="center"/>
    </xf>
    <xf numFmtId="166" fontId="43" fillId="0" borderId="15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 wrapText="1"/>
    </xf>
    <xf numFmtId="2" fontId="34" fillId="0" borderId="10" xfId="0" applyNumberFormat="1" applyFont="1" applyBorder="1" applyAlignment="1">
      <alignment horizontal="center" vertical="center"/>
    </xf>
    <xf numFmtId="165" fontId="42" fillId="0" borderId="16" xfId="0" applyNumberFormat="1" applyFont="1" applyBorder="1" applyAlignment="1">
      <alignment horizontal="center" vertical="center"/>
    </xf>
    <xf numFmtId="166" fontId="35" fillId="0" borderId="8" xfId="0" applyNumberFormat="1" applyFont="1" applyBorder="1" applyAlignment="1">
      <alignment horizontal="center" vertical="center"/>
    </xf>
    <xf numFmtId="166" fontId="35" fillId="0" borderId="7" xfId="0" applyNumberFormat="1" applyFont="1" applyBorder="1" applyAlignment="1">
      <alignment horizontal="center" vertical="center"/>
    </xf>
    <xf numFmtId="1" fontId="35" fillId="0" borderId="7" xfId="0" applyNumberFormat="1" applyFont="1" applyBorder="1" applyAlignment="1">
      <alignment horizontal="center" vertical="center"/>
    </xf>
    <xf numFmtId="0" fontId="41" fillId="26" borderId="14" xfId="0" applyFont="1" applyFill="1" applyBorder="1" applyAlignment="1">
      <alignment horizontal="center" vertical="center" wrapText="1"/>
    </xf>
    <xf numFmtId="167" fontId="41" fillId="26" borderId="14" xfId="0" applyNumberFormat="1" applyFont="1" applyFill="1" applyBorder="1" applyAlignment="1">
      <alignment horizontal="center" vertical="center" wrapText="1"/>
    </xf>
    <xf numFmtId="167" fontId="41" fillId="26" borderId="14" xfId="0" applyNumberFormat="1" applyFont="1" applyFill="1" applyBorder="1" applyAlignment="1">
      <alignment horizontal="center" vertical="center"/>
    </xf>
    <xf numFmtId="0" fontId="41" fillId="26" borderId="14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166" fontId="34" fillId="0" borderId="21" xfId="0" applyNumberFormat="1" applyFont="1" applyBorder="1" applyAlignment="1">
      <alignment horizontal="center" vertical="center"/>
    </xf>
    <xf numFmtId="0" fontId="34" fillId="27" borderId="21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166" fontId="43" fillId="0" borderId="21" xfId="0" applyNumberFormat="1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47" fillId="25" borderId="19" xfId="0" applyFont="1" applyFill="1" applyBorder="1" applyAlignment="1">
      <alignment horizontal="center" vertical="center" wrapText="1"/>
    </xf>
    <xf numFmtId="0" fontId="47" fillId="25" borderId="20" xfId="0" applyFont="1" applyFill="1" applyBorder="1" applyAlignment="1">
      <alignment horizontal="center" vertical="center" wrapText="1"/>
    </xf>
    <xf numFmtId="166" fontId="36" fillId="0" borderId="0" xfId="0" applyNumberFormat="1" applyFont="1" applyAlignment="1">
      <alignment horizontal="center" vertical="center"/>
    </xf>
    <xf numFmtId="166" fontId="38" fillId="15" borderId="12" xfId="47" applyNumberFormat="1" applyFont="1" applyFill="1" applyBorder="1" applyAlignment="1">
      <alignment horizontal="center" vertical="center" wrapText="1"/>
    </xf>
    <xf numFmtId="166" fontId="38" fillId="15" borderId="13" xfId="47" applyNumberFormat="1" applyFont="1" applyFill="1" applyBorder="1" applyAlignment="1">
      <alignment horizontal="center" vertical="center" wrapText="1"/>
    </xf>
    <xf numFmtId="166" fontId="38" fillId="14" borderId="11" xfId="47" applyNumberFormat="1" applyFont="1" applyFill="1" applyBorder="1" applyAlignment="1">
      <alignment horizontal="center" vertical="center" wrapText="1"/>
    </xf>
    <xf numFmtId="166" fontId="38" fillId="14" borderId="12" xfId="47" applyNumberFormat="1" applyFont="1" applyFill="1" applyBorder="1" applyAlignment="1">
      <alignment horizontal="center" vertical="center" wrapText="1"/>
    </xf>
    <xf numFmtId="166" fontId="38" fillId="14" borderId="13" xfId="47" applyNumberFormat="1" applyFont="1" applyFill="1" applyBorder="1" applyAlignment="1">
      <alignment horizontal="center" vertical="center" wrapText="1"/>
    </xf>
    <xf numFmtId="166" fontId="39" fillId="13" borderId="12" xfId="47" applyNumberFormat="1" applyFont="1" applyFill="1" applyBorder="1" applyAlignment="1">
      <alignment horizontal="center" vertical="center" wrapText="1"/>
    </xf>
    <xf numFmtId="166" fontId="40" fillId="13" borderId="12" xfId="47" applyNumberFormat="1" applyFont="1" applyFill="1" applyBorder="1" applyAlignment="1">
      <alignment horizontal="center" vertical="center" wrapText="1"/>
    </xf>
    <xf numFmtId="166" fontId="38" fillId="19" borderId="11" xfId="0" applyNumberFormat="1" applyFont="1" applyFill="1" applyBorder="1" applyAlignment="1">
      <alignment horizontal="center" vertical="center" wrapText="1"/>
    </xf>
    <xf numFmtId="1" fontId="38" fillId="19" borderId="13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4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Q113"/>
  <sheetViews>
    <sheetView showGridLines="0" tabSelected="1" zoomScale="85" zoomScaleNormal="85" workbookViewId="0">
      <pane xSplit="6" ySplit="4" topLeftCell="AB49" activePane="bottomRight" state="frozen"/>
      <selection pane="topRight"/>
      <selection pane="bottomLeft"/>
      <selection pane="bottomRight" activeCell="AG5" sqref="AG5:AG54"/>
    </sheetView>
  </sheetViews>
  <sheetFormatPr defaultColWidth="9.140625" defaultRowHeight="30" customHeight="1" x14ac:dyDescent="0.25"/>
  <cols>
    <col min="1" max="1" width="12.28515625" style="126" bestFit="1" customWidth="1"/>
    <col min="2" max="2" width="24.140625" style="127" bestFit="1" customWidth="1"/>
    <col min="3" max="3" width="9.85546875" style="127" bestFit="1" customWidth="1"/>
    <col min="4" max="4" width="13.42578125" style="127" bestFit="1" customWidth="1"/>
    <col min="5" max="5" width="18" style="127" bestFit="1" customWidth="1"/>
    <col min="6" max="6" width="13.28515625" style="128" bestFit="1" customWidth="1"/>
    <col min="7" max="7" width="40.140625" style="127" bestFit="1" customWidth="1"/>
    <col min="8" max="8" width="18" style="127" bestFit="1" customWidth="1"/>
    <col min="9" max="9" width="38.7109375" style="127" bestFit="1" customWidth="1"/>
    <col min="10" max="10" width="61.5703125" style="128" bestFit="1" customWidth="1"/>
    <col min="11" max="11" width="15.140625" style="128" bestFit="1" customWidth="1"/>
    <col min="12" max="12" width="18.28515625" style="128" bestFit="1" customWidth="1"/>
    <col min="13" max="13" width="35.42578125" style="127" bestFit="1" customWidth="1"/>
    <col min="14" max="14" width="51.85546875" style="127" bestFit="1" customWidth="1"/>
    <col min="15" max="15" width="32.28515625" style="186" bestFit="1" customWidth="1"/>
    <col min="16" max="16" width="51" style="127" bestFit="1" customWidth="1"/>
    <col min="17" max="17" width="45.85546875" style="127" bestFit="1" customWidth="1"/>
    <col min="18" max="18" width="52" style="127" bestFit="1" customWidth="1"/>
    <col min="19" max="21" width="44.7109375" style="127" bestFit="1" customWidth="1"/>
    <col min="22" max="22" width="27.5703125" style="127" bestFit="1" customWidth="1"/>
    <col min="23" max="23" width="30.5703125" style="127" bestFit="1" customWidth="1"/>
    <col min="24" max="24" width="31.28515625" style="127" bestFit="1" customWidth="1"/>
    <col min="25" max="25" width="18.85546875" style="127" bestFit="1" customWidth="1"/>
    <col min="26" max="26" width="22.28515625" style="187" bestFit="1" customWidth="1"/>
    <col min="27" max="27" width="77.28515625" style="127" bestFit="1" customWidth="1"/>
    <col min="28" max="28" width="61.5703125" style="128" bestFit="1" customWidth="1"/>
    <col min="29" max="29" width="15.140625" style="128" bestFit="1" customWidth="1"/>
    <col min="30" max="30" width="18.28515625" style="128" bestFit="1" customWidth="1"/>
    <col min="31" max="31" width="38.7109375" style="127" bestFit="1" customWidth="1"/>
    <col min="32" max="32" width="28.28515625" style="129" bestFit="1" customWidth="1"/>
    <col min="33" max="33" width="34.7109375" style="129" bestFit="1" customWidth="1"/>
    <col min="34" max="34" width="37.7109375" style="127" bestFit="1" customWidth="1"/>
    <col min="35" max="35" width="38" style="127" bestFit="1" customWidth="1"/>
    <col min="36" max="36" width="34.5703125" style="127" bestFit="1" customWidth="1"/>
    <col min="37" max="37" width="28.7109375" style="127" bestFit="1" customWidth="1"/>
    <col min="38" max="38" width="14.85546875" style="127" bestFit="1" customWidth="1"/>
    <col min="39" max="39" width="20.42578125" style="127" bestFit="1" customWidth="1"/>
    <col min="40" max="40" width="65.28515625" style="127" bestFit="1" customWidth="1"/>
    <col min="41" max="41" width="40" style="130" bestFit="1" customWidth="1"/>
    <col min="42" max="42" width="41.140625" style="127" bestFit="1" customWidth="1"/>
    <col min="43" max="43" width="35.42578125" style="127" bestFit="1" customWidth="1"/>
    <col min="44" max="44" width="39.28515625" style="127" bestFit="1" customWidth="1"/>
    <col min="45" max="45" width="45.42578125" style="127" bestFit="1" customWidth="1"/>
    <col min="46" max="46" width="42.85546875" style="127" bestFit="1" customWidth="1"/>
    <col min="47" max="47" width="41.5703125" style="127" bestFit="1" customWidth="1"/>
    <col min="48" max="48" width="43" style="127" bestFit="1" customWidth="1"/>
    <col min="49" max="49" width="31.28515625" style="127" bestFit="1" customWidth="1"/>
    <col min="50" max="50" width="25.85546875" style="127" bestFit="1" customWidth="1"/>
    <col min="51" max="51" width="31.140625" style="187" bestFit="1" customWidth="1"/>
    <col min="52" max="52" width="34.140625" style="187" bestFit="1" customWidth="1"/>
    <col min="53" max="53" width="23" style="187" customWidth="1"/>
    <col min="54" max="54" width="18.140625" style="188" bestFit="1" customWidth="1"/>
    <col min="55" max="55" width="22.85546875" style="127" customWidth="1"/>
    <col min="56" max="56" width="40.85546875" style="127" customWidth="1"/>
    <col min="57" max="57" width="36.28515625" style="127" customWidth="1"/>
    <col min="58" max="58" width="25.42578125" style="127" customWidth="1"/>
    <col min="59" max="59" width="24.85546875" style="127" bestFit="1" customWidth="1"/>
    <col min="60" max="60" width="55.7109375" style="127" bestFit="1" customWidth="1"/>
    <col min="61" max="61" width="43.140625" style="127" bestFit="1" customWidth="1"/>
    <col min="62" max="62" width="31.140625" style="127" bestFit="1" customWidth="1"/>
    <col min="63" max="63" width="41.42578125" style="127" bestFit="1" customWidth="1"/>
    <col min="64" max="64" width="40.42578125" style="127" bestFit="1" customWidth="1"/>
    <col min="65" max="160" width="9.140625" style="127" bestFit="1" customWidth="1"/>
    <col min="161" max="16384" width="9.140625" style="127"/>
  </cols>
  <sheetData>
    <row r="1" spans="1:121" ht="30" customHeight="1" x14ac:dyDescent="0.25">
      <c r="O1" s="127"/>
      <c r="Z1" s="127"/>
      <c r="AP1" s="201"/>
      <c r="AQ1" s="201"/>
      <c r="AR1" s="201"/>
      <c r="AS1" s="201"/>
      <c r="AT1" s="201"/>
      <c r="AU1" s="128"/>
      <c r="AV1" s="128"/>
      <c r="AY1" s="127"/>
      <c r="AZ1" s="127"/>
      <c r="BA1" s="127"/>
      <c r="BB1" s="127"/>
    </row>
    <row r="2" spans="1:121" ht="30" customHeight="1" x14ac:dyDescent="0.25">
      <c r="O2" s="127"/>
      <c r="Z2" s="127"/>
      <c r="AP2" s="128"/>
      <c r="AQ2" s="128"/>
      <c r="AR2" s="128"/>
      <c r="AS2" s="128"/>
      <c r="AT2" s="128"/>
      <c r="AU2" s="128"/>
      <c r="AV2" s="128"/>
      <c r="AY2" s="127"/>
      <c r="AZ2" s="127"/>
      <c r="BA2" s="127"/>
      <c r="BB2" s="131"/>
    </row>
    <row r="3" spans="1:121" s="128" customFormat="1" ht="30" customHeight="1" x14ac:dyDescent="0.25">
      <c r="A3" s="204" t="s">
        <v>0</v>
      </c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6"/>
      <c r="P3" s="202" t="s">
        <v>1</v>
      </c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3"/>
      <c r="AB3" s="207" t="s">
        <v>2</v>
      </c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7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9" t="s">
        <v>3</v>
      </c>
      <c r="BB3" s="210"/>
      <c r="BC3" s="199"/>
      <c r="BD3" s="200"/>
      <c r="BE3" s="200"/>
      <c r="BF3" s="200"/>
      <c r="BG3" s="200"/>
      <c r="BH3" s="200"/>
      <c r="BI3" s="200"/>
      <c r="BJ3" s="200"/>
      <c r="BK3" s="200"/>
      <c r="BL3" s="200"/>
    </row>
    <row r="4" spans="1:121" s="128" customFormat="1" ht="44.25" customHeight="1" x14ac:dyDescent="0.25">
      <c r="A4" s="132" t="s">
        <v>4</v>
      </c>
      <c r="B4" s="133" t="s">
        <v>5</v>
      </c>
      <c r="C4" s="133" t="s">
        <v>6</v>
      </c>
      <c r="D4" s="133" t="s">
        <v>7</v>
      </c>
      <c r="E4" s="133" t="s">
        <v>8</v>
      </c>
      <c r="F4" s="133" t="s">
        <v>9</v>
      </c>
      <c r="G4" s="133" t="s">
        <v>10</v>
      </c>
      <c r="H4" s="133" t="s">
        <v>11</v>
      </c>
      <c r="I4" s="133" t="s">
        <v>12</v>
      </c>
      <c r="J4" s="134" t="s">
        <v>13</v>
      </c>
      <c r="K4" s="134" t="s">
        <v>14</v>
      </c>
      <c r="L4" s="134" t="s">
        <v>15</v>
      </c>
      <c r="M4" s="134" t="s">
        <v>16</v>
      </c>
      <c r="N4" s="134" t="s">
        <v>17</v>
      </c>
      <c r="O4" s="134" t="s">
        <v>18</v>
      </c>
      <c r="P4" s="135" t="s">
        <v>19</v>
      </c>
      <c r="Q4" s="135" t="s">
        <v>20</v>
      </c>
      <c r="R4" s="135" t="s">
        <v>21</v>
      </c>
      <c r="S4" s="135" t="s">
        <v>22</v>
      </c>
      <c r="T4" s="135" t="s">
        <v>23</v>
      </c>
      <c r="U4" s="135" t="s">
        <v>24</v>
      </c>
      <c r="V4" s="135" t="s">
        <v>25</v>
      </c>
      <c r="W4" s="135" t="s">
        <v>26</v>
      </c>
      <c r="X4" s="135" t="s">
        <v>27</v>
      </c>
      <c r="Y4" s="135" t="s">
        <v>28</v>
      </c>
      <c r="Z4" s="135" t="s">
        <v>29</v>
      </c>
      <c r="AA4" s="135" t="s">
        <v>30</v>
      </c>
      <c r="AB4" s="136" t="s">
        <v>31</v>
      </c>
      <c r="AC4" s="136" t="s">
        <v>14</v>
      </c>
      <c r="AD4" s="136" t="s">
        <v>15</v>
      </c>
      <c r="AE4" s="137" t="s">
        <v>32</v>
      </c>
      <c r="AF4" s="138" t="s">
        <v>33</v>
      </c>
      <c r="AG4" s="138" t="s">
        <v>34</v>
      </c>
      <c r="AH4" s="136" t="s">
        <v>35</v>
      </c>
      <c r="AI4" s="137" t="s">
        <v>36</v>
      </c>
      <c r="AJ4" s="136" t="s">
        <v>37</v>
      </c>
      <c r="AK4" s="136" t="s">
        <v>38</v>
      </c>
      <c r="AL4" s="136" t="s">
        <v>39</v>
      </c>
      <c r="AM4" s="136" t="s">
        <v>40</v>
      </c>
      <c r="AN4" s="136" t="s">
        <v>41</v>
      </c>
      <c r="AO4" s="139" t="s">
        <v>42</v>
      </c>
      <c r="AP4" s="136" t="s">
        <v>43</v>
      </c>
      <c r="AQ4" s="136" t="s">
        <v>44</v>
      </c>
      <c r="AR4" s="136" t="s">
        <v>45</v>
      </c>
      <c r="AS4" s="136" t="s">
        <v>46</v>
      </c>
      <c r="AT4" s="136" t="s">
        <v>47</v>
      </c>
      <c r="AU4" s="136" t="s">
        <v>48</v>
      </c>
      <c r="AV4" s="136" t="s">
        <v>49</v>
      </c>
      <c r="AW4" s="136" t="s">
        <v>27</v>
      </c>
      <c r="AX4" s="136" t="s">
        <v>50</v>
      </c>
      <c r="AY4" s="136" t="s">
        <v>51</v>
      </c>
      <c r="AZ4" s="140" t="s">
        <v>52</v>
      </c>
      <c r="BA4" s="141" t="s">
        <v>53</v>
      </c>
      <c r="BB4" s="142" t="s">
        <v>54</v>
      </c>
      <c r="BC4" s="189" t="s">
        <v>55</v>
      </c>
      <c r="BD4" s="189" t="s">
        <v>56</v>
      </c>
      <c r="BE4" s="189" t="s">
        <v>57</v>
      </c>
      <c r="BF4" s="190" t="s">
        <v>58</v>
      </c>
      <c r="BG4" s="191" t="s">
        <v>59</v>
      </c>
      <c r="BH4" s="189" t="s">
        <v>60</v>
      </c>
      <c r="BI4" s="192" t="s">
        <v>46</v>
      </c>
      <c r="BJ4" s="192" t="s">
        <v>61</v>
      </c>
      <c r="BK4" s="189" t="s">
        <v>62</v>
      </c>
      <c r="BL4" s="192" t="s">
        <v>63</v>
      </c>
    </row>
    <row r="5" spans="1:121" s="144" customFormat="1" ht="30" customHeight="1" x14ac:dyDescent="0.25">
      <c r="A5" s="143">
        <v>1</v>
      </c>
      <c r="B5" s="144" t="s">
        <v>64</v>
      </c>
      <c r="C5" s="143">
        <v>0</v>
      </c>
      <c r="D5" s="143">
        <v>0</v>
      </c>
      <c r="E5" s="143">
        <v>0</v>
      </c>
      <c r="F5" s="145" t="s">
        <v>65</v>
      </c>
      <c r="G5" s="144" t="s">
        <v>66</v>
      </c>
      <c r="H5" s="144" t="s">
        <v>67</v>
      </c>
      <c r="I5" s="144" t="s">
        <v>68</v>
      </c>
      <c r="J5" s="146" t="s">
        <v>69</v>
      </c>
      <c r="K5" s="147" t="s">
        <v>70</v>
      </c>
      <c r="L5" s="145" t="s">
        <v>71</v>
      </c>
      <c r="M5" s="148" t="s">
        <v>72</v>
      </c>
      <c r="N5" s="148" t="s">
        <v>73</v>
      </c>
      <c r="O5" s="144">
        <v>44900</v>
      </c>
      <c r="P5" s="144" t="s">
        <v>74</v>
      </c>
      <c r="Q5" s="144" t="s">
        <v>74</v>
      </c>
      <c r="R5" s="144" t="s">
        <v>74</v>
      </c>
      <c r="S5" s="144" t="s">
        <v>74</v>
      </c>
      <c r="T5" s="144" t="s">
        <v>74</v>
      </c>
      <c r="U5" s="144" t="s">
        <v>74</v>
      </c>
      <c r="V5" s="144" t="s">
        <v>74</v>
      </c>
      <c r="W5" s="144" t="s">
        <v>74</v>
      </c>
      <c r="X5" s="144" t="s">
        <v>74</v>
      </c>
      <c r="Y5" s="144" t="s">
        <v>74</v>
      </c>
      <c r="Z5" s="144" t="s">
        <v>74</v>
      </c>
      <c r="AB5" s="146" t="s">
        <v>69</v>
      </c>
      <c r="AC5" s="147" t="s">
        <v>70</v>
      </c>
      <c r="AD5" s="145" t="s">
        <v>71</v>
      </c>
      <c r="AE5" s="144" t="s">
        <v>68</v>
      </c>
      <c r="AF5" s="149">
        <v>87932.92</v>
      </c>
      <c r="AG5" s="149">
        <v>87932.92</v>
      </c>
      <c r="AH5" s="144" t="s">
        <v>75</v>
      </c>
      <c r="AI5" s="144" t="s">
        <v>76</v>
      </c>
      <c r="AJ5" s="144" t="s">
        <v>72</v>
      </c>
      <c r="AK5" s="144" t="s">
        <v>76</v>
      </c>
      <c r="AL5" s="144" t="s">
        <v>76</v>
      </c>
      <c r="AM5" s="144" t="s">
        <v>77</v>
      </c>
      <c r="AO5" s="145" t="s">
        <v>78</v>
      </c>
      <c r="AP5" s="144" t="s">
        <v>76</v>
      </c>
      <c r="AQ5" s="144" t="s">
        <v>76</v>
      </c>
      <c r="AR5" s="144" t="s">
        <v>76</v>
      </c>
      <c r="AS5" s="144" t="s">
        <v>76</v>
      </c>
      <c r="AT5" s="144">
        <v>44922</v>
      </c>
      <c r="AU5" s="144" t="s">
        <v>76</v>
      </c>
      <c r="AV5" s="144" t="s">
        <v>76</v>
      </c>
      <c r="AW5" s="144">
        <v>44924</v>
      </c>
      <c r="AX5" s="144">
        <v>44924</v>
      </c>
      <c r="AY5" s="144" t="s">
        <v>76</v>
      </c>
      <c r="AZ5" s="144" t="s">
        <v>79</v>
      </c>
      <c r="BA5" s="150" t="s">
        <v>76</v>
      </c>
      <c r="BB5" s="143">
        <f t="shared" ref="BB5:BB36" si="0">IF(AX5-OM5=0,"",AX5-O5)</f>
        <v>24</v>
      </c>
      <c r="BC5" s="193" t="str">
        <f t="shared" ref="BC5:BC36" si="1">IF(AND(AH5&lt;&gt;"SIM",AH5="UH"),"AA","INDENIZAÇÃO")</f>
        <v>INDENIZAÇÃO</v>
      </c>
      <c r="BD5" s="193" t="str">
        <f t="shared" ref="BD5:BD36" si="2">IF(AND(AX5&lt;&gt;"AGUARDANDO",AX5&lt;&gt;"",N5="AUXÍLIO ALUGUEL ATÉ INDENIZAÇÃO"),"SIM","NÃO")</f>
        <v>NÃO</v>
      </c>
      <c r="BE5" s="193" t="s">
        <v>74</v>
      </c>
      <c r="BF5" s="193" t="s">
        <v>74</v>
      </c>
      <c r="BG5" s="193" t="s">
        <v>74</v>
      </c>
      <c r="BH5" s="193" t="s">
        <v>76</v>
      </c>
      <c r="BI5" s="193" t="s">
        <v>76</v>
      </c>
      <c r="BJ5" s="194">
        <v>45057</v>
      </c>
      <c r="BK5" s="193" t="s">
        <v>76</v>
      </c>
      <c r="BL5" s="195" t="s">
        <v>76</v>
      </c>
      <c r="CI5" s="151"/>
      <c r="DQ5" s="151"/>
    </row>
    <row r="6" spans="1:121" s="144" customFormat="1" ht="30" customHeight="1" x14ac:dyDescent="0.25">
      <c r="A6" s="143">
        <v>2</v>
      </c>
      <c r="B6" s="144" t="s">
        <v>64</v>
      </c>
      <c r="C6" s="143">
        <v>0</v>
      </c>
      <c r="D6" s="143">
        <v>0</v>
      </c>
      <c r="E6" s="143">
        <v>0</v>
      </c>
      <c r="F6" s="145" t="s">
        <v>80</v>
      </c>
      <c r="G6" s="144" t="s">
        <v>66</v>
      </c>
      <c r="H6" s="144" t="s">
        <v>67</v>
      </c>
      <c r="I6" s="144" t="s">
        <v>68</v>
      </c>
      <c r="J6" s="146" t="s">
        <v>81</v>
      </c>
      <c r="K6" s="147" t="s">
        <v>82</v>
      </c>
      <c r="L6" s="145" t="s">
        <v>83</v>
      </c>
      <c r="M6" s="148" t="s">
        <v>72</v>
      </c>
      <c r="N6" s="165" t="s">
        <v>84</v>
      </c>
      <c r="O6" s="144">
        <v>44900</v>
      </c>
      <c r="P6" s="144" t="s">
        <v>74</v>
      </c>
      <c r="Q6" s="144" t="s">
        <v>74</v>
      </c>
      <c r="R6" s="144" t="s">
        <v>74</v>
      </c>
      <c r="S6" s="144" t="s">
        <v>74</v>
      </c>
      <c r="T6" s="144" t="s">
        <v>74</v>
      </c>
      <c r="U6" s="144" t="s">
        <v>74</v>
      </c>
      <c r="V6" s="144" t="s">
        <v>74</v>
      </c>
      <c r="W6" s="144" t="s">
        <v>74</v>
      </c>
      <c r="X6" s="144" t="s">
        <v>74</v>
      </c>
      <c r="Y6" s="144" t="s">
        <v>74</v>
      </c>
      <c r="Z6" s="144" t="s">
        <v>74</v>
      </c>
      <c r="AA6" s="144" t="s">
        <v>85</v>
      </c>
      <c r="AB6" s="146" t="s">
        <v>81</v>
      </c>
      <c r="AC6" s="147" t="s">
        <v>82</v>
      </c>
      <c r="AD6" s="145" t="s">
        <v>83</v>
      </c>
      <c r="AE6" s="144" t="s">
        <v>68</v>
      </c>
      <c r="AF6" s="149">
        <v>117016.04</v>
      </c>
      <c r="AG6" s="149">
        <v>117016.04</v>
      </c>
      <c r="AH6" s="144" t="s">
        <v>75</v>
      </c>
      <c r="AI6" s="144" t="s">
        <v>76</v>
      </c>
      <c r="AJ6" s="144" t="s">
        <v>72</v>
      </c>
      <c r="AK6" s="144" t="s">
        <v>76</v>
      </c>
      <c r="AL6" s="144" t="s">
        <v>76</v>
      </c>
      <c r="AM6" s="144" t="s">
        <v>77</v>
      </c>
      <c r="AO6" s="145" t="s">
        <v>86</v>
      </c>
      <c r="AP6" s="144" t="s">
        <v>76</v>
      </c>
      <c r="AQ6" s="144" t="s">
        <v>76</v>
      </c>
      <c r="AR6" s="144" t="s">
        <v>76</v>
      </c>
      <c r="AS6" s="144" t="s">
        <v>76</v>
      </c>
      <c r="AT6" s="144">
        <v>44922</v>
      </c>
      <c r="AU6" s="144" t="s">
        <v>76</v>
      </c>
      <c r="AV6" s="144" t="s">
        <v>76</v>
      </c>
      <c r="AW6" s="144">
        <v>44924</v>
      </c>
      <c r="AX6" s="144">
        <v>44924</v>
      </c>
      <c r="AY6" s="144" t="s">
        <v>76</v>
      </c>
      <c r="AZ6" s="144" t="s">
        <v>79</v>
      </c>
      <c r="BA6" s="150" t="s">
        <v>76</v>
      </c>
      <c r="BB6" s="143">
        <f t="shared" si="0"/>
        <v>24</v>
      </c>
      <c r="BC6" s="193" t="str">
        <f t="shared" si="1"/>
        <v>INDENIZAÇÃO</v>
      </c>
      <c r="BD6" s="193" t="str">
        <f t="shared" si="2"/>
        <v>SIM</v>
      </c>
      <c r="BE6" s="144" t="s">
        <v>76</v>
      </c>
      <c r="BF6" s="144">
        <v>44946</v>
      </c>
      <c r="BG6" s="144">
        <v>44946</v>
      </c>
      <c r="BH6" s="150" t="s">
        <v>76</v>
      </c>
      <c r="BI6" s="150" t="s">
        <v>76</v>
      </c>
      <c r="BJ6" s="144">
        <v>45057</v>
      </c>
      <c r="BK6" s="150" t="s">
        <v>76</v>
      </c>
      <c r="BL6" s="195" t="s">
        <v>76</v>
      </c>
      <c r="CI6" s="151"/>
      <c r="DQ6" s="151"/>
    </row>
    <row r="7" spans="1:121" s="152" customFormat="1" ht="30" customHeight="1" x14ac:dyDescent="0.25">
      <c r="A7" s="143">
        <v>3</v>
      </c>
      <c r="B7" s="152" t="s">
        <v>64</v>
      </c>
      <c r="C7" s="159">
        <v>0</v>
      </c>
      <c r="D7" s="159">
        <v>0</v>
      </c>
      <c r="E7" s="159">
        <v>0</v>
      </c>
      <c r="F7" s="160" t="s">
        <v>87</v>
      </c>
      <c r="G7" s="152" t="s">
        <v>66</v>
      </c>
      <c r="H7" s="152" t="s">
        <v>67</v>
      </c>
      <c r="I7" s="152" t="s">
        <v>68</v>
      </c>
      <c r="J7" s="161" t="s">
        <v>88</v>
      </c>
      <c r="K7" s="162" t="s">
        <v>89</v>
      </c>
      <c r="L7" s="160" t="s">
        <v>90</v>
      </c>
      <c r="M7" s="152" t="s">
        <v>72</v>
      </c>
      <c r="N7" s="152" t="s">
        <v>73</v>
      </c>
      <c r="O7" s="152">
        <v>44900</v>
      </c>
      <c r="P7" s="144" t="s">
        <v>74</v>
      </c>
      <c r="Q7" s="144" t="s">
        <v>74</v>
      </c>
      <c r="R7" s="144" t="s">
        <v>74</v>
      </c>
      <c r="S7" s="144" t="s">
        <v>74</v>
      </c>
      <c r="T7" s="144" t="s">
        <v>74</v>
      </c>
      <c r="U7" s="144" t="s">
        <v>74</v>
      </c>
      <c r="V7" s="144" t="s">
        <v>74</v>
      </c>
      <c r="W7" s="144" t="s">
        <v>74</v>
      </c>
      <c r="X7" s="144" t="s">
        <v>74</v>
      </c>
      <c r="Y7" s="144" t="s">
        <v>74</v>
      </c>
      <c r="Z7" s="144" t="s">
        <v>74</v>
      </c>
      <c r="AB7" s="161" t="s">
        <v>88</v>
      </c>
      <c r="AC7" s="162" t="s">
        <v>89</v>
      </c>
      <c r="AD7" s="160" t="s">
        <v>90</v>
      </c>
      <c r="AE7" s="152" t="s">
        <v>68</v>
      </c>
      <c r="AF7" s="163">
        <v>44442.13</v>
      </c>
      <c r="AG7" s="163">
        <v>60000</v>
      </c>
      <c r="AH7" s="152" t="s">
        <v>75</v>
      </c>
      <c r="AI7" s="152" t="s">
        <v>76</v>
      </c>
      <c r="AJ7" s="152" t="s">
        <v>72</v>
      </c>
      <c r="AK7" s="144" t="s">
        <v>76</v>
      </c>
      <c r="AL7" s="144" t="s">
        <v>76</v>
      </c>
      <c r="AM7" s="144" t="s">
        <v>77</v>
      </c>
      <c r="AO7" s="160" t="s">
        <v>91</v>
      </c>
      <c r="AP7" s="152" t="s">
        <v>76</v>
      </c>
      <c r="AQ7" s="152" t="s">
        <v>76</v>
      </c>
      <c r="AR7" s="144" t="s">
        <v>76</v>
      </c>
      <c r="AS7" s="144" t="s">
        <v>76</v>
      </c>
      <c r="AT7" s="144">
        <v>44999</v>
      </c>
      <c r="AU7" s="144" t="s">
        <v>76</v>
      </c>
      <c r="AV7" s="144" t="s">
        <v>76</v>
      </c>
      <c r="AW7" s="144">
        <v>45016</v>
      </c>
      <c r="AX7" s="144">
        <v>45016</v>
      </c>
      <c r="AY7" s="144" t="s">
        <v>76</v>
      </c>
      <c r="AZ7" s="144" t="s">
        <v>79</v>
      </c>
      <c r="BA7" s="150" t="s">
        <v>76</v>
      </c>
      <c r="BB7" s="143">
        <f t="shared" si="0"/>
        <v>116</v>
      </c>
      <c r="BC7" s="193" t="str">
        <f t="shared" si="1"/>
        <v>INDENIZAÇÃO</v>
      </c>
      <c r="BD7" s="193" t="str">
        <f t="shared" si="2"/>
        <v>NÃO</v>
      </c>
      <c r="BE7" s="193" t="s">
        <v>74</v>
      </c>
      <c r="BF7" s="193" t="s">
        <v>74</v>
      </c>
      <c r="BG7" s="193" t="s">
        <v>74</v>
      </c>
      <c r="BH7" s="193" t="s">
        <v>76</v>
      </c>
      <c r="BI7" s="193" t="s">
        <v>76</v>
      </c>
      <c r="BJ7" s="194">
        <v>45190</v>
      </c>
      <c r="BK7" s="193" t="s">
        <v>76</v>
      </c>
      <c r="BL7" s="195" t="s">
        <v>76</v>
      </c>
      <c r="CI7" s="153"/>
      <c r="DQ7" s="153"/>
    </row>
    <row r="8" spans="1:121" s="144" customFormat="1" ht="30" customHeight="1" x14ac:dyDescent="0.25">
      <c r="A8" s="143">
        <v>4</v>
      </c>
      <c r="B8" s="144" t="s">
        <v>64</v>
      </c>
      <c r="C8" s="143">
        <v>0</v>
      </c>
      <c r="D8" s="143">
        <v>0</v>
      </c>
      <c r="E8" s="143">
        <v>0</v>
      </c>
      <c r="F8" s="145" t="s">
        <v>92</v>
      </c>
      <c r="G8" s="144" t="s">
        <v>66</v>
      </c>
      <c r="H8" s="144" t="s">
        <v>67</v>
      </c>
      <c r="I8" s="144" t="s">
        <v>68</v>
      </c>
      <c r="J8" s="146" t="s">
        <v>93</v>
      </c>
      <c r="K8" s="147" t="s">
        <v>94</v>
      </c>
      <c r="L8" s="145" t="s">
        <v>95</v>
      </c>
      <c r="M8" s="148" t="s">
        <v>72</v>
      </c>
      <c r="N8" s="148" t="s">
        <v>73</v>
      </c>
      <c r="O8" s="144">
        <v>44900</v>
      </c>
      <c r="P8" s="144" t="s">
        <v>74</v>
      </c>
      <c r="Q8" s="144" t="s">
        <v>74</v>
      </c>
      <c r="R8" s="144" t="s">
        <v>74</v>
      </c>
      <c r="S8" s="144" t="s">
        <v>74</v>
      </c>
      <c r="T8" s="144" t="s">
        <v>74</v>
      </c>
      <c r="U8" s="144" t="s">
        <v>74</v>
      </c>
      <c r="V8" s="144" t="s">
        <v>74</v>
      </c>
      <c r="W8" s="144" t="s">
        <v>74</v>
      </c>
      <c r="X8" s="144" t="s">
        <v>74</v>
      </c>
      <c r="Y8" s="144" t="s">
        <v>74</v>
      </c>
      <c r="Z8" s="144" t="s">
        <v>74</v>
      </c>
      <c r="AB8" s="146" t="s">
        <v>93</v>
      </c>
      <c r="AC8" s="147" t="s">
        <v>94</v>
      </c>
      <c r="AD8" s="145" t="s">
        <v>95</v>
      </c>
      <c r="AE8" s="144" t="s">
        <v>68</v>
      </c>
      <c r="AF8" s="149">
        <v>96257.16</v>
      </c>
      <c r="AG8" s="149">
        <v>96257.16</v>
      </c>
      <c r="AH8" s="144" t="s">
        <v>75</v>
      </c>
      <c r="AI8" s="144" t="s">
        <v>76</v>
      </c>
      <c r="AJ8" s="144" t="s">
        <v>72</v>
      </c>
      <c r="AK8" s="144" t="s">
        <v>76</v>
      </c>
      <c r="AL8" s="144" t="s">
        <v>76</v>
      </c>
      <c r="AM8" s="144" t="s">
        <v>77</v>
      </c>
      <c r="AO8" s="145" t="s">
        <v>96</v>
      </c>
      <c r="AP8" s="144" t="s">
        <v>76</v>
      </c>
      <c r="AQ8" s="144" t="s">
        <v>76</v>
      </c>
      <c r="AR8" s="144" t="s">
        <v>76</v>
      </c>
      <c r="AS8" s="144" t="s">
        <v>76</v>
      </c>
      <c r="AT8" s="144">
        <v>44922</v>
      </c>
      <c r="AU8" s="144" t="s">
        <v>76</v>
      </c>
      <c r="AV8" s="144" t="s">
        <v>76</v>
      </c>
      <c r="AW8" s="144">
        <v>44924</v>
      </c>
      <c r="AX8" s="144">
        <v>44924</v>
      </c>
      <c r="AY8" s="144" t="s">
        <v>76</v>
      </c>
      <c r="AZ8" s="144" t="s">
        <v>79</v>
      </c>
      <c r="BA8" s="150" t="s">
        <v>76</v>
      </c>
      <c r="BB8" s="143">
        <f t="shared" si="0"/>
        <v>24</v>
      </c>
      <c r="BC8" s="193" t="str">
        <f t="shared" si="1"/>
        <v>INDENIZAÇÃO</v>
      </c>
      <c r="BD8" s="193" t="str">
        <f t="shared" si="2"/>
        <v>NÃO</v>
      </c>
      <c r="BE8" s="193" t="s">
        <v>74</v>
      </c>
      <c r="BF8" s="193" t="s">
        <v>74</v>
      </c>
      <c r="BG8" s="193" t="s">
        <v>74</v>
      </c>
      <c r="BH8" s="193" t="s">
        <v>76</v>
      </c>
      <c r="BI8" s="193" t="s">
        <v>76</v>
      </c>
      <c r="BJ8" s="194">
        <v>45057</v>
      </c>
      <c r="BK8" s="193" t="s">
        <v>76</v>
      </c>
      <c r="BL8" s="195" t="s">
        <v>76</v>
      </c>
      <c r="CI8" s="151"/>
      <c r="DQ8" s="151"/>
    </row>
    <row r="9" spans="1:121" s="144" customFormat="1" ht="30" hidden="1" customHeight="1" x14ac:dyDescent="0.25">
      <c r="A9" s="143">
        <v>5</v>
      </c>
      <c r="B9" s="144" t="s">
        <v>64</v>
      </c>
      <c r="C9" s="143">
        <v>0</v>
      </c>
      <c r="D9" s="143">
        <v>0</v>
      </c>
      <c r="E9" s="143">
        <v>0</v>
      </c>
      <c r="F9" s="145" t="s">
        <v>97</v>
      </c>
      <c r="G9" s="144" t="s">
        <v>66</v>
      </c>
      <c r="H9" s="144" t="s">
        <v>67</v>
      </c>
      <c r="I9" s="144" t="s">
        <v>68</v>
      </c>
      <c r="J9" s="146" t="s">
        <v>98</v>
      </c>
      <c r="K9" s="154" t="s">
        <v>99</v>
      </c>
      <c r="L9" s="145" t="s">
        <v>100</v>
      </c>
      <c r="M9" s="148" t="s">
        <v>72</v>
      </c>
      <c r="N9" s="148" t="s">
        <v>101</v>
      </c>
      <c r="O9" s="144">
        <v>44900</v>
      </c>
      <c r="P9" s="144">
        <v>44910</v>
      </c>
      <c r="Q9" s="144" t="s">
        <v>102</v>
      </c>
      <c r="R9" s="144" t="s">
        <v>76</v>
      </c>
      <c r="S9" s="144" t="s">
        <v>76</v>
      </c>
      <c r="T9" s="144" t="s">
        <v>76</v>
      </c>
      <c r="U9" s="144">
        <v>44924</v>
      </c>
      <c r="V9" s="144">
        <v>44924</v>
      </c>
      <c r="W9" s="144">
        <v>44929</v>
      </c>
      <c r="X9" s="144">
        <v>44958</v>
      </c>
      <c r="Y9" s="144" t="s">
        <v>103</v>
      </c>
      <c r="Z9" s="144" t="s">
        <v>76</v>
      </c>
      <c r="AB9" s="146" t="s">
        <v>98</v>
      </c>
      <c r="AC9" s="154" t="s">
        <v>99</v>
      </c>
      <c r="AD9" s="145" t="s">
        <v>100</v>
      </c>
      <c r="AE9" s="144" t="s">
        <v>68</v>
      </c>
      <c r="AF9" s="149">
        <v>26081.7</v>
      </c>
      <c r="AG9" s="149">
        <v>56081.7</v>
      </c>
      <c r="AH9" s="144" t="s">
        <v>104</v>
      </c>
      <c r="AI9" s="144" t="s">
        <v>76</v>
      </c>
      <c r="AJ9" s="144" t="s">
        <v>72</v>
      </c>
      <c r="AK9" s="144" t="s">
        <v>74</v>
      </c>
      <c r="AL9" s="144" t="s">
        <v>74</v>
      </c>
      <c r="AM9" s="144" t="s">
        <v>74</v>
      </c>
      <c r="AO9" s="145" t="s">
        <v>74</v>
      </c>
      <c r="AP9" s="144" t="s">
        <v>74</v>
      </c>
      <c r="AQ9" s="144" t="s">
        <v>74</v>
      </c>
      <c r="AR9" s="144" t="s">
        <v>74</v>
      </c>
      <c r="AS9" s="144" t="s">
        <v>74</v>
      </c>
      <c r="AT9" s="144" t="s">
        <v>74</v>
      </c>
      <c r="AU9" s="144" t="s">
        <v>74</v>
      </c>
      <c r="AV9" s="144" t="s">
        <v>74</v>
      </c>
      <c r="AW9" s="144">
        <v>44958</v>
      </c>
      <c r="AX9" s="144" t="s">
        <v>103</v>
      </c>
      <c r="AY9" s="144" t="s">
        <v>76</v>
      </c>
      <c r="AZ9" s="144" t="s">
        <v>79</v>
      </c>
      <c r="BA9" s="150" t="s">
        <v>76</v>
      </c>
      <c r="BB9" s="143">
        <f t="shared" si="0"/>
        <v>64</v>
      </c>
      <c r="BC9" s="193" t="str">
        <f t="shared" si="1"/>
        <v>AA</v>
      </c>
      <c r="BD9" s="193" t="str">
        <f t="shared" si="2"/>
        <v>NÃO</v>
      </c>
      <c r="BE9" s="193" t="s">
        <v>74</v>
      </c>
      <c r="BF9" s="193" t="s">
        <v>74</v>
      </c>
      <c r="BG9" s="193" t="s">
        <v>74</v>
      </c>
      <c r="BH9" s="193" t="s">
        <v>74</v>
      </c>
      <c r="BI9" s="193" t="s">
        <v>74</v>
      </c>
      <c r="BJ9" s="193" t="s">
        <v>74</v>
      </c>
      <c r="BK9" s="193" t="s">
        <v>74</v>
      </c>
      <c r="BL9" s="195" t="s">
        <v>76</v>
      </c>
      <c r="CI9" s="151"/>
      <c r="DQ9" s="151"/>
    </row>
    <row r="10" spans="1:121" s="144" customFormat="1" ht="30" customHeight="1" x14ac:dyDescent="0.25">
      <c r="A10" s="143">
        <v>6</v>
      </c>
      <c r="B10" s="144" t="s">
        <v>64</v>
      </c>
      <c r="C10" s="143">
        <v>0</v>
      </c>
      <c r="D10" s="143">
        <v>0</v>
      </c>
      <c r="E10" s="143">
        <v>0</v>
      </c>
      <c r="F10" s="145" t="s">
        <v>105</v>
      </c>
      <c r="G10" s="144" t="s">
        <v>66</v>
      </c>
      <c r="H10" s="144" t="s">
        <v>67</v>
      </c>
      <c r="I10" s="144" t="s">
        <v>68</v>
      </c>
      <c r="J10" s="146" t="s">
        <v>106</v>
      </c>
      <c r="K10" s="147" t="s">
        <v>107</v>
      </c>
      <c r="L10" s="145" t="s">
        <v>108</v>
      </c>
      <c r="M10" s="148" t="s">
        <v>72</v>
      </c>
      <c r="N10" s="148" t="s">
        <v>73</v>
      </c>
      <c r="O10" s="144">
        <v>44900</v>
      </c>
      <c r="P10" s="144" t="s">
        <v>74</v>
      </c>
      <c r="Q10" s="144" t="s">
        <v>74</v>
      </c>
      <c r="R10" s="144" t="s">
        <v>74</v>
      </c>
      <c r="S10" s="144" t="s">
        <v>74</v>
      </c>
      <c r="T10" s="144" t="s">
        <v>74</v>
      </c>
      <c r="U10" s="144" t="s">
        <v>74</v>
      </c>
      <c r="V10" s="144" t="s">
        <v>74</v>
      </c>
      <c r="W10" s="144" t="s">
        <v>74</v>
      </c>
      <c r="X10" s="144" t="s">
        <v>74</v>
      </c>
      <c r="Y10" s="144" t="s">
        <v>74</v>
      </c>
      <c r="Z10" s="144" t="s">
        <v>74</v>
      </c>
      <c r="AB10" s="146" t="s">
        <v>106</v>
      </c>
      <c r="AC10" s="147" t="s">
        <v>107</v>
      </c>
      <c r="AD10" s="145" t="s">
        <v>108</v>
      </c>
      <c r="AE10" s="144" t="s">
        <v>68</v>
      </c>
      <c r="AF10" s="149">
        <v>31347.57</v>
      </c>
      <c r="AG10" s="149">
        <v>60000</v>
      </c>
      <c r="AH10" s="144" t="s">
        <v>75</v>
      </c>
      <c r="AI10" s="144" t="s">
        <v>76</v>
      </c>
      <c r="AJ10" s="144" t="s">
        <v>72</v>
      </c>
      <c r="AK10" s="144" t="s">
        <v>76</v>
      </c>
      <c r="AL10" s="144" t="s">
        <v>76</v>
      </c>
      <c r="AM10" s="144" t="s">
        <v>77</v>
      </c>
      <c r="AO10" s="145" t="s">
        <v>109</v>
      </c>
      <c r="AP10" s="144" t="s">
        <v>76</v>
      </c>
      <c r="AQ10" s="144" t="s">
        <v>76</v>
      </c>
      <c r="AR10" s="144" t="s">
        <v>76</v>
      </c>
      <c r="AS10" s="144" t="s">
        <v>76</v>
      </c>
      <c r="AT10" s="144">
        <v>44922</v>
      </c>
      <c r="AU10" s="144" t="s">
        <v>76</v>
      </c>
      <c r="AV10" s="144" t="s">
        <v>76</v>
      </c>
      <c r="AW10" s="144">
        <v>44924</v>
      </c>
      <c r="AX10" s="144">
        <v>44924</v>
      </c>
      <c r="AY10" s="144" t="s">
        <v>76</v>
      </c>
      <c r="AZ10" s="144" t="s">
        <v>79</v>
      </c>
      <c r="BA10" s="150" t="s">
        <v>76</v>
      </c>
      <c r="BB10" s="143">
        <f t="shared" si="0"/>
        <v>24</v>
      </c>
      <c r="BC10" s="193" t="str">
        <f t="shared" si="1"/>
        <v>INDENIZAÇÃO</v>
      </c>
      <c r="BD10" s="193" t="str">
        <f t="shared" si="2"/>
        <v>NÃO</v>
      </c>
      <c r="BE10" s="193" t="s">
        <v>74</v>
      </c>
      <c r="BF10" s="193" t="s">
        <v>74</v>
      </c>
      <c r="BG10" s="193" t="s">
        <v>74</v>
      </c>
      <c r="BH10" s="193" t="s">
        <v>76</v>
      </c>
      <c r="BI10" s="193" t="s">
        <v>76</v>
      </c>
      <c r="BJ10" s="194">
        <v>45057</v>
      </c>
      <c r="BK10" s="193" t="s">
        <v>76</v>
      </c>
      <c r="BL10" s="195" t="s">
        <v>76</v>
      </c>
      <c r="CI10" s="151"/>
      <c r="DQ10" s="151"/>
    </row>
    <row r="11" spans="1:121" s="144" customFormat="1" ht="30" customHeight="1" x14ac:dyDescent="0.25">
      <c r="A11" s="143">
        <v>7</v>
      </c>
      <c r="B11" s="144" t="s">
        <v>64</v>
      </c>
      <c r="C11" s="143">
        <v>0</v>
      </c>
      <c r="D11" s="143">
        <v>0</v>
      </c>
      <c r="E11" s="143">
        <v>0</v>
      </c>
      <c r="F11" s="145" t="s">
        <v>110</v>
      </c>
      <c r="G11" s="144" t="s">
        <v>66</v>
      </c>
      <c r="H11" s="144" t="s">
        <v>67</v>
      </c>
      <c r="I11" s="144" t="s">
        <v>68</v>
      </c>
      <c r="J11" s="146" t="s">
        <v>111</v>
      </c>
      <c r="K11" s="155" t="s">
        <v>112</v>
      </c>
      <c r="L11" s="145" t="s">
        <v>113</v>
      </c>
      <c r="M11" s="148" t="s">
        <v>72</v>
      </c>
      <c r="N11" s="148" t="s">
        <v>73</v>
      </c>
      <c r="O11" s="144">
        <v>44900</v>
      </c>
      <c r="P11" s="144" t="s">
        <v>74</v>
      </c>
      <c r="Q11" s="144" t="s">
        <v>74</v>
      </c>
      <c r="R11" s="144" t="s">
        <v>74</v>
      </c>
      <c r="S11" s="144" t="s">
        <v>74</v>
      </c>
      <c r="T11" s="144" t="s">
        <v>74</v>
      </c>
      <c r="U11" s="144" t="s">
        <v>74</v>
      </c>
      <c r="V11" s="144" t="s">
        <v>74</v>
      </c>
      <c r="W11" s="144" t="s">
        <v>74</v>
      </c>
      <c r="X11" s="144" t="s">
        <v>74</v>
      </c>
      <c r="Y11" s="144" t="s">
        <v>74</v>
      </c>
      <c r="Z11" s="144" t="s">
        <v>74</v>
      </c>
      <c r="AB11" s="146" t="s">
        <v>111</v>
      </c>
      <c r="AC11" s="155" t="s">
        <v>112</v>
      </c>
      <c r="AD11" s="145" t="s">
        <v>113</v>
      </c>
      <c r="AE11" s="144" t="s">
        <v>68</v>
      </c>
      <c r="AF11" s="149">
        <v>73754.61</v>
      </c>
      <c r="AG11" s="149">
        <v>73754.61</v>
      </c>
      <c r="AH11" s="144" t="s">
        <v>75</v>
      </c>
      <c r="AI11" s="144" t="s">
        <v>76</v>
      </c>
      <c r="AJ11" s="144" t="s">
        <v>72</v>
      </c>
      <c r="AK11" s="144" t="s">
        <v>76</v>
      </c>
      <c r="AL11" s="144" t="s">
        <v>76</v>
      </c>
      <c r="AM11" s="144" t="s">
        <v>77</v>
      </c>
      <c r="AO11" s="145" t="s">
        <v>114</v>
      </c>
      <c r="AP11" s="144" t="s">
        <v>76</v>
      </c>
      <c r="AQ11" s="144" t="s">
        <v>76</v>
      </c>
      <c r="AR11" s="144" t="s">
        <v>76</v>
      </c>
      <c r="AS11" s="144" t="s">
        <v>76</v>
      </c>
      <c r="AT11" s="144">
        <v>44922</v>
      </c>
      <c r="AU11" s="144" t="s">
        <v>76</v>
      </c>
      <c r="AV11" s="144" t="s">
        <v>76</v>
      </c>
      <c r="AW11" s="144">
        <v>44924</v>
      </c>
      <c r="AX11" s="144">
        <v>44924</v>
      </c>
      <c r="AY11" s="144" t="s">
        <v>76</v>
      </c>
      <c r="AZ11" s="144" t="s">
        <v>79</v>
      </c>
      <c r="BA11" s="150" t="s">
        <v>76</v>
      </c>
      <c r="BB11" s="143">
        <f t="shared" si="0"/>
        <v>24</v>
      </c>
      <c r="BC11" s="193" t="str">
        <f t="shared" si="1"/>
        <v>INDENIZAÇÃO</v>
      </c>
      <c r="BD11" s="193" t="str">
        <f t="shared" si="2"/>
        <v>NÃO</v>
      </c>
      <c r="BE11" s="193" t="s">
        <v>74</v>
      </c>
      <c r="BF11" s="193" t="s">
        <v>74</v>
      </c>
      <c r="BG11" s="193" t="s">
        <v>74</v>
      </c>
      <c r="BH11" s="193" t="s">
        <v>76</v>
      </c>
      <c r="BI11" s="193" t="s">
        <v>76</v>
      </c>
      <c r="BJ11" s="144">
        <v>45057</v>
      </c>
      <c r="BK11" s="193" t="s">
        <v>76</v>
      </c>
      <c r="BL11" s="195" t="s">
        <v>76</v>
      </c>
      <c r="CI11" s="151"/>
      <c r="DQ11" s="151"/>
    </row>
    <row r="12" spans="1:121" s="144" customFormat="1" ht="30" customHeight="1" x14ac:dyDescent="0.25">
      <c r="A12" s="143">
        <v>8</v>
      </c>
      <c r="B12" s="144" t="s">
        <v>64</v>
      </c>
      <c r="C12" s="143">
        <v>0</v>
      </c>
      <c r="D12" s="143">
        <v>0</v>
      </c>
      <c r="E12" s="143">
        <v>0</v>
      </c>
      <c r="F12" s="145" t="s">
        <v>115</v>
      </c>
      <c r="G12" s="144" t="s">
        <v>66</v>
      </c>
      <c r="H12" s="144" t="s">
        <v>67</v>
      </c>
      <c r="I12" s="144" t="s">
        <v>68</v>
      </c>
      <c r="J12" s="146" t="s">
        <v>116</v>
      </c>
      <c r="K12" s="155" t="s">
        <v>117</v>
      </c>
      <c r="L12" s="145" t="s">
        <v>118</v>
      </c>
      <c r="M12" s="148" t="s">
        <v>72</v>
      </c>
      <c r="N12" s="148" t="s">
        <v>73</v>
      </c>
      <c r="O12" s="144">
        <v>44900</v>
      </c>
      <c r="P12" s="144" t="s">
        <v>74</v>
      </c>
      <c r="Q12" s="144" t="s">
        <v>74</v>
      </c>
      <c r="R12" s="144" t="s">
        <v>74</v>
      </c>
      <c r="S12" s="144" t="s">
        <v>74</v>
      </c>
      <c r="T12" s="144" t="s">
        <v>74</v>
      </c>
      <c r="U12" s="144" t="s">
        <v>74</v>
      </c>
      <c r="V12" s="144" t="s">
        <v>74</v>
      </c>
      <c r="W12" s="144" t="s">
        <v>74</v>
      </c>
      <c r="X12" s="144" t="s">
        <v>74</v>
      </c>
      <c r="Y12" s="144" t="s">
        <v>74</v>
      </c>
      <c r="Z12" s="144" t="s">
        <v>74</v>
      </c>
      <c r="AB12" s="146" t="s">
        <v>116</v>
      </c>
      <c r="AC12" s="155" t="s">
        <v>117</v>
      </c>
      <c r="AD12" s="145" t="s">
        <v>118</v>
      </c>
      <c r="AE12" s="144" t="s">
        <v>68</v>
      </c>
      <c r="AF12" s="149">
        <v>24471.11</v>
      </c>
      <c r="AG12" s="149">
        <v>54471.11</v>
      </c>
      <c r="AH12" s="144" t="s">
        <v>75</v>
      </c>
      <c r="AI12" s="144" t="s">
        <v>76</v>
      </c>
      <c r="AJ12" s="144" t="s">
        <v>72</v>
      </c>
      <c r="AK12" s="144" t="s">
        <v>76</v>
      </c>
      <c r="AL12" s="144" t="s">
        <v>76</v>
      </c>
      <c r="AM12" s="144" t="s">
        <v>77</v>
      </c>
      <c r="AO12" s="145" t="s">
        <v>119</v>
      </c>
      <c r="AP12" s="144" t="s">
        <v>76</v>
      </c>
      <c r="AQ12" s="144" t="s">
        <v>76</v>
      </c>
      <c r="AR12" s="144" t="s">
        <v>76</v>
      </c>
      <c r="AS12" s="144" t="s">
        <v>76</v>
      </c>
      <c r="AT12" s="144">
        <v>44922</v>
      </c>
      <c r="AU12" s="144" t="s">
        <v>76</v>
      </c>
      <c r="AV12" s="144" t="s">
        <v>76</v>
      </c>
      <c r="AW12" s="144">
        <v>44924</v>
      </c>
      <c r="AX12" s="144">
        <v>44924</v>
      </c>
      <c r="AY12" s="144" t="s">
        <v>76</v>
      </c>
      <c r="AZ12" s="144" t="s">
        <v>79</v>
      </c>
      <c r="BA12" s="150" t="s">
        <v>76</v>
      </c>
      <c r="BB12" s="143">
        <f t="shared" si="0"/>
        <v>24</v>
      </c>
      <c r="BC12" s="193" t="str">
        <f t="shared" si="1"/>
        <v>INDENIZAÇÃO</v>
      </c>
      <c r="BD12" s="193" t="str">
        <f t="shared" si="2"/>
        <v>NÃO</v>
      </c>
      <c r="BE12" s="193" t="s">
        <v>74</v>
      </c>
      <c r="BF12" s="193" t="s">
        <v>74</v>
      </c>
      <c r="BG12" s="193" t="s">
        <v>74</v>
      </c>
      <c r="BH12" s="193" t="s">
        <v>76</v>
      </c>
      <c r="BI12" s="193" t="s">
        <v>76</v>
      </c>
      <c r="BJ12" s="144">
        <v>45190</v>
      </c>
      <c r="BK12" s="193" t="s">
        <v>76</v>
      </c>
      <c r="BL12" s="195" t="s">
        <v>76</v>
      </c>
      <c r="CI12" s="151"/>
      <c r="DQ12" s="151"/>
    </row>
    <row r="13" spans="1:121" s="156" customFormat="1" ht="30" customHeight="1" x14ac:dyDescent="0.25">
      <c r="A13" s="143">
        <v>9</v>
      </c>
      <c r="B13" s="144" t="s">
        <v>64</v>
      </c>
      <c r="C13" s="143">
        <v>0</v>
      </c>
      <c r="D13" s="143">
        <v>0</v>
      </c>
      <c r="E13" s="143">
        <v>0</v>
      </c>
      <c r="F13" s="145" t="s">
        <v>120</v>
      </c>
      <c r="G13" s="144" t="s">
        <v>66</v>
      </c>
      <c r="H13" s="144" t="s">
        <v>67</v>
      </c>
      <c r="I13" s="144" t="s">
        <v>68</v>
      </c>
      <c r="J13" s="146" t="s">
        <v>121</v>
      </c>
      <c r="K13" s="155" t="s">
        <v>122</v>
      </c>
      <c r="L13" s="145" t="s">
        <v>123</v>
      </c>
      <c r="M13" s="148" t="s">
        <v>72</v>
      </c>
      <c r="N13" s="148" t="s">
        <v>73</v>
      </c>
      <c r="O13" s="144">
        <v>44900</v>
      </c>
      <c r="P13" s="144" t="s">
        <v>74</v>
      </c>
      <c r="Q13" s="144" t="s">
        <v>74</v>
      </c>
      <c r="R13" s="144" t="s">
        <v>74</v>
      </c>
      <c r="S13" s="144" t="s">
        <v>74</v>
      </c>
      <c r="T13" s="144" t="s">
        <v>74</v>
      </c>
      <c r="U13" s="144" t="s">
        <v>74</v>
      </c>
      <c r="V13" s="144" t="s">
        <v>74</v>
      </c>
      <c r="W13" s="144" t="s">
        <v>74</v>
      </c>
      <c r="X13" s="144" t="s">
        <v>74</v>
      </c>
      <c r="Y13" s="144" t="s">
        <v>74</v>
      </c>
      <c r="Z13" s="144" t="s">
        <v>74</v>
      </c>
      <c r="AA13" s="144"/>
      <c r="AB13" s="146" t="s">
        <v>121</v>
      </c>
      <c r="AC13" s="155" t="s">
        <v>122</v>
      </c>
      <c r="AD13" s="145" t="s">
        <v>123</v>
      </c>
      <c r="AE13" s="144" t="s">
        <v>68</v>
      </c>
      <c r="AF13" s="149">
        <v>59672.95</v>
      </c>
      <c r="AG13" s="149">
        <v>60000</v>
      </c>
      <c r="AH13" s="144" t="s">
        <v>75</v>
      </c>
      <c r="AI13" s="144" t="s">
        <v>76</v>
      </c>
      <c r="AJ13" s="144" t="s">
        <v>72</v>
      </c>
      <c r="AK13" s="144" t="s">
        <v>76</v>
      </c>
      <c r="AL13" s="144" t="s">
        <v>76</v>
      </c>
      <c r="AM13" s="144" t="s">
        <v>77</v>
      </c>
      <c r="AN13" s="144"/>
      <c r="AO13" s="145" t="s">
        <v>124</v>
      </c>
      <c r="AP13" s="144" t="s">
        <v>76</v>
      </c>
      <c r="AQ13" s="144" t="s">
        <v>76</v>
      </c>
      <c r="AR13" s="144" t="s">
        <v>76</v>
      </c>
      <c r="AS13" s="144" t="s">
        <v>76</v>
      </c>
      <c r="AT13" s="144">
        <v>44922</v>
      </c>
      <c r="AU13" s="144" t="s">
        <v>76</v>
      </c>
      <c r="AV13" s="144" t="s">
        <v>76</v>
      </c>
      <c r="AW13" s="144">
        <v>44959</v>
      </c>
      <c r="AX13" s="144">
        <v>44959</v>
      </c>
      <c r="AY13" s="144" t="s">
        <v>76</v>
      </c>
      <c r="AZ13" s="144" t="s">
        <v>79</v>
      </c>
      <c r="BA13" s="150" t="s">
        <v>76</v>
      </c>
      <c r="BB13" s="143">
        <f t="shared" si="0"/>
        <v>59</v>
      </c>
      <c r="BC13" s="193" t="str">
        <f t="shared" si="1"/>
        <v>INDENIZAÇÃO</v>
      </c>
      <c r="BD13" s="193" t="str">
        <f t="shared" si="2"/>
        <v>NÃO</v>
      </c>
      <c r="BE13" s="193" t="s">
        <v>74</v>
      </c>
      <c r="BF13" s="193" t="s">
        <v>74</v>
      </c>
      <c r="BG13" s="193" t="s">
        <v>74</v>
      </c>
      <c r="BH13" s="193" t="s">
        <v>76</v>
      </c>
      <c r="BI13" s="193" t="s">
        <v>76</v>
      </c>
      <c r="BJ13" s="144">
        <v>45190</v>
      </c>
      <c r="BK13" s="193" t="s">
        <v>76</v>
      </c>
      <c r="BL13" s="195" t="s">
        <v>76</v>
      </c>
      <c r="BM13" s="144"/>
      <c r="BN13" s="144"/>
      <c r="BO13" s="144"/>
      <c r="BP13" s="144"/>
      <c r="BQ13" s="144"/>
      <c r="BR13" s="144"/>
      <c r="BS13" s="144"/>
      <c r="BT13" s="144"/>
      <c r="BU13" s="144"/>
      <c r="BV13" s="144"/>
      <c r="BW13" s="144"/>
      <c r="BX13" s="144"/>
      <c r="BY13" s="144"/>
      <c r="BZ13" s="144"/>
      <c r="CA13" s="144"/>
      <c r="CB13" s="144"/>
      <c r="CC13" s="144"/>
      <c r="CD13" s="144"/>
      <c r="CE13" s="144"/>
      <c r="CF13" s="144"/>
      <c r="CG13" s="144"/>
      <c r="CH13" s="144"/>
      <c r="CI13" s="151"/>
      <c r="CJ13" s="144"/>
      <c r="CK13" s="144"/>
      <c r="CL13" s="144"/>
      <c r="CM13" s="144"/>
      <c r="CN13" s="144"/>
      <c r="CO13" s="144"/>
      <c r="CP13" s="144"/>
      <c r="CQ13" s="144"/>
      <c r="CR13" s="144"/>
      <c r="CS13" s="144"/>
      <c r="CT13" s="144"/>
      <c r="CU13" s="144"/>
      <c r="CV13" s="144"/>
      <c r="CW13" s="144"/>
      <c r="CX13" s="144"/>
      <c r="CY13" s="144"/>
      <c r="CZ13" s="144"/>
      <c r="DA13" s="144"/>
      <c r="DB13" s="144"/>
      <c r="DQ13" s="157"/>
    </row>
    <row r="14" spans="1:121" s="156" customFormat="1" ht="30" customHeight="1" x14ac:dyDescent="0.25">
      <c r="A14" s="143">
        <v>10</v>
      </c>
      <c r="B14" s="144" t="s">
        <v>64</v>
      </c>
      <c r="C14" s="143">
        <v>0</v>
      </c>
      <c r="D14" s="143">
        <v>0</v>
      </c>
      <c r="E14" s="143">
        <v>0</v>
      </c>
      <c r="F14" s="145" t="s">
        <v>125</v>
      </c>
      <c r="G14" s="144" t="s">
        <v>66</v>
      </c>
      <c r="H14" s="144" t="s">
        <v>67</v>
      </c>
      <c r="I14" s="144" t="s">
        <v>68</v>
      </c>
      <c r="J14" s="146" t="s">
        <v>126</v>
      </c>
      <c r="K14" s="155" t="s">
        <v>127</v>
      </c>
      <c r="L14" s="145" t="s">
        <v>128</v>
      </c>
      <c r="M14" s="148" t="s">
        <v>72</v>
      </c>
      <c r="N14" s="148" t="s">
        <v>73</v>
      </c>
      <c r="O14" s="144">
        <v>44900</v>
      </c>
      <c r="P14" s="144" t="s">
        <v>74</v>
      </c>
      <c r="Q14" s="144" t="s">
        <v>74</v>
      </c>
      <c r="R14" s="144" t="s">
        <v>74</v>
      </c>
      <c r="S14" s="144" t="s">
        <v>74</v>
      </c>
      <c r="T14" s="144" t="s">
        <v>74</v>
      </c>
      <c r="U14" s="144" t="s">
        <v>74</v>
      </c>
      <c r="V14" s="144" t="s">
        <v>74</v>
      </c>
      <c r="W14" s="144" t="s">
        <v>74</v>
      </c>
      <c r="X14" s="144" t="s">
        <v>74</v>
      </c>
      <c r="Y14" s="144" t="s">
        <v>74</v>
      </c>
      <c r="Z14" s="144" t="s">
        <v>74</v>
      </c>
      <c r="AA14" s="144"/>
      <c r="AB14" s="146" t="s">
        <v>126</v>
      </c>
      <c r="AC14" s="155" t="s">
        <v>127</v>
      </c>
      <c r="AD14" s="145" t="s">
        <v>128</v>
      </c>
      <c r="AE14" s="144" t="s">
        <v>68</v>
      </c>
      <c r="AF14" s="149">
        <v>31033.73</v>
      </c>
      <c r="AG14" s="149">
        <v>60000</v>
      </c>
      <c r="AH14" s="144" t="s">
        <v>75</v>
      </c>
      <c r="AI14" s="144" t="s">
        <v>76</v>
      </c>
      <c r="AJ14" s="144" t="s">
        <v>72</v>
      </c>
      <c r="AK14" s="144" t="s">
        <v>76</v>
      </c>
      <c r="AL14" s="144" t="s">
        <v>76</v>
      </c>
      <c r="AM14" s="144" t="s">
        <v>77</v>
      </c>
      <c r="AN14" s="144"/>
      <c r="AO14" s="145" t="s">
        <v>129</v>
      </c>
      <c r="AP14" s="144" t="s">
        <v>76</v>
      </c>
      <c r="AQ14" s="144" t="s">
        <v>76</v>
      </c>
      <c r="AR14" s="144" t="s">
        <v>76</v>
      </c>
      <c r="AS14" s="144" t="s">
        <v>76</v>
      </c>
      <c r="AT14" s="144">
        <v>44922</v>
      </c>
      <c r="AU14" s="144" t="s">
        <v>76</v>
      </c>
      <c r="AV14" s="144" t="s">
        <v>76</v>
      </c>
      <c r="AW14" s="144">
        <v>44924</v>
      </c>
      <c r="AX14" s="144">
        <v>44924</v>
      </c>
      <c r="AY14" s="144" t="s">
        <v>76</v>
      </c>
      <c r="AZ14" s="144" t="s">
        <v>79</v>
      </c>
      <c r="BA14" s="150" t="s">
        <v>76</v>
      </c>
      <c r="BB14" s="143">
        <f t="shared" si="0"/>
        <v>24</v>
      </c>
      <c r="BC14" s="193" t="str">
        <f t="shared" si="1"/>
        <v>INDENIZAÇÃO</v>
      </c>
      <c r="BD14" s="193" t="str">
        <f t="shared" si="2"/>
        <v>NÃO</v>
      </c>
      <c r="BE14" s="193" t="s">
        <v>74</v>
      </c>
      <c r="BF14" s="193" t="s">
        <v>74</v>
      </c>
      <c r="BG14" s="193" t="s">
        <v>74</v>
      </c>
      <c r="BH14" s="193" t="s">
        <v>76</v>
      </c>
      <c r="BI14" s="193" t="s">
        <v>76</v>
      </c>
      <c r="BJ14" s="194">
        <v>45190</v>
      </c>
      <c r="BK14" s="193" t="s">
        <v>76</v>
      </c>
      <c r="BL14" s="195" t="s">
        <v>76</v>
      </c>
      <c r="BM14" s="144"/>
      <c r="BN14" s="144"/>
      <c r="BO14" s="144"/>
      <c r="BP14" s="144"/>
      <c r="BQ14" s="144"/>
      <c r="BR14" s="144"/>
      <c r="BS14" s="144"/>
      <c r="BT14" s="144"/>
      <c r="BU14" s="144"/>
      <c r="BV14" s="144"/>
      <c r="BW14" s="144"/>
      <c r="BX14" s="144"/>
      <c r="BY14" s="144"/>
      <c r="BZ14" s="144"/>
      <c r="CA14" s="144"/>
      <c r="CB14" s="144"/>
      <c r="CC14" s="144"/>
      <c r="CD14" s="144"/>
      <c r="CE14" s="144"/>
      <c r="CF14" s="144"/>
      <c r="CG14" s="144"/>
      <c r="CH14" s="144"/>
      <c r="CI14" s="151"/>
      <c r="CJ14" s="144"/>
      <c r="CK14" s="144"/>
      <c r="CL14" s="144"/>
      <c r="CM14" s="144"/>
      <c r="CN14" s="144"/>
      <c r="CO14" s="144"/>
      <c r="CP14" s="144"/>
      <c r="CQ14" s="144"/>
      <c r="CR14" s="144"/>
      <c r="CS14" s="144"/>
      <c r="CT14" s="144"/>
      <c r="CU14" s="144"/>
      <c r="CV14" s="144"/>
      <c r="CW14" s="144"/>
      <c r="CX14" s="144"/>
      <c r="CY14" s="144"/>
      <c r="CZ14" s="144"/>
      <c r="DA14" s="144"/>
      <c r="DB14" s="144"/>
      <c r="DQ14" s="157"/>
    </row>
    <row r="15" spans="1:121" s="156" customFormat="1" ht="30" customHeight="1" x14ac:dyDescent="0.25">
      <c r="A15" s="143">
        <v>11</v>
      </c>
      <c r="B15" s="144" t="s">
        <v>64</v>
      </c>
      <c r="C15" s="143">
        <v>0</v>
      </c>
      <c r="D15" s="143">
        <v>0</v>
      </c>
      <c r="E15" s="143">
        <v>0</v>
      </c>
      <c r="F15" s="145" t="s">
        <v>130</v>
      </c>
      <c r="G15" s="144" t="s">
        <v>66</v>
      </c>
      <c r="H15" s="144" t="s">
        <v>67</v>
      </c>
      <c r="I15" s="144" t="s">
        <v>68</v>
      </c>
      <c r="J15" s="146" t="s">
        <v>131</v>
      </c>
      <c r="K15" s="155" t="s">
        <v>132</v>
      </c>
      <c r="L15" s="145" t="s">
        <v>133</v>
      </c>
      <c r="M15" s="148" t="s">
        <v>72</v>
      </c>
      <c r="N15" s="148" t="s">
        <v>73</v>
      </c>
      <c r="O15" s="144">
        <v>44900</v>
      </c>
      <c r="P15" s="144" t="s">
        <v>74</v>
      </c>
      <c r="Q15" s="144" t="s">
        <v>74</v>
      </c>
      <c r="R15" s="144" t="s">
        <v>74</v>
      </c>
      <c r="S15" s="144" t="s">
        <v>74</v>
      </c>
      <c r="T15" s="144" t="s">
        <v>74</v>
      </c>
      <c r="U15" s="144" t="s">
        <v>74</v>
      </c>
      <c r="V15" s="144" t="s">
        <v>74</v>
      </c>
      <c r="W15" s="144" t="s">
        <v>74</v>
      </c>
      <c r="X15" s="144" t="s">
        <v>74</v>
      </c>
      <c r="Y15" s="144" t="s">
        <v>74</v>
      </c>
      <c r="Z15" s="144" t="s">
        <v>74</v>
      </c>
      <c r="AA15" s="144"/>
      <c r="AB15" s="146" t="s">
        <v>131</v>
      </c>
      <c r="AC15" s="155" t="s">
        <v>132</v>
      </c>
      <c r="AD15" s="145" t="s">
        <v>133</v>
      </c>
      <c r="AE15" s="144" t="s">
        <v>68</v>
      </c>
      <c r="AF15" s="149">
        <v>30791.85</v>
      </c>
      <c r="AG15" s="149">
        <v>60000</v>
      </c>
      <c r="AH15" s="144" t="s">
        <v>75</v>
      </c>
      <c r="AI15" s="144" t="s">
        <v>76</v>
      </c>
      <c r="AJ15" s="144" t="s">
        <v>72</v>
      </c>
      <c r="AK15" s="144" t="s">
        <v>76</v>
      </c>
      <c r="AL15" s="144" t="s">
        <v>76</v>
      </c>
      <c r="AM15" s="144" t="s">
        <v>77</v>
      </c>
      <c r="AN15" s="144"/>
      <c r="AO15" s="145" t="s">
        <v>134</v>
      </c>
      <c r="AP15" s="144" t="s">
        <v>76</v>
      </c>
      <c r="AQ15" s="144" t="s">
        <v>76</v>
      </c>
      <c r="AR15" s="144" t="s">
        <v>76</v>
      </c>
      <c r="AS15" s="144" t="s">
        <v>76</v>
      </c>
      <c r="AT15" s="144">
        <v>44922</v>
      </c>
      <c r="AU15" s="144" t="s">
        <v>76</v>
      </c>
      <c r="AV15" s="144" t="s">
        <v>76</v>
      </c>
      <c r="AW15" s="144">
        <v>44924</v>
      </c>
      <c r="AX15" s="144">
        <v>44924</v>
      </c>
      <c r="AY15" s="144" t="s">
        <v>76</v>
      </c>
      <c r="AZ15" s="144" t="s">
        <v>79</v>
      </c>
      <c r="BA15" s="150" t="s">
        <v>76</v>
      </c>
      <c r="BB15" s="143">
        <f t="shared" si="0"/>
        <v>24</v>
      </c>
      <c r="BC15" s="193" t="str">
        <f t="shared" si="1"/>
        <v>INDENIZAÇÃO</v>
      </c>
      <c r="BD15" s="193" t="str">
        <f t="shared" si="2"/>
        <v>NÃO</v>
      </c>
      <c r="BE15" s="193" t="s">
        <v>74</v>
      </c>
      <c r="BF15" s="193" t="s">
        <v>74</v>
      </c>
      <c r="BG15" s="193" t="s">
        <v>74</v>
      </c>
      <c r="BH15" s="193" t="s">
        <v>76</v>
      </c>
      <c r="BI15" s="193" t="s">
        <v>76</v>
      </c>
      <c r="BJ15" s="194">
        <v>45190</v>
      </c>
      <c r="BK15" s="193" t="s">
        <v>76</v>
      </c>
      <c r="BL15" s="195" t="s">
        <v>76</v>
      </c>
      <c r="BM15" s="144"/>
      <c r="BN15" s="144"/>
      <c r="BO15" s="144"/>
      <c r="BP15" s="144"/>
      <c r="BQ15" s="144"/>
      <c r="BR15" s="144"/>
      <c r="BS15" s="144"/>
      <c r="BT15" s="144"/>
      <c r="BU15" s="144"/>
      <c r="BV15" s="144"/>
      <c r="BW15" s="144"/>
      <c r="BX15" s="144"/>
      <c r="BY15" s="144"/>
      <c r="BZ15" s="144"/>
      <c r="CA15" s="144"/>
      <c r="CB15" s="144"/>
      <c r="CC15" s="144"/>
      <c r="CD15" s="144"/>
      <c r="CE15" s="144"/>
      <c r="CF15" s="144"/>
      <c r="CG15" s="144"/>
      <c r="CH15" s="144"/>
      <c r="CI15" s="151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144"/>
      <c r="CW15" s="144"/>
      <c r="CX15" s="144"/>
      <c r="CY15" s="144"/>
      <c r="CZ15" s="144"/>
      <c r="DA15" s="144"/>
      <c r="DB15" s="144"/>
      <c r="DQ15" s="157"/>
    </row>
    <row r="16" spans="1:121" s="144" customFormat="1" ht="30" customHeight="1" x14ac:dyDescent="0.25">
      <c r="A16" s="143">
        <v>12</v>
      </c>
      <c r="B16" s="144" t="s">
        <v>64</v>
      </c>
      <c r="C16" s="143">
        <v>0</v>
      </c>
      <c r="D16" s="143">
        <v>0</v>
      </c>
      <c r="E16" s="143">
        <v>0</v>
      </c>
      <c r="F16" s="145" t="s">
        <v>135</v>
      </c>
      <c r="G16" s="144" t="s">
        <v>66</v>
      </c>
      <c r="H16" s="144" t="s">
        <v>67</v>
      </c>
      <c r="I16" s="144" t="s">
        <v>68</v>
      </c>
      <c r="J16" s="146" t="s">
        <v>136</v>
      </c>
      <c r="K16" s="155" t="s">
        <v>137</v>
      </c>
      <c r="L16" s="145" t="s">
        <v>138</v>
      </c>
      <c r="M16" s="148" t="s">
        <v>72</v>
      </c>
      <c r="N16" s="148" t="s">
        <v>73</v>
      </c>
      <c r="O16" s="144">
        <v>44900</v>
      </c>
      <c r="P16" s="144" t="s">
        <v>74</v>
      </c>
      <c r="Q16" s="144" t="s">
        <v>74</v>
      </c>
      <c r="R16" s="144" t="s">
        <v>74</v>
      </c>
      <c r="S16" s="144" t="s">
        <v>74</v>
      </c>
      <c r="T16" s="144" t="s">
        <v>74</v>
      </c>
      <c r="U16" s="144" t="s">
        <v>74</v>
      </c>
      <c r="V16" s="144" t="s">
        <v>74</v>
      </c>
      <c r="W16" s="144" t="s">
        <v>74</v>
      </c>
      <c r="X16" s="144" t="s">
        <v>74</v>
      </c>
      <c r="Y16" s="144" t="s">
        <v>74</v>
      </c>
      <c r="Z16" s="144" t="s">
        <v>74</v>
      </c>
      <c r="AB16" s="146" t="s">
        <v>136</v>
      </c>
      <c r="AC16" s="155" t="s">
        <v>137</v>
      </c>
      <c r="AD16" s="145" t="s">
        <v>138</v>
      </c>
      <c r="AE16" s="144" t="s">
        <v>68</v>
      </c>
      <c r="AF16" s="149">
        <v>15637.66</v>
      </c>
      <c r="AG16" s="149">
        <v>45637.66</v>
      </c>
      <c r="AH16" s="144" t="s">
        <v>75</v>
      </c>
      <c r="AI16" s="144" t="s">
        <v>76</v>
      </c>
      <c r="AJ16" s="144" t="s">
        <v>72</v>
      </c>
      <c r="AK16" s="144" t="s">
        <v>76</v>
      </c>
      <c r="AL16" s="144" t="s">
        <v>76</v>
      </c>
      <c r="AM16" s="144" t="s">
        <v>77</v>
      </c>
      <c r="AO16" s="145" t="s">
        <v>139</v>
      </c>
      <c r="AP16" s="144" t="s">
        <v>76</v>
      </c>
      <c r="AQ16" s="144" t="s">
        <v>76</v>
      </c>
      <c r="AR16" s="144" t="s">
        <v>76</v>
      </c>
      <c r="AS16" s="144" t="s">
        <v>76</v>
      </c>
      <c r="AT16" s="144">
        <v>44922</v>
      </c>
      <c r="AU16" s="144" t="s">
        <v>76</v>
      </c>
      <c r="AV16" s="144" t="s">
        <v>76</v>
      </c>
      <c r="AW16" s="144">
        <v>44949</v>
      </c>
      <c r="AX16" s="144">
        <v>44949</v>
      </c>
      <c r="AY16" s="144" t="s">
        <v>76</v>
      </c>
      <c r="AZ16" s="144" t="s">
        <v>79</v>
      </c>
      <c r="BA16" s="150" t="s">
        <v>76</v>
      </c>
      <c r="BB16" s="143">
        <f t="shared" si="0"/>
        <v>49</v>
      </c>
      <c r="BC16" s="193" t="str">
        <f t="shared" si="1"/>
        <v>INDENIZAÇÃO</v>
      </c>
      <c r="BD16" s="193" t="str">
        <f t="shared" si="2"/>
        <v>NÃO</v>
      </c>
      <c r="BE16" s="196" t="s">
        <v>74</v>
      </c>
      <c r="BF16" s="196" t="s">
        <v>74</v>
      </c>
      <c r="BG16" s="196" t="s">
        <v>74</v>
      </c>
      <c r="BH16" s="193" t="s">
        <v>76</v>
      </c>
      <c r="BI16" s="193" t="s">
        <v>76</v>
      </c>
      <c r="BJ16" s="194">
        <v>45190</v>
      </c>
      <c r="BK16" s="193" t="s">
        <v>76</v>
      </c>
      <c r="BL16" s="195" t="s">
        <v>76</v>
      </c>
      <c r="CI16" s="151"/>
      <c r="DQ16" s="151"/>
    </row>
    <row r="17" spans="1:121" s="144" customFormat="1" ht="30" customHeight="1" x14ac:dyDescent="0.25">
      <c r="A17" s="143">
        <v>13</v>
      </c>
      <c r="B17" s="144" t="s">
        <v>64</v>
      </c>
      <c r="C17" s="143">
        <v>0</v>
      </c>
      <c r="D17" s="143">
        <v>0</v>
      </c>
      <c r="E17" s="143">
        <v>0</v>
      </c>
      <c r="F17" s="145" t="s">
        <v>140</v>
      </c>
      <c r="G17" s="144" t="s">
        <v>66</v>
      </c>
      <c r="H17" s="144" t="s">
        <v>67</v>
      </c>
      <c r="I17" s="144" t="s">
        <v>68</v>
      </c>
      <c r="J17" s="146" t="s">
        <v>141</v>
      </c>
      <c r="K17" s="155" t="s">
        <v>142</v>
      </c>
      <c r="L17" s="145" t="s">
        <v>143</v>
      </c>
      <c r="M17" s="148" t="s">
        <v>72</v>
      </c>
      <c r="N17" s="148" t="s">
        <v>73</v>
      </c>
      <c r="O17" s="144">
        <v>44900</v>
      </c>
      <c r="P17" s="144" t="s">
        <v>74</v>
      </c>
      <c r="Q17" s="144" t="s">
        <v>74</v>
      </c>
      <c r="R17" s="144" t="s">
        <v>74</v>
      </c>
      <c r="S17" s="144" t="s">
        <v>74</v>
      </c>
      <c r="T17" s="144" t="s">
        <v>74</v>
      </c>
      <c r="U17" s="144" t="s">
        <v>74</v>
      </c>
      <c r="V17" s="144" t="s">
        <v>74</v>
      </c>
      <c r="W17" s="144" t="s">
        <v>74</v>
      </c>
      <c r="X17" s="144" t="s">
        <v>74</v>
      </c>
      <c r="Y17" s="144" t="s">
        <v>74</v>
      </c>
      <c r="Z17" s="144" t="s">
        <v>74</v>
      </c>
      <c r="AB17" s="146" t="s">
        <v>141</v>
      </c>
      <c r="AC17" s="155" t="s">
        <v>142</v>
      </c>
      <c r="AD17" s="145" t="s">
        <v>143</v>
      </c>
      <c r="AE17" s="144" t="s">
        <v>68</v>
      </c>
      <c r="AF17" s="149">
        <v>56727.839999999997</v>
      </c>
      <c r="AG17" s="149">
        <v>60000</v>
      </c>
      <c r="AH17" s="144" t="s">
        <v>75</v>
      </c>
      <c r="AI17" s="144" t="s">
        <v>76</v>
      </c>
      <c r="AJ17" s="144" t="s">
        <v>72</v>
      </c>
      <c r="AK17" s="144" t="s">
        <v>76</v>
      </c>
      <c r="AL17" s="144" t="s">
        <v>76</v>
      </c>
      <c r="AM17" s="144" t="s">
        <v>77</v>
      </c>
      <c r="AO17" s="145" t="s">
        <v>144</v>
      </c>
      <c r="AP17" s="144" t="s">
        <v>76</v>
      </c>
      <c r="AQ17" s="144" t="s">
        <v>76</v>
      </c>
      <c r="AR17" s="144" t="s">
        <v>76</v>
      </c>
      <c r="AS17" s="144" t="s">
        <v>76</v>
      </c>
      <c r="AT17" s="144">
        <v>44922</v>
      </c>
      <c r="AU17" s="144" t="s">
        <v>76</v>
      </c>
      <c r="AV17" s="144" t="s">
        <v>76</v>
      </c>
      <c r="AW17" s="144">
        <v>45016</v>
      </c>
      <c r="AX17" s="144">
        <v>45016</v>
      </c>
      <c r="AY17" s="144" t="s">
        <v>76</v>
      </c>
      <c r="AZ17" s="144" t="s">
        <v>79</v>
      </c>
      <c r="BA17" s="150" t="s">
        <v>76</v>
      </c>
      <c r="BB17" s="143">
        <f t="shared" si="0"/>
        <v>116</v>
      </c>
      <c r="BC17" s="193" t="str">
        <f t="shared" si="1"/>
        <v>INDENIZAÇÃO</v>
      </c>
      <c r="BD17" s="193" t="str">
        <f t="shared" si="2"/>
        <v>NÃO</v>
      </c>
      <c r="BE17" s="193" t="s">
        <v>74</v>
      </c>
      <c r="BF17" s="193" t="s">
        <v>74</v>
      </c>
      <c r="BG17" s="193" t="s">
        <v>74</v>
      </c>
      <c r="BH17" s="193" t="s">
        <v>76</v>
      </c>
      <c r="BI17" s="193" t="s">
        <v>76</v>
      </c>
      <c r="BJ17" s="194">
        <v>45190</v>
      </c>
      <c r="BK17" s="193" t="s">
        <v>76</v>
      </c>
      <c r="BL17" s="195" t="s">
        <v>76</v>
      </c>
      <c r="CI17" s="151"/>
      <c r="DQ17" s="151"/>
    </row>
    <row r="18" spans="1:121" s="144" customFormat="1" ht="30" customHeight="1" x14ac:dyDescent="0.25">
      <c r="A18" s="143">
        <v>14</v>
      </c>
      <c r="B18" s="144" t="s">
        <v>64</v>
      </c>
      <c r="C18" s="143">
        <v>0</v>
      </c>
      <c r="D18" s="143">
        <v>0</v>
      </c>
      <c r="E18" s="143">
        <v>0</v>
      </c>
      <c r="F18" s="145" t="s">
        <v>145</v>
      </c>
      <c r="G18" s="144" t="s">
        <v>66</v>
      </c>
      <c r="H18" s="144" t="s">
        <v>67</v>
      </c>
      <c r="I18" s="144" t="s">
        <v>68</v>
      </c>
      <c r="J18" s="146" t="s">
        <v>146</v>
      </c>
      <c r="K18" s="155" t="s">
        <v>147</v>
      </c>
      <c r="L18" s="145" t="s">
        <v>148</v>
      </c>
      <c r="M18" s="148" t="s">
        <v>72</v>
      </c>
      <c r="N18" s="148" t="s">
        <v>73</v>
      </c>
      <c r="O18" s="144">
        <v>44900</v>
      </c>
      <c r="P18" s="144" t="s">
        <v>74</v>
      </c>
      <c r="Q18" s="144" t="s">
        <v>74</v>
      </c>
      <c r="R18" s="144" t="s">
        <v>74</v>
      </c>
      <c r="S18" s="144" t="s">
        <v>74</v>
      </c>
      <c r="T18" s="144" t="s">
        <v>74</v>
      </c>
      <c r="U18" s="144" t="s">
        <v>74</v>
      </c>
      <c r="V18" s="144" t="s">
        <v>74</v>
      </c>
      <c r="W18" s="144" t="s">
        <v>74</v>
      </c>
      <c r="X18" s="144" t="s">
        <v>74</v>
      </c>
      <c r="Y18" s="144" t="s">
        <v>74</v>
      </c>
      <c r="Z18" s="144" t="s">
        <v>74</v>
      </c>
      <c r="AB18" s="146" t="s">
        <v>146</v>
      </c>
      <c r="AC18" s="155" t="s">
        <v>147</v>
      </c>
      <c r="AD18" s="145" t="s">
        <v>148</v>
      </c>
      <c r="AE18" s="144" t="s">
        <v>68</v>
      </c>
      <c r="AF18" s="149">
        <v>46360.39</v>
      </c>
      <c r="AG18" s="149">
        <v>60000</v>
      </c>
      <c r="AH18" s="144" t="s">
        <v>75</v>
      </c>
      <c r="AI18" s="144" t="s">
        <v>76</v>
      </c>
      <c r="AJ18" s="144" t="s">
        <v>72</v>
      </c>
      <c r="AK18" s="144" t="s">
        <v>76</v>
      </c>
      <c r="AL18" s="144" t="s">
        <v>76</v>
      </c>
      <c r="AM18" s="144" t="s">
        <v>77</v>
      </c>
      <c r="AO18" s="145" t="s">
        <v>149</v>
      </c>
      <c r="AP18" s="144" t="s">
        <v>76</v>
      </c>
      <c r="AQ18" s="144" t="s">
        <v>76</v>
      </c>
      <c r="AR18" s="144" t="s">
        <v>76</v>
      </c>
      <c r="AS18" s="144" t="s">
        <v>76</v>
      </c>
      <c r="AT18" s="144">
        <v>44922</v>
      </c>
      <c r="AU18" s="144" t="s">
        <v>76</v>
      </c>
      <c r="AV18" s="144" t="s">
        <v>76</v>
      </c>
      <c r="AW18" s="144">
        <v>44924</v>
      </c>
      <c r="AX18" s="144">
        <v>44924</v>
      </c>
      <c r="AY18" s="144" t="s">
        <v>76</v>
      </c>
      <c r="AZ18" s="144" t="s">
        <v>79</v>
      </c>
      <c r="BA18" s="150" t="s">
        <v>76</v>
      </c>
      <c r="BB18" s="143">
        <f t="shared" si="0"/>
        <v>24</v>
      </c>
      <c r="BC18" s="193" t="str">
        <f t="shared" si="1"/>
        <v>INDENIZAÇÃO</v>
      </c>
      <c r="BD18" s="193" t="str">
        <f t="shared" si="2"/>
        <v>NÃO</v>
      </c>
      <c r="BE18" s="193" t="s">
        <v>74</v>
      </c>
      <c r="BF18" s="193" t="s">
        <v>74</v>
      </c>
      <c r="BG18" s="193" t="s">
        <v>74</v>
      </c>
      <c r="BH18" s="193" t="s">
        <v>76</v>
      </c>
      <c r="BI18" s="193" t="s">
        <v>76</v>
      </c>
      <c r="BJ18" s="194">
        <v>45057</v>
      </c>
      <c r="BK18" s="193" t="s">
        <v>76</v>
      </c>
      <c r="BL18" s="195" t="s">
        <v>76</v>
      </c>
      <c r="CI18" s="151"/>
      <c r="DQ18" s="151"/>
    </row>
    <row r="19" spans="1:121" s="144" customFormat="1" ht="30" customHeight="1" x14ac:dyDescent="0.25">
      <c r="A19" s="143">
        <v>15</v>
      </c>
      <c r="B19" s="144" t="s">
        <v>64</v>
      </c>
      <c r="C19" s="143">
        <v>0</v>
      </c>
      <c r="D19" s="143">
        <v>0</v>
      </c>
      <c r="E19" s="143">
        <v>0</v>
      </c>
      <c r="F19" s="145" t="s">
        <v>150</v>
      </c>
      <c r="G19" s="144" t="s">
        <v>66</v>
      </c>
      <c r="H19" s="144" t="s">
        <v>67</v>
      </c>
      <c r="I19" s="144" t="s">
        <v>68</v>
      </c>
      <c r="J19" s="146" t="s">
        <v>151</v>
      </c>
      <c r="K19" s="147" t="s">
        <v>152</v>
      </c>
      <c r="L19" s="145" t="s">
        <v>153</v>
      </c>
      <c r="M19" s="148" t="s">
        <v>72</v>
      </c>
      <c r="N19" s="148" t="s">
        <v>73</v>
      </c>
      <c r="O19" s="144">
        <v>44900</v>
      </c>
      <c r="P19" s="144" t="s">
        <v>74</v>
      </c>
      <c r="Q19" s="144" t="s">
        <v>74</v>
      </c>
      <c r="R19" s="144" t="s">
        <v>74</v>
      </c>
      <c r="S19" s="144" t="s">
        <v>74</v>
      </c>
      <c r="T19" s="144" t="s">
        <v>74</v>
      </c>
      <c r="U19" s="144" t="s">
        <v>74</v>
      </c>
      <c r="V19" s="144" t="s">
        <v>74</v>
      </c>
      <c r="W19" s="144" t="s">
        <v>74</v>
      </c>
      <c r="X19" s="144" t="s">
        <v>74</v>
      </c>
      <c r="Y19" s="144" t="s">
        <v>74</v>
      </c>
      <c r="Z19" s="144" t="s">
        <v>74</v>
      </c>
      <c r="AB19" s="146" t="s">
        <v>151</v>
      </c>
      <c r="AC19" s="147" t="s">
        <v>152</v>
      </c>
      <c r="AD19" s="145" t="s">
        <v>153</v>
      </c>
      <c r="AE19" s="144" t="s">
        <v>68</v>
      </c>
      <c r="AF19" s="149">
        <v>23609.61</v>
      </c>
      <c r="AG19" s="149">
        <v>53609.61</v>
      </c>
      <c r="AH19" s="144" t="s">
        <v>75</v>
      </c>
      <c r="AI19" s="144" t="s">
        <v>76</v>
      </c>
      <c r="AJ19" s="144" t="s">
        <v>72</v>
      </c>
      <c r="AK19" s="144" t="s">
        <v>76</v>
      </c>
      <c r="AL19" s="144" t="s">
        <v>76</v>
      </c>
      <c r="AM19" s="144" t="s">
        <v>77</v>
      </c>
      <c r="AO19" s="145" t="s">
        <v>154</v>
      </c>
      <c r="AP19" s="144" t="s">
        <v>76</v>
      </c>
      <c r="AQ19" s="144" t="s">
        <v>76</v>
      </c>
      <c r="AR19" s="144" t="s">
        <v>76</v>
      </c>
      <c r="AS19" s="144" t="s">
        <v>76</v>
      </c>
      <c r="AT19" s="144">
        <v>44922</v>
      </c>
      <c r="AU19" s="144" t="s">
        <v>76</v>
      </c>
      <c r="AV19" s="144" t="s">
        <v>76</v>
      </c>
      <c r="AW19" s="144">
        <v>44924</v>
      </c>
      <c r="AX19" s="144">
        <v>44924</v>
      </c>
      <c r="AY19" s="144" t="s">
        <v>76</v>
      </c>
      <c r="AZ19" s="144" t="s">
        <v>79</v>
      </c>
      <c r="BA19" s="150" t="s">
        <v>76</v>
      </c>
      <c r="BB19" s="143">
        <f t="shared" si="0"/>
        <v>24</v>
      </c>
      <c r="BC19" s="193" t="str">
        <f t="shared" si="1"/>
        <v>INDENIZAÇÃO</v>
      </c>
      <c r="BD19" s="193" t="str">
        <f t="shared" si="2"/>
        <v>NÃO</v>
      </c>
      <c r="BE19" s="193" t="s">
        <v>74</v>
      </c>
      <c r="BF19" s="193" t="s">
        <v>74</v>
      </c>
      <c r="BG19" s="193" t="s">
        <v>74</v>
      </c>
      <c r="BH19" s="193" t="s">
        <v>76</v>
      </c>
      <c r="BI19" s="193" t="s">
        <v>76</v>
      </c>
      <c r="BJ19" s="194">
        <v>45057</v>
      </c>
      <c r="BK19" s="193" t="s">
        <v>76</v>
      </c>
      <c r="BL19" s="195" t="s">
        <v>76</v>
      </c>
      <c r="CI19" s="151"/>
      <c r="DQ19" s="151"/>
    </row>
    <row r="20" spans="1:121" s="144" customFormat="1" ht="30" customHeight="1" x14ac:dyDescent="0.25">
      <c r="A20" s="143">
        <v>16</v>
      </c>
      <c r="B20" s="144" t="s">
        <v>64</v>
      </c>
      <c r="C20" s="143">
        <v>0</v>
      </c>
      <c r="D20" s="143">
        <v>0</v>
      </c>
      <c r="E20" s="143">
        <v>0</v>
      </c>
      <c r="F20" s="145" t="s">
        <v>155</v>
      </c>
      <c r="G20" s="144" t="s">
        <v>66</v>
      </c>
      <c r="H20" s="144" t="s">
        <v>67</v>
      </c>
      <c r="I20" s="144" t="s">
        <v>68</v>
      </c>
      <c r="J20" s="146" t="s">
        <v>156</v>
      </c>
      <c r="K20" s="147" t="s">
        <v>157</v>
      </c>
      <c r="L20" s="145" t="s">
        <v>158</v>
      </c>
      <c r="M20" s="148" t="s">
        <v>72</v>
      </c>
      <c r="N20" s="148" t="s">
        <v>73</v>
      </c>
      <c r="O20" s="144">
        <v>44900</v>
      </c>
      <c r="P20" s="144" t="s">
        <v>74</v>
      </c>
      <c r="Q20" s="144" t="s">
        <v>74</v>
      </c>
      <c r="R20" s="144" t="s">
        <v>74</v>
      </c>
      <c r="S20" s="144" t="s">
        <v>74</v>
      </c>
      <c r="T20" s="144" t="s">
        <v>74</v>
      </c>
      <c r="U20" s="144" t="s">
        <v>74</v>
      </c>
      <c r="V20" s="144" t="s">
        <v>74</v>
      </c>
      <c r="W20" s="144" t="s">
        <v>74</v>
      </c>
      <c r="X20" s="144" t="s">
        <v>74</v>
      </c>
      <c r="Y20" s="144" t="s">
        <v>74</v>
      </c>
      <c r="Z20" s="144" t="s">
        <v>74</v>
      </c>
      <c r="AB20" s="146" t="s">
        <v>156</v>
      </c>
      <c r="AC20" s="147" t="s">
        <v>157</v>
      </c>
      <c r="AD20" s="145" t="s">
        <v>158</v>
      </c>
      <c r="AE20" s="144" t="s">
        <v>68</v>
      </c>
      <c r="AF20" s="149">
        <v>24990.49</v>
      </c>
      <c r="AG20" s="149">
        <v>54990.49</v>
      </c>
      <c r="AH20" s="144" t="s">
        <v>75</v>
      </c>
      <c r="AI20" s="144" t="s">
        <v>76</v>
      </c>
      <c r="AJ20" s="144" t="s">
        <v>72</v>
      </c>
      <c r="AK20" s="144" t="s">
        <v>76</v>
      </c>
      <c r="AL20" s="144" t="s">
        <v>76</v>
      </c>
      <c r="AM20" s="144" t="s">
        <v>77</v>
      </c>
      <c r="AO20" s="145" t="s">
        <v>159</v>
      </c>
      <c r="AP20" s="144" t="s">
        <v>76</v>
      </c>
      <c r="AQ20" s="144" t="s">
        <v>76</v>
      </c>
      <c r="AR20" s="144" t="s">
        <v>76</v>
      </c>
      <c r="AS20" s="144" t="s">
        <v>76</v>
      </c>
      <c r="AT20" s="144">
        <v>44923</v>
      </c>
      <c r="AU20" s="144" t="s">
        <v>76</v>
      </c>
      <c r="AV20" s="144" t="s">
        <v>76</v>
      </c>
      <c r="AW20" s="144">
        <v>44924</v>
      </c>
      <c r="AX20" s="144">
        <v>44924</v>
      </c>
      <c r="AY20" s="144" t="s">
        <v>76</v>
      </c>
      <c r="AZ20" s="144" t="s">
        <v>79</v>
      </c>
      <c r="BA20" s="150" t="s">
        <v>76</v>
      </c>
      <c r="BB20" s="143">
        <f t="shared" si="0"/>
        <v>24</v>
      </c>
      <c r="BC20" s="193" t="str">
        <f t="shared" si="1"/>
        <v>INDENIZAÇÃO</v>
      </c>
      <c r="BD20" s="193" t="str">
        <f t="shared" si="2"/>
        <v>NÃO</v>
      </c>
      <c r="BE20" s="193" t="s">
        <v>74</v>
      </c>
      <c r="BF20" s="193" t="s">
        <v>74</v>
      </c>
      <c r="BG20" s="193" t="s">
        <v>74</v>
      </c>
      <c r="BH20" s="193" t="s">
        <v>76</v>
      </c>
      <c r="BI20" s="193" t="s">
        <v>76</v>
      </c>
      <c r="BJ20" s="194">
        <v>45057</v>
      </c>
      <c r="BK20" s="193" t="s">
        <v>76</v>
      </c>
      <c r="BL20" s="195" t="s">
        <v>76</v>
      </c>
      <c r="CI20" s="151"/>
      <c r="DQ20" s="151"/>
    </row>
    <row r="21" spans="1:121" s="144" customFormat="1" ht="30" customHeight="1" x14ac:dyDescent="0.25">
      <c r="A21" s="143">
        <v>17</v>
      </c>
      <c r="B21" s="144" t="s">
        <v>64</v>
      </c>
      <c r="C21" s="143">
        <v>0</v>
      </c>
      <c r="D21" s="143">
        <v>0</v>
      </c>
      <c r="E21" s="143">
        <v>0</v>
      </c>
      <c r="F21" s="145" t="s">
        <v>160</v>
      </c>
      <c r="G21" s="144" t="s">
        <v>66</v>
      </c>
      <c r="H21" s="144" t="s">
        <v>67</v>
      </c>
      <c r="I21" s="144" t="s">
        <v>68</v>
      </c>
      <c r="J21" s="146" t="s">
        <v>161</v>
      </c>
      <c r="K21" s="155" t="s">
        <v>162</v>
      </c>
      <c r="L21" s="145" t="s">
        <v>163</v>
      </c>
      <c r="M21" s="148" t="s">
        <v>72</v>
      </c>
      <c r="N21" s="148" t="s">
        <v>73</v>
      </c>
      <c r="O21" s="144">
        <v>44900</v>
      </c>
      <c r="P21" s="144" t="s">
        <v>74</v>
      </c>
      <c r="Q21" s="144" t="s">
        <v>74</v>
      </c>
      <c r="R21" s="144" t="s">
        <v>74</v>
      </c>
      <c r="S21" s="144" t="s">
        <v>74</v>
      </c>
      <c r="T21" s="144" t="s">
        <v>74</v>
      </c>
      <c r="U21" s="144" t="s">
        <v>74</v>
      </c>
      <c r="V21" s="144" t="s">
        <v>74</v>
      </c>
      <c r="W21" s="144" t="s">
        <v>74</v>
      </c>
      <c r="X21" s="144" t="s">
        <v>74</v>
      </c>
      <c r="Y21" s="144" t="s">
        <v>74</v>
      </c>
      <c r="Z21" s="144" t="s">
        <v>74</v>
      </c>
      <c r="AB21" s="146" t="s">
        <v>161</v>
      </c>
      <c r="AC21" s="155" t="s">
        <v>162</v>
      </c>
      <c r="AD21" s="145" t="s">
        <v>163</v>
      </c>
      <c r="AE21" s="144" t="s">
        <v>68</v>
      </c>
      <c r="AF21" s="149">
        <v>89378.04</v>
      </c>
      <c r="AG21" s="149">
        <v>89378.04</v>
      </c>
      <c r="AH21" s="144" t="s">
        <v>75</v>
      </c>
      <c r="AI21" s="144" t="s">
        <v>76</v>
      </c>
      <c r="AJ21" s="144" t="s">
        <v>72</v>
      </c>
      <c r="AK21" s="144" t="s">
        <v>76</v>
      </c>
      <c r="AL21" s="144" t="s">
        <v>76</v>
      </c>
      <c r="AM21" s="144" t="s">
        <v>77</v>
      </c>
      <c r="AO21" s="145" t="s">
        <v>164</v>
      </c>
      <c r="AP21" s="144" t="s">
        <v>76</v>
      </c>
      <c r="AQ21" s="144" t="s">
        <v>76</v>
      </c>
      <c r="AR21" s="144" t="s">
        <v>76</v>
      </c>
      <c r="AS21" s="144" t="s">
        <v>76</v>
      </c>
      <c r="AT21" s="144">
        <v>44922</v>
      </c>
      <c r="AU21" s="144" t="s">
        <v>76</v>
      </c>
      <c r="AV21" s="144" t="s">
        <v>76</v>
      </c>
      <c r="AW21" s="144">
        <v>44924</v>
      </c>
      <c r="AX21" s="144">
        <v>44924</v>
      </c>
      <c r="AY21" s="144" t="s">
        <v>76</v>
      </c>
      <c r="AZ21" s="144" t="s">
        <v>79</v>
      </c>
      <c r="BA21" s="150" t="s">
        <v>76</v>
      </c>
      <c r="BB21" s="143">
        <f t="shared" si="0"/>
        <v>24</v>
      </c>
      <c r="BC21" s="193" t="str">
        <f t="shared" si="1"/>
        <v>INDENIZAÇÃO</v>
      </c>
      <c r="BD21" s="193" t="str">
        <f t="shared" si="2"/>
        <v>NÃO</v>
      </c>
      <c r="BE21" s="193" t="s">
        <v>74</v>
      </c>
      <c r="BF21" s="193" t="s">
        <v>74</v>
      </c>
      <c r="BG21" s="193" t="s">
        <v>74</v>
      </c>
      <c r="BH21" s="193" t="s">
        <v>76</v>
      </c>
      <c r="BI21" s="193" t="s">
        <v>76</v>
      </c>
      <c r="BJ21" s="194">
        <v>45057</v>
      </c>
      <c r="BK21" s="193" t="s">
        <v>76</v>
      </c>
      <c r="BL21" s="195" t="s">
        <v>76</v>
      </c>
      <c r="CI21" s="151"/>
      <c r="DQ21" s="151"/>
    </row>
    <row r="22" spans="1:121" s="144" customFormat="1" ht="30" customHeight="1" x14ac:dyDescent="0.25">
      <c r="A22" s="143">
        <v>18</v>
      </c>
      <c r="B22" s="144" t="s">
        <v>64</v>
      </c>
      <c r="C22" s="143">
        <v>0</v>
      </c>
      <c r="D22" s="143">
        <v>0</v>
      </c>
      <c r="E22" s="143">
        <v>0</v>
      </c>
      <c r="F22" s="145" t="s">
        <v>165</v>
      </c>
      <c r="G22" s="144" t="s">
        <v>66</v>
      </c>
      <c r="H22" s="144" t="s">
        <v>166</v>
      </c>
      <c r="I22" s="144" t="s">
        <v>167</v>
      </c>
      <c r="J22" s="146" t="s">
        <v>168</v>
      </c>
      <c r="K22" s="155" t="s">
        <v>169</v>
      </c>
      <c r="L22" s="145" t="s">
        <v>170</v>
      </c>
      <c r="M22" s="148" t="s">
        <v>72</v>
      </c>
      <c r="N22" s="148" t="s">
        <v>73</v>
      </c>
      <c r="O22" s="144">
        <v>44900</v>
      </c>
      <c r="P22" s="144" t="s">
        <v>74</v>
      </c>
      <c r="Q22" s="144" t="s">
        <v>74</v>
      </c>
      <c r="R22" s="144" t="s">
        <v>74</v>
      </c>
      <c r="S22" s="144" t="s">
        <v>74</v>
      </c>
      <c r="T22" s="144" t="s">
        <v>74</v>
      </c>
      <c r="U22" s="144" t="s">
        <v>74</v>
      </c>
      <c r="V22" s="144" t="s">
        <v>74</v>
      </c>
      <c r="W22" s="144" t="s">
        <v>74</v>
      </c>
      <c r="X22" s="144" t="s">
        <v>74</v>
      </c>
      <c r="Y22" s="144" t="s">
        <v>74</v>
      </c>
      <c r="Z22" s="144" t="s">
        <v>74</v>
      </c>
      <c r="AB22" s="146" t="s">
        <v>168</v>
      </c>
      <c r="AC22" s="155" t="s">
        <v>169</v>
      </c>
      <c r="AD22" s="145" t="s">
        <v>170</v>
      </c>
      <c r="AE22" s="144" t="s">
        <v>167</v>
      </c>
      <c r="AF22" s="149">
        <v>30135.09</v>
      </c>
      <c r="AG22" s="149">
        <v>60000</v>
      </c>
      <c r="AH22" s="144" t="s">
        <v>75</v>
      </c>
      <c r="AI22" s="144" t="s">
        <v>76</v>
      </c>
      <c r="AJ22" s="144" t="s">
        <v>72</v>
      </c>
      <c r="AK22" s="144" t="s">
        <v>76</v>
      </c>
      <c r="AL22" s="144" t="s">
        <v>76</v>
      </c>
      <c r="AM22" s="144" t="s">
        <v>77</v>
      </c>
      <c r="AO22" s="145" t="s">
        <v>171</v>
      </c>
      <c r="AP22" s="144" t="s">
        <v>76</v>
      </c>
      <c r="AQ22" s="144" t="s">
        <v>76</v>
      </c>
      <c r="AR22" s="144" t="s">
        <v>76</v>
      </c>
      <c r="AS22" s="144" t="s">
        <v>76</v>
      </c>
      <c r="AT22" s="144">
        <v>44922</v>
      </c>
      <c r="AU22" s="144" t="s">
        <v>76</v>
      </c>
      <c r="AV22" s="144" t="s">
        <v>76</v>
      </c>
      <c r="AW22" s="144">
        <v>44924</v>
      </c>
      <c r="AX22" s="144">
        <v>44924</v>
      </c>
      <c r="AY22" s="144" t="s">
        <v>76</v>
      </c>
      <c r="AZ22" s="144" t="s">
        <v>79</v>
      </c>
      <c r="BA22" s="150" t="s">
        <v>76</v>
      </c>
      <c r="BB22" s="143">
        <f t="shared" si="0"/>
        <v>24</v>
      </c>
      <c r="BC22" s="193" t="str">
        <f t="shared" si="1"/>
        <v>INDENIZAÇÃO</v>
      </c>
      <c r="BD22" s="193" t="str">
        <f t="shared" si="2"/>
        <v>NÃO</v>
      </c>
      <c r="BE22" s="193" t="s">
        <v>74</v>
      </c>
      <c r="BF22" s="193" t="s">
        <v>74</v>
      </c>
      <c r="BG22" s="193" t="s">
        <v>74</v>
      </c>
      <c r="BH22" s="193" t="s">
        <v>76</v>
      </c>
      <c r="BI22" s="193" t="s">
        <v>76</v>
      </c>
      <c r="BJ22" s="194">
        <v>45057</v>
      </c>
      <c r="BK22" s="193" t="s">
        <v>76</v>
      </c>
      <c r="BL22" s="195" t="s">
        <v>76</v>
      </c>
      <c r="CI22" s="151"/>
      <c r="DQ22" s="151"/>
    </row>
    <row r="23" spans="1:121" s="144" customFormat="1" ht="30" customHeight="1" x14ac:dyDescent="0.25">
      <c r="A23" s="143">
        <v>19</v>
      </c>
      <c r="B23" s="144" t="s">
        <v>64</v>
      </c>
      <c r="C23" s="143">
        <v>0</v>
      </c>
      <c r="D23" s="143">
        <v>0</v>
      </c>
      <c r="E23" s="143">
        <v>0</v>
      </c>
      <c r="F23" s="145" t="s">
        <v>172</v>
      </c>
      <c r="G23" s="144" t="s">
        <v>66</v>
      </c>
      <c r="H23" s="144" t="s">
        <v>67</v>
      </c>
      <c r="I23" s="144" t="s">
        <v>68</v>
      </c>
      <c r="J23" s="146" t="s">
        <v>173</v>
      </c>
      <c r="K23" s="147" t="s">
        <v>174</v>
      </c>
      <c r="L23" s="145" t="s">
        <v>175</v>
      </c>
      <c r="M23" s="148" t="s">
        <v>72</v>
      </c>
      <c r="N23" s="148" t="s">
        <v>73</v>
      </c>
      <c r="O23" s="144">
        <v>44900</v>
      </c>
      <c r="P23" s="144" t="s">
        <v>74</v>
      </c>
      <c r="Q23" s="144" t="s">
        <v>74</v>
      </c>
      <c r="R23" s="144" t="s">
        <v>74</v>
      </c>
      <c r="S23" s="144" t="s">
        <v>74</v>
      </c>
      <c r="T23" s="144" t="s">
        <v>74</v>
      </c>
      <c r="U23" s="144" t="s">
        <v>74</v>
      </c>
      <c r="V23" s="144" t="s">
        <v>74</v>
      </c>
      <c r="W23" s="144" t="s">
        <v>74</v>
      </c>
      <c r="X23" s="144" t="s">
        <v>74</v>
      </c>
      <c r="Y23" s="144" t="s">
        <v>74</v>
      </c>
      <c r="Z23" s="144" t="s">
        <v>74</v>
      </c>
      <c r="AB23" s="146" t="s">
        <v>173</v>
      </c>
      <c r="AC23" s="147" t="s">
        <v>174</v>
      </c>
      <c r="AD23" s="145" t="s">
        <v>175</v>
      </c>
      <c r="AE23" s="144" t="s">
        <v>68</v>
      </c>
      <c r="AF23" s="149">
        <v>64954.25</v>
      </c>
      <c r="AG23" s="149">
        <v>64954.25</v>
      </c>
      <c r="AH23" s="144" t="s">
        <v>75</v>
      </c>
      <c r="AI23" s="144" t="s">
        <v>76</v>
      </c>
      <c r="AJ23" s="144" t="s">
        <v>72</v>
      </c>
      <c r="AK23" s="144" t="s">
        <v>76</v>
      </c>
      <c r="AL23" s="144" t="s">
        <v>76</v>
      </c>
      <c r="AM23" s="144" t="s">
        <v>77</v>
      </c>
      <c r="AO23" s="145" t="s">
        <v>176</v>
      </c>
      <c r="AP23" s="144" t="s">
        <v>76</v>
      </c>
      <c r="AQ23" s="144" t="s">
        <v>76</v>
      </c>
      <c r="AR23" s="144" t="s">
        <v>76</v>
      </c>
      <c r="AS23" s="144" t="s">
        <v>76</v>
      </c>
      <c r="AT23" s="144">
        <v>44922</v>
      </c>
      <c r="AU23" s="144" t="s">
        <v>76</v>
      </c>
      <c r="AV23" s="144" t="s">
        <v>76</v>
      </c>
      <c r="AW23" s="144">
        <v>44924</v>
      </c>
      <c r="AX23" s="144">
        <v>44924</v>
      </c>
      <c r="AY23" s="144" t="s">
        <v>76</v>
      </c>
      <c r="AZ23" s="144" t="s">
        <v>79</v>
      </c>
      <c r="BA23" s="150" t="s">
        <v>76</v>
      </c>
      <c r="BB23" s="143">
        <f t="shared" si="0"/>
        <v>24</v>
      </c>
      <c r="BC23" s="193" t="str">
        <f t="shared" si="1"/>
        <v>INDENIZAÇÃO</v>
      </c>
      <c r="BD23" s="193" t="str">
        <f t="shared" si="2"/>
        <v>NÃO</v>
      </c>
      <c r="BE23" s="193" t="s">
        <v>74</v>
      </c>
      <c r="BF23" s="193" t="s">
        <v>74</v>
      </c>
      <c r="BG23" s="193" t="s">
        <v>74</v>
      </c>
      <c r="BH23" s="193" t="s">
        <v>76</v>
      </c>
      <c r="BI23" s="193" t="s">
        <v>76</v>
      </c>
      <c r="BJ23" s="144">
        <v>45057</v>
      </c>
      <c r="BK23" s="193" t="s">
        <v>76</v>
      </c>
      <c r="BL23" s="195" t="s">
        <v>76</v>
      </c>
      <c r="CI23" s="151"/>
      <c r="DQ23" s="151"/>
    </row>
    <row r="24" spans="1:121" s="144" customFormat="1" ht="30" customHeight="1" x14ac:dyDescent="0.25">
      <c r="A24" s="143">
        <v>20</v>
      </c>
      <c r="B24" s="144" t="s">
        <v>64</v>
      </c>
      <c r="C24" s="143">
        <v>0</v>
      </c>
      <c r="D24" s="143">
        <v>0</v>
      </c>
      <c r="E24" s="143">
        <v>0</v>
      </c>
      <c r="F24" s="145" t="s">
        <v>177</v>
      </c>
      <c r="G24" s="144" t="s">
        <v>66</v>
      </c>
      <c r="H24" s="144" t="s">
        <v>67</v>
      </c>
      <c r="I24" s="144" t="s">
        <v>68</v>
      </c>
      <c r="J24" s="146" t="s">
        <v>178</v>
      </c>
      <c r="K24" s="155" t="s">
        <v>179</v>
      </c>
      <c r="L24" s="145" t="s">
        <v>180</v>
      </c>
      <c r="M24" s="148" t="s">
        <v>72</v>
      </c>
      <c r="N24" s="148" t="s">
        <v>73</v>
      </c>
      <c r="O24" s="144">
        <v>44900</v>
      </c>
      <c r="P24" s="144" t="s">
        <v>74</v>
      </c>
      <c r="Q24" s="144" t="s">
        <v>74</v>
      </c>
      <c r="R24" s="144" t="s">
        <v>74</v>
      </c>
      <c r="S24" s="144" t="s">
        <v>74</v>
      </c>
      <c r="T24" s="144" t="s">
        <v>74</v>
      </c>
      <c r="U24" s="144" t="s">
        <v>74</v>
      </c>
      <c r="V24" s="144" t="s">
        <v>74</v>
      </c>
      <c r="W24" s="144" t="s">
        <v>74</v>
      </c>
      <c r="X24" s="144" t="s">
        <v>74</v>
      </c>
      <c r="Y24" s="144" t="s">
        <v>74</v>
      </c>
      <c r="Z24" s="144" t="s">
        <v>74</v>
      </c>
      <c r="AB24" s="146" t="s">
        <v>178</v>
      </c>
      <c r="AC24" s="155" t="s">
        <v>179</v>
      </c>
      <c r="AD24" s="145" t="s">
        <v>180</v>
      </c>
      <c r="AE24" s="144" t="s">
        <v>68</v>
      </c>
      <c r="AF24" s="149">
        <v>26076.66</v>
      </c>
      <c r="AG24" s="149">
        <v>60000</v>
      </c>
      <c r="AH24" s="144" t="s">
        <v>75</v>
      </c>
      <c r="AI24" s="144" t="s">
        <v>76</v>
      </c>
      <c r="AJ24" s="144" t="s">
        <v>72</v>
      </c>
      <c r="AK24" s="144" t="s">
        <v>76</v>
      </c>
      <c r="AL24" s="144" t="s">
        <v>76</v>
      </c>
      <c r="AM24" s="144" t="s">
        <v>77</v>
      </c>
      <c r="AO24" s="145" t="s">
        <v>181</v>
      </c>
      <c r="AP24" s="144" t="s">
        <v>76</v>
      </c>
      <c r="AQ24" s="144" t="s">
        <v>76</v>
      </c>
      <c r="AR24" s="144" t="s">
        <v>76</v>
      </c>
      <c r="AS24" s="144" t="s">
        <v>76</v>
      </c>
      <c r="AT24" s="144">
        <v>44922</v>
      </c>
      <c r="AU24" s="144" t="s">
        <v>76</v>
      </c>
      <c r="AV24" s="144" t="s">
        <v>76</v>
      </c>
      <c r="AW24" s="144">
        <v>44924</v>
      </c>
      <c r="AX24" s="144">
        <v>44924</v>
      </c>
      <c r="AY24" s="144" t="s">
        <v>76</v>
      </c>
      <c r="AZ24" s="144" t="s">
        <v>79</v>
      </c>
      <c r="BA24" s="150" t="s">
        <v>76</v>
      </c>
      <c r="BB24" s="143">
        <f t="shared" si="0"/>
        <v>24</v>
      </c>
      <c r="BC24" s="193" t="str">
        <f t="shared" si="1"/>
        <v>INDENIZAÇÃO</v>
      </c>
      <c r="BD24" s="193" t="str">
        <f t="shared" si="2"/>
        <v>NÃO</v>
      </c>
      <c r="BE24" s="193" t="s">
        <v>74</v>
      </c>
      <c r="BF24" s="193" t="s">
        <v>74</v>
      </c>
      <c r="BG24" s="193" t="s">
        <v>74</v>
      </c>
      <c r="BH24" s="193" t="s">
        <v>76</v>
      </c>
      <c r="BI24" s="193" t="s">
        <v>76</v>
      </c>
      <c r="BJ24" s="194">
        <v>45057</v>
      </c>
      <c r="BK24" s="193" t="s">
        <v>76</v>
      </c>
      <c r="BL24" s="195" t="s">
        <v>76</v>
      </c>
      <c r="CI24" s="151"/>
      <c r="DQ24" s="151"/>
    </row>
    <row r="25" spans="1:121" s="156" customFormat="1" ht="30" customHeight="1" x14ac:dyDescent="0.25">
      <c r="A25" s="143">
        <v>21</v>
      </c>
      <c r="B25" s="144" t="s">
        <v>64</v>
      </c>
      <c r="C25" s="143">
        <v>0</v>
      </c>
      <c r="D25" s="143">
        <v>0</v>
      </c>
      <c r="E25" s="143">
        <v>0</v>
      </c>
      <c r="F25" s="145" t="s">
        <v>182</v>
      </c>
      <c r="G25" s="144" t="s">
        <v>66</v>
      </c>
      <c r="H25" s="144" t="s">
        <v>67</v>
      </c>
      <c r="I25" s="144" t="s">
        <v>183</v>
      </c>
      <c r="J25" s="154" t="s">
        <v>184</v>
      </c>
      <c r="K25" s="154" t="s">
        <v>185</v>
      </c>
      <c r="L25" s="154" t="s">
        <v>186</v>
      </c>
      <c r="M25" s="148" t="s">
        <v>72</v>
      </c>
      <c r="N25" s="148" t="s">
        <v>101</v>
      </c>
      <c r="O25" s="144">
        <v>44900</v>
      </c>
      <c r="P25" s="144">
        <v>44910</v>
      </c>
      <c r="Q25" s="144" t="s">
        <v>102</v>
      </c>
      <c r="R25" s="144" t="s">
        <v>76</v>
      </c>
      <c r="S25" s="144" t="s">
        <v>76</v>
      </c>
      <c r="T25" s="144" t="s">
        <v>76</v>
      </c>
      <c r="U25" s="144">
        <v>44924</v>
      </c>
      <c r="V25" s="144">
        <v>44924</v>
      </c>
      <c r="W25" s="144">
        <v>44929</v>
      </c>
      <c r="X25" s="144">
        <v>44958</v>
      </c>
      <c r="Y25" s="144">
        <v>44958</v>
      </c>
      <c r="Z25" s="144" t="s">
        <v>76</v>
      </c>
      <c r="AA25" s="144"/>
      <c r="AB25" s="146" t="s">
        <v>187</v>
      </c>
      <c r="AC25" s="155" t="s">
        <v>188</v>
      </c>
      <c r="AD25" s="145" t="s">
        <v>189</v>
      </c>
      <c r="AE25" s="144" t="s">
        <v>167</v>
      </c>
      <c r="AF25" s="149">
        <v>28393.1</v>
      </c>
      <c r="AG25" s="149">
        <v>58393.1</v>
      </c>
      <c r="AH25" s="144" t="s">
        <v>75</v>
      </c>
      <c r="AI25" s="144" t="s">
        <v>76</v>
      </c>
      <c r="AJ25" s="144" t="s">
        <v>72</v>
      </c>
      <c r="AK25" s="144" t="s">
        <v>76</v>
      </c>
      <c r="AL25" s="144" t="s">
        <v>76</v>
      </c>
      <c r="AM25" s="144" t="s">
        <v>77</v>
      </c>
      <c r="AN25" s="144"/>
      <c r="AO25" s="145" t="s">
        <v>190</v>
      </c>
      <c r="AP25" s="144" t="s">
        <v>76</v>
      </c>
      <c r="AQ25" s="144" t="s">
        <v>76</v>
      </c>
      <c r="AR25" s="144" t="s">
        <v>76</v>
      </c>
      <c r="AS25" s="144" t="s">
        <v>76</v>
      </c>
      <c r="AT25" s="144">
        <v>44923</v>
      </c>
      <c r="AU25" s="144" t="s">
        <v>76</v>
      </c>
      <c r="AV25" s="144" t="s">
        <v>76</v>
      </c>
      <c r="AW25" s="144">
        <v>44924</v>
      </c>
      <c r="AX25" s="144">
        <v>44924</v>
      </c>
      <c r="AY25" s="144" t="s">
        <v>76</v>
      </c>
      <c r="AZ25" s="144" t="s">
        <v>79</v>
      </c>
      <c r="BA25" s="150" t="s">
        <v>76</v>
      </c>
      <c r="BB25" s="143">
        <f t="shared" si="0"/>
        <v>24</v>
      </c>
      <c r="BC25" s="193" t="str">
        <f t="shared" si="1"/>
        <v>INDENIZAÇÃO</v>
      </c>
      <c r="BD25" s="193" t="str">
        <f t="shared" si="2"/>
        <v>NÃO</v>
      </c>
      <c r="BE25" s="193" t="s">
        <v>74</v>
      </c>
      <c r="BF25" s="193" t="s">
        <v>74</v>
      </c>
      <c r="BG25" s="193" t="s">
        <v>74</v>
      </c>
      <c r="BH25" s="193" t="s">
        <v>76</v>
      </c>
      <c r="BI25" s="193" t="s">
        <v>76</v>
      </c>
      <c r="BJ25" s="194">
        <v>45057</v>
      </c>
      <c r="BK25" s="193" t="s">
        <v>76</v>
      </c>
      <c r="BL25" s="195" t="s">
        <v>76</v>
      </c>
      <c r="BM25" s="144"/>
      <c r="BN25" s="144"/>
      <c r="BO25" s="144"/>
      <c r="BP25" s="144"/>
      <c r="BQ25" s="144"/>
      <c r="BR25" s="144"/>
      <c r="BS25" s="144"/>
      <c r="BT25" s="144"/>
      <c r="BU25" s="144"/>
      <c r="BV25" s="144"/>
      <c r="BW25" s="144"/>
      <c r="BX25" s="144"/>
      <c r="CI25" s="157"/>
      <c r="DQ25" s="157"/>
    </row>
    <row r="26" spans="1:121" s="144" customFormat="1" ht="30" customHeight="1" x14ac:dyDescent="0.25">
      <c r="A26" s="143">
        <v>22</v>
      </c>
      <c r="B26" s="144" t="s">
        <v>64</v>
      </c>
      <c r="C26" s="143">
        <v>0</v>
      </c>
      <c r="D26" s="143">
        <v>0</v>
      </c>
      <c r="E26" s="143">
        <v>0</v>
      </c>
      <c r="F26" s="145" t="s">
        <v>191</v>
      </c>
      <c r="G26" s="144" t="s">
        <v>66</v>
      </c>
      <c r="H26" s="144" t="s">
        <v>67</v>
      </c>
      <c r="I26" s="144" t="s">
        <v>68</v>
      </c>
      <c r="J26" s="146" t="s">
        <v>192</v>
      </c>
      <c r="K26" s="158" t="s">
        <v>193</v>
      </c>
      <c r="L26" s="145" t="s">
        <v>194</v>
      </c>
      <c r="M26" s="148" t="s">
        <v>72</v>
      </c>
      <c r="N26" s="148" t="s">
        <v>73</v>
      </c>
      <c r="O26" s="144">
        <v>44900</v>
      </c>
      <c r="P26" s="144" t="s">
        <v>74</v>
      </c>
      <c r="Q26" s="144" t="s">
        <v>74</v>
      </c>
      <c r="R26" s="144" t="s">
        <v>74</v>
      </c>
      <c r="S26" s="144" t="s">
        <v>74</v>
      </c>
      <c r="T26" s="144" t="s">
        <v>74</v>
      </c>
      <c r="U26" s="144" t="s">
        <v>74</v>
      </c>
      <c r="V26" s="144" t="s">
        <v>74</v>
      </c>
      <c r="W26" s="144" t="s">
        <v>74</v>
      </c>
      <c r="X26" s="144" t="s">
        <v>74</v>
      </c>
      <c r="Y26" s="144" t="s">
        <v>74</v>
      </c>
      <c r="Z26" s="144" t="s">
        <v>74</v>
      </c>
      <c r="AB26" s="146" t="s">
        <v>192</v>
      </c>
      <c r="AC26" s="158" t="s">
        <v>193</v>
      </c>
      <c r="AD26" s="145" t="s">
        <v>194</v>
      </c>
      <c r="AE26" s="144" t="s">
        <v>68</v>
      </c>
      <c r="AF26" s="149">
        <v>59153.58</v>
      </c>
      <c r="AG26" s="149">
        <v>60000</v>
      </c>
      <c r="AH26" s="144" t="s">
        <v>75</v>
      </c>
      <c r="AI26" s="144" t="s">
        <v>76</v>
      </c>
      <c r="AJ26" s="144" t="s">
        <v>72</v>
      </c>
      <c r="AK26" s="144" t="s">
        <v>76</v>
      </c>
      <c r="AL26" s="144" t="s">
        <v>76</v>
      </c>
      <c r="AM26" s="144" t="s">
        <v>77</v>
      </c>
      <c r="AO26" s="145" t="s">
        <v>195</v>
      </c>
      <c r="AP26" s="144" t="s">
        <v>76</v>
      </c>
      <c r="AQ26" s="144" t="s">
        <v>76</v>
      </c>
      <c r="AR26" s="144" t="s">
        <v>76</v>
      </c>
      <c r="AS26" s="144" t="s">
        <v>76</v>
      </c>
      <c r="AT26" s="144">
        <v>44923</v>
      </c>
      <c r="AU26" s="144" t="s">
        <v>76</v>
      </c>
      <c r="AV26" s="144" t="s">
        <v>76</v>
      </c>
      <c r="AW26" s="144">
        <v>44924</v>
      </c>
      <c r="AX26" s="144">
        <v>44924</v>
      </c>
      <c r="AY26" s="144" t="s">
        <v>76</v>
      </c>
      <c r="AZ26" s="144" t="s">
        <v>79</v>
      </c>
      <c r="BA26" s="150" t="s">
        <v>76</v>
      </c>
      <c r="BB26" s="143">
        <f t="shared" si="0"/>
        <v>24</v>
      </c>
      <c r="BC26" s="193" t="str">
        <f t="shared" si="1"/>
        <v>INDENIZAÇÃO</v>
      </c>
      <c r="BD26" s="193" t="str">
        <f t="shared" si="2"/>
        <v>NÃO</v>
      </c>
      <c r="BE26" s="193" t="s">
        <v>74</v>
      </c>
      <c r="BF26" s="193" t="s">
        <v>74</v>
      </c>
      <c r="BG26" s="193" t="s">
        <v>74</v>
      </c>
      <c r="BH26" s="193" t="s">
        <v>76</v>
      </c>
      <c r="BI26" s="193" t="s">
        <v>76</v>
      </c>
      <c r="BJ26" s="194">
        <v>45057</v>
      </c>
      <c r="BK26" s="193" t="s">
        <v>76</v>
      </c>
      <c r="BL26" s="195" t="s">
        <v>76</v>
      </c>
      <c r="CI26" s="151"/>
      <c r="DQ26" s="151"/>
    </row>
    <row r="27" spans="1:121" s="144" customFormat="1" ht="30" customHeight="1" x14ac:dyDescent="0.25">
      <c r="A27" s="143">
        <v>23</v>
      </c>
      <c r="B27" s="144" t="s">
        <v>64</v>
      </c>
      <c r="C27" s="143">
        <v>0</v>
      </c>
      <c r="D27" s="143">
        <v>0</v>
      </c>
      <c r="E27" s="143">
        <v>0</v>
      </c>
      <c r="F27" s="145" t="s">
        <v>196</v>
      </c>
      <c r="G27" s="144" t="s">
        <v>66</v>
      </c>
      <c r="H27" s="144" t="s">
        <v>67</v>
      </c>
      <c r="I27" s="144" t="s">
        <v>68</v>
      </c>
      <c r="J27" s="146" t="s">
        <v>197</v>
      </c>
      <c r="K27" s="147" t="s">
        <v>198</v>
      </c>
      <c r="L27" s="145" t="s">
        <v>199</v>
      </c>
      <c r="M27" s="148" t="s">
        <v>72</v>
      </c>
      <c r="N27" s="148" t="s">
        <v>73</v>
      </c>
      <c r="O27" s="144">
        <v>44900</v>
      </c>
      <c r="P27" s="144" t="s">
        <v>74</v>
      </c>
      <c r="Q27" s="144" t="s">
        <v>74</v>
      </c>
      <c r="R27" s="144" t="s">
        <v>74</v>
      </c>
      <c r="S27" s="144" t="s">
        <v>74</v>
      </c>
      <c r="T27" s="144" t="s">
        <v>74</v>
      </c>
      <c r="U27" s="144" t="s">
        <v>74</v>
      </c>
      <c r="V27" s="144" t="s">
        <v>74</v>
      </c>
      <c r="W27" s="144" t="s">
        <v>74</v>
      </c>
      <c r="X27" s="144" t="s">
        <v>74</v>
      </c>
      <c r="Y27" s="144" t="s">
        <v>74</v>
      </c>
      <c r="Z27" s="144" t="s">
        <v>74</v>
      </c>
      <c r="AB27" s="146" t="s">
        <v>197</v>
      </c>
      <c r="AC27" s="147" t="s">
        <v>198</v>
      </c>
      <c r="AD27" s="145" t="s">
        <v>199</v>
      </c>
      <c r="AE27" s="144" t="s">
        <v>68</v>
      </c>
      <c r="AF27" s="149">
        <v>101114.4</v>
      </c>
      <c r="AG27" s="149">
        <v>101114.4</v>
      </c>
      <c r="AH27" s="144" t="s">
        <v>75</v>
      </c>
      <c r="AI27" s="144" t="s">
        <v>76</v>
      </c>
      <c r="AJ27" s="144" t="s">
        <v>72</v>
      </c>
      <c r="AK27" s="144" t="s">
        <v>76</v>
      </c>
      <c r="AL27" s="144" t="s">
        <v>76</v>
      </c>
      <c r="AM27" s="144" t="s">
        <v>77</v>
      </c>
      <c r="AO27" s="145" t="s">
        <v>200</v>
      </c>
      <c r="AP27" s="144" t="s">
        <v>76</v>
      </c>
      <c r="AQ27" s="144" t="s">
        <v>76</v>
      </c>
      <c r="AR27" s="144" t="s">
        <v>76</v>
      </c>
      <c r="AS27" s="144" t="s">
        <v>76</v>
      </c>
      <c r="AT27" s="144">
        <v>44923</v>
      </c>
      <c r="AU27" s="144" t="s">
        <v>76</v>
      </c>
      <c r="AV27" s="144" t="s">
        <v>76</v>
      </c>
      <c r="AW27" s="144">
        <v>44924</v>
      </c>
      <c r="AX27" s="144">
        <v>44924</v>
      </c>
      <c r="AY27" s="144" t="s">
        <v>76</v>
      </c>
      <c r="AZ27" s="144" t="s">
        <v>79</v>
      </c>
      <c r="BA27" s="150" t="s">
        <v>76</v>
      </c>
      <c r="BB27" s="143">
        <f t="shared" si="0"/>
        <v>24</v>
      </c>
      <c r="BC27" s="193" t="str">
        <f t="shared" si="1"/>
        <v>INDENIZAÇÃO</v>
      </c>
      <c r="BD27" s="193" t="str">
        <f t="shared" si="2"/>
        <v>NÃO</v>
      </c>
      <c r="BE27" s="193" t="s">
        <v>74</v>
      </c>
      <c r="BF27" s="193" t="s">
        <v>74</v>
      </c>
      <c r="BG27" s="193" t="s">
        <v>74</v>
      </c>
      <c r="BH27" s="193" t="s">
        <v>76</v>
      </c>
      <c r="BI27" s="193" t="s">
        <v>76</v>
      </c>
      <c r="BJ27" s="194">
        <v>45190</v>
      </c>
      <c r="BK27" s="193" t="s">
        <v>76</v>
      </c>
      <c r="BL27" s="195" t="s">
        <v>76</v>
      </c>
      <c r="CI27" s="151"/>
      <c r="DQ27" s="151"/>
    </row>
    <row r="28" spans="1:121" s="144" customFormat="1" ht="30" customHeight="1" x14ac:dyDescent="0.25">
      <c r="A28" s="143">
        <v>24</v>
      </c>
      <c r="B28" s="144" t="s">
        <v>64</v>
      </c>
      <c r="C28" s="143">
        <v>0</v>
      </c>
      <c r="D28" s="143">
        <v>0</v>
      </c>
      <c r="E28" s="143">
        <v>0</v>
      </c>
      <c r="F28" s="145" t="s">
        <v>201</v>
      </c>
      <c r="G28" s="144" t="s">
        <v>66</v>
      </c>
      <c r="H28" s="144" t="s">
        <v>67</v>
      </c>
      <c r="I28" s="144" t="s">
        <v>68</v>
      </c>
      <c r="J28" s="146" t="s">
        <v>202</v>
      </c>
      <c r="K28" s="147" t="s">
        <v>203</v>
      </c>
      <c r="L28" s="145" t="s">
        <v>204</v>
      </c>
      <c r="M28" s="148" t="s">
        <v>72</v>
      </c>
      <c r="N28" s="148" t="s">
        <v>73</v>
      </c>
      <c r="O28" s="144">
        <v>44900</v>
      </c>
      <c r="P28" s="144" t="s">
        <v>74</v>
      </c>
      <c r="Q28" s="144" t="s">
        <v>74</v>
      </c>
      <c r="R28" s="144" t="s">
        <v>74</v>
      </c>
      <c r="S28" s="144" t="s">
        <v>74</v>
      </c>
      <c r="T28" s="144" t="s">
        <v>74</v>
      </c>
      <c r="U28" s="144" t="s">
        <v>74</v>
      </c>
      <c r="V28" s="144" t="s">
        <v>74</v>
      </c>
      <c r="W28" s="144" t="s">
        <v>74</v>
      </c>
      <c r="X28" s="144" t="s">
        <v>74</v>
      </c>
      <c r="Y28" s="144" t="s">
        <v>74</v>
      </c>
      <c r="Z28" s="144" t="s">
        <v>74</v>
      </c>
      <c r="AB28" s="146" t="s">
        <v>202</v>
      </c>
      <c r="AC28" s="147" t="s">
        <v>203</v>
      </c>
      <c r="AD28" s="145" t="s">
        <v>204</v>
      </c>
      <c r="AE28" s="144" t="s">
        <v>68</v>
      </c>
      <c r="AF28" s="149">
        <v>41141.21</v>
      </c>
      <c r="AG28" s="149">
        <v>60000</v>
      </c>
      <c r="AH28" s="144" t="s">
        <v>75</v>
      </c>
      <c r="AI28" s="144" t="s">
        <v>76</v>
      </c>
      <c r="AJ28" s="144" t="s">
        <v>72</v>
      </c>
      <c r="AK28" s="144" t="s">
        <v>76</v>
      </c>
      <c r="AL28" s="144" t="s">
        <v>76</v>
      </c>
      <c r="AM28" s="144" t="s">
        <v>77</v>
      </c>
      <c r="AO28" s="145" t="s">
        <v>205</v>
      </c>
      <c r="AP28" s="144" t="s">
        <v>76</v>
      </c>
      <c r="AQ28" s="144" t="s">
        <v>76</v>
      </c>
      <c r="AR28" s="144" t="s">
        <v>76</v>
      </c>
      <c r="AS28" s="144" t="s">
        <v>76</v>
      </c>
      <c r="AT28" s="144">
        <v>44922</v>
      </c>
      <c r="AU28" s="144" t="s">
        <v>76</v>
      </c>
      <c r="AV28" s="144" t="s">
        <v>76</v>
      </c>
      <c r="AW28" s="144">
        <v>44924</v>
      </c>
      <c r="AX28" s="144">
        <v>44924</v>
      </c>
      <c r="AY28" s="144" t="s">
        <v>76</v>
      </c>
      <c r="AZ28" s="144" t="s">
        <v>79</v>
      </c>
      <c r="BA28" s="150" t="s">
        <v>76</v>
      </c>
      <c r="BB28" s="143">
        <f t="shared" si="0"/>
        <v>24</v>
      </c>
      <c r="BC28" s="193" t="str">
        <f t="shared" si="1"/>
        <v>INDENIZAÇÃO</v>
      </c>
      <c r="BD28" s="193" t="str">
        <f t="shared" si="2"/>
        <v>NÃO</v>
      </c>
      <c r="BE28" s="193" t="s">
        <v>74</v>
      </c>
      <c r="BF28" s="193" t="s">
        <v>74</v>
      </c>
      <c r="BG28" s="193" t="s">
        <v>74</v>
      </c>
      <c r="BH28" s="193" t="s">
        <v>76</v>
      </c>
      <c r="BI28" s="193" t="s">
        <v>76</v>
      </c>
      <c r="BJ28" s="144">
        <v>45057</v>
      </c>
      <c r="BK28" s="193" t="s">
        <v>76</v>
      </c>
      <c r="BL28" s="195" t="s">
        <v>76</v>
      </c>
      <c r="CI28" s="151"/>
      <c r="DQ28" s="151"/>
    </row>
    <row r="29" spans="1:121" s="144" customFormat="1" ht="30" customHeight="1" x14ac:dyDescent="0.25">
      <c r="A29" s="143">
        <v>25</v>
      </c>
      <c r="B29" s="144" t="s">
        <v>64</v>
      </c>
      <c r="C29" s="143">
        <v>0</v>
      </c>
      <c r="D29" s="143">
        <v>0</v>
      </c>
      <c r="E29" s="143">
        <v>0</v>
      </c>
      <c r="F29" s="145" t="s">
        <v>206</v>
      </c>
      <c r="G29" s="144" t="s">
        <v>66</v>
      </c>
      <c r="H29" s="144" t="s">
        <v>67</v>
      </c>
      <c r="I29" s="144" t="s">
        <v>68</v>
      </c>
      <c r="J29" s="146" t="s">
        <v>207</v>
      </c>
      <c r="K29" s="147" t="s">
        <v>208</v>
      </c>
      <c r="L29" s="145" t="s">
        <v>209</v>
      </c>
      <c r="M29" s="148" t="s">
        <v>72</v>
      </c>
      <c r="N29" s="148" t="s">
        <v>73</v>
      </c>
      <c r="O29" s="144">
        <v>44900</v>
      </c>
      <c r="P29" s="144" t="s">
        <v>74</v>
      </c>
      <c r="Q29" s="144" t="s">
        <v>74</v>
      </c>
      <c r="R29" s="144" t="s">
        <v>74</v>
      </c>
      <c r="S29" s="144" t="s">
        <v>74</v>
      </c>
      <c r="T29" s="144" t="s">
        <v>74</v>
      </c>
      <c r="U29" s="144" t="s">
        <v>74</v>
      </c>
      <c r="V29" s="144" t="s">
        <v>74</v>
      </c>
      <c r="W29" s="144" t="s">
        <v>74</v>
      </c>
      <c r="X29" s="144" t="s">
        <v>74</v>
      </c>
      <c r="Y29" s="144" t="s">
        <v>74</v>
      </c>
      <c r="Z29" s="144" t="s">
        <v>74</v>
      </c>
      <c r="AB29" s="146" t="s">
        <v>207</v>
      </c>
      <c r="AC29" s="147" t="s">
        <v>208</v>
      </c>
      <c r="AD29" s="145" t="s">
        <v>209</v>
      </c>
      <c r="AE29" s="144" t="s">
        <v>68</v>
      </c>
      <c r="AF29" s="149">
        <v>45697.17</v>
      </c>
      <c r="AG29" s="149">
        <v>60000</v>
      </c>
      <c r="AH29" s="144" t="s">
        <v>75</v>
      </c>
      <c r="AI29" s="144" t="s">
        <v>76</v>
      </c>
      <c r="AJ29" s="144" t="s">
        <v>72</v>
      </c>
      <c r="AK29" s="144" t="s">
        <v>76</v>
      </c>
      <c r="AL29" s="144" t="s">
        <v>76</v>
      </c>
      <c r="AM29" s="144" t="s">
        <v>77</v>
      </c>
      <c r="AO29" s="145" t="s">
        <v>210</v>
      </c>
      <c r="AP29" s="144" t="s">
        <v>76</v>
      </c>
      <c r="AQ29" s="144" t="s">
        <v>76</v>
      </c>
      <c r="AR29" s="144" t="s">
        <v>76</v>
      </c>
      <c r="AS29" s="144" t="s">
        <v>76</v>
      </c>
      <c r="AT29" s="144">
        <v>44923</v>
      </c>
      <c r="AU29" s="144" t="s">
        <v>76</v>
      </c>
      <c r="AV29" s="144" t="s">
        <v>76</v>
      </c>
      <c r="AW29" s="144">
        <v>44949</v>
      </c>
      <c r="AX29" s="144">
        <v>44949</v>
      </c>
      <c r="AY29" s="144" t="s">
        <v>76</v>
      </c>
      <c r="AZ29" s="144" t="s">
        <v>79</v>
      </c>
      <c r="BA29" s="150" t="s">
        <v>76</v>
      </c>
      <c r="BB29" s="143">
        <f t="shared" si="0"/>
        <v>49</v>
      </c>
      <c r="BC29" s="193" t="str">
        <f t="shared" si="1"/>
        <v>INDENIZAÇÃO</v>
      </c>
      <c r="BD29" s="193" t="str">
        <f t="shared" si="2"/>
        <v>NÃO</v>
      </c>
      <c r="BE29" s="193" t="s">
        <v>74</v>
      </c>
      <c r="BF29" s="193" t="s">
        <v>74</v>
      </c>
      <c r="BG29" s="193" t="s">
        <v>74</v>
      </c>
      <c r="BH29" s="193" t="s">
        <v>76</v>
      </c>
      <c r="BI29" s="193" t="s">
        <v>76</v>
      </c>
      <c r="BJ29" s="194">
        <v>45190</v>
      </c>
      <c r="BK29" s="193" t="s">
        <v>76</v>
      </c>
      <c r="BL29" s="195" t="s">
        <v>76</v>
      </c>
      <c r="CI29" s="151"/>
      <c r="DQ29" s="151"/>
    </row>
    <row r="30" spans="1:121" s="144" customFormat="1" ht="30" customHeight="1" x14ac:dyDescent="0.25">
      <c r="A30" s="143">
        <v>26</v>
      </c>
      <c r="B30" s="144" t="s">
        <v>64</v>
      </c>
      <c r="C30" s="143">
        <v>0</v>
      </c>
      <c r="D30" s="143">
        <v>0</v>
      </c>
      <c r="E30" s="143">
        <v>0</v>
      </c>
      <c r="F30" s="145" t="s">
        <v>211</v>
      </c>
      <c r="G30" s="144" t="s">
        <v>66</v>
      </c>
      <c r="H30" s="144" t="s">
        <v>67</v>
      </c>
      <c r="I30" s="144" t="s">
        <v>68</v>
      </c>
      <c r="J30" s="146" t="s">
        <v>212</v>
      </c>
      <c r="K30" s="155" t="s">
        <v>213</v>
      </c>
      <c r="L30" s="145" t="s">
        <v>214</v>
      </c>
      <c r="M30" s="148" t="s">
        <v>72</v>
      </c>
      <c r="N30" s="165" t="s">
        <v>84</v>
      </c>
      <c r="O30" s="144">
        <v>44900</v>
      </c>
      <c r="P30" s="144" t="s">
        <v>74</v>
      </c>
      <c r="Q30" s="144" t="s">
        <v>74</v>
      </c>
      <c r="R30" s="144" t="s">
        <v>74</v>
      </c>
      <c r="S30" s="144" t="s">
        <v>74</v>
      </c>
      <c r="T30" s="144" t="s">
        <v>74</v>
      </c>
      <c r="U30" s="144" t="s">
        <v>74</v>
      </c>
      <c r="V30" s="144" t="s">
        <v>74</v>
      </c>
      <c r="W30" s="144" t="s">
        <v>74</v>
      </c>
      <c r="X30" s="144" t="s">
        <v>74</v>
      </c>
      <c r="Y30" s="144" t="s">
        <v>74</v>
      </c>
      <c r="Z30" s="144" t="s">
        <v>74</v>
      </c>
      <c r="AB30" s="146" t="s">
        <v>215</v>
      </c>
      <c r="AC30" s="155" t="s">
        <v>213</v>
      </c>
      <c r="AD30" s="145" t="s">
        <v>214</v>
      </c>
      <c r="AE30" s="144" t="s">
        <v>68</v>
      </c>
      <c r="AF30" s="149">
        <v>22668.06</v>
      </c>
      <c r="AG30" s="149">
        <v>52668.06</v>
      </c>
      <c r="AH30" s="144" t="s">
        <v>75</v>
      </c>
      <c r="AI30" s="144" t="s">
        <v>76</v>
      </c>
      <c r="AJ30" s="144" t="s">
        <v>72</v>
      </c>
      <c r="AK30" s="144" t="s">
        <v>76</v>
      </c>
      <c r="AL30" s="144" t="s">
        <v>76</v>
      </c>
      <c r="AM30" s="144" t="s">
        <v>77</v>
      </c>
      <c r="AO30" s="145" t="s">
        <v>216</v>
      </c>
      <c r="AP30" s="144" t="s">
        <v>76</v>
      </c>
      <c r="AQ30" s="144" t="s">
        <v>76</v>
      </c>
      <c r="AR30" s="144" t="s">
        <v>76</v>
      </c>
      <c r="AS30" s="144" t="s">
        <v>76</v>
      </c>
      <c r="AT30" s="144">
        <v>44923</v>
      </c>
      <c r="AU30" s="144" t="s">
        <v>76</v>
      </c>
      <c r="AV30" s="144" t="s">
        <v>76</v>
      </c>
      <c r="AW30" s="144">
        <v>44949</v>
      </c>
      <c r="AX30" s="144">
        <v>44949</v>
      </c>
      <c r="AY30" s="144" t="s">
        <v>76</v>
      </c>
      <c r="AZ30" s="144" t="s">
        <v>79</v>
      </c>
      <c r="BA30" s="150" t="s">
        <v>76</v>
      </c>
      <c r="BB30" s="143">
        <f t="shared" si="0"/>
        <v>49</v>
      </c>
      <c r="BC30" s="193" t="str">
        <f t="shared" si="1"/>
        <v>INDENIZAÇÃO</v>
      </c>
      <c r="BD30" s="193" t="str">
        <f t="shared" si="2"/>
        <v>SIM</v>
      </c>
      <c r="BE30" s="144" t="s">
        <v>76</v>
      </c>
      <c r="BF30" s="144">
        <v>45128</v>
      </c>
      <c r="BG30" s="144">
        <v>45128</v>
      </c>
      <c r="BH30" s="193" t="s">
        <v>76</v>
      </c>
      <c r="BI30" s="193" t="s">
        <v>76</v>
      </c>
      <c r="BJ30" s="194">
        <v>45190</v>
      </c>
      <c r="BK30" s="193" t="s">
        <v>76</v>
      </c>
      <c r="BL30" s="195" t="s">
        <v>76</v>
      </c>
      <c r="CI30" s="151"/>
      <c r="DQ30" s="151"/>
    </row>
    <row r="31" spans="1:121" s="144" customFormat="1" ht="30" customHeight="1" x14ac:dyDescent="0.25">
      <c r="A31" s="143">
        <v>27</v>
      </c>
      <c r="B31" s="144" t="s">
        <v>64</v>
      </c>
      <c r="C31" s="143">
        <v>0</v>
      </c>
      <c r="D31" s="143">
        <v>0</v>
      </c>
      <c r="E31" s="143">
        <v>0</v>
      </c>
      <c r="F31" s="145" t="s">
        <v>217</v>
      </c>
      <c r="G31" s="144" t="s">
        <v>66</v>
      </c>
      <c r="H31" s="144" t="s">
        <v>67</v>
      </c>
      <c r="I31" s="144" t="s">
        <v>68</v>
      </c>
      <c r="J31" s="146" t="s">
        <v>218</v>
      </c>
      <c r="K31" s="147" t="s">
        <v>219</v>
      </c>
      <c r="L31" s="145" t="s">
        <v>220</v>
      </c>
      <c r="M31" s="148" t="s">
        <v>72</v>
      </c>
      <c r="N31" s="148" t="s">
        <v>73</v>
      </c>
      <c r="O31" s="144">
        <v>44900</v>
      </c>
      <c r="P31" s="144" t="s">
        <v>74</v>
      </c>
      <c r="Q31" s="144" t="s">
        <v>74</v>
      </c>
      <c r="R31" s="144" t="s">
        <v>74</v>
      </c>
      <c r="S31" s="144" t="s">
        <v>74</v>
      </c>
      <c r="T31" s="144" t="s">
        <v>74</v>
      </c>
      <c r="U31" s="144" t="s">
        <v>74</v>
      </c>
      <c r="V31" s="144" t="s">
        <v>74</v>
      </c>
      <c r="W31" s="144" t="s">
        <v>74</v>
      </c>
      <c r="X31" s="144" t="s">
        <v>74</v>
      </c>
      <c r="Y31" s="144" t="s">
        <v>74</v>
      </c>
      <c r="Z31" s="144" t="s">
        <v>74</v>
      </c>
      <c r="AB31" s="146" t="s">
        <v>218</v>
      </c>
      <c r="AC31" s="147" t="s">
        <v>219</v>
      </c>
      <c r="AD31" s="145" t="s">
        <v>220</v>
      </c>
      <c r="AE31" s="144" t="s">
        <v>68</v>
      </c>
      <c r="AF31" s="149">
        <v>19074.13</v>
      </c>
      <c r="AG31" s="149">
        <v>49074.13</v>
      </c>
      <c r="AH31" s="144" t="s">
        <v>75</v>
      </c>
      <c r="AI31" s="144" t="s">
        <v>76</v>
      </c>
      <c r="AJ31" s="144" t="s">
        <v>72</v>
      </c>
      <c r="AK31" s="144" t="s">
        <v>76</v>
      </c>
      <c r="AL31" s="144" t="s">
        <v>76</v>
      </c>
      <c r="AM31" s="144" t="s">
        <v>77</v>
      </c>
      <c r="AO31" s="145" t="s">
        <v>221</v>
      </c>
      <c r="AP31" s="144" t="s">
        <v>76</v>
      </c>
      <c r="AQ31" s="144" t="s">
        <v>76</v>
      </c>
      <c r="AR31" s="144" t="s">
        <v>76</v>
      </c>
      <c r="AS31" s="144" t="s">
        <v>76</v>
      </c>
      <c r="AT31" s="144">
        <v>44923</v>
      </c>
      <c r="AU31" s="144" t="s">
        <v>76</v>
      </c>
      <c r="AV31" s="144" t="s">
        <v>76</v>
      </c>
      <c r="AW31" s="144">
        <v>44949</v>
      </c>
      <c r="AX31" s="144">
        <v>44949</v>
      </c>
      <c r="AY31" s="144" t="s">
        <v>76</v>
      </c>
      <c r="AZ31" s="144" t="s">
        <v>79</v>
      </c>
      <c r="BA31" s="150" t="s">
        <v>76</v>
      </c>
      <c r="BB31" s="143">
        <f t="shared" si="0"/>
        <v>49</v>
      </c>
      <c r="BC31" s="193" t="str">
        <f t="shared" si="1"/>
        <v>INDENIZAÇÃO</v>
      </c>
      <c r="BD31" s="193" t="str">
        <f t="shared" si="2"/>
        <v>NÃO</v>
      </c>
      <c r="BE31" s="196" t="s">
        <v>74</v>
      </c>
      <c r="BF31" s="196" t="s">
        <v>74</v>
      </c>
      <c r="BG31" s="196" t="s">
        <v>74</v>
      </c>
      <c r="BH31" s="193" t="s">
        <v>76</v>
      </c>
      <c r="BI31" s="196" t="s">
        <v>76</v>
      </c>
      <c r="BJ31" s="144">
        <v>45190</v>
      </c>
      <c r="BK31" s="193" t="s">
        <v>76</v>
      </c>
      <c r="BL31" s="195" t="s">
        <v>76</v>
      </c>
      <c r="CI31" s="151"/>
      <c r="DQ31" s="151"/>
    </row>
    <row r="32" spans="1:121" s="144" customFormat="1" ht="30" customHeight="1" x14ac:dyDescent="0.25">
      <c r="A32" s="143">
        <v>28</v>
      </c>
      <c r="B32" s="144" t="s">
        <v>64</v>
      </c>
      <c r="C32" s="143">
        <v>0</v>
      </c>
      <c r="D32" s="143">
        <v>0</v>
      </c>
      <c r="E32" s="143">
        <v>0</v>
      </c>
      <c r="F32" s="145" t="s">
        <v>222</v>
      </c>
      <c r="G32" s="144" t="s">
        <v>66</v>
      </c>
      <c r="H32" s="144" t="s">
        <v>67</v>
      </c>
      <c r="I32" s="144" t="s">
        <v>68</v>
      </c>
      <c r="J32" s="146" t="s">
        <v>223</v>
      </c>
      <c r="K32" s="147" t="s">
        <v>224</v>
      </c>
      <c r="L32" s="145" t="s">
        <v>225</v>
      </c>
      <c r="M32" s="148" t="s">
        <v>72</v>
      </c>
      <c r="N32" s="165" t="s">
        <v>84</v>
      </c>
      <c r="O32" s="144">
        <v>44900</v>
      </c>
      <c r="P32" s="144" t="s">
        <v>74</v>
      </c>
      <c r="Q32" s="144" t="s">
        <v>74</v>
      </c>
      <c r="R32" s="144" t="s">
        <v>74</v>
      </c>
      <c r="S32" s="144" t="s">
        <v>74</v>
      </c>
      <c r="T32" s="144" t="s">
        <v>74</v>
      </c>
      <c r="U32" s="144" t="s">
        <v>74</v>
      </c>
      <c r="V32" s="144" t="s">
        <v>74</v>
      </c>
      <c r="W32" s="144" t="s">
        <v>74</v>
      </c>
      <c r="X32" s="144" t="s">
        <v>74</v>
      </c>
      <c r="Y32" s="144" t="s">
        <v>74</v>
      </c>
      <c r="Z32" s="144" t="s">
        <v>74</v>
      </c>
      <c r="AB32" s="146" t="s">
        <v>223</v>
      </c>
      <c r="AC32" s="147" t="s">
        <v>224</v>
      </c>
      <c r="AD32" s="145" t="s">
        <v>225</v>
      </c>
      <c r="AE32" s="144" t="s">
        <v>68</v>
      </c>
      <c r="AF32" s="149">
        <v>14502.18</v>
      </c>
      <c r="AG32" s="149">
        <v>44502.18</v>
      </c>
      <c r="AH32" s="144" t="s">
        <v>75</v>
      </c>
      <c r="AI32" s="144" t="s">
        <v>76</v>
      </c>
      <c r="AJ32" s="144" t="s">
        <v>72</v>
      </c>
      <c r="AK32" s="144" t="s">
        <v>76</v>
      </c>
      <c r="AL32" s="144" t="s">
        <v>76</v>
      </c>
      <c r="AM32" s="144" t="s">
        <v>77</v>
      </c>
      <c r="AO32" s="145" t="s">
        <v>226</v>
      </c>
      <c r="AP32" s="144" t="s">
        <v>76</v>
      </c>
      <c r="AQ32" s="144" t="s">
        <v>76</v>
      </c>
      <c r="AR32" s="144" t="s">
        <v>76</v>
      </c>
      <c r="AS32" s="144" t="s">
        <v>76</v>
      </c>
      <c r="AT32" s="144">
        <v>44923</v>
      </c>
      <c r="AU32" s="144" t="s">
        <v>76</v>
      </c>
      <c r="AV32" s="144" t="s">
        <v>76</v>
      </c>
      <c r="AW32" s="144">
        <v>44924</v>
      </c>
      <c r="AX32" s="144">
        <v>44924</v>
      </c>
      <c r="AY32" s="144" t="s">
        <v>76</v>
      </c>
      <c r="AZ32" s="144" t="s">
        <v>79</v>
      </c>
      <c r="BA32" s="150" t="s">
        <v>76</v>
      </c>
      <c r="BB32" s="143">
        <f t="shared" si="0"/>
        <v>24</v>
      </c>
      <c r="BC32" s="193" t="str">
        <f t="shared" si="1"/>
        <v>INDENIZAÇÃO</v>
      </c>
      <c r="BD32" s="193" t="str">
        <f t="shared" si="2"/>
        <v>SIM</v>
      </c>
      <c r="BE32" s="144" t="s">
        <v>76</v>
      </c>
      <c r="BF32" s="144">
        <v>44946</v>
      </c>
      <c r="BG32" s="144">
        <v>44946</v>
      </c>
      <c r="BH32" s="197" t="s">
        <v>76</v>
      </c>
      <c r="BI32" s="197" t="s">
        <v>76</v>
      </c>
      <c r="BJ32" s="144">
        <v>45057</v>
      </c>
      <c r="BK32" s="197" t="s">
        <v>76</v>
      </c>
      <c r="BL32" s="195" t="s">
        <v>76</v>
      </c>
      <c r="CI32" s="151"/>
      <c r="DQ32" s="151"/>
    </row>
    <row r="33" spans="1:121" s="156" customFormat="1" ht="30" hidden="1" customHeight="1" x14ac:dyDescent="0.25">
      <c r="A33" s="143">
        <v>29</v>
      </c>
      <c r="B33" s="144" t="s">
        <v>64</v>
      </c>
      <c r="C33" s="143">
        <v>0</v>
      </c>
      <c r="D33" s="143">
        <v>0</v>
      </c>
      <c r="E33" s="143">
        <v>0</v>
      </c>
      <c r="F33" s="145" t="s">
        <v>227</v>
      </c>
      <c r="G33" s="144" t="s">
        <v>66</v>
      </c>
      <c r="H33" s="144" t="s">
        <v>67</v>
      </c>
      <c r="I33" s="144" t="s">
        <v>68</v>
      </c>
      <c r="J33" s="146" t="s">
        <v>228</v>
      </c>
      <c r="K33" s="154" t="s">
        <v>229</v>
      </c>
      <c r="L33" s="145" t="s">
        <v>230</v>
      </c>
      <c r="M33" s="148" t="s">
        <v>72</v>
      </c>
      <c r="N33" s="148" t="s">
        <v>101</v>
      </c>
      <c r="O33" s="144">
        <v>44900</v>
      </c>
      <c r="P33" s="144">
        <v>44910</v>
      </c>
      <c r="Q33" s="144" t="s">
        <v>102</v>
      </c>
      <c r="R33" s="144" t="s">
        <v>76</v>
      </c>
      <c r="S33" s="144" t="s">
        <v>76</v>
      </c>
      <c r="T33" s="144" t="s">
        <v>76</v>
      </c>
      <c r="U33" s="144">
        <v>44924</v>
      </c>
      <c r="V33" s="144">
        <v>44924</v>
      </c>
      <c r="W33" s="144">
        <v>44929</v>
      </c>
      <c r="X33" s="144">
        <v>44958</v>
      </c>
      <c r="Y33" s="144">
        <v>44957</v>
      </c>
      <c r="Z33" s="144" t="s">
        <v>76</v>
      </c>
      <c r="AA33" s="144"/>
      <c r="AB33" s="146" t="s">
        <v>228</v>
      </c>
      <c r="AC33" s="154" t="s">
        <v>229</v>
      </c>
      <c r="AD33" s="145" t="s">
        <v>230</v>
      </c>
      <c r="AE33" s="144" t="s">
        <v>68</v>
      </c>
      <c r="AF33" s="149">
        <v>15471.67</v>
      </c>
      <c r="AG33" s="149">
        <v>45471.67</v>
      </c>
      <c r="AH33" s="144" t="s">
        <v>104</v>
      </c>
      <c r="AI33" s="144" t="s">
        <v>76</v>
      </c>
      <c r="AJ33" s="144" t="s">
        <v>72</v>
      </c>
      <c r="AK33" s="144" t="s">
        <v>74</v>
      </c>
      <c r="AL33" s="144" t="s">
        <v>74</v>
      </c>
      <c r="AM33" s="144" t="s">
        <v>74</v>
      </c>
      <c r="AN33" s="144"/>
      <c r="AO33" s="145" t="s">
        <v>74</v>
      </c>
      <c r="AP33" s="144" t="s">
        <v>74</v>
      </c>
      <c r="AQ33" s="144" t="s">
        <v>74</v>
      </c>
      <c r="AR33" s="144" t="s">
        <v>74</v>
      </c>
      <c r="AS33" s="144" t="s">
        <v>74</v>
      </c>
      <c r="AT33" s="144" t="s">
        <v>74</v>
      </c>
      <c r="AU33" s="144" t="s">
        <v>74</v>
      </c>
      <c r="AV33" s="144" t="s">
        <v>74</v>
      </c>
      <c r="AW33" s="144">
        <v>44958</v>
      </c>
      <c r="AX33" s="144">
        <v>44957</v>
      </c>
      <c r="AY33" s="144" t="s">
        <v>76</v>
      </c>
      <c r="AZ33" s="144" t="s">
        <v>79</v>
      </c>
      <c r="BA33" s="150" t="s">
        <v>76</v>
      </c>
      <c r="BB33" s="143">
        <f t="shared" si="0"/>
        <v>57</v>
      </c>
      <c r="BC33" s="193" t="str">
        <f t="shared" si="1"/>
        <v>AA</v>
      </c>
      <c r="BD33" s="193" t="str">
        <f t="shared" si="2"/>
        <v>NÃO</v>
      </c>
      <c r="BE33" s="193" t="s">
        <v>74</v>
      </c>
      <c r="BF33" s="193" t="s">
        <v>74</v>
      </c>
      <c r="BG33" s="193" t="s">
        <v>74</v>
      </c>
      <c r="BH33" s="193" t="s">
        <v>74</v>
      </c>
      <c r="BI33" s="193" t="s">
        <v>74</v>
      </c>
      <c r="BJ33" s="193" t="s">
        <v>74</v>
      </c>
      <c r="BK33" s="193" t="s">
        <v>74</v>
      </c>
      <c r="BL33" s="195" t="s">
        <v>76</v>
      </c>
      <c r="BM33" s="144"/>
      <c r="BN33" s="144"/>
      <c r="BO33" s="144"/>
      <c r="BP33" s="144"/>
      <c r="BQ33" s="144"/>
      <c r="BR33" s="144"/>
      <c r="BS33" s="144"/>
      <c r="BT33" s="144"/>
      <c r="BU33" s="144"/>
      <c r="BV33" s="144"/>
      <c r="BW33" s="144"/>
      <c r="BX33" s="144"/>
      <c r="CI33" s="157"/>
      <c r="DQ33" s="157"/>
    </row>
    <row r="34" spans="1:121" s="144" customFormat="1" ht="30" customHeight="1" x14ac:dyDescent="0.25">
      <c r="A34" s="143">
        <v>30</v>
      </c>
      <c r="B34" s="144" t="s">
        <v>64</v>
      </c>
      <c r="C34" s="143">
        <v>0</v>
      </c>
      <c r="D34" s="143">
        <v>0</v>
      </c>
      <c r="E34" s="143">
        <v>0</v>
      </c>
      <c r="F34" s="145" t="s">
        <v>231</v>
      </c>
      <c r="G34" s="144" t="s">
        <v>66</v>
      </c>
      <c r="H34" s="144" t="s">
        <v>67</v>
      </c>
      <c r="I34" s="144" t="s">
        <v>68</v>
      </c>
      <c r="J34" s="146" t="s">
        <v>232</v>
      </c>
      <c r="K34" s="147" t="s">
        <v>233</v>
      </c>
      <c r="L34" s="145" t="s">
        <v>234</v>
      </c>
      <c r="M34" s="148" t="s">
        <v>72</v>
      </c>
      <c r="N34" s="148" t="s">
        <v>73</v>
      </c>
      <c r="O34" s="144">
        <v>44900</v>
      </c>
      <c r="P34" s="144" t="s">
        <v>74</v>
      </c>
      <c r="Q34" s="144" t="s">
        <v>74</v>
      </c>
      <c r="R34" s="144" t="s">
        <v>74</v>
      </c>
      <c r="S34" s="144" t="s">
        <v>74</v>
      </c>
      <c r="T34" s="144" t="s">
        <v>74</v>
      </c>
      <c r="U34" s="144" t="s">
        <v>74</v>
      </c>
      <c r="V34" s="144" t="s">
        <v>74</v>
      </c>
      <c r="W34" s="144" t="s">
        <v>74</v>
      </c>
      <c r="X34" s="144" t="s">
        <v>74</v>
      </c>
      <c r="Y34" s="144" t="s">
        <v>74</v>
      </c>
      <c r="Z34" s="144" t="s">
        <v>74</v>
      </c>
      <c r="AB34" s="146" t="s">
        <v>232</v>
      </c>
      <c r="AC34" s="147" t="s">
        <v>233</v>
      </c>
      <c r="AD34" s="145" t="s">
        <v>234</v>
      </c>
      <c r="AE34" s="144" t="s">
        <v>68</v>
      </c>
      <c r="AF34" s="149">
        <v>62705.25</v>
      </c>
      <c r="AG34" s="149">
        <v>62705.25</v>
      </c>
      <c r="AH34" s="144" t="s">
        <v>75</v>
      </c>
      <c r="AI34" s="144" t="s">
        <v>76</v>
      </c>
      <c r="AJ34" s="144" t="s">
        <v>72</v>
      </c>
      <c r="AK34" s="144" t="s">
        <v>76</v>
      </c>
      <c r="AL34" s="144" t="s">
        <v>76</v>
      </c>
      <c r="AM34" s="144" t="s">
        <v>77</v>
      </c>
      <c r="AO34" s="145" t="s">
        <v>235</v>
      </c>
      <c r="AP34" s="144" t="s">
        <v>76</v>
      </c>
      <c r="AQ34" s="144" t="s">
        <v>76</v>
      </c>
      <c r="AR34" s="144" t="s">
        <v>76</v>
      </c>
      <c r="AS34" s="144" t="s">
        <v>76</v>
      </c>
      <c r="AT34" s="144">
        <v>44923</v>
      </c>
      <c r="AU34" s="144" t="s">
        <v>76</v>
      </c>
      <c r="AV34" s="144" t="s">
        <v>76</v>
      </c>
      <c r="AW34" s="144">
        <v>44949</v>
      </c>
      <c r="AX34" s="144">
        <v>44949</v>
      </c>
      <c r="AY34" s="144" t="s">
        <v>76</v>
      </c>
      <c r="AZ34" s="144" t="s">
        <v>79</v>
      </c>
      <c r="BA34" s="150" t="s">
        <v>76</v>
      </c>
      <c r="BB34" s="143">
        <f t="shared" si="0"/>
        <v>49</v>
      </c>
      <c r="BC34" s="193" t="str">
        <f t="shared" si="1"/>
        <v>INDENIZAÇÃO</v>
      </c>
      <c r="BD34" s="193" t="str">
        <f t="shared" si="2"/>
        <v>NÃO</v>
      </c>
      <c r="BE34" s="196" t="s">
        <v>74</v>
      </c>
      <c r="BF34" s="196" t="s">
        <v>74</v>
      </c>
      <c r="BG34" s="196" t="s">
        <v>74</v>
      </c>
      <c r="BH34" s="193" t="s">
        <v>76</v>
      </c>
      <c r="BI34" s="193" t="s">
        <v>76</v>
      </c>
      <c r="BJ34" s="144">
        <v>45190</v>
      </c>
      <c r="BK34" s="193" t="s">
        <v>76</v>
      </c>
      <c r="BL34" s="195" t="s">
        <v>76</v>
      </c>
      <c r="CI34" s="151"/>
      <c r="DQ34" s="151"/>
    </row>
    <row r="35" spans="1:121" s="144" customFormat="1" ht="30" hidden="1" customHeight="1" x14ac:dyDescent="0.25">
      <c r="A35" s="143">
        <v>31</v>
      </c>
      <c r="B35" s="144" t="s">
        <v>64</v>
      </c>
      <c r="C35" s="143">
        <v>0</v>
      </c>
      <c r="D35" s="143">
        <v>0</v>
      </c>
      <c r="E35" s="143">
        <v>0</v>
      </c>
      <c r="F35" s="145" t="s">
        <v>236</v>
      </c>
      <c r="G35" s="144" t="s">
        <v>66</v>
      </c>
      <c r="H35" s="144" t="s">
        <v>67</v>
      </c>
      <c r="I35" s="144" t="s">
        <v>68</v>
      </c>
      <c r="J35" s="146" t="s">
        <v>237</v>
      </c>
      <c r="K35" s="154" t="s">
        <v>238</v>
      </c>
      <c r="L35" s="145" t="s">
        <v>239</v>
      </c>
      <c r="M35" s="148" t="s">
        <v>72</v>
      </c>
      <c r="N35" s="148" t="s">
        <v>101</v>
      </c>
      <c r="O35" s="144">
        <v>44900</v>
      </c>
      <c r="P35" s="144">
        <v>44910</v>
      </c>
      <c r="Q35" s="144" t="s">
        <v>102</v>
      </c>
      <c r="R35" s="144" t="s">
        <v>76</v>
      </c>
      <c r="S35" s="144" t="s">
        <v>76</v>
      </c>
      <c r="T35" s="144" t="s">
        <v>76</v>
      </c>
      <c r="U35" s="144" t="s">
        <v>76</v>
      </c>
      <c r="V35" s="144" t="s">
        <v>76</v>
      </c>
      <c r="W35" s="144" t="s">
        <v>76</v>
      </c>
      <c r="X35" s="144">
        <v>45057</v>
      </c>
      <c r="Y35" s="144">
        <v>45057</v>
      </c>
      <c r="Z35" s="144" t="s">
        <v>76</v>
      </c>
      <c r="AA35" s="144" t="s">
        <v>240</v>
      </c>
      <c r="AB35" s="146" t="s">
        <v>237</v>
      </c>
      <c r="AC35" s="154" t="s">
        <v>238</v>
      </c>
      <c r="AD35" s="145" t="s">
        <v>239</v>
      </c>
      <c r="AE35" s="144" t="s">
        <v>68</v>
      </c>
      <c r="AF35" s="149">
        <v>45041.72</v>
      </c>
      <c r="AG35" s="149">
        <v>60000</v>
      </c>
      <c r="AH35" s="144" t="s">
        <v>104</v>
      </c>
      <c r="AI35" s="144" t="s">
        <v>76</v>
      </c>
      <c r="AJ35" s="144" t="s">
        <v>72</v>
      </c>
      <c r="AK35" s="144" t="s">
        <v>74</v>
      </c>
      <c r="AL35" s="144" t="s">
        <v>74</v>
      </c>
      <c r="AM35" s="144" t="s">
        <v>74</v>
      </c>
      <c r="AO35" s="145" t="s">
        <v>74</v>
      </c>
      <c r="AP35" s="144" t="s">
        <v>74</v>
      </c>
      <c r="AQ35" s="144" t="s">
        <v>74</v>
      </c>
      <c r="AR35" s="144" t="s">
        <v>74</v>
      </c>
      <c r="AS35" s="144" t="s">
        <v>74</v>
      </c>
      <c r="AT35" s="144" t="s">
        <v>74</v>
      </c>
      <c r="AU35" s="144" t="s">
        <v>74</v>
      </c>
      <c r="AV35" s="144" t="s">
        <v>74</v>
      </c>
      <c r="AW35" s="144">
        <v>45057</v>
      </c>
      <c r="AX35" s="144">
        <v>45057</v>
      </c>
      <c r="AY35" s="144" t="s">
        <v>76</v>
      </c>
      <c r="AZ35" s="144" t="s">
        <v>79</v>
      </c>
      <c r="BA35" s="150" t="s">
        <v>76</v>
      </c>
      <c r="BB35" s="143">
        <f t="shared" si="0"/>
        <v>157</v>
      </c>
      <c r="BC35" s="193" t="str">
        <f t="shared" si="1"/>
        <v>AA</v>
      </c>
      <c r="BD35" s="193" t="str">
        <f t="shared" si="2"/>
        <v>NÃO</v>
      </c>
      <c r="BE35" s="193" t="s">
        <v>74</v>
      </c>
      <c r="BF35" s="193" t="s">
        <v>74</v>
      </c>
      <c r="BG35" s="193" t="s">
        <v>74</v>
      </c>
      <c r="BH35" s="193" t="s">
        <v>74</v>
      </c>
      <c r="BI35" s="193" t="s">
        <v>74</v>
      </c>
      <c r="BJ35" s="193" t="s">
        <v>74</v>
      </c>
      <c r="BK35" s="193" t="s">
        <v>74</v>
      </c>
      <c r="BL35" s="195" t="s">
        <v>76</v>
      </c>
      <c r="CI35" s="151"/>
      <c r="DQ35" s="151"/>
    </row>
    <row r="36" spans="1:121" s="144" customFormat="1" ht="30" customHeight="1" x14ac:dyDescent="0.25">
      <c r="A36" s="143">
        <v>32</v>
      </c>
      <c r="B36" s="144" t="s">
        <v>64</v>
      </c>
      <c r="C36" s="143">
        <v>0</v>
      </c>
      <c r="D36" s="143">
        <v>0</v>
      </c>
      <c r="E36" s="143">
        <v>0</v>
      </c>
      <c r="F36" s="145" t="s">
        <v>241</v>
      </c>
      <c r="G36" s="144" t="s">
        <v>66</v>
      </c>
      <c r="H36" s="144" t="s">
        <v>67</v>
      </c>
      <c r="I36" s="144" t="s">
        <v>68</v>
      </c>
      <c r="J36" s="146" t="s">
        <v>242</v>
      </c>
      <c r="K36" s="147" t="s">
        <v>243</v>
      </c>
      <c r="L36" s="145" t="s">
        <v>244</v>
      </c>
      <c r="M36" s="148" t="s">
        <v>72</v>
      </c>
      <c r="N36" s="165" t="s">
        <v>84</v>
      </c>
      <c r="O36" s="144">
        <v>44900</v>
      </c>
      <c r="P36" s="144" t="s">
        <v>74</v>
      </c>
      <c r="Q36" s="144" t="s">
        <v>74</v>
      </c>
      <c r="R36" s="144" t="s">
        <v>74</v>
      </c>
      <c r="S36" s="144" t="s">
        <v>74</v>
      </c>
      <c r="T36" s="144" t="s">
        <v>74</v>
      </c>
      <c r="U36" s="144" t="s">
        <v>74</v>
      </c>
      <c r="V36" s="144" t="s">
        <v>74</v>
      </c>
      <c r="W36" s="144" t="s">
        <v>74</v>
      </c>
      <c r="X36" s="144" t="s">
        <v>74</v>
      </c>
      <c r="Y36" s="144" t="s">
        <v>74</v>
      </c>
      <c r="Z36" s="144" t="s">
        <v>74</v>
      </c>
      <c r="AB36" s="146" t="s">
        <v>242</v>
      </c>
      <c r="AC36" s="147" t="s">
        <v>243</v>
      </c>
      <c r="AD36" s="145" t="s">
        <v>244</v>
      </c>
      <c r="AE36" s="144" t="s">
        <v>68</v>
      </c>
      <c r="AF36" s="149">
        <v>34740.82</v>
      </c>
      <c r="AG36" s="149">
        <v>60000</v>
      </c>
      <c r="AH36" s="144" t="s">
        <v>75</v>
      </c>
      <c r="AI36" s="144" t="s">
        <v>76</v>
      </c>
      <c r="AJ36" s="144" t="s">
        <v>72</v>
      </c>
      <c r="AK36" s="144" t="s">
        <v>76</v>
      </c>
      <c r="AL36" s="144" t="s">
        <v>76</v>
      </c>
      <c r="AM36" s="144" t="s">
        <v>77</v>
      </c>
      <c r="AO36" s="145" t="s">
        <v>245</v>
      </c>
      <c r="AP36" s="144" t="s">
        <v>76</v>
      </c>
      <c r="AQ36" s="144" t="s">
        <v>76</v>
      </c>
      <c r="AR36" s="144" t="s">
        <v>76</v>
      </c>
      <c r="AS36" s="144" t="s">
        <v>76</v>
      </c>
      <c r="AT36" s="144">
        <v>44923</v>
      </c>
      <c r="AU36" s="144" t="s">
        <v>76</v>
      </c>
      <c r="AV36" s="144" t="s">
        <v>76</v>
      </c>
      <c r="AW36" s="144">
        <v>44924</v>
      </c>
      <c r="AX36" s="144">
        <v>44924</v>
      </c>
      <c r="AY36" s="144" t="s">
        <v>76</v>
      </c>
      <c r="AZ36" s="144" t="s">
        <v>79</v>
      </c>
      <c r="BA36" s="150" t="s">
        <v>76</v>
      </c>
      <c r="BB36" s="143">
        <f t="shared" si="0"/>
        <v>24</v>
      </c>
      <c r="BC36" s="193" t="str">
        <f t="shared" si="1"/>
        <v>INDENIZAÇÃO</v>
      </c>
      <c r="BD36" s="193" t="str">
        <f t="shared" si="2"/>
        <v>SIM</v>
      </c>
      <c r="BE36" s="194" t="s">
        <v>76</v>
      </c>
      <c r="BF36" s="194">
        <v>44946</v>
      </c>
      <c r="BG36" s="194">
        <v>44946</v>
      </c>
      <c r="BH36" s="197" t="s">
        <v>76</v>
      </c>
      <c r="BI36" s="197" t="s">
        <v>76</v>
      </c>
      <c r="BJ36" s="144">
        <v>45057</v>
      </c>
      <c r="BK36" s="197" t="s">
        <v>76</v>
      </c>
      <c r="BL36" s="195" t="s">
        <v>76</v>
      </c>
      <c r="CI36" s="151"/>
      <c r="DQ36" s="151"/>
    </row>
    <row r="37" spans="1:121" s="144" customFormat="1" ht="30" customHeight="1" x14ac:dyDescent="0.25">
      <c r="A37" s="143">
        <v>33</v>
      </c>
      <c r="B37" s="144" t="s">
        <v>64</v>
      </c>
      <c r="C37" s="143">
        <v>0</v>
      </c>
      <c r="D37" s="143">
        <v>0</v>
      </c>
      <c r="E37" s="143">
        <v>0</v>
      </c>
      <c r="F37" s="145" t="s">
        <v>246</v>
      </c>
      <c r="G37" s="144" t="s">
        <v>66</v>
      </c>
      <c r="H37" s="144" t="s">
        <v>67</v>
      </c>
      <c r="I37" s="144" t="s">
        <v>68</v>
      </c>
      <c r="J37" s="146" t="s">
        <v>247</v>
      </c>
      <c r="K37" s="147" t="s">
        <v>248</v>
      </c>
      <c r="L37" s="145" t="s">
        <v>249</v>
      </c>
      <c r="M37" s="148" t="s">
        <v>72</v>
      </c>
      <c r="N37" s="165" t="s">
        <v>84</v>
      </c>
      <c r="O37" s="144">
        <v>44900</v>
      </c>
      <c r="P37" s="144" t="s">
        <v>74</v>
      </c>
      <c r="Q37" s="144" t="s">
        <v>74</v>
      </c>
      <c r="R37" s="144" t="s">
        <v>74</v>
      </c>
      <c r="S37" s="144" t="s">
        <v>74</v>
      </c>
      <c r="T37" s="144" t="s">
        <v>74</v>
      </c>
      <c r="U37" s="144" t="s">
        <v>74</v>
      </c>
      <c r="V37" s="144" t="s">
        <v>74</v>
      </c>
      <c r="W37" s="144" t="s">
        <v>74</v>
      </c>
      <c r="X37" s="144" t="s">
        <v>74</v>
      </c>
      <c r="Y37" s="144" t="s">
        <v>74</v>
      </c>
      <c r="Z37" s="144" t="s">
        <v>74</v>
      </c>
      <c r="AB37" s="146" t="s">
        <v>247</v>
      </c>
      <c r="AC37" s="147" t="s">
        <v>248</v>
      </c>
      <c r="AD37" s="145" t="s">
        <v>249</v>
      </c>
      <c r="AE37" s="144" t="s">
        <v>68</v>
      </c>
      <c r="AF37" s="149">
        <v>44242.65</v>
      </c>
      <c r="AG37" s="149">
        <v>60000</v>
      </c>
      <c r="AH37" s="144" t="s">
        <v>75</v>
      </c>
      <c r="AI37" s="144" t="s">
        <v>76</v>
      </c>
      <c r="AJ37" s="144" t="s">
        <v>72</v>
      </c>
      <c r="AK37" s="144" t="s">
        <v>76</v>
      </c>
      <c r="AL37" s="144" t="s">
        <v>76</v>
      </c>
      <c r="AM37" s="144" t="s">
        <v>77</v>
      </c>
      <c r="AO37" s="145" t="s">
        <v>250</v>
      </c>
      <c r="AP37" s="144" t="s">
        <v>76</v>
      </c>
      <c r="AQ37" s="144" t="s">
        <v>76</v>
      </c>
      <c r="AR37" s="144" t="s">
        <v>76</v>
      </c>
      <c r="AS37" s="144" t="s">
        <v>76</v>
      </c>
      <c r="AT37" s="144">
        <v>44923</v>
      </c>
      <c r="AU37" s="144" t="s">
        <v>76</v>
      </c>
      <c r="AV37" s="144" t="s">
        <v>76</v>
      </c>
      <c r="AW37" s="144">
        <v>44949</v>
      </c>
      <c r="AX37" s="144">
        <v>44949</v>
      </c>
      <c r="AY37" s="144" t="s">
        <v>76</v>
      </c>
      <c r="AZ37" s="144" t="s">
        <v>79</v>
      </c>
      <c r="BA37" s="150" t="s">
        <v>76</v>
      </c>
      <c r="BB37" s="143">
        <f t="shared" ref="BB37:BB55" si="3">IF(AX37-OM37=0,"",AX37-O37)</f>
        <v>49</v>
      </c>
      <c r="BC37" s="193" t="str">
        <f t="shared" ref="BC37:BC55" si="4">IF(AND(AH37&lt;&gt;"SIM",AH37="UH"),"AA","INDENIZAÇÃO")</f>
        <v>INDENIZAÇÃO</v>
      </c>
      <c r="BD37" s="193" t="str">
        <f t="shared" ref="BD37:BD55" si="5">IF(AND(AX37&lt;&gt;"AGUARDANDO",AX37&lt;&gt;"",N37="AUXÍLIO ALUGUEL ATÉ INDENIZAÇÃO"),"SIM","NÃO")</f>
        <v>SIM</v>
      </c>
      <c r="BE37" s="194" t="s">
        <v>76</v>
      </c>
      <c r="BF37" s="194">
        <v>45128</v>
      </c>
      <c r="BG37" s="194">
        <v>45128</v>
      </c>
      <c r="BH37" s="193" t="s">
        <v>76</v>
      </c>
      <c r="BI37" s="193" t="s">
        <v>76</v>
      </c>
      <c r="BJ37" s="144">
        <v>45190</v>
      </c>
      <c r="BK37" s="193" t="s">
        <v>76</v>
      </c>
      <c r="BL37" s="195" t="s">
        <v>76</v>
      </c>
      <c r="CI37" s="151"/>
      <c r="DQ37" s="151"/>
    </row>
    <row r="38" spans="1:121" s="144" customFormat="1" ht="30" customHeight="1" x14ac:dyDescent="0.25">
      <c r="A38" s="143">
        <v>34</v>
      </c>
      <c r="B38" s="144" t="s">
        <v>64</v>
      </c>
      <c r="C38" s="143">
        <v>0</v>
      </c>
      <c r="D38" s="143">
        <v>0</v>
      </c>
      <c r="E38" s="143">
        <v>0</v>
      </c>
      <c r="F38" s="145" t="s">
        <v>251</v>
      </c>
      <c r="G38" s="144" t="s">
        <v>66</v>
      </c>
      <c r="H38" s="144" t="s">
        <v>67</v>
      </c>
      <c r="I38" s="144" t="s">
        <v>68</v>
      </c>
      <c r="J38" s="146" t="s">
        <v>252</v>
      </c>
      <c r="K38" s="147" t="s">
        <v>253</v>
      </c>
      <c r="L38" s="145" t="s">
        <v>254</v>
      </c>
      <c r="M38" s="148" t="s">
        <v>72</v>
      </c>
      <c r="N38" s="165" t="s">
        <v>84</v>
      </c>
      <c r="O38" s="144">
        <v>44900</v>
      </c>
      <c r="P38" s="144" t="s">
        <v>74</v>
      </c>
      <c r="Q38" s="144" t="s">
        <v>74</v>
      </c>
      <c r="R38" s="144" t="s">
        <v>74</v>
      </c>
      <c r="S38" s="144" t="s">
        <v>74</v>
      </c>
      <c r="T38" s="144" t="s">
        <v>74</v>
      </c>
      <c r="U38" s="144" t="s">
        <v>74</v>
      </c>
      <c r="V38" s="144" t="s">
        <v>74</v>
      </c>
      <c r="W38" s="144" t="s">
        <v>74</v>
      </c>
      <c r="X38" s="144" t="s">
        <v>74</v>
      </c>
      <c r="Y38" s="144" t="s">
        <v>74</v>
      </c>
      <c r="Z38" s="144" t="s">
        <v>74</v>
      </c>
      <c r="AB38" s="146" t="s">
        <v>252</v>
      </c>
      <c r="AC38" s="147" t="s">
        <v>253</v>
      </c>
      <c r="AD38" s="145" t="s">
        <v>254</v>
      </c>
      <c r="AE38" s="144" t="s">
        <v>68</v>
      </c>
      <c r="AF38" s="149">
        <v>53026.8</v>
      </c>
      <c r="AG38" s="149">
        <v>60000</v>
      </c>
      <c r="AH38" s="144" t="s">
        <v>75</v>
      </c>
      <c r="AI38" s="144" t="s">
        <v>76</v>
      </c>
      <c r="AJ38" s="144" t="s">
        <v>72</v>
      </c>
      <c r="AK38" s="144" t="s">
        <v>76</v>
      </c>
      <c r="AL38" s="144" t="s">
        <v>76</v>
      </c>
      <c r="AM38" s="144" t="s">
        <v>77</v>
      </c>
      <c r="AO38" s="145" t="s">
        <v>255</v>
      </c>
      <c r="AP38" s="144" t="s">
        <v>76</v>
      </c>
      <c r="AQ38" s="144" t="s">
        <v>76</v>
      </c>
      <c r="AR38" s="144" t="s">
        <v>76</v>
      </c>
      <c r="AS38" s="144" t="s">
        <v>76</v>
      </c>
      <c r="AT38" s="144">
        <v>44923</v>
      </c>
      <c r="AU38" s="144" t="s">
        <v>76</v>
      </c>
      <c r="AV38" s="144" t="s">
        <v>76</v>
      </c>
      <c r="AW38" s="144">
        <v>44949</v>
      </c>
      <c r="AX38" s="144">
        <v>44949</v>
      </c>
      <c r="AY38" s="144" t="s">
        <v>76</v>
      </c>
      <c r="AZ38" s="144" t="s">
        <v>79</v>
      </c>
      <c r="BA38" s="150" t="s">
        <v>76</v>
      </c>
      <c r="BB38" s="143">
        <f t="shared" si="3"/>
        <v>49</v>
      </c>
      <c r="BC38" s="193" t="str">
        <f t="shared" si="4"/>
        <v>INDENIZAÇÃO</v>
      </c>
      <c r="BD38" s="193" t="str">
        <f t="shared" si="5"/>
        <v>SIM</v>
      </c>
      <c r="BE38" s="194" t="s">
        <v>76</v>
      </c>
      <c r="BF38" s="194">
        <v>45128</v>
      </c>
      <c r="BG38" s="194">
        <v>45128</v>
      </c>
      <c r="BH38" s="193" t="s">
        <v>76</v>
      </c>
      <c r="BI38" s="193" t="s">
        <v>76</v>
      </c>
      <c r="BJ38" s="144">
        <v>45190</v>
      </c>
      <c r="BK38" s="193" t="s">
        <v>76</v>
      </c>
      <c r="BL38" s="195" t="s">
        <v>76</v>
      </c>
      <c r="CI38" s="151"/>
      <c r="DQ38" s="151"/>
    </row>
    <row r="39" spans="1:121" s="144" customFormat="1" ht="30" customHeight="1" x14ac:dyDescent="0.25">
      <c r="A39" s="143">
        <v>35</v>
      </c>
      <c r="B39" s="144" t="s">
        <v>64</v>
      </c>
      <c r="C39" s="143">
        <v>0</v>
      </c>
      <c r="D39" s="143">
        <v>0</v>
      </c>
      <c r="E39" s="143">
        <v>0</v>
      </c>
      <c r="F39" s="145" t="s">
        <v>256</v>
      </c>
      <c r="G39" s="144" t="s">
        <v>66</v>
      </c>
      <c r="H39" s="144" t="s">
        <v>67</v>
      </c>
      <c r="I39" s="144" t="s">
        <v>68</v>
      </c>
      <c r="J39" s="146" t="s">
        <v>257</v>
      </c>
      <c r="K39" s="147" t="s">
        <v>258</v>
      </c>
      <c r="L39" s="145" t="s">
        <v>259</v>
      </c>
      <c r="M39" s="148" t="s">
        <v>72</v>
      </c>
      <c r="N39" s="148" t="s">
        <v>73</v>
      </c>
      <c r="O39" s="144">
        <v>44900</v>
      </c>
      <c r="P39" s="144" t="s">
        <v>74</v>
      </c>
      <c r="Q39" s="144" t="s">
        <v>74</v>
      </c>
      <c r="R39" s="144" t="s">
        <v>74</v>
      </c>
      <c r="S39" s="144" t="s">
        <v>74</v>
      </c>
      <c r="T39" s="144" t="s">
        <v>74</v>
      </c>
      <c r="U39" s="144" t="s">
        <v>74</v>
      </c>
      <c r="V39" s="144" t="s">
        <v>74</v>
      </c>
      <c r="W39" s="144" t="s">
        <v>74</v>
      </c>
      <c r="X39" s="144" t="s">
        <v>74</v>
      </c>
      <c r="Y39" s="144" t="s">
        <v>74</v>
      </c>
      <c r="Z39" s="144" t="s">
        <v>74</v>
      </c>
      <c r="AB39" s="146" t="s">
        <v>257</v>
      </c>
      <c r="AC39" s="147" t="s">
        <v>258</v>
      </c>
      <c r="AD39" s="145" t="s">
        <v>259</v>
      </c>
      <c r="AE39" s="144" t="s">
        <v>68</v>
      </c>
      <c r="AF39" s="149">
        <v>43640.73</v>
      </c>
      <c r="AG39" s="149">
        <v>60000</v>
      </c>
      <c r="AH39" s="144" t="s">
        <v>75</v>
      </c>
      <c r="AI39" s="144" t="s">
        <v>76</v>
      </c>
      <c r="AJ39" s="144" t="s">
        <v>72</v>
      </c>
      <c r="AK39" s="144" t="s">
        <v>76</v>
      </c>
      <c r="AL39" s="144" t="s">
        <v>76</v>
      </c>
      <c r="AM39" s="144" t="s">
        <v>77</v>
      </c>
      <c r="AO39" s="145" t="s">
        <v>260</v>
      </c>
      <c r="AP39" s="144" t="s">
        <v>76</v>
      </c>
      <c r="AQ39" s="144" t="s">
        <v>76</v>
      </c>
      <c r="AR39" s="144" t="s">
        <v>76</v>
      </c>
      <c r="AS39" s="144" t="s">
        <v>76</v>
      </c>
      <c r="AT39" s="144">
        <v>44923</v>
      </c>
      <c r="AU39" s="144" t="s">
        <v>76</v>
      </c>
      <c r="AV39" s="144" t="s">
        <v>76</v>
      </c>
      <c r="AW39" s="144">
        <v>44949</v>
      </c>
      <c r="AX39" s="144">
        <v>44949</v>
      </c>
      <c r="AY39" s="144" t="s">
        <v>76</v>
      </c>
      <c r="AZ39" s="144" t="s">
        <v>79</v>
      </c>
      <c r="BA39" s="150" t="s">
        <v>76</v>
      </c>
      <c r="BB39" s="143">
        <f t="shared" si="3"/>
        <v>49</v>
      </c>
      <c r="BC39" s="193" t="str">
        <f t="shared" si="4"/>
        <v>INDENIZAÇÃO</v>
      </c>
      <c r="BD39" s="193" t="str">
        <f t="shared" si="5"/>
        <v>NÃO</v>
      </c>
      <c r="BE39" s="193" t="s">
        <v>74</v>
      </c>
      <c r="BF39" s="193" t="s">
        <v>74</v>
      </c>
      <c r="BG39" s="193" t="s">
        <v>74</v>
      </c>
      <c r="BH39" s="193" t="s">
        <v>76</v>
      </c>
      <c r="BI39" s="193" t="s">
        <v>76</v>
      </c>
      <c r="BJ39" s="144">
        <v>45190</v>
      </c>
      <c r="BK39" s="193" t="s">
        <v>76</v>
      </c>
      <c r="BL39" s="195" t="s">
        <v>76</v>
      </c>
      <c r="CI39" s="151"/>
      <c r="DQ39" s="151"/>
    </row>
    <row r="40" spans="1:121" s="156" customFormat="1" ht="30" customHeight="1" x14ac:dyDescent="0.25">
      <c r="A40" s="143">
        <v>36</v>
      </c>
      <c r="B40" s="144" t="s">
        <v>64</v>
      </c>
      <c r="C40" s="143">
        <v>0</v>
      </c>
      <c r="D40" s="143">
        <v>0</v>
      </c>
      <c r="E40" s="143">
        <v>0</v>
      </c>
      <c r="F40" s="145" t="s">
        <v>261</v>
      </c>
      <c r="G40" s="144" t="s">
        <v>66</v>
      </c>
      <c r="H40" s="144" t="s">
        <v>67</v>
      </c>
      <c r="I40" s="144" t="s">
        <v>68</v>
      </c>
      <c r="J40" s="146" t="s">
        <v>262</v>
      </c>
      <c r="K40" s="147" t="s">
        <v>263</v>
      </c>
      <c r="L40" s="145" t="s">
        <v>264</v>
      </c>
      <c r="M40" s="148" t="s">
        <v>72</v>
      </c>
      <c r="N40" s="148" t="s">
        <v>73</v>
      </c>
      <c r="O40" s="144">
        <v>44900</v>
      </c>
      <c r="P40" s="144" t="s">
        <v>74</v>
      </c>
      <c r="Q40" s="144" t="s">
        <v>74</v>
      </c>
      <c r="R40" s="144" t="s">
        <v>74</v>
      </c>
      <c r="S40" s="144" t="s">
        <v>74</v>
      </c>
      <c r="T40" s="144" t="s">
        <v>74</v>
      </c>
      <c r="U40" s="144" t="s">
        <v>74</v>
      </c>
      <c r="V40" s="144" t="s">
        <v>74</v>
      </c>
      <c r="W40" s="144" t="s">
        <v>74</v>
      </c>
      <c r="X40" s="144" t="s">
        <v>74</v>
      </c>
      <c r="Y40" s="144" t="s">
        <v>74</v>
      </c>
      <c r="Z40" s="144" t="s">
        <v>74</v>
      </c>
      <c r="AA40" s="144"/>
      <c r="AB40" s="146" t="s">
        <v>262</v>
      </c>
      <c r="AC40" s="147" t="s">
        <v>263</v>
      </c>
      <c r="AD40" s="145" t="s">
        <v>264</v>
      </c>
      <c r="AE40" s="144" t="s">
        <v>68</v>
      </c>
      <c r="AF40" s="149">
        <v>47869.75</v>
      </c>
      <c r="AG40" s="149">
        <v>60000</v>
      </c>
      <c r="AH40" s="144" t="s">
        <v>75</v>
      </c>
      <c r="AI40" s="144" t="s">
        <v>76</v>
      </c>
      <c r="AJ40" s="144" t="s">
        <v>72</v>
      </c>
      <c r="AK40" s="144" t="s">
        <v>76</v>
      </c>
      <c r="AL40" s="144" t="s">
        <v>76</v>
      </c>
      <c r="AM40" s="144" t="s">
        <v>77</v>
      </c>
      <c r="AN40" s="144"/>
      <c r="AO40" s="145" t="s">
        <v>265</v>
      </c>
      <c r="AP40" s="144" t="s">
        <v>76</v>
      </c>
      <c r="AQ40" s="144" t="s">
        <v>76</v>
      </c>
      <c r="AR40" s="144" t="s">
        <v>76</v>
      </c>
      <c r="AS40" s="144" t="s">
        <v>76</v>
      </c>
      <c r="AT40" s="144">
        <v>44923</v>
      </c>
      <c r="AU40" s="144" t="s">
        <v>76</v>
      </c>
      <c r="AV40" s="144" t="s">
        <v>76</v>
      </c>
      <c r="AW40" s="144">
        <v>45262</v>
      </c>
      <c r="AX40" s="144">
        <v>44924</v>
      </c>
      <c r="AY40" s="144" t="s">
        <v>76</v>
      </c>
      <c r="AZ40" s="144" t="s">
        <v>79</v>
      </c>
      <c r="BA40" s="150" t="s">
        <v>76</v>
      </c>
      <c r="BB40" s="143">
        <f t="shared" si="3"/>
        <v>24</v>
      </c>
      <c r="BC40" s="193" t="str">
        <f t="shared" si="4"/>
        <v>INDENIZAÇÃO</v>
      </c>
      <c r="BD40" s="193" t="str">
        <f t="shared" si="5"/>
        <v>NÃO</v>
      </c>
      <c r="BE40" s="193" t="s">
        <v>74</v>
      </c>
      <c r="BF40" s="193" t="s">
        <v>74</v>
      </c>
      <c r="BG40" s="193" t="s">
        <v>74</v>
      </c>
      <c r="BH40" s="193" t="s">
        <v>76</v>
      </c>
      <c r="BI40" s="193" t="s">
        <v>76</v>
      </c>
      <c r="BJ40" s="144">
        <v>45057</v>
      </c>
      <c r="BK40" s="193" t="s">
        <v>76</v>
      </c>
      <c r="BL40" s="195" t="s">
        <v>76</v>
      </c>
      <c r="BM40" s="144"/>
      <c r="BN40" s="144"/>
      <c r="BO40" s="144"/>
      <c r="BP40" s="144"/>
      <c r="BQ40" s="144"/>
      <c r="BR40" s="144"/>
      <c r="BS40" s="144"/>
      <c r="BT40" s="144"/>
      <c r="BU40" s="144"/>
      <c r="BV40" s="144"/>
      <c r="BW40" s="144"/>
      <c r="BX40" s="144"/>
      <c r="CI40" s="157"/>
      <c r="DQ40" s="157"/>
    </row>
    <row r="41" spans="1:121" s="144" customFormat="1" ht="30" customHeight="1" x14ac:dyDescent="0.25">
      <c r="A41" s="143">
        <v>37</v>
      </c>
      <c r="B41" s="144" t="s">
        <v>64</v>
      </c>
      <c r="C41" s="143">
        <v>0</v>
      </c>
      <c r="D41" s="143">
        <v>0</v>
      </c>
      <c r="E41" s="143">
        <v>0</v>
      </c>
      <c r="F41" s="145" t="s">
        <v>266</v>
      </c>
      <c r="G41" s="144" t="s">
        <v>66</v>
      </c>
      <c r="H41" s="144" t="s">
        <v>67</v>
      </c>
      <c r="I41" s="144" t="s">
        <v>68</v>
      </c>
      <c r="J41" s="146" t="s">
        <v>267</v>
      </c>
      <c r="K41" s="147" t="s">
        <v>268</v>
      </c>
      <c r="L41" s="145" t="s">
        <v>269</v>
      </c>
      <c r="M41" s="148" t="s">
        <v>72</v>
      </c>
      <c r="N41" s="148" t="s">
        <v>73</v>
      </c>
      <c r="O41" s="144">
        <v>44900</v>
      </c>
      <c r="P41" s="144" t="s">
        <v>74</v>
      </c>
      <c r="Q41" s="144" t="s">
        <v>74</v>
      </c>
      <c r="R41" s="144" t="s">
        <v>74</v>
      </c>
      <c r="S41" s="144" t="s">
        <v>74</v>
      </c>
      <c r="T41" s="144" t="s">
        <v>74</v>
      </c>
      <c r="U41" s="144" t="s">
        <v>74</v>
      </c>
      <c r="V41" s="144" t="s">
        <v>74</v>
      </c>
      <c r="W41" s="144" t="s">
        <v>74</v>
      </c>
      <c r="X41" s="144" t="s">
        <v>74</v>
      </c>
      <c r="Y41" s="144" t="s">
        <v>74</v>
      </c>
      <c r="Z41" s="144" t="s">
        <v>74</v>
      </c>
      <c r="AB41" s="146" t="s">
        <v>267</v>
      </c>
      <c r="AC41" s="147" t="s">
        <v>268</v>
      </c>
      <c r="AD41" s="145" t="s">
        <v>269</v>
      </c>
      <c r="AE41" s="144" t="s">
        <v>68</v>
      </c>
      <c r="AF41" s="149">
        <v>34134.58</v>
      </c>
      <c r="AG41" s="149">
        <v>60000</v>
      </c>
      <c r="AH41" s="144" t="s">
        <v>75</v>
      </c>
      <c r="AI41" s="144" t="s">
        <v>76</v>
      </c>
      <c r="AJ41" s="144" t="s">
        <v>72</v>
      </c>
      <c r="AK41" s="144" t="s">
        <v>76</v>
      </c>
      <c r="AL41" s="144" t="s">
        <v>76</v>
      </c>
      <c r="AM41" s="144" t="s">
        <v>77</v>
      </c>
      <c r="AO41" s="145" t="s">
        <v>270</v>
      </c>
      <c r="AP41" s="144" t="s">
        <v>76</v>
      </c>
      <c r="AQ41" s="144" t="s">
        <v>76</v>
      </c>
      <c r="AR41" s="144" t="s">
        <v>76</v>
      </c>
      <c r="AS41" s="144" t="s">
        <v>76</v>
      </c>
      <c r="AT41" s="144">
        <v>44923</v>
      </c>
      <c r="AU41" s="144" t="s">
        <v>76</v>
      </c>
      <c r="AV41" s="144" t="s">
        <v>76</v>
      </c>
      <c r="AW41" s="144">
        <v>44924</v>
      </c>
      <c r="AX41" s="144">
        <v>44924</v>
      </c>
      <c r="AY41" s="144" t="s">
        <v>76</v>
      </c>
      <c r="AZ41" s="144" t="s">
        <v>79</v>
      </c>
      <c r="BA41" s="150" t="s">
        <v>76</v>
      </c>
      <c r="BB41" s="143">
        <f t="shared" si="3"/>
        <v>24</v>
      </c>
      <c r="BC41" s="193" t="str">
        <f t="shared" si="4"/>
        <v>INDENIZAÇÃO</v>
      </c>
      <c r="BD41" s="193" t="str">
        <f t="shared" si="5"/>
        <v>NÃO</v>
      </c>
      <c r="BE41" s="193" t="s">
        <v>74</v>
      </c>
      <c r="BF41" s="193" t="s">
        <v>74</v>
      </c>
      <c r="BG41" s="193" t="s">
        <v>74</v>
      </c>
      <c r="BH41" s="193" t="s">
        <v>76</v>
      </c>
      <c r="BI41" s="193" t="s">
        <v>76</v>
      </c>
      <c r="BJ41" s="144">
        <v>45190</v>
      </c>
      <c r="BK41" s="193" t="s">
        <v>76</v>
      </c>
      <c r="BL41" s="195" t="s">
        <v>76</v>
      </c>
      <c r="CI41" s="151"/>
      <c r="DQ41" s="151"/>
    </row>
    <row r="42" spans="1:121" s="144" customFormat="1" ht="30" customHeight="1" x14ac:dyDescent="0.25">
      <c r="A42" s="143">
        <v>38</v>
      </c>
      <c r="B42" s="144" t="s">
        <v>64</v>
      </c>
      <c r="C42" s="143">
        <v>0</v>
      </c>
      <c r="D42" s="143">
        <v>0</v>
      </c>
      <c r="E42" s="143">
        <v>0</v>
      </c>
      <c r="F42" s="145" t="s">
        <v>271</v>
      </c>
      <c r="G42" s="144" t="s">
        <v>66</v>
      </c>
      <c r="H42" s="144" t="s">
        <v>67</v>
      </c>
      <c r="I42" s="144" t="s">
        <v>68</v>
      </c>
      <c r="J42" s="146" t="s">
        <v>272</v>
      </c>
      <c r="K42" s="147" t="s">
        <v>273</v>
      </c>
      <c r="L42" s="145" t="s">
        <v>274</v>
      </c>
      <c r="M42" s="148" t="s">
        <v>72</v>
      </c>
      <c r="N42" s="148" t="s">
        <v>73</v>
      </c>
      <c r="O42" s="144">
        <v>44900</v>
      </c>
      <c r="P42" s="144" t="s">
        <v>74</v>
      </c>
      <c r="Q42" s="144" t="s">
        <v>74</v>
      </c>
      <c r="R42" s="144" t="s">
        <v>74</v>
      </c>
      <c r="S42" s="144" t="s">
        <v>74</v>
      </c>
      <c r="T42" s="144" t="s">
        <v>74</v>
      </c>
      <c r="U42" s="144" t="s">
        <v>74</v>
      </c>
      <c r="V42" s="144" t="s">
        <v>74</v>
      </c>
      <c r="W42" s="144" t="s">
        <v>74</v>
      </c>
      <c r="X42" s="144" t="s">
        <v>74</v>
      </c>
      <c r="Y42" s="144" t="s">
        <v>74</v>
      </c>
      <c r="Z42" s="144" t="s">
        <v>74</v>
      </c>
      <c r="AB42" s="146" t="s">
        <v>272</v>
      </c>
      <c r="AC42" s="147" t="s">
        <v>273</v>
      </c>
      <c r="AD42" s="145" t="s">
        <v>274</v>
      </c>
      <c r="AE42" s="144" t="s">
        <v>68</v>
      </c>
      <c r="AF42" s="149">
        <v>16091.18</v>
      </c>
      <c r="AG42" s="149">
        <v>46091.18</v>
      </c>
      <c r="AH42" s="144" t="s">
        <v>75</v>
      </c>
      <c r="AI42" s="144" t="s">
        <v>76</v>
      </c>
      <c r="AJ42" s="144" t="s">
        <v>72</v>
      </c>
      <c r="AK42" s="144" t="s">
        <v>76</v>
      </c>
      <c r="AL42" s="144" t="s">
        <v>76</v>
      </c>
      <c r="AM42" s="144" t="s">
        <v>77</v>
      </c>
      <c r="AO42" s="145" t="s">
        <v>275</v>
      </c>
      <c r="AP42" s="144" t="s">
        <v>76</v>
      </c>
      <c r="AQ42" s="144" t="s">
        <v>76</v>
      </c>
      <c r="AR42" s="144" t="s">
        <v>76</v>
      </c>
      <c r="AS42" s="144" t="s">
        <v>76</v>
      </c>
      <c r="AT42" s="144">
        <v>44923</v>
      </c>
      <c r="AU42" s="144" t="s">
        <v>76</v>
      </c>
      <c r="AV42" s="144" t="s">
        <v>76</v>
      </c>
      <c r="AW42" s="144">
        <v>44924</v>
      </c>
      <c r="AX42" s="144">
        <v>44924</v>
      </c>
      <c r="AY42" s="144" t="s">
        <v>76</v>
      </c>
      <c r="AZ42" s="144" t="s">
        <v>79</v>
      </c>
      <c r="BA42" s="150" t="s">
        <v>76</v>
      </c>
      <c r="BB42" s="143">
        <f t="shared" si="3"/>
        <v>24</v>
      </c>
      <c r="BC42" s="193" t="str">
        <f t="shared" si="4"/>
        <v>INDENIZAÇÃO</v>
      </c>
      <c r="BD42" s="193" t="str">
        <f t="shared" si="5"/>
        <v>NÃO</v>
      </c>
      <c r="BE42" s="196" t="s">
        <v>74</v>
      </c>
      <c r="BF42" s="196" t="s">
        <v>74</v>
      </c>
      <c r="BG42" s="196" t="s">
        <v>74</v>
      </c>
      <c r="BH42" s="193" t="s">
        <v>76</v>
      </c>
      <c r="BI42" s="193" t="s">
        <v>76</v>
      </c>
      <c r="BJ42" s="144">
        <v>45057</v>
      </c>
      <c r="BK42" s="193" t="s">
        <v>76</v>
      </c>
      <c r="BL42" s="195" t="s">
        <v>76</v>
      </c>
      <c r="CI42" s="151"/>
      <c r="DQ42" s="151"/>
    </row>
    <row r="43" spans="1:121" s="144" customFormat="1" ht="30" customHeight="1" x14ac:dyDescent="0.25">
      <c r="A43" s="143">
        <v>39</v>
      </c>
      <c r="B43" s="144" t="s">
        <v>64</v>
      </c>
      <c r="C43" s="143">
        <v>0</v>
      </c>
      <c r="D43" s="143">
        <v>0</v>
      </c>
      <c r="E43" s="143">
        <v>0</v>
      </c>
      <c r="F43" s="145" t="s">
        <v>276</v>
      </c>
      <c r="G43" s="144" t="s">
        <v>66</v>
      </c>
      <c r="H43" s="144" t="s">
        <v>67</v>
      </c>
      <c r="I43" s="144" t="s">
        <v>68</v>
      </c>
      <c r="J43" s="146" t="s">
        <v>277</v>
      </c>
      <c r="K43" s="145" t="s">
        <v>278</v>
      </c>
      <c r="L43" s="145" t="s">
        <v>279</v>
      </c>
      <c r="M43" s="144" t="s">
        <v>72</v>
      </c>
      <c r="N43" s="144" t="s">
        <v>73</v>
      </c>
      <c r="O43" s="144">
        <v>45057</v>
      </c>
      <c r="P43" s="144" t="s">
        <v>74</v>
      </c>
      <c r="Q43" s="144" t="s">
        <v>74</v>
      </c>
      <c r="R43" s="144" t="s">
        <v>74</v>
      </c>
      <c r="S43" s="144" t="s">
        <v>74</v>
      </c>
      <c r="T43" s="144" t="s">
        <v>74</v>
      </c>
      <c r="U43" s="144" t="s">
        <v>74</v>
      </c>
      <c r="V43" s="144" t="s">
        <v>74</v>
      </c>
      <c r="W43" s="144" t="s">
        <v>74</v>
      </c>
      <c r="X43" s="144" t="s">
        <v>74</v>
      </c>
      <c r="Y43" s="144" t="s">
        <v>74</v>
      </c>
      <c r="Z43" s="144" t="s">
        <v>74</v>
      </c>
      <c r="AB43" s="146" t="s">
        <v>277</v>
      </c>
      <c r="AC43" s="145" t="s">
        <v>278</v>
      </c>
      <c r="AD43" s="145" t="s">
        <v>279</v>
      </c>
      <c r="AE43" s="144" t="s">
        <v>68</v>
      </c>
      <c r="AF43" s="168">
        <v>72710.03</v>
      </c>
      <c r="AG43" s="168">
        <v>72710.03</v>
      </c>
      <c r="AH43" s="144" t="s">
        <v>75</v>
      </c>
      <c r="AI43" s="144" t="s">
        <v>76</v>
      </c>
      <c r="AJ43" s="144" t="s">
        <v>72</v>
      </c>
      <c r="AK43" s="144" t="s">
        <v>76</v>
      </c>
      <c r="AL43" s="144" t="s">
        <v>76</v>
      </c>
      <c r="AM43" s="144" t="s">
        <v>77</v>
      </c>
      <c r="AO43" s="145" t="s">
        <v>280</v>
      </c>
      <c r="AP43" s="144" t="s">
        <v>76</v>
      </c>
      <c r="AQ43" s="144" t="s">
        <v>76</v>
      </c>
      <c r="AR43" s="144" t="s">
        <v>76</v>
      </c>
      <c r="AS43" s="144" t="s">
        <v>76</v>
      </c>
      <c r="AT43" s="144">
        <v>45079</v>
      </c>
      <c r="AU43" s="144" t="s">
        <v>76</v>
      </c>
      <c r="AV43" s="144" t="s">
        <v>76</v>
      </c>
      <c r="AW43" s="144">
        <v>45100</v>
      </c>
      <c r="AX43" s="144">
        <v>45100</v>
      </c>
      <c r="AY43" s="144" t="s">
        <v>76</v>
      </c>
      <c r="AZ43" s="144" t="s">
        <v>79</v>
      </c>
      <c r="BA43" s="150" t="s">
        <v>76</v>
      </c>
      <c r="BB43" s="143">
        <f t="shared" si="3"/>
        <v>43</v>
      </c>
      <c r="BC43" s="193" t="str">
        <f t="shared" si="4"/>
        <v>INDENIZAÇÃO</v>
      </c>
      <c r="BD43" s="193" t="str">
        <f t="shared" si="5"/>
        <v>NÃO</v>
      </c>
      <c r="BE43" s="193" t="s">
        <v>74</v>
      </c>
      <c r="BF43" s="193" t="s">
        <v>74</v>
      </c>
      <c r="BG43" s="193" t="s">
        <v>74</v>
      </c>
      <c r="BH43" s="193" t="s">
        <v>76</v>
      </c>
      <c r="BI43" s="193" t="s">
        <v>76</v>
      </c>
      <c r="BJ43" s="144">
        <v>45190</v>
      </c>
      <c r="BK43" s="193" t="s">
        <v>76</v>
      </c>
      <c r="BL43" s="195" t="s">
        <v>76</v>
      </c>
      <c r="CI43" s="151"/>
      <c r="DQ43" s="151"/>
    </row>
    <row r="44" spans="1:121" s="144" customFormat="1" ht="30" customHeight="1" x14ac:dyDescent="0.25">
      <c r="A44" s="143">
        <v>40</v>
      </c>
      <c r="B44" s="144" t="s">
        <v>64</v>
      </c>
      <c r="C44" s="143">
        <v>0</v>
      </c>
      <c r="D44" s="143">
        <v>0</v>
      </c>
      <c r="E44" s="143">
        <v>0</v>
      </c>
      <c r="F44" s="145" t="s">
        <v>281</v>
      </c>
      <c r="G44" s="144" t="s">
        <v>66</v>
      </c>
      <c r="H44" s="144" t="s">
        <v>67</v>
      </c>
      <c r="I44" s="144" t="s">
        <v>68</v>
      </c>
      <c r="J44" s="146" t="s">
        <v>282</v>
      </c>
      <c r="K44" s="147" t="s">
        <v>283</v>
      </c>
      <c r="L44" s="145" t="s">
        <v>284</v>
      </c>
      <c r="M44" s="148" t="s">
        <v>72</v>
      </c>
      <c r="N44" s="165" t="s">
        <v>84</v>
      </c>
      <c r="O44" s="144">
        <v>44900</v>
      </c>
      <c r="P44" s="144" t="s">
        <v>74</v>
      </c>
      <c r="Q44" s="144" t="s">
        <v>74</v>
      </c>
      <c r="R44" s="144" t="s">
        <v>74</v>
      </c>
      <c r="S44" s="144" t="s">
        <v>74</v>
      </c>
      <c r="T44" s="144" t="s">
        <v>74</v>
      </c>
      <c r="U44" s="144" t="s">
        <v>74</v>
      </c>
      <c r="V44" s="144" t="s">
        <v>74</v>
      </c>
      <c r="W44" s="144" t="s">
        <v>74</v>
      </c>
      <c r="X44" s="144" t="s">
        <v>74</v>
      </c>
      <c r="Y44" s="144" t="s">
        <v>74</v>
      </c>
      <c r="Z44" s="144" t="s">
        <v>74</v>
      </c>
      <c r="AB44" s="146" t="s">
        <v>282</v>
      </c>
      <c r="AC44" s="147" t="s">
        <v>283</v>
      </c>
      <c r="AD44" s="145" t="s">
        <v>284</v>
      </c>
      <c r="AE44" s="144" t="s">
        <v>68</v>
      </c>
      <c r="AF44" s="149">
        <v>7649.37</v>
      </c>
      <c r="AG44" s="149">
        <v>37649.370000000003</v>
      </c>
      <c r="AH44" s="144" t="s">
        <v>75</v>
      </c>
      <c r="AI44" s="144" t="s">
        <v>76</v>
      </c>
      <c r="AJ44" s="144" t="s">
        <v>72</v>
      </c>
      <c r="AK44" s="144" t="s">
        <v>76</v>
      </c>
      <c r="AL44" s="144" t="s">
        <v>76</v>
      </c>
      <c r="AM44" s="144" t="s">
        <v>77</v>
      </c>
      <c r="AO44" s="145" t="s">
        <v>285</v>
      </c>
      <c r="AP44" s="144" t="s">
        <v>76</v>
      </c>
      <c r="AQ44" s="144" t="s">
        <v>76</v>
      </c>
      <c r="AR44" s="144" t="s">
        <v>76</v>
      </c>
      <c r="AS44" s="144" t="s">
        <v>76</v>
      </c>
      <c r="AT44" s="144">
        <v>44923</v>
      </c>
      <c r="AU44" s="144" t="s">
        <v>76</v>
      </c>
      <c r="AV44" s="144" t="s">
        <v>76</v>
      </c>
      <c r="AW44" s="144">
        <v>44924</v>
      </c>
      <c r="AX44" s="144">
        <v>44924</v>
      </c>
      <c r="AY44" s="144" t="s">
        <v>76</v>
      </c>
      <c r="AZ44" s="144" t="s">
        <v>79</v>
      </c>
      <c r="BA44" s="150" t="s">
        <v>76</v>
      </c>
      <c r="BB44" s="143">
        <f t="shared" si="3"/>
        <v>24</v>
      </c>
      <c r="BC44" s="193" t="str">
        <f t="shared" si="4"/>
        <v>INDENIZAÇÃO</v>
      </c>
      <c r="BD44" s="193" t="str">
        <f t="shared" si="5"/>
        <v>SIM</v>
      </c>
      <c r="BE44" s="194" t="s">
        <v>76</v>
      </c>
      <c r="BF44" s="194">
        <v>44946</v>
      </c>
      <c r="BG44" s="194">
        <v>44946</v>
      </c>
      <c r="BH44" s="197" t="s">
        <v>76</v>
      </c>
      <c r="BI44" s="197" t="s">
        <v>76</v>
      </c>
      <c r="BJ44" s="144">
        <v>45057</v>
      </c>
      <c r="BK44" s="197" t="s">
        <v>76</v>
      </c>
      <c r="BL44" s="195" t="s">
        <v>76</v>
      </c>
      <c r="CI44" s="151"/>
      <c r="DQ44" s="151"/>
    </row>
    <row r="45" spans="1:121" s="144" customFormat="1" ht="30" customHeight="1" x14ac:dyDescent="0.25">
      <c r="A45" s="143">
        <v>41</v>
      </c>
      <c r="B45" s="144" t="s">
        <v>64</v>
      </c>
      <c r="C45" s="143">
        <v>0</v>
      </c>
      <c r="D45" s="143">
        <v>0</v>
      </c>
      <c r="E45" s="143">
        <v>0</v>
      </c>
      <c r="F45" s="145" t="s">
        <v>286</v>
      </c>
      <c r="G45" s="144" t="s">
        <v>66</v>
      </c>
      <c r="H45" s="144" t="s">
        <v>67</v>
      </c>
      <c r="I45" s="144" t="s">
        <v>68</v>
      </c>
      <c r="J45" s="146" t="s">
        <v>287</v>
      </c>
      <c r="K45" s="147" t="s">
        <v>288</v>
      </c>
      <c r="L45" s="145" t="s">
        <v>289</v>
      </c>
      <c r="M45" s="148" t="s">
        <v>72</v>
      </c>
      <c r="N45" s="148" t="s">
        <v>73</v>
      </c>
      <c r="O45" s="144">
        <v>44900</v>
      </c>
      <c r="P45" s="144" t="s">
        <v>74</v>
      </c>
      <c r="Q45" s="144" t="s">
        <v>74</v>
      </c>
      <c r="R45" s="144" t="s">
        <v>74</v>
      </c>
      <c r="S45" s="144" t="s">
        <v>74</v>
      </c>
      <c r="T45" s="144" t="s">
        <v>74</v>
      </c>
      <c r="U45" s="144" t="s">
        <v>74</v>
      </c>
      <c r="V45" s="144" t="s">
        <v>74</v>
      </c>
      <c r="W45" s="144" t="s">
        <v>74</v>
      </c>
      <c r="X45" s="144" t="s">
        <v>74</v>
      </c>
      <c r="Y45" s="144" t="s">
        <v>74</v>
      </c>
      <c r="Z45" s="144" t="s">
        <v>74</v>
      </c>
      <c r="AB45" s="146" t="s">
        <v>287</v>
      </c>
      <c r="AC45" s="147" t="s">
        <v>288</v>
      </c>
      <c r="AD45" s="145" t="s">
        <v>289</v>
      </c>
      <c r="AE45" s="144" t="s">
        <v>68</v>
      </c>
      <c r="AF45" s="149">
        <v>13797.93</v>
      </c>
      <c r="AG45" s="149">
        <v>43797.93</v>
      </c>
      <c r="AH45" s="144" t="s">
        <v>75</v>
      </c>
      <c r="AI45" s="144" t="s">
        <v>76</v>
      </c>
      <c r="AJ45" s="144" t="s">
        <v>72</v>
      </c>
      <c r="AK45" s="144" t="s">
        <v>76</v>
      </c>
      <c r="AL45" s="144" t="s">
        <v>76</v>
      </c>
      <c r="AM45" s="144" t="s">
        <v>77</v>
      </c>
      <c r="AO45" s="145" t="s">
        <v>290</v>
      </c>
      <c r="AP45" s="144" t="s">
        <v>76</v>
      </c>
      <c r="AQ45" s="144" t="s">
        <v>76</v>
      </c>
      <c r="AR45" s="144" t="s">
        <v>76</v>
      </c>
      <c r="AS45" s="144" t="s">
        <v>76</v>
      </c>
      <c r="AT45" s="144">
        <v>44923</v>
      </c>
      <c r="AU45" s="144" t="s">
        <v>76</v>
      </c>
      <c r="AV45" s="144" t="s">
        <v>76</v>
      </c>
      <c r="AW45" s="144">
        <v>44949</v>
      </c>
      <c r="AX45" s="144">
        <v>44949</v>
      </c>
      <c r="AY45" s="144" t="s">
        <v>76</v>
      </c>
      <c r="AZ45" s="144" t="s">
        <v>79</v>
      </c>
      <c r="BA45" s="150" t="s">
        <v>76</v>
      </c>
      <c r="BB45" s="143">
        <f t="shared" si="3"/>
        <v>49</v>
      </c>
      <c r="BC45" s="193" t="str">
        <f t="shared" si="4"/>
        <v>INDENIZAÇÃO</v>
      </c>
      <c r="BD45" s="193" t="str">
        <f t="shared" si="5"/>
        <v>NÃO</v>
      </c>
      <c r="BE45" s="193" t="s">
        <v>74</v>
      </c>
      <c r="BF45" s="193" t="s">
        <v>74</v>
      </c>
      <c r="BG45" s="193" t="s">
        <v>74</v>
      </c>
      <c r="BH45" s="193" t="s">
        <v>76</v>
      </c>
      <c r="BI45" s="193" t="s">
        <v>76</v>
      </c>
      <c r="BJ45" s="144">
        <v>45190</v>
      </c>
      <c r="BK45" s="193" t="s">
        <v>76</v>
      </c>
      <c r="BL45" s="195" t="s">
        <v>76</v>
      </c>
      <c r="CI45" s="151"/>
      <c r="DQ45" s="151"/>
    </row>
    <row r="46" spans="1:121" s="144" customFormat="1" ht="30" customHeight="1" x14ac:dyDescent="0.25">
      <c r="A46" s="143">
        <v>42</v>
      </c>
      <c r="B46" s="144" t="s">
        <v>64</v>
      </c>
      <c r="C46" s="143">
        <v>0</v>
      </c>
      <c r="D46" s="143">
        <v>0</v>
      </c>
      <c r="E46" s="143">
        <v>0</v>
      </c>
      <c r="F46" s="145" t="s">
        <v>291</v>
      </c>
      <c r="G46" s="144" t="s">
        <v>66</v>
      </c>
      <c r="H46" s="144" t="s">
        <v>67</v>
      </c>
      <c r="I46" s="144" t="s">
        <v>68</v>
      </c>
      <c r="J46" s="146" t="s">
        <v>292</v>
      </c>
      <c r="K46" s="164" t="s">
        <v>293</v>
      </c>
      <c r="L46" s="145" t="s">
        <v>294</v>
      </c>
      <c r="M46" s="148" t="s">
        <v>72</v>
      </c>
      <c r="N46" s="165" t="s">
        <v>84</v>
      </c>
      <c r="O46" s="144">
        <v>44900</v>
      </c>
      <c r="P46" s="144">
        <v>44910</v>
      </c>
      <c r="Q46" s="144" t="s">
        <v>102</v>
      </c>
      <c r="R46" s="144" t="s">
        <v>76</v>
      </c>
      <c r="S46" s="144" t="s">
        <v>76</v>
      </c>
      <c r="T46" s="144" t="s">
        <v>76</v>
      </c>
      <c r="U46" s="144">
        <v>44924</v>
      </c>
      <c r="V46" s="144">
        <v>44924</v>
      </c>
      <c r="W46" s="144">
        <v>44929</v>
      </c>
      <c r="X46" s="144">
        <v>44958</v>
      </c>
      <c r="Y46" s="144">
        <v>44958</v>
      </c>
      <c r="Z46" s="144" t="s">
        <v>76</v>
      </c>
      <c r="AA46" s="144" t="s">
        <v>295</v>
      </c>
      <c r="AB46" s="146" t="s">
        <v>292</v>
      </c>
      <c r="AC46" s="164" t="s">
        <v>293</v>
      </c>
      <c r="AD46" s="145" t="s">
        <v>294</v>
      </c>
      <c r="AE46" s="144" t="s">
        <v>68</v>
      </c>
      <c r="AF46" s="149">
        <v>42482.21</v>
      </c>
      <c r="AG46" s="149">
        <v>60000</v>
      </c>
      <c r="AH46" s="144" t="s">
        <v>75</v>
      </c>
      <c r="AI46" s="144" t="s">
        <v>76</v>
      </c>
      <c r="AJ46" s="144" t="s">
        <v>72</v>
      </c>
      <c r="AK46" s="144" t="s">
        <v>76</v>
      </c>
      <c r="AL46" s="144" t="s">
        <v>76</v>
      </c>
      <c r="AM46" s="144" t="s">
        <v>77</v>
      </c>
      <c r="AN46" s="144" t="s">
        <v>295</v>
      </c>
      <c r="AO46" s="145" t="s">
        <v>296</v>
      </c>
      <c r="AP46" s="144" t="s">
        <v>76</v>
      </c>
      <c r="AQ46" s="144" t="s">
        <v>76</v>
      </c>
      <c r="AR46" s="144" t="s">
        <v>76</v>
      </c>
      <c r="AS46" s="144" t="s">
        <v>76</v>
      </c>
      <c r="AT46" s="144">
        <v>45058</v>
      </c>
      <c r="AU46" s="144" t="s">
        <v>76</v>
      </c>
      <c r="AV46" s="144" t="s">
        <v>76</v>
      </c>
      <c r="AW46" s="144">
        <v>45072</v>
      </c>
      <c r="AX46" s="144">
        <v>45072</v>
      </c>
      <c r="AY46" s="144" t="s">
        <v>76</v>
      </c>
      <c r="AZ46" s="144" t="s">
        <v>79</v>
      </c>
      <c r="BA46" s="150" t="s">
        <v>76</v>
      </c>
      <c r="BB46" s="143">
        <f t="shared" si="3"/>
        <v>172</v>
      </c>
      <c r="BC46" s="193" t="str">
        <f t="shared" si="4"/>
        <v>INDENIZAÇÃO</v>
      </c>
      <c r="BD46" s="193" t="str">
        <f t="shared" si="5"/>
        <v>SIM</v>
      </c>
      <c r="BE46" s="194" t="s">
        <v>76</v>
      </c>
      <c r="BF46" s="194">
        <v>45079</v>
      </c>
      <c r="BG46" s="194">
        <v>45079</v>
      </c>
      <c r="BH46" s="193" t="s">
        <v>76</v>
      </c>
      <c r="BI46" s="193" t="s">
        <v>76</v>
      </c>
      <c r="BJ46" s="144">
        <v>45190</v>
      </c>
      <c r="BK46" s="193" t="s">
        <v>76</v>
      </c>
      <c r="BL46" s="195" t="s">
        <v>76</v>
      </c>
      <c r="CI46" s="151"/>
      <c r="DQ46" s="151"/>
    </row>
    <row r="47" spans="1:121" s="144" customFormat="1" ht="30" customHeight="1" x14ac:dyDescent="0.25">
      <c r="A47" s="143">
        <v>43</v>
      </c>
      <c r="B47" s="144" t="s">
        <v>64</v>
      </c>
      <c r="C47" s="143">
        <v>0</v>
      </c>
      <c r="D47" s="143">
        <v>0</v>
      </c>
      <c r="E47" s="143">
        <v>0</v>
      </c>
      <c r="F47" s="145" t="s">
        <v>297</v>
      </c>
      <c r="G47" s="144" t="s">
        <v>66</v>
      </c>
      <c r="H47" s="144" t="s">
        <v>67</v>
      </c>
      <c r="I47" s="144" t="s">
        <v>68</v>
      </c>
      <c r="J47" s="146" t="s">
        <v>298</v>
      </c>
      <c r="K47" s="147" t="s">
        <v>299</v>
      </c>
      <c r="L47" s="145" t="s">
        <v>300</v>
      </c>
      <c r="M47" s="148" t="s">
        <v>72</v>
      </c>
      <c r="N47" s="165" t="s">
        <v>84</v>
      </c>
      <c r="O47" s="144">
        <v>44900</v>
      </c>
      <c r="P47" s="144" t="s">
        <v>74</v>
      </c>
      <c r="Q47" s="144" t="s">
        <v>74</v>
      </c>
      <c r="R47" s="144" t="s">
        <v>74</v>
      </c>
      <c r="S47" s="144" t="s">
        <v>74</v>
      </c>
      <c r="T47" s="144" t="s">
        <v>74</v>
      </c>
      <c r="U47" s="144" t="s">
        <v>74</v>
      </c>
      <c r="V47" s="144" t="s">
        <v>74</v>
      </c>
      <c r="W47" s="144" t="s">
        <v>74</v>
      </c>
      <c r="X47" s="144" t="s">
        <v>74</v>
      </c>
      <c r="Y47" s="144" t="s">
        <v>74</v>
      </c>
      <c r="Z47" s="144" t="s">
        <v>74</v>
      </c>
      <c r="AB47" s="146" t="s">
        <v>298</v>
      </c>
      <c r="AC47" s="147" t="s">
        <v>299</v>
      </c>
      <c r="AD47" s="145" t="s">
        <v>300</v>
      </c>
      <c r="AE47" s="144" t="s">
        <v>68</v>
      </c>
      <c r="AF47" s="149">
        <v>17872.55</v>
      </c>
      <c r="AG47" s="149">
        <v>47872.55</v>
      </c>
      <c r="AH47" s="144" t="s">
        <v>75</v>
      </c>
      <c r="AI47" s="144" t="s">
        <v>76</v>
      </c>
      <c r="AJ47" s="144" t="s">
        <v>72</v>
      </c>
      <c r="AK47" s="144" t="s">
        <v>76</v>
      </c>
      <c r="AL47" s="144" t="s">
        <v>76</v>
      </c>
      <c r="AM47" s="144" t="s">
        <v>77</v>
      </c>
      <c r="AN47" s="144" t="s">
        <v>301</v>
      </c>
      <c r="AO47" s="145" t="s">
        <v>302</v>
      </c>
      <c r="AP47" s="144" t="s">
        <v>76</v>
      </c>
      <c r="AQ47" s="144" t="s">
        <v>76</v>
      </c>
      <c r="AR47" s="144" t="s">
        <v>76</v>
      </c>
      <c r="AS47" s="144" t="s">
        <v>76</v>
      </c>
      <c r="AT47" s="144">
        <v>44967</v>
      </c>
      <c r="AU47" s="144" t="s">
        <v>76</v>
      </c>
      <c r="AV47" s="144" t="s">
        <v>76</v>
      </c>
      <c r="AW47" s="144">
        <v>45009</v>
      </c>
      <c r="AX47" s="144">
        <v>45009</v>
      </c>
      <c r="AY47" s="144" t="s">
        <v>76</v>
      </c>
      <c r="AZ47" s="144" t="s">
        <v>79</v>
      </c>
      <c r="BA47" s="150" t="s">
        <v>76</v>
      </c>
      <c r="BB47" s="143">
        <f t="shared" si="3"/>
        <v>109</v>
      </c>
      <c r="BC47" s="193" t="str">
        <f t="shared" si="4"/>
        <v>INDENIZAÇÃO</v>
      </c>
      <c r="BD47" s="193" t="str">
        <f t="shared" si="5"/>
        <v>SIM</v>
      </c>
      <c r="BE47" s="194" t="s">
        <v>76</v>
      </c>
      <c r="BF47" s="194">
        <v>45019</v>
      </c>
      <c r="BG47" s="194">
        <v>45019</v>
      </c>
      <c r="BH47" s="193" t="s">
        <v>76</v>
      </c>
      <c r="BI47" s="193" t="s">
        <v>76</v>
      </c>
      <c r="BJ47" s="144">
        <v>45190</v>
      </c>
      <c r="BK47" s="193" t="s">
        <v>76</v>
      </c>
      <c r="BL47" s="195" t="s">
        <v>76</v>
      </c>
      <c r="CI47" s="151"/>
      <c r="DQ47" s="151"/>
    </row>
    <row r="48" spans="1:121" s="144" customFormat="1" ht="30" customHeight="1" x14ac:dyDescent="0.25">
      <c r="A48" s="143">
        <v>44</v>
      </c>
      <c r="B48" s="144" t="s">
        <v>64</v>
      </c>
      <c r="C48" s="143">
        <v>0</v>
      </c>
      <c r="D48" s="143">
        <v>0</v>
      </c>
      <c r="E48" s="143">
        <v>0</v>
      </c>
      <c r="F48" s="145" t="s">
        <v>303</v>
      </c>
      <c r="G48" s="144" t="s">
        <v>66</v>
      </c>
      <c r="H48" s="144" t="s">
        <v>67</v>
      </c>
      <c r="I48" s="144" t="s">
        <v>68</v>
      </c>
      <c r="J48" s="146" t="s">
        <v>304</v>
      </c>
      <c r="K48" s="147" t="s">
        <v>305</v>
      </c>
      <c r="L48" s="145" t="s">
        <v>306</v>
      </c>
      <c r="M48" s="148" t="s">
        <v>72</v>
      </c>
      <c r="N48" s="165" t="s">
        <v>84</v>
      </c>
      <c r="O48" s="144">
        <v>44900</v>
      </c>
      <c r="P48" s="144" t="s">
        <v>74</v>
      </c>
      <c r="Q48" s="144" t="s">
        <v>74</v>
      </c>
      <c r="R48" s="144" t="s">
        <v>74</v>
      </c>
      <c r="S48" s="144" t="s">
        <v>74</v>
      </c>
      <c r="T48" s="144" t="s">
        <v>74</v>
      </c>
      <c r="U48" s="144" t="s">
        <v>74</v>
      </c>
      <c r="V48" s="144" t="s">
        <v>74</v>
      </c>
      <c r="W48" s="144" t="s">
        <v>74</v>
      </c>
      <c r="X48" s="144" t="s">
        <v>74</v>
      </c>
      <c r="Y48" s="144" t="s">
        <v>74</v>
      </c>
      <c r="Z48" s="144" t="s">
        <v>74</v>
      </c>
      <c r="AB48" s="146" t="s">
        <v>304</v>
      </c>
      <c r="AC48" s="147" t="s">
        <v>305</v>
      </c>
      <c r="AD48" s="145" t="s">
        <v>306</v>
      </c>
      <c r="AE48" s="144" t="s">
        <v>68</v>
      </c>
      <c r="AF48" s="149">
        <v>19241.240000000002</v>
      </c>
      <c r="AG48" s="149">
        <v>49241.24</v>
      </c>
      <c r="AH48" s="144" t="s">
        <v>75</v>
      </c>
      <c r="AI48" s="144" t="s">
        <v>76</v>
      </c>
      <c r="AJ48" s="144" t="s">
        <v>72</v>
      </c>
      <c r="AK48" s="144" t="s">
        <v>76</v>
      </c>
      <c r="AL48" s="144" t="s">
        <v>76</v>
      </c>
      <c r="AM48" s="144" t="s">
        <v>77</v>
      </c>
      <c r="AN48" s="144" t="s">
        <v>307</v>
      </c>
      <c r="AO48" s="145" t="s">
        <v>308</v>
      </c>
      <c r="AP48" s="144" t="s">
        <v>76</v>
      </c>
      <c r="AQ48" s="144" t="s">
        <v>76</v>
      </c>
      <c r="AR48" s="144" t="s">
        <v>76</v>
      </c>
      <c r="AS48" s="144" t="s">
        <v>76</v>
      </c>
      <c r="AT48" s="144">
        <v>44967</v>
      </c>
      <c r="AU48" s="144" t="s">
        <v>76</v>
      </c>
      <c r="AV48" s="144" t="s">
        <v>76</v>
      </c>
      <c r="AW48" s="144">
        <v>45016</v>
      </c>
      <c r="AX48" s="144">
        <v>45016</v>
      </c>
      <c r="AY48" s="144" t="s">
        <v>76</v>
      </c>
      <c r="AZ48" s="144" t="s">
        <v>79</v>
      </c>
      <c r="BA48" s="150" t="s">
        <v>76</v>
      </c>
      <c r="BB48" s="143">
        <f t="shared" si="3"/>
        <v>116</v>
      </c>
      <c r="BC48" s="193" t="str">
        <f t="shared" si="4"/>
        <v>INDENIZAÇÃO</v>
      </c>
      <c r="BD48" s="193" t="str">
        <f t="shared" si="5"/>
        <v>SIM</v>
      </c>
      <c r="BE48" s="194" t="s">
        <v>76</v>
      </c>
      <c r="BF48" s="194">
        <v>45026</v>
      </c>
      <c r="BG48" s="194">
        <v>45026</v>
      </c>
      <c r="BH48" s="193" t="s">
        <v>76</v>
      </c>
      <c r="BI48" s="193" t="s">
        <v>76</v>
      </c>
      <c r="BJ48" s="144">
        <v>45190</v>
      </c>
      <c r="BK48" s="193" t="s">
        <v>76</v>
      </c>
      <c r="BL48" s="195" t="s">
        <v>76</v>
      </c>
      <c r="CI48" s="151"/>
      <c r="DQ48" s="151"/>
    </row>
    <row r="49" spans="1:121" s="144" customFormat="1" ht="30" customHeight="1" x14ac:dyDescent="0.25">
      <c r="A49" s="143">
        <v>45</v>
      </c>
      <c r="B49" s="144" t="s">
        <v>64</v>
      </c>
      <c r="C49" s="143">
        <v>0</v>
      </c>
      <c r="D49" s="143">
        <v>0</v>
      </c>
      <c r="E49" s="143">
        <v>0</v>
      </c>
      <c r="F49" s="145" t="s">
        <v>309</v>
      </c>
      <c r="G49" s="144" t="s">
        <v>66</v>
      </c>
      <c r="H49" s="144" t="s">
        <v>67</v>
      </c>
      <c r="I49" s="144" t="s">
        <v>68</v>
      </c>
      <c r="J49" s="146" t="s">
        <v>310</v>
      </c>
      <c r="K49" s="147" t="s">
        <v>311</v>
      </c>
      <c r="L49" s="145" t="s">
        <v>312</v>
      </c>
      <c r="M49" s="148" t="s">
        <v>72</v>
      </c>
      <c r="N49" s="148" t="s">
        <v>73</v>
      </c>
      <c r="O49" s="144">
        <v>44900</v>
      </c>
      <c r="P49" s="144" t="s">
        <v>74</v>
      </c>
      <c r="Q49" s="144" t="s">
        <v>74</v>
      </c>
      <c r="R49" s="144" t="s">
        <v>74</v>
      </c>
      <c r="S49" s="144" t="s">
        <v>74</v>
      </c>
      <c r="T49" s="144" t="s">
        <v>74</v>
      </c>
      <c r="U49" s="144" t="s">
        <v>74</v>
      </c>
      <c r="V49" s="144" t="s">
        <v>74</v>
      </c>
      <c r="W49" s="144" t="s">
        <v>74</v>
      </c>
      <c r="X49" s="144" t="s">
        <v>74</v>
      </c>
      <c r="Y49" s="144" t="s">
        <v>74</v>
      </c>
      <c r="Z49" s="144" t="s">
        <v>74</v>
      </c>
      <c r="AB49" s="146" t="s">
        <v>310</v>
      </c>
      <c r="AC49" s="147" t="s">
        <v>311</v>
      </c>
      <c r="AD49" s="145" t="s">
        <v>312</v>
      </c>
      <c r="AE49" s="144" t="s">
        <v>68</v>
      </c>
      <c r="AF49" s="149">
        <v>38928.19</v>
      </c>
      <c r="AG49" s="149">
        <v>60000</v>
      </c>
      <c r="AH49" s="144" t="s">
        <v>75</v>
      </c>
      <c r="AI49" s="144" t="s">
        <v>76</v>
      </c>
      <c r="AJ49" s="144" t="s">
        <v>72</v>
      </c>
      <c r="AK49" s="144" t="s">
        <v>76</v>
      </c>
      <c r="AL49" s="144" t="s">
        <v>76</v>
      </c>
      <c r="AM49" s="144" t="s">
        <v>77</v>
      </c>
      <c r="AO49" s="145" t="s">
        <v>313</v>
      </c>
      <c r="AP49" s="144" t="s">
        <v>76</v>
      </c>
      <c r="AQ49" s="144" t="s">
        <v>76</v>
      </c>
      <c r="AR49" s="144" t="s">
        <v>76</v>
      </c>
      <c r="AS49" s="144" t="s">
        <v>76</v>
      </c>
      <c r="AT49" s="144">
        <v>44923</v>
      </c>
      <c r="AU49" s="144" t="s">
        <v>76</v>
      </c>
      <c r="AV49" s="144" t="s">
        <v>76</v>
      </c>
      <c r="AW49" s="144">
        <v>44949</v>
      </c>
      <c r="AX49" s="144">
        <v>44949</v>
      </c>
      <c r="AY49" s="144" t="s">
        <v>76</v>
      </c>
      <c r="AZ49" s="144" t="s">
        <v>79</v>
      </c>
      <c r="BA49" s="150" t="s">
        <v>76</v>
      </c>
      <c r="BB49" s="143">
        <f t="shared" si="3"/>
        <v>49</v>
      </c>
      <c r="BC49" s="193" t="str">
        <f t="shared" si="4"/>
        <v>INDENIZAÇÃO</v>
      </c>
      <c r="BD49" s="193" t="str">
        <f t="shared" si="5"/>
        <v>NÃO</v>
      </c>
      <c r="BE49" s="196" t="s">
        <v>74</v>
      </c>
      <c r="BF49" s="196" t="s">
        <v>74</v>
      </c>
      <c r="BG49" s="196" t="s">
        <v>74</v>
      </c>
      <c r="BH49" s="193" t="s">
        <v>76</v>
      </c>
      <c r="BI49" s="193" t="s">
        <v>76</v>
      </c>
      <c r="BJ49" s="144">
        <v>45190</v>
      </c>
      <c r="BK49" s="193" t="s">
        <v>76</v>
      </c>
      <c r="BL49" s="195" t="s">
        <v>76</v>
      </c>
      <c r="CI49" s="151"/>
      <c r="DQ49" s="151"/>
    </row>
    <row r="50" spans="1:121" s="144" customFormat="1" ht="30" customHeight="1" x14ac:dyDescent="0.25">
      <c r="A50" s="143">
        <v>46</v>
      </c>
      <c r="B50" s="144" t="s">
        <v>64</v>
      </c>
      <c r="C50" s="143">
        <v>0</v>
      </c>
      <c r="D50" s="143">
        <v>0</v>
      </c>
      <c r="E50" s="143">
        <v>0</v>
      </c>
      <c r="F50" s="145" t="s">
        <v>314</v>
      </c>
      <c r="G50" s="144" t="s">
        <v>66</v>
      </c>
      <c r="H50" s="144" t="s">
        <v>67</v>
      </c>
      <c r="I50" s="144" t="s">
        <v>68</v>
      </c>
      <c r="J50" s="146" t="s">
        <v>315</v>
      </c>
      <c r="K50" s="147" t="s">
        <v>316</v>
      </c>
      <c r="L50" s="145" t="s">
        <v>317</v>
      </c>
      <c r="M50" s="148" t="s">
        <v>72</v>
      </c>
      <c r="N50" s="148" t="s">
        <v>73</v>
      </c>
      <c r="O50" s="144">
        <v>44900</v>
      </c>
      <c r="P50" s="144" t="s">
        <v>74</v>
      </c>
      <c r="Q50" s="144" t="s">
        <v>74</v>
      </c>
      <c r="R50" s="144" t="s">
        <v>74</v>
      </c>
      <c r="S50" s="144" t="s">
        <v>74</v>
      </c>
      <c r="T50" s="144" t="s">
        <v>74</v>
      </c>
      <c r="U50" s="144" t="s">
        <v>74</v>
      </c>
      <c r="V50" s="144" t="s">
        <v>74</v>
      </c>
      <c r="W50" s="144" t="s">
        <v>74</v>
      </c>
      <c r="X50" s="144" t="s">
        <v>74</v>
      </c>
      <c r="Y50" s="144" t="s">
        <v>74</v>
      </c>
      <c r="Z50" s="144" t="s">
        <v>74</v>
      </c>
      <c r="AB50" s="146" t="s">
        <v>315</v>
      </c>
      <c r="AC50" s="147" t="s">
        <v>316</v>
      </c>
      <c r="AD50" s="145" t="s">
        <v>317</v>
      </c>
      <c r="AE50" s="144" t="s">
        <v>68</v>
      </c>
      <c r="AF50" s="149">
        <v>43177.4</v>
      </c>
      <c r="AG50" s="149">
        <v>60000</v>
      </c>
      <c r="AH50" s="144" t="s">
        <v>75</v>
      </c>
      <c r="AI50" s="144" t="s">
        <v>76</v>
      </c>
      <c r="AJ50" s="144" t="s">
        <v>72</v>
      </c>
      <c r="AK50" s="144" t="s">
        <v>76</v>
      </c>
      <c r="AL50" s="144" t="s">
        <v>76</v>
      </c>
      <c r="AM50" s="144" t="s">
        <v>77</v>
      </c>
      <c r="AO50" s="145" t="s">
        <v>318</v>
      </c>
      <c r="AP50" s="144" t="s">
        <v>76</v>
      </c>
      <c r="AQ50" s="144" t="s">
        <v>76</v>
      </c>
      <c r="AR50" s="144" t="s">
        <v>76</v>
      </c>
      <c r="AS50" s="144" t="s">
        <v>76</v>
      </c>
      <c r="AT50" s="144">
        <v>44923</v>
      </c>
      <c r="AU50" s="144" t="s">
        <v>76</v>
      </c>
      <c r="AV50" s="144" t="s">
        <v>76</v>
      </c>
      <c r="AW50" s="144">
        <v>44949</v>
      </c>
      <c r="AX50" s="144">
        <v>44949</v>
      </c>
      <c r="AY50" s="144" t="s">
        <v>76</v>
      </c>
      <c r="AZ50" s="144" t="s">
        <v>79</v>
      </c>
      <c r="BA50" s="150" t="s">
        <v>76</v>
      </c>
      <c r="BB50" s="143">
        <f t="shared" si="3"/>
        <v>49</v>
      </c>
      <c r="BC50" s="193" t="str">
        <f t="shared" si="4"/>
        <v>INDENIZAÇÃO</v>
      </c>
      <c r="BD50" s="193" t="str">
        <f t="shared" si="5"/>
        <v>NÃO</v>
      </c>
      <c r="BE50" s="193" t="s">
        <v>74</v>
      </c>
      <c r="BF50" s="193" t="s">
        <v>74</v>
      </c>
      <c r="BG50" s="193" t="s">
        <v>74</v>
      </c>
      <c r="BH50" s="193" t="s">
        <v>76</v>
      </c>
      <c r="BI50" s="193" t="s">
        <v>76</v>
      </c>
      <c r="BJ50" s="144">
        <v>45190</v>
      </c>
      <c r="BK50" s="193" t="s">
        <v>76</v>
      </c>
      <c r="BL50" s="195" t="s">
        <v>76</v>
      </c>
      <c r="CI50" s="151"/>
      <c r="DQ50" s="151"/>
    </row>
    <row r="51" spans="1:121" s="144" customFormat="1" ht="30" customHeight="1" x14ac:dyDescent="0.25">
      <c r="A51" s="143">
        <v>47</v>
      </c>
      <c r="B51" s="144" t="s">
        <v>64</v>
      </c>
      <c r="C51" s="143">
        <v>0</v>
      </c>
      <c r="D51" s="143">
        <v>0</v>
      </c>
      <c r="E51" s="143">
        <v>0</v>
      </c>
      <c r="F51" s="145" t="s">
        <v>319</v>
      </c>
      <c r="G51" s="144" t="s">
        <v>66</v>
      </c>
      <c r="H51" s="144" t="s">
        <v>67</v>
      </c>
      <c r="I51" s="144" t="s">
        <v>68</v>
      </c>
      <c r="J51" s="146" t="s">
        <v>320</v>
      </c>
      <c r="K51" s="147" t="s">
        <v>321</v>
      </c>
      <c r="L51" s="145" t="s">
        <v>322</v>
      </c>
      <c r="M51" s="148" t="s">
        <v>72</v>
      </c>
      <c r="N51" s="148" t="s">
        <v>73</v>
      </c>
      <c r="O51" s="144">
        <v>44900</v>
      </c>
      <c r="P51" s="144" t="s">
        <v>74</v>
      </c>
      <c r="Q51" s="144" t="s">
        <v>74</v>
      </c>
      <c r="R51" s="144" t="s">
        <v>74</v>
      </c>
      <c r="S51" s="144" t="s">
        <v>74</v>
      </c>
      <c r="T51" s="144" t="s">
        <v>74</v>
      </c>
      <c r="U51" s="144" t="s">
        <v>74</v>
      </c>
      <c r="V51" s="144" t="s">
        <v>74</v>
      </c>
      <c r="W51" s="144" t="s">
        <v>74</v>
      </c>
      <c r="X51" s="144" t="s">
        <v>74</v>
      </c>
      <c r="Y51" s="144" t="s">
        <v>74</v>
      </c>
      <c r="Z51" s="144" t="s">
        <v>74</v>
      </c>
      <c r="AB51" s="146" t="s">
        <v>320</v>
      </c>
      <c r="AC51" s="147" t="s">
        <v>321</v>
      </c>
      <c r="AD51" s="145" t="s">
        <v>322</v>
      </c>
      <c r="AE51" s="144" t="s">
        <v>68</v>
      </c>
      <c r="AF51" s="149">
        <v>19324.419999999998</v>
      </c>
      <c r="AG51" s="149">
        <v>49324.42</v>
      </c>
      <c r="AH51" s="144" t="s">
        <v>75</v>
      </c>
      <c r="AI51" s="144" t="s">
        <v>76</v>
      </c>
      <c r="AJ51" s="144" t="s">
        <v>72</v>
      </c>
      <c r="AK51" s="144" t="s">
        <v>76</v>
      </c>
      <c r="AL51" s="144" t="s">
        <v>76</v>
      </c>
      <c r="AM51" s="144" t="s">
        <v>77</v>
      </c>
      <c r="AO51" s="145" t="s">
        <v>323</v>
      </c>
      <c r="AP51" s="144" t="s">
        <v>76</v>
      </c>
      <c r="AQ51" s="144" t="s">
        <v>76</v>
      </c>
      <c r="AR51" s="144" t="s">
        <v>76</v>
      </c>
      <c r="AS51" s="144" t="s">
        <v>76</v>
      </c>
      <c r="AT51" s="144">
        <v>44923</v>
      </c>
      <c r="AU51" s="144" t="s">
        <v>76</v>
      </c>
      <c r="AV51" s="144" t="s">
        <v>76</v>
      </c>
      <c r="AW51" s="144">
        <v>44949</v>
      </c>
      <c r="AX51" s="144">
        <v>44949</v>
      </c>
      <c r="AY51" s="144" t="s">
        <v>76</v>
      </c>
      <c r="AZ51" s="144" t="s">
        <v>79</v>
      </c>
      <c r="BA51" s="150" t="s">
        <v>76</v>
      </c>
      <c r="BB51" s="143">
        <f t="shared" si="3"/>
        <v>49</v>
      </c>
      <c r="BC51" s="193" t="str">
        <f t="shared" si="4"/>
        <v>INDENIZAÇÃO</v>
      </c>
      <c r="BD51" s="193" t="str">
        <f t="shared" si="5"/>
        <v>NÃO</v>
      </c>
      <c r="BE51" s="196" t="s">
        <v>74</v>
      </c>
      <c r="BF51" s="196" t="s">
        <v>74</v>
      </c>
      <c r="BG51" s="196" t="s">
        <v>74</v>
      </c>
      <c r="BH51" s="193" t="s">
        <v>76</v>
      </c>
      <c r="BI51" s="193" t="s">
        <v>76</v>
      </c>
      <c r="BJ51" s="144">
        <v>45190</v>
      </c>
      <c r="BK51" s="193" t="s">
        <v>76</v>
      </c>
      <c r="BL51" s="195" t="s">
        <v>76</v>
      </c>
      <c r="CI51" s="151"/>
      <c r="DQ51" s="151"/>
    </row>
    <row r="52" spans="1:121" s="144" customFormat="1" ht="30" customHeight="1" x14ac:dyDescent="0.25">
      <c r="A52" s="143">
        <v>48</v>
      </c>
      <c r="B52" s="144" t="s">
        <v>64</v>
      </c>
      <c r="C52" s="143">
        <v>0</v>
      </c>
      <c r="D52" s="143">
        <v>0</v>
      </c>
      <c r="E52" s="143">
        <v>0</v>
      </c>
      <c r="F52" s="145" t="s">
        <v>324</v>
      </c>
      <c r="G52" s="144" t="s">
        <v>66</v>
      </c>
      <c r="H52" s="144" t="s">
        <v>67</v>
      </c>
      <c r="I52" s="144" t="s">
        <v>68</v>
      </c>
      <c r="J52" s="146" t="s">
        <v>325</v>
      </c>
      <c r="K52" s="147" t="s">
        <v>326</v>
      </c>
      <c r="L52" s="145" t="s">
        <v>327</v>
      </c>
      <c r="M52" s="148" t="s">
        <v>72</v>
      </c>
      <c r="N52" s="148" t="s">
        <v>73</v>
      </c>
      <c r="O52" s="144">
        <v>44900</v>
      </c>
      <c r="P52" s="144" t="s">
        <v>74</v>
      </c>
      <c r="Q52" s="144" t="s">
        <v>74</v>
      </c>
      <c r="R52" s="144" t="s">
        <v>74</v>
      </c>
      <c r="S52" s="144" t="s">
        <v>74</v>
      </c>
      <c r="T52" s="144" t="s">
        <v>74</v>
      </c>
      <c r="U52" s="144" t="s">
        <v>74</v>
      </c>
      <c r="V52" s="144" t="s">
        <v>74</v>
      </c>
      <c r="W52" s="144" t="s">
        <v>74</v>
      </c>
      <c r="X52" s="144" t="s">
        <v>74</v>
      </c>
      <c r="Y52" s="144" t="s">
        <v>74</v>
      </c>
      <c r="Z52" s="144" t="s">
        <v>74</v>
      </c>
      <c r="AB52" s="146" t="s">
        <v>325</v>
      </c>
      <c r="AC52" s="147" t="s">
        <v>326</v>
      </c>
      <c r="AD52" s="145" t="s">
        <v>327</v>
      </c>
      <c r="AE52" s="144" t="s">
        <v>68</v>
      </c>
      <c r="AF52" s="149">
        <v>22888.97</v>
      </c>
      <c r="AG52" s="149">
        <v>52888.97</v>
      </c>
      <c r="AH52" s="144" t="s">
        <v>75</v>
      </c>
      <c r="AI52" s="144" t="s">
        <v>76</v>
      </c>
      <c r="AJ52" s="144" t="s">
        <v>72</v>
      </c>
      <c r="AK52" s="144" t="s">
        <v>76</v>
      </c>
      <c r="AL52" s="144" t="s">
        <v>76</v>
      </c>
      <c r="AM52" s="144" t="s">
        <v>77</v>
      </c>
      <c r="AO52" s="145" t="s">
        <v>328</v>
      </c>
      <c r="AP52" s="144" t="s">
        <v>76</v>
      </c>
      <c r="AQ52" s="144" t="s">
        <v>76</v>
      </c>
      <c r="AR52" s="144" t="s">
        <v>76</v>
      </c>
      <c r="AS52" s="144" t="s">
        <v>76</v>
      </c>
      <c r="AT52" s="144">
        <v>44923</v>
      </c>
      <c r="AU52" s="144" t="s">
        <v>76</v>
      </c>
      <c r="AV52" s="144" t="s">
        <v>76</v>
      </c>
      <c r="AW52" s="144">
        <v>44924</v>
      </c>
      <c r="AX52" s="144">
        <v>44924</v>
      </c>
      <c r="AY52" s="144" t="s">
        <v>76</v>
      </c>
      <c r="AZ52" s="144" t="s">
        <v>79</v>
      </c>
      <c r="BA52" s="150" t="s">
        <v>76</v>
      </c>
      <c r="BB52" s="143">
        <f t="shared" si="3"/>
        <v>24</v>
      </c>
      <c r="BC52" s="193" t="str">
        <f t="shared" si="4"/>
        <v>INDENIZAÇÃO</v>
      </c>
      <c r="BD52" s="193" t="str">
        <f t="shared" si="5"/>
        <v>NÃO</v>
      </c>
      <c r="BE52" s="193" t="s">
        <v>74</v>
      </c>
      <c r="BF52" s="193" t="s">
        <v>74</v>
      </c>
      <c r="BG52" s="193" t="s">
        <v>74</v>
      </c>
      <c r="BH52" s="193" t="s">
        <v>76</v>
      </c>
      <c r="BI52" s="193" t="s">
        <v>76</v>
      </c>
      <c r="BJ52" s="144">
        <v>45057</v>
      </c>
      <c r="BK52" s="193" t="s">
        <v>76</v>
      </c>
      <c r="BL52" s="195" t="s">
        <v>76</v>
      </c>
      <c r="CI52" s="151"/>
      <c r="DQ52" s="151"/>
    </row>
    <row r="53" spans="1:121" s="166" customFormat="1" ht="30" customHeight="1" x14ac:dyDescent="0.25">
      <c r="A53" s="143">
        <v>49</v>
      </c>
      <c r="B53" s="144" t="s">
        <v>64</v>
      </c>
      <c r="C53" s="143">
        <v>0</v>
      </c>
      <c r="D53" s="143">
        <v>0</v>
      </c>
      <c r="E53" s="143">
        <v>0</v>
      </c>
      <c r="F53" s="145" t="s">
        <v>329</v>
      </c>
      <c r="G53" s="144" t="s">
        <v>66</v>
      </c>
      <c r="H53" s="144" t="s">
        <v>67</v>
      </c>
      <c r="I53" s="144" t="s">
        <v>68</v>
      </c>
      <c r="J53" s="146" t="s">
        <v>330</v>
      </c>
      <c r="K53" s="147" t="s">
        <v>331</v>
      </c>
      <c r="L53" s="145" t="s">
        <v>332</v>
      </c>
      <c r="M53" s="148" t="s">
        <v>72</v>
      </c>
      <c r="N53" s="148" t="s">
        <v>73</v>
      </c>
      <c r="O53" s="144">
        <v>44900</v>
      </c>
      <c r="P53" s="144" t="s">
        <v>74</v>
      </c>
      <c r="Q53" s="144" t="s">
        <v>74</v>
      </c>
      <c r="R53" s="144" t="s">
        <v>74</v>
      </c>
      <c r="S53" s="144" t="s">
        <v>74</v>
      </c>
      <c r="T53" s="144" t="s">
        <v>74</v>
      </c>
      <c r="U53" s="144" t="s">
        <v>74</v>
      </c>
      <c r="V53" s="144" t="s">
        <v>74</v>
      </c>
      <c r="W53" s="144" t="s">
        <v>74</v>
      </c>
      <c r="X53" s="144" t="s">
        <v>74</v>
      </c>
      <c r="Y53" s="144" t="s">
        <v>74</v>
      </c>
      <c r="Z53" s="144" t="s">
        <v>74</v>
      </c>
      <c r="AA53" s="144"/>
      <c r="AB53" s="146" t="s">
        <v>330</v>
      </c>
      <c r="AC53" s="147" t="s">
        <v>331</v>
      </c>
      <c r="AD53" s="145" t="s">
        <v>332</v>
      </c>
      <c r="AE53" s="144" t="s">
        <v>68</v>
      </c>
      <c r="AF53" s="149">
        <v>23491.73</v>
      </c>
      <c r="AG53" s="149">
        <v>53491.73</v>
      </c>
      <c r="AH53" s="144" t="s">
        <v>75</v>
      </c>
      <c r="AI53" s="144" t="s">
        <v>76</v>
      </c>
      <c r="AJ53" s="144" t="s">
        <v>72</v>
      </c>
      <c r="AK53" s="144" t="s">
        <v>76</v>
      </c>
      <c r="AL53" s="144" t="s">
        <v>76</v>
      </c>
      <c r="AM53" s="144" t="s">
        <v>77</v>
      </c>
      <c r="AN53" s="144"/>
      <c r="AO53" s="145" t="s">
        <v>333</v>
      </c>
      <c r="AP53" s="144" t="s">
        <v>76</v>
      </c>
      <c r="AQ53" s="144" t="s">
        <v>76</v>
      </c>
      <c r="AR53" s="144" t="s">
        <v>76</v>
      </c>
      <c r="AS53" s="144" t="s">
        <v>76</v>
      </c>
      <c r="AT53" s="144">
        <v>44923</v>
      </c>
      <c r="AU53" s="144" t="s">
        <v>76</v>
      </c>
      <c r="AV53" s="144" t="s">
        <v>76</v>
      </c>
      <c r="AW53" s="144">
        <v>44949</v>
      </c>
      <c r="AX53" s="144">
        <v>44949</v>
      </c>
      <c r="AY53" s="144" t="s">
        <v>76</v>
      </c>
      <c r="AZ53" s="144" t="s">
        <v>79</v>
      </c>
      <c r="BA53" s="150" t="s">
        <v>76</v>
      </c>
      <c r="BB53" s="143">
        <f t="shared" si="3"/>
        <v>49</v>
      </c>
      <c r="BC53" s="193" t="str">
        <f t="shared" si="4"/>
        <v>INDENIZAÇÃO</v>
      </c>
      <c r="BD53" s="193" t="str">
        <f t="shared" si="5"/>
        <v>NÃO</v>
      </c>
      <c r="BE53" s="196" t="s">
        <v>74</v>
      </c>
      <c r="BF53" s="196" t="s">
        <v>74</v>
      </c>
      <c r="BG53" s="196" t="s">
        <v>74</v>
      </c>
      <c r="BH53" s="193" t="s">
        <v>76</v>
      </c>
      <c r="BI53" s="193" t="s">
        <v>76</v>
      </c>
      <c r="BJ53" s="144">
        <v>45190</v>
      </c>
      <c r="BK53" s="193" t="s">
        <v>76</v>
      </c>
      <c r="BL53" s="195" t="s">
        <v>76</v>
      </c>
      <c r="BM53" s="144"/>
      <c r="BN53" s="144"/>
      <c r="BO53" s="144"/>
      <c r="BP53" s="144"/>
      <c r="BQ53" s="144"/>
      <c r="BR53" s="144"/>
      <c r="BS53" s="144"/>
      <c r="BT53" s="144"/>
      <c r="BU53" s="144"/>
      <c r="BV53" s="144"/>
      <c r="BW53" s="144"/>
      <c r="BX53" s="144"/>
      <c r="CI53" s="167"/>
      <c r="DQ53" s="167"/>
    </row>
    <row r="54" spans="1:121" s="144" customFormat="1" ht="30" customHeight="1" x14ac:dyDescent="0.25">
      <c r="A54" s="143">
        <v>50</v>
      </c>
      <c r="B54" s="144" t="s">
        <v>64</v>
      </c>
      <c r="C54" s="143">
        <v>0</v>
      </c>
      <c r="D54" s="143">
        <v>0</v>
      </c>
      <c r="E54" s="143">
        <v>0</v>
      </c>
      <c r="F54" s="145" t="s">
        <v>334</v>
      </c>
      <c r="G54" s="144" t="s">
        <v>66</v>
      </c>
      <c r="H54" s="144" t="s">
        <v>67</v>
      </c>
      <c r="I54" s="144" t="s">
        <v>68</v>
      </c>
      <c r="J54" s="146" t="s">
        <v>335</v>
      </c>
      <c r="K54" s="155" t="s">
        <v>336</v>
      </c>
      <c r="L54" s="145" t="s">
        <v>337</v>
      </c>
      <c r="M54" s="148" t="s">
        <v>72</v>
      </c>
      <c r="N54" s="148" t="s">
        <v>73</v>
      </c>
      <c r="O54" s="144">
        <v>44900</v>
      </c>
      <c r="P54" s="144" t="s">
        <v>74</v>
      </c>
      <c r="Q54" s="144" t="s">
        <v>74</v>
      </c>
      <c r="R54" s="144" t="s">
        <v>74</v>
      </c>
      <c r="S54" s="144" t="s">
        <v>74</v>
      </c>
      <c r="T54" s="144" t="s">
        <v>74</v>
      </c>
      <c r="U54" s="144" t="s">
        <v>74</v>
      </c>
      <c r="V54" s="144" t="s">
        <v>74</v>
      </c>
      <c r="W54" s="144" t="s">
        <v>74</v>
      </c>
      <c r="X54" s="144" t="s">
        <v>74</v>
      </c>
      <c r="Y54" s="144" t="s">
        <v>74</v>
      </c>
      <c r="Z54" s="144" t="s">
        <v>74</v>
      </c>
      <c r="AB54" s="146" t="s">
        <v>335</v>
      </c>
      <c r="AC54" s="155" t="s">
        <v>336</v>
      </c>
      <c r="AD54" s="145" t="s">
        <v>337</v>
      </c>
      <c r="AE54" s="144" t="s">
        <v>68</v>
      </c>
      <c r="AF54" s="149">
        <v>39763.629999999997</v>
      </c>
      <c r="AG54" s="149">
        <v>60000</v>
      </c>
      <c r="AH54" s="144" t="s">
        <v>75</v>
      </c>
      <c r="AI54" s="144" t="s">
        <v>76</v>
      </c>
      <c r="AJ54" s="144" t="s">
        <v>72</v>
      </c>
      <c r="AK54" s="144" t="s">
        <v>76</v>
      </c>
      <c r="AL54" s="144" t="s">
        <v>76</v>
      </c>
      <c r="AM54" s="144" t="s">
        <v>77</v>
      </c>
      <c r="AO54" s="145" t="s">
        <v>338</v>
      </c>
      <c r="AP54" s="144" t="s">
        <v>76</v>
      </c>
      <c r="AQ54" s="144" t="s">
        <v>76</v>
      </c>
      <c r="AR54" s="144" t="s">
        <v>76</v>
      </c>
      <c r="AS54" s="144" t="s">
        <v>76</v>
      </c>
      <c r="AT54" s="144">
        <v>44923</v>
      </c>
      <c r="AU54" s="144" t="s">
        <v>76</v>
      </c>
      <c r="AV54" s="144" t="s">
        <v>76</v>
      </c>
      <c r="AW54" s="144">
        <v>44949</v>
      </c>
      <c r="AX54" s="144">
        <v>44949</v>
      </c>
      <c r="AY54" s="144" t="s">
        <v>76</v>
      </c>
      <c r="AZ54" s="144" t="s">
        <v>79</v>
      </c>
      <c r="BA54" s="150" t="s">
        <v>76</v>
      </c>
      <c r="BB54" s="143">
        <f t="shared" si="3"/>
        <v>49</v>
      </c>
      <c r="BC54" s="193" t="str">
        <f t="shared" si="4"/>
        <v>INDENIZAÇÃO</v>
      </c>
      <c r="BD54" s="193" t="str">
        <f t="shared" si="5"/>
        <v>NÃO</v>
      </c>
      <c r="BE54" s="193" t="s">
        <v>74</v>
      </c>
      <c r="BF54" s="193" t="s">
        <v>74</v>
      </c>
      <c r="BG54" s="193" t="s">
        <v>74</v>
      </c>
      <c r="BH54" s="193" t="s">
        <v>76</v>
      </c>
      <c r="BI54" s="193" t="s">
        <v>76</v>
      </c>
      <c r="BJ54" s="144">
        <v>45190</v>
      </c>
      <c r="BK54" s="193" t="s">
        <v>76</v>
      </c>
      <c r="BL54" s="195" t="s">
        <v>76</v>
      </c>
      <c r="CI54" s="151"/>
      <c r="DQ54" s="151"/>
    </row>
    <row r="55" spans="1:121" s="144" customFormat="1" ht="30" hidden="1" customHeight="1" x14ac:dyDescent="0.25">
      <c r="A55" s="143">
        <v>51</v>
      </c>
      <c r="B55" s="144" t="s">
        <v>64</v>
      </c>
      <c r="C55" s="143">
        <v>0</v>
      </c>
      <c r="D55" s="143">
        <v>0</v>
      </c>
      <c r="E55" s="143">
        <v>0</v>
      </c>
      <c r="F55" s="145" t="s">
        <v>339</v>
      </c>
      <c r="G55" s="144" t="s">
        <v>66</v>
      </c>
      <c r="H55" s="144" t="s">
        <v>67</v>
      </c>
      <c r="I55" s="144" t="s">
        <v>68</v>
      </c>
      <c r="J55" s="146" t="s">
        <v>340</v>
      </c>
      <c r="K55" s="169" t="s">
        <v>341</v>
      </c>
      <c r="L55" s="145" t="s">
        <v>342</v>
      </c>
      <c r="M55" s="148" t="s">
        <v>72</v>
      </c>
      <c r="N55" s="148" t="s">
        <v>101</v>
      </c>
      <c r="O55" s="144">
        <v>44900</v>
      </c>
      <c r="P55" s="144">
        <v>44910</v>
      </c>
      <c r="Q55" s="144" t="s">
        <v>102</v>
      </c>
      <c r="R55" s="144" t="s">
        <v>76</v>
      </c>
      <c r="S55" s="144" t="s">
        <v>76</v>
      </c>
      <c r="T55" s="144" t="s">
        <v>76</v>
      </c>
      <c r="U55" s="144">
        <v>44924</v>
      </c>
      <c r="V55" s="144">
        <v>44924</v>
      </c>
      <c r="W55" s="144">
        <v>44929</v>
      </c>
      <c r="X55" s="144">
        <v>44958</v>
      </c>
      <c r="Y55" s="144">
        <v>44963</v>
      </c>
      <c r="Z55" s="144" t="s">
        <v>76</v>
      </c>
      <c r="AB55" s="146" t="s">
        <v>343</v>
      </c>
      <c r="AC55" s="169" t="s">
        <v>341</v>
      </c>
      <c r="AD55" s="145" t="s">
        <v>344</v>
      </c>
      <c r="AE55" s="144" t="s">
        <v>68</v>
      </c>
      <c r="AF55" s="149">
        <v>41929.599999999999</v>
      </c>
      <c r="AG55" s="149">
        <v>60000</v>
      </c>
      <c r="AH55" s="144" t="s">
        <v>104</v>
      </c>
      <c r="AI55" s="144" t="s">
        <v>76</v>
      </c>
      <c r="AJ55" s="144" t="s">
        <v>72</v>
      </c>
      <c r="AK55" s="144" t="s">
        <v>74</v>
      </c>
      <c r="AL55" s="144" t="s">
        <v>74</v>
      </c>
      <c r="AM55" s="144" t="s">
        <v>74</v>
      </c>
      <c r="AO55" s="145" t="s">
        <v>74</v>
      </c>
      <c r="AP55" s="144" t="s">
        <v>74</v>
      </c>
      <c r="AQ55" s="144" t="s">
        <v>74</v>
      </c>
      <c r="AR55" s="144" t="s">
        <v>74</v>
      </c>
      <c r="AS55" s="144" t="s">
        <v>74</v>
      </c>
      <c r="AT55" s="144" t="s">
        <v>74</v>
      </c>
      <c r="AU55" s="144" t="s">
        <v>74</v>
      </c>
      <c r="AV55" s="144" t="s">
        <v>74</v>
      </c>
      <c r="AW55" s="144">
        <v>44958</v>
      </c>
      <c r="AX55" s="144">
        <v>44963</v>
      </c>
      <c r="AY55" s="144" t="s">
        <v>76</v>
      </c>
      <c r="AZ55" s="144" t="s">
        <v>79</v>
      </c>
      <c r="BA55" s="150" t="s">
        <v>76</v>
      </c>
      <c r="BB55" s="143">
        <f t="shared" si="3"/>
        <v>63</v>
      </c>
      <c r="BC55" s="193" t="str">
        <f t="shared" si="4"/>
        <v>AA</v>
      </c>
      <c r="BD55" s="193" t="str">
        <f t="shared" si="5"/>
        <v>NÃO</v>
      </c>
      <c r="BE55" s="193" t="s">
        <v>74</v>
      </c>
      <c r="BF55" s="193" t="s">
        <v>74</v>
      </c>
      <c r="BG55" s="193" t="s">
        <v>74</v>
      </c>
      <c r="BH55" s="193" t="s">
        <v>74</v>
      </c>
      <c r="BI55" s="193" t="s">
        <v>74</v>
      </c>
      <c r="BJ55" s="193" t="s">
        <v>74</v>
      </c>
      <c r="BK55" s="193" t="s">
        <v>74</v>
      </c>
      <c r="BL55" s="195" t="s">
        <v>76</v>
      </c>
      <c r="CI55" s="151"/>
      <c r="DQ55" s="151"/>
    </row>
    <row r="56" spans="1:121" s="144" customFormat="1" ht="30" customHeight="1" x14ac:dyDescent="0.25">
      <c r="A56" s="143"/>
      <c r="C56" s="143"/>
      <c r="D56" s="143"/>
      <c r="E56" s="143"/>
      <c r="F56" s="145"/>
      <c r="J56" s="145"/>
      <c r="K56" s="145"/>
      <c r="L56" s="145"/>
      <c r="AB56" s="145"/>
      <c r="AC56" s="145"/>
      <c r="AD56" s="145"/>
      <c r="AF56" s="170"/>
      <c r="AG56" s="170"/>
      <c r="AO56" s="145"/>
      <c r="AZ56" s="171"/>
      <c r="BB56" s="143"/>
      <c r="CI56" s="151"/>
      <c r="DQ56" s="151"/>
    </row>
    <row r="57" spans="1:121" s="144" customFormat="1" ht="30" customHeight="1" x14ac:dyDescent="0.25">
      <c r="A57" s="143"/>
      <c r="C57" s="143"/>
      <c r="D57" s="143"/>
      <c r="E57" s="143"/>
      <c r="F57" s="145"/>
      <c r="J57" s="172"/>
      <c r="K57" s="172"/>
      <c r="L57" s="172"/>
      <c r="AB57" s="172"/>
      <c r="AC57" s="172"/>
      <c r="AD57" s="172"/>
      <c r="AF57" s="170"/>
      <c r="AG57" s="173"/>
      <c r="AO57" s="145"/>
      <c r="AZ57" s="171"/>
      <c r="BA57" s="150"/>
      <c r="BB57" s="143"/>
      <c r="CI57" s="151"/>
      <c r="DQ57" s="151"/>
    </row>
    <row r="58" spans="1:121" s="144" customFormat="1" ht="30" customHeight="1" x14ac:dyDescent="0.25">
      <c r="A58" s="143"/>
      <c r="C58" s="143"/>
      <c r="D58" s="143"/>
      <c r="E58" s="143"/>
      <c r="F58" s="145"/>
      <c r="J58" s="145"/>
      <c r="K58" s="145"/>
      <c r="L58" s="145"/>
      <c r="N58" s="174"/>
      <c r="AB58" s="145"/>
      <c r="AC58" s="145"/>
      <c r="AD58" s="145"/>
      <c r="AF58" s="170"/>
      <c r="AG58" s="173"/>
      <c r="AO58" s="145"/>
      <c r="AZ58" s="171"/>
      <c r="BA58" s="150"/>
      <c r="BB58" s="143"/>
      <c r="CI58" s="151"/>
      <c r="DQ58" s="151"/>
    </row>
    <row r="59" spans="1:121" s="144" customFormat="1" ht="30" customHeight="1" x14ac:dyDescent="0.25">
      <c r="A59" s="143"/>
      <c r="C59" s="143"/>
      <c r="D59" s="143"/>
      <c r="E59" s="143"/>
      <c r="F59" s="145"/>
      <c r="J59" s="145"/>
      <c r="K59" s="145"/>
      <c r="L59" s="145"/>
      <c r="N59" s="174"/>
      <c r="AB59" s="145"/>
      <c r="AC59" s="145"/>
      <c r="AD59" s="145"/>
      <c r="AF59" s="170"/>
      <c r="AG59" s="173"/>
      <c r="AO59" s="145"/>
      <c r="AZ59" s="171"/>
      <c r="BA59" s="150"/>
      <c r="BB59" s="143"/>
      <c r="CI59" s="151"/>
      <c r="DQ59" s="151"/>
    </row>
    <row r="60" spans="1:121" s="144" customFormat="1" ht="30" customHeight="1" x14ac:dyDescent="0.25">
      <c r="A60" s="143"/>
      <c r="C60" s="143"/>
      <c r="D60" s="143"/>
      <c r="E60" s="143"/>
      <c r="F60" s="145"/>
      <c r="J60" s="145"/>
      <c r="K60" s="145"/>
      <c r="L60" s="145"/>
      <c r="N60" s="174"/>
      <c r="AB60" s="145"/>
      <c r="AC60" s="145"/>
      <c r="AD60" s="145"/>
      <c r="AF60" s="170"/>
      <c r="AG60" s="173"/>
      <c r="AO60" s="145"/>
      <c r="BA60" s="150"/>
      <c r="BB60" s="143"/>
      <c r="CI60" s="151"/>
      <c r="DQ60" s="151"/>
    </row>
    <row r="61" spans="1:121" s="144" customFormat="1" ht="30" customHeight="1" x14ac:dyDescent="0.25">
      <c r="A61" s="143"/>
      <c r="C61" s="143"/>
      <c r="D61" s="143"/>
      <c r="E61" s="143"/>
      <c r="F61" s="145"/>
      <c r="J61" s="145"/>
      <c r="K61" s="145"/>
      <c r="L61" s="145"/>
      <c r="N61" s="174"/>
      <c r="AB61" s="172"/>
      <c r="AC61" s="172"/>
      <c r="AD61" s="172"/>
      <c r="AF61" s="170"/>
      <c r="AG61" s="173"/>
      <c r="AO61" s="145"/>
      <c r="AZ61" s="171"/>
      <c r="BA61" s="150"/>
      <c r="BB61" s="143"/>
      <c r="CI61" s="151"/>
      <c r="DQ61" s="151"/>
    </row>
    <row r="62" spans="1:121" s="144" customFormat="1" ht="30" customHeight="1" x14ac:dyDescent="0.25">
      <c r="C62" s="143"/>
      <c r="D62" s="143"/>
      <c r="E62" s="143"/>
      <c r="F62" s="145"/>
      <c r="J62" s="145"/>
      <c r="K62" s="145"/>
      <c r="L62" s="145"/>
      <c r="N62" s="174"/>
      <c r="U62" s="175"/>
      <c r="AB62" s="145"/>
      <c r="AC62" s="145"/>
      <c r="AD62" s="145"/>
      <c r="AF62" s="170"/>
      <c r="AG62" s="173"/>
      <c r="AO62" s="145"/>
      <c r="BA62" s="150"/>
      <c r="BB62" s="143"/>
      <c r="BH62" s="143"/>
      <c r="CI62" s="151"/>
      <c r="DQ62" s="151"/>
    </row>
    <row r="63" spans="1:121" s="144" customFormat="1" ht="30" customHeight="1" x14ac:dyDescent="0.25">
      <c r="C63" s="143"/>
      <c r="D63" s="143"/>
      <c r="E63" s="143"/>
      <c r="F63" s="145"/>
      <c r="J63" s="145"/>
      <c r="K63" s="145"/>
      <c r="L63" s="145"/>
      <c r="N63" s="174"/>
      <c r="AB63" s="145"/>
      <c r="AC63" s="145"/>
      <c r="AD63" s="145"/>
      <c r="AF63" s="170"/>
      <c r="AG63" s="173"/>
      <c r="AO63" s="145"/>
      <c r="BB63" s="143"/>
      <c r="CI63" s="151"/>
      <c r="DQ63" s="151"/>
    </row>
    <row r="64" spans="1:121" s="144" customFormat="1" ht="30" customHeight="1" x14ac:dyDescent="0.25">
      <c r="C64" s="143"/>
      <c r="D64" s="143"/>
      <c r="E64" s="143"/>
      <c r="F64" s="145"/>
      <c r="J64" s="145"/>
      <c r="K64" s="145"/>
      <c r="L64" s="145"/>
      <c r="AB64" s="145"/>
      <c r="AC64" s="145"/>
      <c r="AD64" s="145"/>
      <c r="AF64" s="170"/>
      <c r="AG64" s="173"/>
      <c r="AO64" s="145"/>
      <c r="BB64" s="143"/>
      <c r="CI64" s="151"/>
      <c r="DQ64" s="151"/>
    </row>
    <row r="65" spans="1:121" s="144" customFormat="1" ht="30" customHeight="1" x14ac:dyDescent="0.25">
      <c r="C65" s="143"/>
      <c r="D65" s="143"/>
      <c r="E65" s="143"/>
      <c r="F65" s="145"/>
      <c r="J65" s="145"/>
      <c r="K65" s="145"/>
      <c r="L65" s="145"/>
      <c r="AB65" s="145"/>
      <c r="AC65" s="145"/>
      <c r="AD65" s="145"/>
      <c r="AF65" s="170"/>
      <c r="AG65" s="173"/>
      <c r="AO65" s="145"/>
      <c r="BB65" s="143"/>
      <c r="CI65" s="151"/>
      <c r="DQ65" s="151"/>
    </row>
    <row r="66" spans="1:121" s="144" customFormat="1" ht="30" customHeight="1" x14ac:dyDescent="0.25">
      <c r="C66" s="143"/>
      <c r="D66" s="143"/>
      <c r="E66" s="143"/>
      <c r="F66" s="145"/>
      <c r="J66" s="145"/>
      <c r="K66" s="145"/>
      <c r="L66" s="145"/>
      <c r="Z66" s="176"/>
      <c r="AB66" s="145"/>
      <c r="AC66" s="145"/>
      <c r="AD66" s="145"/>
      <c r="AF66" s="170"/>
      <c r="AG66" s="173"/>
      <c r="AO66" s="145"/>
      <c r="BB66" s="143"/>
      <c r="CI66" s="151"/>
      <c r="DQ66" s="151"/>
    </row>
    <row r="67" spans="1:121" s="144" customFormat="1" ht="30" customHeight="1" x14ac:dyDescent="0.25">
      <c r="C67" s="143"/>
      <c r="D67" s="143"/>
      <c r="E67" s="143"/>
      <c r="F67" s="145"/>
      <c r="J67" s="145"/>
      <c r="K67" s="145"/>
      <c r="L67" s="145"/>
      <c r="N67" s="174"/>
      <c r="AB67" s="146"/>
      <c r="AC67" s="146"/>
      <c r="AD67" s="146"/>
      <c r="AF67" s="170"/>
      <c r="AG67" s="170"/>
      <c r="AO67" s="145"/>
      <c r="BA67" s="150"/>
      <c r="BB67" s="143"/>
      <c r="CI67" s="151"/>
      <c r="DQ67" s="151"/>
    </row>
    <row r="68" spans="1:121" s="144" customFormat="1" ht="30" customHeight="1" x14ac:dyDescent="0.25">
      <c r="C68" s="143"/>
      <c r="D68" s="143"/>
      <c r="E68" s="143"/>
      <c r="F68" s="146"/>
      <c r="J68" s="145"/>
      <c r="K68" s="145"/>
      <c r="L68" s="145"/>
      <c r="N68" s="174"/>
      <c r="AB68" s="146"/>
      <c r="AC68" s="146"/>
      <c r="AD68" s="146"/>
      <c r="AF68" s="170"/>
      <c r="AG68" s="170"/>
      <c r="AO68" s="145"/>
      <c r="BA68" s="150"/>
      <c r="BB68" s="143"/>
      <c r="CI68" s="151"/>
      <c r="DQ68" s="151"/>
    </row>
    <row r="69" spans="1:121" s="144" customFormat="1" ht="30" customHeight="1" x14ac:dyDescent="0.25">
      <c r="C69" s="143"/>
      <c r="D69" s="143"/>
      <c r="E69" s="143"/>
      <c r="F69" s="145"/>
      <c r="J69" s="145"/>
      <c r="K69" s="145"/>
      <c r="L69" s="145"/>
      <c r="AB69" s="145"/>
      <c r="AC69" s="145"/>
      <c r="AD69" s="145"/>
      <c r="AF69" s="170"/>
      <c r="AG69" s="170"/>
      <c r="AO69" s="145"/>
      <c r="AZ69" s="171"/>
      <c r="BB69" s="143"/>
      <c r="CI69" s="151"/>
      <c r="DQ69" s="151"/>
    </row>
    <row r="70" spans="1:121" s="144" customFormat="1" ht="30" customHeight="1" x14ac:dyDescent="0.25">
      <c r="C70" s="143"/>
      <c r="D70" s="143"/>
      <c r="E70" s="143"/>
      <c r="F70" s="145"/>
      <c r="J70" s="145"/>
      <c r="K70" s="145"/>
      <c r="L70" s="145"/>
      <c r="N70" s="174"/>
      <c r="AB70" s="145"/>
      <c r="AC70" s="145"/>
      <c r="AD70" s="145"/>
      <c r="AF70" s="170"/>
      <c r="AG70" s="170"/>
      <c r="AO70" s="145"/>
      <c r="BA70" s="150"/>
      <c r="BB70" s="143"/>
      <c r="CI70" s="151"/>
      <c r="DQ70" s="151"/>
    </row>
    <row r="71" spans="1:121" s="144" customFormat="1" ht="30" customHeight="1" x14ac:dyDescent="0.25">
      <c r="C71" s="143"/>
      <c r="D71" s="143"/>
      <c r="E71" s="143"/>
      <c r="F71" s="145"/>
      <c r="J71" s="145"/>
      <c r="K71" s="145"/>
      <c r="L71" s="145"/>
      <c r="N71" s="174"/>
      <c r="AB71" s="145"/>
      <c r="AC71" s="172"/>
      <c r="AD71" s="145"/>
      <c r="AF71" s="170"/>
      <c r="AG71" s="170"/>
      <c r="AO71" s="145"/>
      <c r="AZ71" s="171"/>
      <c r="BA71" s="150"/>
      <c r="BB71" s="143"/>
      <c r="CI71" s="151"/>
      <c r="DQ71" s="151"/>
    </row>
    <row r="72" spans="1:121" s="144" customFormat="1" ht="30" customHeight="1" x14ac:dyDescent="0.25">
      <c r="C72" s="143"/>
      <c r="D72" s="143"/>
      <c r="E72" s="143"/>
      <c r="F72" s="145"/>
      <c r="J72" s="145"/>
      <c r="K72" s="145"/>
      <c r="L72" s="145"/>
      <c r="N72" s="174"/>
      <c r="AB72" s="145"/>
      <c r="AC72" s="145"/>
      <c r="AD72" s="145"/>
      <c r="AF72" s="170"/>
      <c r="AG72" s="170"/>
      <c r="AO72" s="145"/>
      <c r="AZ72" s="171"/>
      <c r="BA72" s="150"/>
      <c r="BB72" s="143"/>
      <c r="CI72" s="151"/>
      <c r="DQ72" s="151"/>
    </row>
    <row r="73" spans="1:121" s="144" customFormat="1" ht="30" customHeight="1" x14ac:dyDescent="0.25">
      <c r="C73" s="143"/>
      <c r="D73" s="143"/>
      <c r="E73" s="143"/>
      <c r="F73" s="145"/>
      <c r="J73" s="145"/>
      <c r="K73" s="145"/>
      <c r="L73" s="145"/>
      <c r="AB73" s="145"/>
      <c r="AC73" s="145"/>
      <c r="AD73" s="145"/>
      <c r="AF73" s="170"/>
      <c r="AG73" s="170"/>
      <c r="AO73" s="145"/>
      <c r="BB73" s="143"/>
      <c r="CI73" s="151"/>
      <c r="DQ73" s="151"/>
    </row>
    <row r="74" spans="1:121" s="144" customFormat="1" ht="30" customHeight="1" x14ac:dyDescent="0.25">
      <c r="A74" s="177"/>
      <c r="B74" s="177"/>
      <c r="C74" s="178"/>
      <c r="D74" s="178"/>
      <c r="E74" s="178"/>
      <c r="F74" s="179"/>
      <c r="G74" s="177"/>
      <c r="H74" s="177"/>
      <c r="I74" s="177"/>
      <c r="J74" s="179"/>
      <c r="K74" s="179"/>
      <c r="L74" s="179"/>
      <c r="M74" s="177"/>
      <c r="N74" s="177"/>
      <c r="O74" s="177"/>
      <c r="P74" s="177"/>
      <c r="Q74" s="177"/>
      <c r="R74" s="177"/>
      <c r="S74" s="177"/>
      <c r="T74" s="177"/>
      <c r="U74" s="177"/>
      <c r="V74" s="177"/>
      <c r="W74" s="177"/>
      <c r="X74" s="177"/>
      <c r="Y74" s="177"/>
      <c r="Z74" s="177"/>
      <c r="AA74" s="177"/>
      <c r="AB74" s="179"/>
      <c r="AC74" s="179"/>
      <c r="AD74" s="179"/>
      <c r="AE74" s="177"/>
      <c r="AF74" s="180"/>
      <c r="AG74" s="180"/>
      <c r="AH74" s="177"/>
      <c r="AI74" s="177"/>
      <c r="AJ74" s="177"/>
      <c r="AK74" s="177"/>
      <c r="AL74" s="177"/>
      <c r="AM74" s="177"/>
      <c r="AN74" s="177"/>
      <c r="AO74" s="179"/>
      <c r="AP74" s="177"/>
      <c r="AQ74" s="177"/>
      <c r="AR74" s="177"/>
      <c r="AS74" s="177"/>
      <c r="AT74" s="177"/>
      <c r="AU74" s="177"/>
      <c r="AV74" s="177"/>
      <c r="AW74" s="177"/>
      <c r="AX74" s="177"/>
      <c r="AY74" s="177"/>
      <c r="AZ74" s="181"/>
      <c r="BA74" s="182"/>
      <c r="BB74" s="178"/>
      <c r="BC74" s="177"/>
      <c r="BD74" s="177"/>
      <c r="BE74" s="177"/>
      <c r="BF74" s="177"/>
      <c r="BG74" s="177"/>
      <c r="BH74" s="177"/>
      <c r="BI74" s="177"/>
      <c r="BJ74" s="177"/>
      <c r="BK74" s="177"/>
      <c r="BL74" s="177"/>
      <c r="BM74" s="177"/>
      <c r="BN74" s="177"/>
      <c r="BO74" s="177"/>
      <c r="BP74" s="177"/>
      <c r="BQ74" s="177"/>
      <c r="BR74" s="177"/>
      <c r="BS74" s="177"/>
      <c r="BT74" s="177"/>
      <c r="BU74" s="177"/>
      <c r="BV74" s="177"/>
      <c r="BW74" s="177"/>
      <c r="BX74" s="177"/>
      <c r="BY74" s="177"/>
      <c r="BZ74" s="177"/>
      <c r="CA74" s="177"/>
      <c r="CB74" s="177"/>
      <c r="CC74" s="177"/>
      <c r="CD74" s="177"/>
      <c r="CE74" s="177"/>
      <c r="CF74" s="177"/>
      <c r="CG74" s="177"/>
      <c r="CH74" s="177"/>
      <c r="DQ74" s="151"/>
    </row>
    <row r="75" spans="1:121" s="144" customFormat="1" ht="30" customHeight="1" x14ac:dyDescent="0.25">
      <c r="C75" s="143"/>
      <c r="D75" s="143"/>
      <c r="E75" s="143"/>
      <c r="F75" s="145"/>
      <c r="J75" s="145"/>
      <c r="K75" s="145"/>
      <c r="L75" s="145"/>
      <c r="AB75" s="145"/>
      <c r="AC75" s="145"/>
      <c r="AD75" s="145"/>
      <c r="AF75" s="170"/>
      <c r="AG75" s="170"/>
      <c r="AO75" s="145"/>
      <c r="AZ75" s="171"/>
      <c r="BA75" s="150"/>
      <c r="BB75" s="143"/>
      <c r="DQ75" s="151"/>
    </row>
    <row r="76" spans="1:121" s="144" customFormat="1" ht="30" customHeight="1" x14ac:dyDescent="0.25">
      <c r="F76" s="145"/>
      <c r="J76" s="145"/>
      <c r="K76" s="145"/>
      <c r="L76" s="145"/>
      <c r="N76" s="174"/>
      <c r="AB76" s="145"/>
      <c r="AC76" s="145"/>
      <c r="AD76" s="145"/>
      <c r="AF76" s="170"/>
      <c r="AG76" s="170"/>
      <c r="AO76" s="145"/>
      <c r="BA76" s="150"/>
      <c r="BB76" s="143"/>
      <c r="DQ76" s="151"/>
    </row>
    <row r="77" spans="1:121" s="144" customFormat="1" ht="30" customHeight="1" x14ac:dyDescent="0.25">
      <c r="F77" s="145"/>
      <c r="J77" s="145"/>
      <c r="K77" s="145"/>
      <c r="L77" s="145"/>
      <c r="AB77" s="145"/>
      <c r="AC77" s="145"/>
      <c r="AD77" s="145"/>
      <c r="AF77" s="170"/>
      <c r="AG77" s="170"/>
      <c r="AO77" s="145"/>
      <c r="AZ77" s="171"/>
      <c r="BA77" s="150"/>
      <c r="BB77" s="143"/>
      <c r="DQ77" s="151"/>
    </row>
    <row r="78" spans="1:121" s="144" customFormat="1" ht="30" customHeight="1" x14ac:dyDescent="0.25">
      <c r="F78" s="145"/>
      <c r="J78" s="145"/>
      <c r="K78" s="145"/>
      <c r="L78" s="145"/>
      <c r="N78" s="174"/>
      <c r="AB78" s="145"/>
      <c r="AC78" s="145"/>
      <c r="AD78" s="145"/>
      <c r="AF78" s="170"/>
      <c r="AG78" s="170"/>
      <c r="AO78" s="145"/>
      <c r="BA78" s="150"/>
      <c r="BB78" s="143"/>
      <c r="DQ78" s="151"/>
    </row>
    <row r="79" spans="1:121" s="144" customFormat="1" ht="30" customHeight="1" x14ac:dyDescent="0.25">
      <c r="F79" s="145"/>
      <c r="J79" s="145"/>
      <c r="K79" s="145"/>
      <c r="L79" s="145"/>
      <c r="N79" s="174"/>
      <c r="AB79" s="145"/>
      <c r="AC79" s="145"/>
      <c r="AD79" s="145"/>
      <c r="AF79" s="170"/>
      <c r="AG79" s="170"/>
      <c r="AO79" s="145"/>
      <c r="BA79" s="150"/>
      <c r="BB79" s="143"/>
      <c r="DQ79" s="151"/>
    </row>
    <row r="80" spans="1:121" s="144" customFormat="1" ht="30" customHeight="1" x14ac:dyDescent="0.25">
      <c r="A80" s="177"/>
      <c r="B80" s="177"/>
      <c r="C80" s="177"/>
      <c r="D80" s="177"/>
      <c r="E80" s="177"/>
      <c r="F80" s="179"/>
      <c r="G80" s="177"/>
      <c r="H80" s="177"/>
      <c r="I80" s="177"/>
      <c r="J80" s="179"/>
      <c r="K80" s="179"/>
      <c r="L80" s="179"/>
      <c r="M80" s="177"/>
      <c r="N80" s="183"/>
      <c r="O80" s="177"/>
      <c r="P80" s="177"/>
      <c r="Q80" s="177"/>
      <c r="R80" s="177"/>
      <c r="S80" s="177"/>
      <c r="T80" s="177"/>
      <c r="U80" s="177"/>
      <c r="V80" s="177"/>
      <c r="W80" s="177"/>
      <c r="X80" s="177"/>
      <c r="Y80" s="177"/>
      <c r="Z80" s="177"/>
      <c r="AA80" s="177"/>
      <c r="AB80" s="179"/>
      <c r="AC80" s="179"/>
      <c r="AD80" s="179"/>
      <c r="AE80" s="177"/>
      <c r="AF80" s="180"/>
      <c r="AG80" s="180"/>
      <c r="AH80" s="177"/>
      <c r="AI80" s="177"/>
      <c r="AJ80" s="177"/>
      <c r="AK80" s="177"/>
      <c r="AL80" s="177"/>
      <c r="AM80" s="177"/>
      <c r="AN80" s="177"/>
      <c r="AO80" s="179"/>
      <c r="AP80" s="177"/>
      <c r="AQ80" s="177"/>
      <c r="AR80" s="177"/>
      <c r="AS80" s="177"/>
      <c r="AT80" s="177"/>
      <c r="AU80" s="177"/>
      <c r="AV80" s="177"/>
      <c r="AW80" s="177"/>
      <c r="AX80" s="177"/>
      <c r="AY80" s="177"/>
      <c r="AZ80" s="177"/>
      <c r="BA80" s="182"/>
      <c r="BB80" s="178"/>
      <c r="BC80" s="177"/>
      <c r="BD80" s="177"/>
      <c r="BE80" s="177"/>
      <c r="BF80" s="177"/>
      <c r="BG80" s="177"/>
      <c r="BH80" s="177"/>
      <c r="BI80" s="177"/>
      <c r="BJ80" s="177"/>
      <c r="BK80" s="177"/>
      <c r="BL80" s="177"/>
      <c r="BM80" s="177"/>
      <c r="BN80" s="177"/>
      <c r="BO80" s="177"/>
      <c r="BP80" s="177"/>
      <c r="BQ80" s="177"/>
      <c r="BR80" s="177"/>
      <c r="BS80" s="177"/>
      <c r="BT80" s="177"/>
      <c r="BU80" s="177"/>
      <c r="BV80" s="177"/>
      <c r="BW80" s="177"/>
      <c r="BX80" s="177"/>
      <c r="BY80" s="177"/>
      <c r="BZ80" s="177"/>
      <c r="CA80" s="177"/>
      <c r="CB80" s="177"/>
      <c r="CC80" s="177"/>
      <c r="CD80" s="177"/>
      <c r="CE80" s="177"/>
      <c r="CF80" s="177"/>
      <c r="CG80" s="177"/>
      <c r="CH80" s="177"/>
      <c r="CI80" s="177"/>
      <c r="CJ80" s="177"/>
      <c r="CK80" s="177"/>
      <c r="CL80" s="177"/>
      <c r="CM80" s="177"/>
      <c r="CN80" s="177"/>
      <c r="CO80" s="177"/>
      <c r="CP80" s="177"/>
      <c r="CQ80" s="177"/>
      <c r="CR80" s="177"/>
      <c r="CS80" s="177"/>
      <c r="CT80" s="177"/>
      <c r="CU80" s="177"/>
      <c r="CV80" s="177"/>
      <c r="CW80" s="177"/>
      <c r="CX80" s="177"/>
      <c r="CY80" s="177"/>
      <c r="CZ80" s="177"/>
      <c r="DA80" s="177"/>
      <c r="DB80" s="177"/>
      <c r="DC80" s="177"/>
      <c r="DD80" s="177"/>
      <c r="DE80" s="177"/>
      <c r="DF80" s="177"/>
      <c r="DG80" s="177"/>
      <c r="DH80" s="177"/>
      <c r="DI80" s="177"/>
      <c r="DJ80" s="177"/>
      <c r="DK80" s="177"/>
      <c r="DL80" s="177"/>
      <c r="DM80" s="177"/>
      <c r="DN80" s="177"/>
      <c r="DO80" s="177"/>
      <c r="DP80" s="177"/>
    </row>
    <row r="81" spans="6:54" s="144" customFormat="1" ht="30" customHeight="1" x14ac:dyDescent="0.25">
      <c r="F81" s="145"/>
      <c r="J81" s="145"/>
      <c r="K81" s="145"/>
      <c r="L81" s="145"/>
      <c r="N81" s="174"/>
      <c r="AB81" s="145"/>
      <c r="AC81" s="145"/>
      <c r="AD81" s="145"/>
      <c r="AF81" s="170"/>
      <c r="AG81" s="170"/>
      <c r="AO81" s="145"/>
      <c r="BB81" s="143"/>
    </row>
    <row r="82" spans="6:54" s="144" customFormat="1" ht="30" customHeight="1" x14ac:dyDescent="0.25">
      <c r="F82" s="145"/>
      <c r="J82" s="145"/>
      <c r="K82" s="145"/>
      <c r="L82" s="145"/>
      <c r="AB82" s="146"/>
      <c r="AC82" s="146"/>
      <c r="AD82" s="146"/>
      <c r="AF82" s="170"/>
      <c r="AG82" s="170"/>
      <c r="AO82" s="146"/>
      <c r="BA82" s="150"/>
      <c r="BB82" s="143"/>
    </row>
    <row r="83" spans="6:54" s="144" customFormat="1" ht="30" customHeight="1" x14ac:dyDescent="0.25">
      <c r="F83" s="145"/>
      <c r="J83" s="145"/>
      <c r="K83" s="145"/>
      <c r="L83" s="145"/>
      <c r="N83" s="174"/>
      <c r="AB83" s="146"/>
      <c r="AC83" s="146"/>
      <c r="AD83" s="146"/>
      <c r="AF83" s="170"/>
      <c r="AG83" s="170"/>
      <c r="AO83" s="145"/>
      <c r="BA83" s="150"/>
      <c r="BB83" s="143"/>
    </row>
    <row r="84" spans="6:54" s="144" customFormat="1" ht="30" customHeight="1" x14ac:dyDescent="0.25">
      <c r="F84" s="145"/>
      <c r="J84" s="145"/>
      <c r="K84" s="145"/>
      <c r="L84" s="145"/>
      <c r="N84" s="174"/>
      <c r="AB84" s="145"/>
      <c r="AC84" s="145"/>
      <c r="AD84" s="145"/>
      <c r="AF84" s="170"/>
      <c r="AG84" s="170"/>
      <c r="AO84" s="145"/>
      <c r="BA84" s="150"/>
      <c r="BB84" s="143"/>
    </row>
    <row r="85" spans="6:54" s="144" customFormat="1" ht="30" customHeight="1" x14ac:dyDescent="0.25">
      <c r="F85" s="145"/>
      <c r="J85" s="145"/>
      <c r="K85" s="145"/>
      <c r="L85" s="145"/>
      <c r="AB85" s="146"/>
      <c r="AC85" s="146"/>
      <c r="AD85" s="146"/>
      <c r="AF85" s="170"/>
      <c r="AG85" s="170"/>
      <c r="AO85" s="145"/>
      <c r="BA85" s="150"/>
      <c r="BB85" s="143"/>
    </row>
    <row r="86" spans="6:54" s="144" customFormat="1" ht="30" customHeight="1" x14ac:dyDescent="0.25">
      <c r="F86" s="145"/>
      <c r="J86" s="145"/>
      <c r="K86" s="145"/>
      <c r="L86" s="145"/>
      <c r="N86" s="174"/>
      <c r="AB86" s="145"/>
      <c r="AC86" s="145"/>
      <c r="AD86" s="145"/>
      <c r="AF86" s="170"/>
      <c r="AG86" s="170"/>
      <c r="AO86" s="145"/>
      <c r="BA86" s="150"/>
      <c r="BB86" s="143"/>
    </row>
    <row r="87" spans="6:54" s="144" customFormat="1" ht="30" customHeight="1" x14ac:dyDescent="0.25">
      <c r="F87" s="145"/>
      <c r="J87" s="145"/>
      <c r="K87" s="145"/>
      <c r="L87" s="145"/>
      <c r="N87" s="174"/>
      <c r="AB87" s="145"/>
      <c r="AC87" s="145"/>
      <c r="AD87" s="145"/>
      <c r="AF87" s="170"/>
      <c r="AG87" s="170"/>
      <c r="AO87" s="145"/>
      <c r="BA87" s="150"/>
      <c r="BB87" s="143"/>
    </row>
    <row r="88" spans="6:54" s="144" customFormat="1" ht="30" customHeight="1" x14ac:dyDescent="0.25">
      <c r="F88" s="145"/>
      <c r="J88" s="145"/>
      <c r="K88" s="145"/>
      <c r="L88" s="145"/>
      <c r="N88" s="174"/>
      <c r="AB88" s="146"/>
      <c r="AC88" s="145"/>
      <c r="AD88" s="145"/>
      <c r="AF88" s="170"/>
      <c r="AG88" s="170"/>
      <c r="AO88" s="145"/>
      <c r="BA88" s="150"/>
      <c r="BB88" s="143"/>
    </row>
    <row r="89" spans="6:54" s="144" customFormat="1" ht="30" customHeight="1" x14ac:dyDescent="0.25">
      <c r="F89" s="145"/>
      <c r="J89" s="145"/>
      <c r="K89" s="145"/>
      <c r="L89" s="145"/>
      <c r="N89" s="174"/>
      <c r="AB89" s="145"/>
      <c r="AC89" s="145"/>
      <c r="AD89" s="145"/>
      <c r="AF89" s="170"/>
      <c r="AG89" s="170"/>
      <c r="AO89" s="145"/>
      <c r="BA89" s="150"/>
      <c r="BB89" s="143"/>
    </row>
    <row r="90" spans="6:54" s="144" customFormat="1" ht="30" customHeight="1" x14ac:dyDescent="0.25">
      <c r="F90" s="145"/>
      <c r="J90" s="145"/>
      <c r="K90" s="145"/>
      <c r="L90" s="145"/>
      <c r="AA90" s="174"/>
      <c r="AB90" s="145"/>
      <c r="AC90" s="145"/>
      <c r="AD90" s="145"/>
      <c r="AF90" s="170"/>
      <c r="AG90" s="170"/>
      <c r="AN90" s="174"/>
      <c r="AO90" s="145"/>
      <c r="BA90" s="150"/>
      <c r="BB90" s="143"/>
    </row>
    <row r="91" spans="6:54" s="144" customFormat="1" ht="30" customHeight="1" x14ac:dyDescent="0.25">
      <c r="F91" s="145"/>
      <c r="J91" s="145"/>
      <c r="K91" s="145"/>
      <c r="L91" s="145"/>
      <c r="N91" s="174"/>
      <c r="AB91" s="146"/>
      <c r="AC91" s="146"/>
      <c r="AD91" s="146"/>
      <c r="AF91" s="170"/>
      <c r="AG91" s="170"/>
      <c r="AO91" s="145"/>
      <c r="BA91" s="150"/>
      <c r="BB91" s="143"/>
    </row>
    <row r="92" spans="6:54" s="144" customFormat="1" ht="30" customHeight="1" x14ac:dyDescent="0.25">
      <c r="F92" s="145"/>
      <c r="J92" s="146"/>
      <c r="K92" s="145"/>
      <c r="L92" s="145"/>
      <c r="N92" s="174"/>
      <c r="AA92" s="174"/>
      <c r="AB92" s="146"/>
      <c r="AC92" s="145"/>
      <c r="AD92" s="145"/>
      <c r="AF92" s="170"/>
      <c r="AG92" s="170"/>
      <c r="AN92" s="174"/>
      <c r="AO92" s="145"/>
      <c r="BA92" s="150"/>
      <c r="BB92" s="143"/>
    </row>
    <row r="93" spans="6:54" s="144" customFormat="1" ht="30" customHeight="1" x14ac:dyDescent="0.25">
      <c r="F93" s="145"/>
      <c r="J93" s="145"/>
      <c r="K93" s="145"/>
      <c r="L93" s="145"/>
      <c r="N93" s="174"/>
      <c r="AB93" s="145"/>
      <c r="AC93" s="145"/>
      <c r="AD93" s="145"/>
      <c r="AF93" s="170"/>
      <c r="AG93" s="170"/>
      <c r="AO93" s="145"/>
      <c r="BA93" s="150"/>
      <c r="BB93" s="143"/>
    </row>
    <row r="94" spans="6:54" s="144" customFormat="1" ht="30" customHeight="1" x14ac:dyDescent="0.25">
      <c r="F94" s="145"/>
      <c r="J94" s="145"/>
      <c r="K94" s="145"/>
      <c r="L94" s="145"/>
      <c r="N94" s="174"/>
      <c r="AB94" s="145"/>
      <c r="AC94" s="145"/>
      <c r="AD94" s="145"/>
      <c r="AF94" s="170"/>
      <c r="AG94" s="170"/>
      <c r="AO94" s="145"/>
      <c r="BA94" s="150"/>
      <c r="BB94" s="143"/>
    </row>
    <row r="95" spans="6:54" s="144" customFormat="1" ht="30" customHeight="1" x14ac:dyDescent="0.25">
      <c r="F95" s="145"/>
      <c r="J95" s="146"/>
      <c r="K95" s="145"/>
      <c r="L95" s="145"/>
      <c r="N95" s="174"/>
      <c r="AA95" s="174"/>
      <c r="AB95" s="146"/>
      <c r="AC95" s="145"/>
      <c r="AD95" s="145"/>
      <c r="AF95" s="170"/>
      <c r="AG95" s="170"/>
      <c r="AN95" s="174"/>
      <c r="AO95" s="145"/>
      <c r="BA95" s="150"/>
      <c r="BB95" s="143"/>
    </row>
    <row r="96" spans="6:54" s="144" customFormat="1" ht="30" customHeight="1" x14ac:dyDescent="0.25">
      <c r="F96" s="145"/>
      <c r="J96" s="145"/>
      <c r="K96" s="145"/>
      <c r="L96" s="145"/>
      <c r="N96" s="174"/>
      <c r="AB96" s="145"/>
      <c r="AC96" s="145"/>
      <c r="AD96" s="145"/>
      <c r="AF96" s="170"/>
      <c r="AG96" s="170"/>
      <c r="AO96" s="145"/>
      <c r="BA96" s="150"/>
      <c r="BB96" s="143"/>
    </row>
    <row r="97" spans="6:63" s="144" customFormat="1" ht="30" customHeight="1" x14ac:dyDescent="0.25">
      <c r="F97" s="145"/>
      <c r="J97" s="145"/>
      <c r="K97" s="145"/>
      <c r="L97" s="145"/>
      <c r="N97" s="174"/>
      <c r="AB97" s="146"/>
      <c r="AC97" s="146"/>
      <c r="AD97" s="146"/>
      <c r="AF97" s="170"/>
      <c r="AG97" s="170"/>
      <c r="AO97" s="145"/>
      <c r="BA97" s="150"/>
      <c r="BB97" s="143"/>
      <c r="BE97" s="184"/>
      <c r="BF97" s="184"/>
      <c r="BG97" s="184"/>
      <c r="BH97" s="184"/>
      <c r="BI97" s="184"/>
      <c r="BJ97" s="184"/>
      <c r="BK97" s="184"/>
    </row>
    <row r="98" spans="6:63" s="144" customFormat="1" ht="30" customHeight="1" x14ac:dyDescent="0.25">
      <c r="F98" s="145"/>
      <c r="J98" s="145"/>
      <c r="K98" s="145"/>
      <c r="L98" s="145"/>
      <c r="AB98" s="145"/>
      <c r="AC98" s="145"/>
      <c r="AD98" s="145"/>
      <c r="AF98" s="168"/>
      <c r="AG98" s="185"/>
      <c r="AO98" s="145"/>
      <c r="BB98" s="143"/>
      <c r="BE98" s="184"/>
      <c r="BF98" s="184"/>
      <c r="BG98" s="184"/>
      <c r="BH98" s="184"/>
      <c r="BI98" s="184"/>
      <c r="BJ98" s="184"/>
      <c r="BK98" s="184"/>
    </row>
    <row r="99" spans="6:63" s="144" customFormat="1" ht="30" customHeight="1" x14ac:dyDescent="0.25">
      <c r="F99" s="145"/>
      <c r="J99" s="145"/>
      <c r="K99" s="145"/>
      <c r="L99" s="145"/>
      <c r="AB99" s="145"/>
      <c r="AC99" s="145"/>
      <c r="AD99" s="145"/>
      <c r="AF99" s="168"/>
      <c r="AG99" s="185"/>
      <c r="AO99" s="145"/>
      <c r="BB99" s="143"/>
      <c r="BE99" s="184"/>
      <c r="BF99" s="184"/>
      <c r="BG99" s="184"/>
      <c r="BH99" s="184"/>
      <c r="BI99" s="184"/>
      <c r="BJ99" s="184"/>
      <c r="BK99" s="184"/>
    </row>
    <row r="100" spans="6:63" s="144" customFormat="1" ht="30" customHeight="1" x14ac:dyDescent="0.25">
      <c r="F100" s="145"/>
      <c r="J100" s="145"/>
      <c r="K100" s="145"/>
      <c r="L100" s="145"/>
      <c r="AB100" s="145"/>
      <c r="AC100" s="145"/>
      <c r="AD100" s="145"/>
      <c r="AF100" s="168"/>
      <c r="AG100" s="185"/>
      <c r="AO100" s="145"/>
      <c r="BB100" s="143"/>
      <c r="BE100" s="184"/>
      <c r="BF100" s="184"/>
      <c r="BG100" s="184"/>
      <c r="BH100" s="184"/>
      <c r="BI100" s="184"/>
      <c r="BJ100" s="184"/>
      <c r="BK100" s="184"/>
    </row>
    <row r="101" spans="6:63" s="144" customFormat="1" ht="30" customHeight="1" x14ac:dyDescent="0.25">
      <c r="F101" s="145"/>
      <c r="J101" s="145"/>
      <c r="K101" s="145"/>
      <c r="L101" s="145"/>
      <c r="N101" s="174"/>
      <c r="AB101" s="146"/>
      <c r="AC101" s="146"/>
      <c r="AD101" s="146"/>
      <c r="AF101" s="170"/>
      <c r="AG101" s="170"/>
      <c r="AO101" s="145"/>
      <c r="BA101" s="150"/>
      <c r="BB101" s="143"/>
      <c r="BE101" s="184"/>
      <c r="BF101" s="184"/>
      <c r="BG101" s="184"/>
      <c r="BH101" s="184"/>
      <c r="BI101" s="184"/>
      <c r="BJ101" s="184"/>
      <c r="BK101" s="184"/>
    </row>
    <row r="102" spans="6:63" s="144" customFormat="1" ht="30" customHeight="1" x14ac:dyDescent="0.25">
      <c r="F102" s="145"/>
      <c r="J102" s="145"/>
      <c r="K102" s="145"/>
      <c r="L102" s="145"/>
      <c r="N102" s="174"/>
      <c r="AB102" s="146"/>
      <c r="AC102" s="145"/>
      <c r="AD102" s="145"/>
      <c r="AF102" s="170"/>
      <c r="AG102" s="170"/>
      <c r="AO102" s="145"/>
      <c r="BA102" s="150"/>
      <c r="BB102" s="143"/>
      <c r="BE102" s="184"/>
      <c r="BF102" s="184"/>
      <c r="BG102" s="184"/>
      <c r="BH102" s="184"/>
      <c r="BI102" s="184"/>
      <c r="BJ102" s="184"/>
      <c r="BK102" s="184"/>
    </row>
    <row r="103" spans="6:63" s="144" customFormat="1" ht="30" customHeight="1" x14ac:dyDescent="0.25">
      <c r="F103" s="145"/>
      <c r="J103" s="145"/>
      <c r="K103" s="145"/>
      <c r="L103" s="145"/>
      <c r="N103" s="174"/>
      <c r="AB103" s="146"/>
      <c r="AC103" s="145"/>
      <c r="AD103" s="145"/>
      <c r="AF103" s="170"/>
      <c r="AG103" s="170"/>
      <c r="AO103" s="146"/>
      <c r="BA103" s="150"/>
      <c r="BB103" s="143"/>
      <c r="BE103" s="184"/>
      <c r="BF103" s="184"/>
      <c r="BG103" s="184"/>
      <c r="BH103" s="184"/>
      <c r="BI103" s="184"/>
      <c r="BJ103" s="184"/>
      <c r="BK103" s="184"/>
    </row>
    <row r="104" spans="6:63" s="144" customFormat="1" ht="30" customHeight="1" x14ac:dyDescent="0.25">
      <c r="F104" s="145"/>
      <c r="J104" s="145"/>
      <c r="K104" s="145"/>
      <c r="L104" s="145"/>
      <c r="N104" s="174"/>
      <c r="AB104" s="146"/>
      <c r="AC104" s="145"/>
      <c r="AD104" s="145"/>
      <c r="AF104" s="170"/>
      <c r="AG104" s="170"/>
      <c r="AO104" s="146"/>
      <c r="BA104" s="150"/>
      <c r="BB104" s="143"/>
      <c r="BE104" s="184"/>
      <c r="BF104" s="184"/>
      <c r="BG104" s="184"/>
      <c r="BH104" s="184"/>
      <c r="BI104" s="184"/>
      <c r="BJ104" s="184"/>
      <c r="BK104" s="184"/>
    </row>
    <row r="105" spans="6:63" s="144" customFormat="1" ht="30" customHeight="1" x14ac:dyDescent="0.25">
      <c r="F105" s="145"/>
      <c r="J105" s="145"/>
      <c r="K105" s="145"/>
      <c r="L105" s="145"/>
      <c r="N105" s="174"/>
      <c r="U105" s="175"/>
      <c r="Z105" s="175"/>
      <c r="AB105" s="146"/>
      <c r="AC105" s="145"/>
      <c r="AD105" s="145"/>
      <c r="AF105" s="170"/>
      <c r="AG105" s="170"/>
      <c r="AO105" s="145"/>
      <c r="BA105" s="150"/>
      <c r="BB105" s="143"/>
      <c r="BE105" s="184"/>
      <c r="BF105" s="184"/>
      <c r="BG105" s="184"/>
      <c r="BH105" s="184"/>
      <c r="BI105" s="184"/>
      <c r="BJ105" s="184"/>
      <c r="BK105" s="184"/>
    </row>
    <row r="106" spans="6:63" s="144" customFormat="1" ht="30" customHeight="1" x14ac:dyDescent="0.25">
      <c r="F106" s="145"/>
      <c r="J106" s="145"/>
      <c r="K106" s="145"/>
      <c r="L106" s="145"/>
      <c r="AB106" s="146"/>
      <c r="AC106" s="145"/>
      <c r="AD106" s="145"/>
      <c r="AF106" s="170"/>
      <c r="AG106" s="170"/>
      <c r="AO106" s="145"/>
      <c r="AZ106" s="171"/>
      <c r="BA106" s="150"/>
      <c r="BB106" s="143"/>
      <c r="BE106" s="184"/>
      <c r="BF106" s="184"/>
      <c r="BG106" s="184"/>
      <c r="BH106" s="184"/>
      <c r="BI106" s="184"/>
      <c r="BJ106" s="184"/>
      <c r="BK106" s="184"/>
    </row>
    <row r="107" spans="6:63" s="144" customFormat="1" ht="30" customHeight="1" x14ac:dyDescent="0.25">
      <c r="F107" s="145"/>
      <c r="J107" s="145"/>
      <c r="K107" s="145"/>
      <c r="L107" s="145"/>
      <c r="N107" s="174"/>
      <c r="U107" s="175"/>
      <c r="AB107" s="146"/>
      <c r="AC107" s="146"/>
      <c r="AD107" s="146"/>
      <c r="AF107" s="170"/>
      <c r="AG107" s="170"/>
      <c r="AO107" s="145"/>
      <c r="BA107" s="150"/>
      <c r="BB107" s="143"/>
      <c r="BE107" s="184"/>
      <c r="BF107" s="184"/>
      <c r="BG107" s="184"/>
      <c r="BH107" s="184"/>
      <c r="BI107" s="184"/>
      <c r="BJ107" s="184"/>
      <c r="BK107" s="184"/>
    </row>
    <row r="108" spans="6:63" s="144" customFormat="1" ht="30" customHeight="1" x14ac:dyDescent="0.25">
      <c r="F108" s="145"/>
      <c r="J108" s="145"/>
      <c r="K108" s="145"/>
      <c r="L108" s="145"/>
      <c r="N108" s="174"/>
      <c r="U108" s="175"/>
      <c r="AB108" s="145"/>
      <c r="AC108" s="145"/>
      <c r="AD108" s="145"/>
      <c r="AF108" s="170"/>
      <c r="AG108" s="170"/>
      <c r="AO108" s="145"/>
      <c r="BA108" s="150"/>
      <c r="BB108" s="143"/>
      <c r="BE108" s="184"/>
      <c r="BF108" s="184"/>
      <c r="BG108" s="184"/>
      <c r="BH108" s="184"/>
      <c r="BI108" s="184"/>
      <c r="BJ108" s="184"/>
      <c r="BK108" s="184"/>
    </row>
    <row r="109" spans="6:63" s="144" customFormat="1" ht="30" customHeight="1" x14ac:dyDescent="0.25">
      <c r="F109" s="145"/>
      <c r="J109" s="145"/>
      <c r="K109" s="145"/>
      <c r="L109" s="145"/>
      <c r="AB109" s="146"/>
      <c r="AC109" s="145"/>
      <c r="AD109" s="145"/>
      <c r="AF109" s="170"/>
      <c r="AG109" s="170"/>
      <c r="AO109" s="145"/>
      <c r="AP109" s="174"/>
      <c r="AQ109" s="174"/>
      <c r="AR109" s="174"/>
      <c r="BA109" s="150"/>
      <c r="BB109" s="143"/>
      <c r="BE109" s="184"/>
      <c r="BF109" s="184"/>
      <c r="BG109" s="184"/>
      <c r="BH109" s="184"/>
      <c r="BI109" s="184"/>
      <c r="BJ109" s="184"/>
      <c r="BK109" s="184"/>
    </row>
    <row r="110" spans="6:63" s="144" customFormat="1" ht="30" customHeight="1" x14ac:dyDescent="0.25">
      <c r="F110" s="145"/>
      <c r="J110" s="145"/>
      <c r="K110" s="145"/>
      <c r="L110" s="145"/>
      <c r="AB110" s="146"/>
      <c r="AC110" s="146"/>
      <c r="AD110" s="145"/>
      <c r="AF110" s="170"/>
      <c r="AG110" s="170"/>
      <c r="AO110" s="145"/>
      <c r="BA110" s="150"/>
      <c r="BB110" s="143"/>
      <c r="BE110" s="184"/>
      <c r="BF110" s="184"/>
      <c r="BG110" s="184"/>
      <c r="BH110" s="184"/>
      <c r="BI110" s="184"/>
      <c r="BJ110" s="184"/>
      <c r="BK110" s="184"/>
    </row>
    <row r="111" spans="6:63" s="144" customFormat="1" ht="30" customHeight="1" x14ac:dyDescent="0.25">
      <c r="F111" s="145"/>
      <c r="J111" s="145"/>
      <c r="K111" s="145"/>
      <c r="L111" s="145"/>
      <c r="AB111" s="146"/>
      <c r="AC111" s="146"/>
      <c r="AD111" s="146"/>
      <c r="AF111" s="170"/>
      <c r="AG111" s="170"/>
      <c r="AO111" s="145"/>
      <c r="AP111" s="174"/>
      <c r="BA111" s="150"/>
      <c r="BB111" s="143"/>
    </row>
    <row r="112" spans="6:63" s="144" customFormat="1" ht="30" customHeight="1" x14ac:dyDescent="0.25">
      <c r="F112" s="145"/>
      <c r="J112" s="145"/>
      <c r="K112" s="145"/>
      <c r="L112" s="145"/>
      <c r="N112" s="174"/>
      <c r="U112" s="175"/>
      <c r="AB112" s="145"/>
      <c r="AC112" s="145"/>
      <c r="AD112" s="145"/>
      <c r="AF112" s="170"/>
      <c r="AG112" s="170"/>
      <c r="AO112" s="145"/>
      <c r="BA112" s="150"/>
      <c r="BB112" s="143"/>
    </row>
    <row r="113" spans="6:54" s="144" customFormat="1" ht="30" customHeight="1" x14ac:dyDescent="0.25">
      <c r="F113" s="145"/>
      <c r="J113" s="145"/>
      <c r="K113" s="145"/>
      <c r="L113" s="145"/>
      <c r="AB113" s="146"/>
      <c r="AC113" s="146"/>
      <c r="AD113" s="146"/>
      <c r="AF113" s="170"/>
      <c r="AG113" s="170"/>
      <c r="AO113" s="146"/>
      <c r="BA113" s="150"/>
      <c r="BB113" s="143"/>
    </row>
  </sheetData>
  <autoFilter ref="B4:BL55" xr:uid="{00000000-0001-0000-0000-000000000000}">
    <filterColumn colId="39">
      <filters>
        <filter val="6014.2022/0003958-1"/>
        <filter val="6014.2022/0003968-9"/>
        <filter val="6014.2022/0003970-0"/>
        <filter val="6014.2022/0003971-9"/>
        <filter val="6014.2022/0003972-7"/>
        <filter val="6014.2022/0003974-3"/>
        <filter val="6014.2022/0003977-8"/>
        <filter val="6014.2022/0003979-4"/>
        <filter val="6014.2022/0004036-9"/>
        <filter val="6014.2022/0004037-7"/>
        <filter val="6014.2022/0004038-5"/>
        <filter val="6014.2022/0004039-3"/>
        <filter val="6014.2022/0004040-7"/>
        <filter val="6014.2022/0004041-5"/>
        <filter val="6014.2022/0004042-3"/>
        <filter val="6014.2022/0004043-1"/>
        <filter val="6014.2022/0004044-0"/>
        <filter val="6014.2022/0004045-8"/>
        <filter val="6014.2022/0004046-6"/>
        <filter val="6014.2022/0004047-4"/>
        <filter val="6014.2022/0004048-2"/>
        <filter val="6014.2022/0004049-0"/>
        <filter val="6014.2022/0004050-4"/>
        <filter val="6014.2022/0004051-2"/>
        <filter val="6014.2022/0004052-0"/>
        <filter val="6014.2022/0004053-9"/>
        <filter val="6014.2022/0004054-7"/>
        <filter val="6014.2022/0004055-5"/>
        <filter val="6014.2022/0004056-3"/>
        <filter val="6014.2022/0004057-1"/>
        <filter val="6014.2022/0004090-3"/>
        <filter val="6014.2022/0004108-0"/>
        <filter val="6014.2022/0004109-8"/>
        <filter val="6014.2022/0004110-1"/>
        <filter val="6014.2022/0004111-0"/>
        <filter val="6014.2022/0004112-8"/>
        <filter val="6014.2022/0004113-6"/>
        <filter val="6014.2022/0004114-4"/>
        <filter val="6014.2022/0004115-2"/>
        <filter val="6014.2022/0004116-0"/>
        <filter val="6014.2022/0004118-7"/>
        <filter val="6014.2022/0004119-5"/>
        <filter val="6014.2022/0004120-9"/>
        <filter val="6014.2022/0004121-7"/>
        <filter val="6014.2023/0000202-7"/>
        <filter val="6014.2023/0000708-8"/>
        <filter val="6014.2023/0001510-2"/>
      </filters>
    </filterColumn>
  </autoFilter>
  <dataConsolidate function="product"/>
  <mergeCells count="6">
    <mergeCell ref="BC3:BL3"/>
    <mergeCell ref="AP1:AT1"/>
    <mergeCell ref="P3:AA3"/>
    <mergeCell ref="A3:O3"/>
    <mergeCell ref="AB3:AZ3"/>
    <mergeCell ref="BA3:BB3"/>
  </mergeCells>
  <phoneticPr fontId="7" type="noConversion"/>
  <conditionalFormatting sqref="F56:F77">
    <cfRule type="duplicateValues" dxfId="13" priority="429"/>
  </conditionalFormatting>
  <conditionalFormatting sqref="F56:F80">
    <cfRule type="duplicateValues" dxfId="12" priority="430"/>
  </conditionalFormatting>
  <conditionalFormatting sqref="F56:F113">
    <cfRule type="duplicateValues" dxfId="11" priority="431"/>
    <cfRule type="duplicateValues" dxfId="10" priority="433"/>
    <cfRule type="duplicateValues" dxfId="9" priority="434"/>
  </conditionalFormatting>
  <conditionalFormatting sqref="BC3:BC55">
    <cfRule type="cellIs" dxfId="8" priority="2" operator="equal">
      <formula>"INDENIZAÇÃO"</formula>
    </cfRule>
    <cfRule type="cellIs" dxfId="7" priority="3" operator="equal">
      <formula>"AA"</formula>
    </cfRule>
  </conditionalFormatting>
  <conditionalFormatting sqref="BC5:BD55">
    <cfRule type="cellIs" dxfId="6" priority="7" operator="equal">
      <formula>"FINALIZADO"</formula>
    </cfRule>
  </conditionalFormatting>
  <dataValidations disablePrompts="1" count="1">
    <dataValidation allowBlank="1" showInputMessage="1" showErrorMessage="1" sqref="S75:Z97 C77:F77 AG58:AG60 T60:T64 R66:S66 F83:F113 C78:E113 S100:T113 P71 AG62 AA67:AA72 U63:U64 AN67:AN72 AI5:AI99 U100:U104 T66:Z68 R70:S70 S67:S68 BA59 AH67:AH68 BA74:BA75 BA57 Q66:Q68 AN74:AN76 AH93:AH94 AN91 R33 V60:Z64 U60:U61 Q57 S60 Z106:Z113 AH70:AH72 BA77 AA91 AN101:AN113 AH107:AH113 R57:Z58 AR82:AR113 R100:R106 AH96:AH105 Q64 Q73:R73 AI101:AI113 Q100:Q113 AH76:AH89 AH91 R61:S64 Q62 V100:Y113 Z100:Z104 R71 S71:S73 T70:Z73 AA96:AA113 AA93:AA94 AA74:AA89 AN96:AN97 AN93:AN94 AN78:AN89 R75 U106 U109:U111 U113 Q60 R95:R97 R82 R77 R79:R80 R85:R88 Q75:Q97 R90 R92:R93 R109:R111 R113 AZ44:AZ55 C5:E76 O5:O113 AR56:AR80 U46:Y46 AO56:AQ113 R5:Z9 R55 Q5:Q8 R46 R25 AN5:AN62 AA5:AA62 U25:Z25 U33:Z33 R35:Z35 U55:Z55 AK5:AM113 AS56:AY113 AZ5:AZ42 BB5:BB113 BH11:BI13 BC56:BC113 BE6:BG6 BJ5:BJ8 BE16:BG16 BE30:BG32 BJ31:BJ32 BE34:BJ34 BE42:BJ42 BJ22:BJ26 BE49:BJ49 BE51:BJ51 BE53:BJ53 BJ10:BJ13 BJ17:BJ19 A5:B113 BH23:BI23 BH28:BJ28 BH32:BI32 BH54:BJ54 BH52:BJ52 BH50:BJ50 AO5:AY55 BH43:BJ48 BH36:BJ41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00DD-F28C-4117-B472-F71416089B8A}">
  <dimension ref="D3:O44"/>
  <sheetViews>
    <sheetView topLeftCell="F1" workbookViewId="0">
      <selection activeCell="K22" sqref="K22"/>
    </sheetView>
  </sheetViews>
  <sheetFormatPr defaultRowHeight="18" customHeight="1" x14ac:dyDescent="0.2"/>
  <cols>
    <col min="1" max="3" width="9.140625" style="113"/>
    <col min="4" max="4" width="22.5703125" style="113" bestFit="1" customWidth="1"/>
    <col min="5" max="5" width="12.28515625" style="113" bestFit="1" customWidth="1"/>
    <col min="6" max="6" width="46.42578125" style="113" customWidth="1"/>
    <col min="7" max="7" width="32" style="113" bestFit="1" customWidth="1"/>
    <col min="8" max="10" width="9.140625" style="113"/>
    <col min="11" max="11" width="24.140625" style="113" bestFit="1" customWidth="1"/>
    <col min="12" max="12" width="13.28515625" style="113" bestFit="1" customWidth="1"/>
    <col min="13" max="13" width="34.42578125" style="113" customWidth="1"/>
    <col min="14" max="14" width="13.28515625" style="113" bestFit="1" customWidth="1"/>
    <col min="15" max="15" width="24.140625" style="113" bestFit="1" customWidth="1"/>
    <col min="16" max="16384" width="9.140625" style="113"/>
  </cols>
  <sheetData>
    <row r="3" spans="4:15" ht="18" customHeight="1" x14ac:dyDescent="0.2">
      <c r="D3" s="120" t="s">
        <v>5</v>
      </c>
      <c r="E3" s="120" t="s">
        <v>9</v>
      </c>
      <c r="F3" s="121" t="s">
        <v>31</v>
      </c>
      <c r="G3" s="121" t="s">
        <v>61</v>
      </c>
    </row>
    <row r="4" spans="4:15" ht="18" customHeight="1" x14ac:dyDescent="0.2">
      <c r="D4" s="122" t="s">
        <v>64</v>
      </c>
      <c r="E4" s="123" t="s">
        <v>87</v>
      </c>
      <c r="F4" s="124" t="s">
        <v>88</v>
      </c>
      <c r="G4" s="122">
        <v>45009</v>
      </c>
    </row>
    <row r="5" spans="4:15" ht="18" customHeight="1" x14ac:dyDescent="0.2">
      <c r="D5" s="122" t="s">
        <v>64</v>
      </c>
      <c r="E5" s="122" t="s">
        <v>140</v>
      </c>
      <c r="F5" s="125" t="s">
        <v>141</v>
      </c>
      <c r="G5" s="122">
        <v>45009</v>
      </c>
    </row>
    <row r="6" spans="4:15" ht="18" customHeight="1" x14ac:dyDescent="0.2">
      <c r="D6" s="122" t="s">
        <v>64</v>
      </c>
      <c r="E6" s="122" t="s">
        <v>297</v>
      </c>
      <c r="F6" s="125" t="s">
        <v>298</v>
      </c>
      <c r="G6" s="122">
        <v>45009</v>
      </c>
    </row>
    <row r="7" spans="4:15" ht="18" customHeight="1" x14ac:dyDescent="0.2">
      <c r="D7" s="122" t="s">
        <v>64</v>
      </c>
      <c r="E7" s="122" t="s">
        <v>303</v>
      </c>
      <c r="F7" s="125" t="s">
        <v>304</v>
      </c>
      <c r="G7" s="122">
        <v>45009</v>
      </c>
    </row>
    <row r="8" spans="4:15" ht="18" customHeight="1" x14ac:dyDescent="0.2">
      <c r="D8" s="118"/>
      <c r="E8" s="118"/>
      <c r="F8" s="119"/>
      <c r="G8" s="118"/>
    </row>
    <row r="9" spans="4:15" ht="18" customHeight="1" x14ac:dyDescent="0.2">
      <c r="D9" s="114"/>
      <c r="E9" s="114"/>
      <c r="F9" s="116"/>
      <c r="G9" s="114"/>
      <c r="K9" s="198" t="s">
        <v>5</v>
      </c>
      <c r="L9" s="198" t="s">
        <v>9</v>
      </c>
      <c r="M9" s="198" t="s">
        <v>31</v>
      </c>
      <c r="N9" s="198" t="s">
        <v>15</v>
      </c>
      <c r="O9" s="198" t="s">
        <v>345</v>
      </c>
    </row>
    <row r="10" spans="4:15" ht="18" customHeight="1" x14ac:dyDescent="0.2">
      <c r="D10" s="114"/>
      <c r="E10" s="114"/>
      <c r="F10" s="116"/>
      <c r="G10" s="114"/>
      <c r="K10" s="114" t="s">
        <v>64</v>
      </c>
      <c r="L10" s="114" t="s">
        <v>303</v>
      </c>
      <c r="M10" s="116" t="s">
        <v>304</v>
      </c>
      <c r="N10" s="114" t="s">
        <v>306</v>
      </c>
      <c r="O10" s="114" t="s">
        <v>308</v>
      </c>
    </row>
    <row r="11" spans="4:15" ht="18" customHeight="1" x14ac:dyDescent="0.2">
      <c r="D11" s="114"/>
      <c r="E11" s="114"/>
      <c r="F11" s="116"/>
      <c r="G11" s="114"/>
    </row>
    <row r="12" spans="4:15" ht="18" customHeight="1" x14ac:dyDescent="0.2">
      <c r="D12" s="114"/>
      <c r="E12" s="114"/>
      <c r="F12" s="116"/>
      <c r="G12" s="114"/>
    </row>
    <row r="13" spans="4:15" ht="18" customHeight="1" x14ac:dyDescent="0.2">
      <c r="D13" s="114"/>
      <c r="E13" s="114"/>
      <c r="F13" s="116"/>
      <c r="G13" s="114"/>
    </row>
    <row r="14" spans="4:15" ht="18" customHeight="1" x14ac:dyDescent="0.2">
      <c r="D14" s="114" t="s">
        <v>64</v>
      </c>
      <c r="E14" s="114" t="s">
        <v>145</v>
      </c>
      <c r="F14" s="116" t="s">
        <v>146</v>
      </c>
      <c r="G14" s="114"/>
    </row>
    <row r="15" spans="4:15" ht="18" customHeight="1" x14ac:dyDescent="0.2">
      <c r="D15" s="114" t="s">
        <v>64</v>
      </c>
      <c r="E15" s="114" t="s">
        <v>150</v>
      </c>
      <c r="F15" s="116" t="s">
        <v>151</v>
      </c>
      <c r="G15" s="114"/>
    </row>
    <row r="16" spans="4:15" ht="18" customHeight="1" x14ac:dyDescent="0.2">
      <c r="D16" s="114" t="s">
        <v>64</v>
      </c>
      <c r="E16" s="114" t="s">
        <v>155</v>
      </c>
      <c r="F16" s="116" t="s">
        <v>156</v>
      </c>
      <c r="G16" s="114"/>
    </row>
    <row r="17" spans="4:7" ht="18" customHeight="1" x14ac:dyDescent="0.2">
      <c r="D17" s="114" t="s">
        <v>64</v>
      </c>
      <c r="E17" s="114" t="s">
        <v>160</v>
      </c>
      <c r="F17" s="116" t="s">
        <v>161</v>
      </c>
      <c r="G17" s="114"/>
    </row>
    <row r="18" spans="4:7" ht="18" customHeight="1" x14ac:dyDescent="0.2">
      <c r="D18" s="114" t="s">
        <v>64</v>
      </c>
      <c r="E18" s="114" t="s">
        <v>165</v>
      </c>
      <c r="F18" s="116" t="s">
        <v>168</v>
      </c>
      <c r="G18" s="115"/>
    </row>
    <row r="19" spans="4:7" ht="18" customHeight="1" x14ac:dyDescent="0.2">
      <c r="D19" s="114" t="s">
        <v>64</v>
      </c>
      <c r="E19" s="114" t="s">
        <v>172</v>
      </c>
      <c r="F19" s="116" t="s">
        <v>173</v>
      </c>
      <c r="G19" s="115"/>
    </row>
    <row r="20" spans="4:7" ht="18" customHeight="1" x14ac:dyDescent="0.2">
      <c r="D20" s="114" t="s">
        <v>64</v>
      </c>
      <c r="E20" s="114" t="s">
        <v>177</v>
      </c>
      <c r="F20" s="116" t="s">
        <v>178</v>
      </c>
      <c r="G20" s="114"/>
    </row>
    <row r="21" spans="4:7" ht="18" customHeight="1" x14ac:dyDescent="0.2">
      <c r="D21" s="114" t="s">
        <v>64</v>
      </c>
      <c r="E21" s="114" t="s">
        <v>191</v>
      </c>
      <c r="F21" s="116" t="s">
        <v>192</v>
      </c>
      <c r="G21" s="114"/>
    </row>
    <row r="22" spans="4:7" ht="18" customHeight="1" x14ac:dyDescent="0.2">
      <c r="D22" s="114" t="s">
        <v>64</v>
      </c>
      <c r="E22" s="114" t="s">
        <v>196</v>
      </c>
      <c r="F22" s="116" t="s">
        <v>197</v>
      </c>
      <c r="G22" s="114"/>
    </row>
    <row r="23" spans="4:7" ht="18" customHeight="1" x14ac:dyDescent="0.2">
      <c r="D23" s="114" t="s">
        <v>64</v>
      </c>
      <c r="E23" s="114" t="s">
        <v>201</v>
      </c>
      <c r="F23" s="116" t="s">
        <v>202</v>
      </c>
      <c r="G23" s="114"/>
    </row>
    <row r="24" spans="4:7" ht="18" customHeight="1" x14ac:dyDescent="0.2">
      <c r="D24" s="114" t="s">
        <v>64</v>
      </c>
      <c r="E24" s="114" t="s">
        <v>206</v>
      </c>
      <c r="F24" s="116" t="s">
        <v>207</v>
      </c>
      <c r="G24" s="114"/>
    </row>
    <row r="25" spans="4:7" ht="18" customHeight="1" x14ac:dyDescent="0.2">
      <c r="D25" s="114" t="s">
        <v>64</v>
      </c>
      <c r="E25" s="114" t="s">
        <v>211</v>
      </c>
      <c r="F25" s="116" t="s">
        <v>215</v>
      </c>
      <c r="G25" s="114"/>
    </row>
    <row r="26" spans="4:7" ht="18" customHeight="1" x14ac:dyDescent="0.2">
      <c r="D26" s="114" t="s">
        <v>64</v>
      </c>
      <c r="E26" s="114" t="s">
        <v>217</v>
      </c>
      <c r="F26" s="116" t="s">
        <v>218</v>
      </c>
      <c r="G26" s="114"/>
    </row>
    <row r="27" spans="4:7" ht="18" customHeight="1" x14ac:dyDescent="0.2">
      <c r="D27" s="114" t="s">
        <v>64</v>
      </c>
      <c r="E27" s="114" t="s">
        <v>222</v>
      </c>
      <c r="F27" s="116" t="s">
        <v>223</v>
      </c>
      <c r="G27" s="114"/>
    </row>
    <row r="28" spans="4:7" ht="18" customHeight="1" x14ac:dyDescent="0.2">
      <c r="D28" s="114" t="s">
        <v>64</v>
      </c>
      <c r="E28" s="114" t="s">
        <v>231</v>
      </c>
      <c r="F28" s="116" t="s">
        <v>232</v>
      </c>
      <c r="G28" s="114"/>
    </row>
    <row r="29" spans="4:7" ht="18" customHeight="1" x14ac:dyDescent="0.2">
      <c r="D29" s="114" t="s">
        <v>64</v>
      </c>
      <c r="E29" s="114" t="s">
        <v>236</v>
      </c>
      <c r="F29" s="116" t="s">
        <v>237</v>
      </c>
      <c r="G29" s="114"/>
    </row>
    <row r="30" spans="4:7" ht="18" customHeight="1" x14ac:dyDescent="0.2">
      <c r="D30" s="114" t="s">
        <v>64</v>
      </c>
      <c r="E30" s="114" t="s">
        <v>241</v>
      </c>
      <c r="F30" s="116" t="s">
        <v>242</v>
      </c>
      <c r="G30" s="114"/>
    </row>
    <row r="31" spans="4:7" ht="18" customHeight="1" x14ac:dyDescent="0.2">
      <c r="D31" s="114" t="s">
        <v>64</v>
      </c>
      <c r="E31" s="114" t="s">
        <v>246</v>
      </c>
      <c r="F31" s="116" t="s">
        <v>247</v>
      </c>
      <c r="G31" s="114"/>
    </row>
    <row r="32" spans="4:7" ht="18" customHeight="1" x14ac:dyDescent="0.2">
      <c r="D32" s="114" t="s">
        <v>64</v>
      </c>
      <c r="E32" s="114" t="s">
        <v>251</v>
      </c>
      <c r="F32" s="116" t="s">
        <v>252</v>
      </c>
      <c r="G32" s="114"/>
    </row>
    <row r="33" spans="4:7" ht="18" customHeight="1" x14ac:dyDescent="0.2">
      <c r="D33" s="114" t="s">
        <v>64</v>
      </c>
      <c r="E33" s="114" t="s">
        <v>256</v>
      </c>
      <c r="F33" s="116" t="s">
        <v>257</v>
      </c>
      <c r="G33" s="114"/>
    </row>
    <row r="34" spans="4:7" ht="18" customHeight="1" x14ac:dyDescent="0.2">
      <c r="D34" s="114" t="s">
        <v>64</v>
      </c>
      <c r="E34" s="114" t="s">
        <v>261</v>
      </c>
      <c r="F34" s="116" t="s">
        <v>262</v>
      </c>
      <c r="G34" s="114"/>
    </row>
    <row r="35" spans="4:7" ht="18" customHeight="1" x14ac:dyDescent="0.2">
      <c r="D35" s="114" t="s">
        <v>64</v>
      </c>
      <c r="E35" s="114" t="s">
        <v>266</v>
      </c>
      <c r="F35" s="116" t="s">
        <v>267</v>
      </c>
      <c r="G35" s="114"/>
    </row>
    <row r="36" spans="4:7" ht="18" customHeight="1" x14ac:dyDescent="0.2">
      <c r="D36" s="114" t="s">
        <v>64</v>
      </c>
      <c r="E36" s="114" t="s">
        <v>271</v>
      </c>
      <c r="F36" s="116" t="s">
        <v>272</v>
      </c>
      <c r="G36" s="114"/>
    </row>
    <row r="37" spans="4:7" ht="18" customHeight="1" x14ac:dyDescent="0.2">
      <c r="D37" s="114" t="s">
        <v>64</v>
      </c>
      <c r="E37" s="114" t="s">
        <v>281</v>
      </c>
      <c r="F37" s="116" t="s">
        <v>282</v>
      </c>
      <c r="G37" s="114"/>
    </row>
    <row r="38" spans="4:7" ht="18" customHeight="1" x14ac:dyDescent="0.2">
      <c r="D38" s="114" t="s">
        <v>64</v>
      </c>
      <c r="E38" s="114" t="s">
        <v>286</v>
      </c>
      <c r="F38" s="116" t="s">
        <v>287</v>
      </c>
      <c r="G38" s="114"/>
    </row>
    <row r="39" spans="4:7" ht="18" customHeight="1" x14ac:dyDescent="0.2">
      <c r="D39" s="114" t="s">
        <v>64</v>
      </c>
      <c r="E39" s="114" t="s">
        <v>309</v>
      </c>
      <c r="F39" s="116" t="s">
        <v>310</v>
      </c>
      <c r="G39" s="114"/>
    </row>
    <row r="40" spans="4:7" ht="18" customHeight="1" x14ac:dyDescent="0.2">
      <c r="D40" s="114" t="s">
        <v>64</v>
      </c>
      <c r="E40" s="114" t="s">
        <v>314</v>
      </c>
      <c r="F40" s="116" t="s">
        <v>315</v>
      </c>
      <c r="G40" s="114"/>
    </row>
    <row r="41" spans="4:7" ht="18" customHeight="1" x14ac:dyDescent="0.2">
      <c r="D41" s="114" t="s">
        <v>64</v>
      </c>
      <c r="E41" s="114" t="s">
        <v>319</v>
      </c>
      <c r="F41" s="116" t="s">
        <v>320</v>
      </c>
      <c r="G41" s="114"/>
    </row>
    <row r="42" spans="4:7" ht="18" customHeight="1" x14ac:dyDescent="0.2">
      <c r="D42" s="114" t="s">
        <v>64</v>
      </c>
      <c r="E42" s="114" t="s">
        <v>324</v>
      </c>
      <c r="F42" s="116" t="s">
        <v>325</v>
      </c>
      <c r="G42" s="114"/>
    </row>
    <row r="43" spans="4:7" ht="18" customHeight="1" x14ac:dyDescent="0.2">
      <c r="D43" s="114" t="s">
        <v>64</v>
      </c>
      <c r="E43" s="114" t="s">
        <v>329</v>
      </c>
      <c r="F43" s="116" t="s">
        <v>330</v>
      </c>
      <c r="G43" s="114"/>
    </row>
    <row r="44" spans="4:7" ht="18" customHeight="1" x14ac:dyDescent="0.2">
      <c r="D44" s="114" t="s">
        <v>64</v>
      </c>
      <c r="E44" s="114" t="s">
        <v>334</v>
      </c>
      <c r="F44" s="116" t="s">
        <v>335</v>
      </c>
      <c r="G44" s="117"/>
    </row>
  </sheetData>
  <conditionalFormatting sqref="O10">
    <cfRule type="duplicateValues" dxfId="5" priority="1"/>
  </conditionalFormatting>
  <dataValidations count="1">
    <dataValidation allowBlank="1" showInputMessage="1" showErrorMessage="1" sqref="D4:D44 G4:G43 K10 O10" xr:uid="{053A229B-3587-4A67-A7E5-1CEFCD39D483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11" t="s">
        <v>346</v>
      </c>
      <c r="B1" s="211"/>
      <c r="C1" s="59"/>
      <c r="D1" s="59"/>
      <c r="E1" s="211" t="s">
        <v>347</v>
      </c>
      <c r="F1" s="211"/>
    </row>
    <row r="2" spans="1:6" x14ac:dyDescent="0.25">
      <c r="A2" s="60" t="s">
        <v>5</v>
      </c>
      <c r="B2" s="60" t="s">
        <v>348</v>
      </c>
      <c r="E2" s="58" t="s">
        <v>5</v>
      </c>
      <c r="F2" s="58" t="s">
        <v>348</v>
      </c>
    </row>
    <row r="3" spans="1:6" x14ac:dyDescent="0.25">
      <c r="A3" s="8" t="s">
        <v>349</v>
      </c>
      <c r="B3" s="11">
        <v>39</v>
      </c>
      <c r="E3" s="8" t="s">
        <v>349</v>
      </c>
      <c r="F3" s="11">
        <v>54</v>
      </c>
    </row>
    <row r="4" spans="1:6" x14ac:dyDescent="0.25">
      <c r="A4" s="8" t="s">
        <v>350</v>
      </c>
      <c r="B4" s="11">
        <v>15</v>
      </c>
      <c r="E4" s="8" t="s">
        <v>351</v>
      </c>
      <c r="F4" s="11">
        <v>13</v>
      </c>
    </row>
    <row r="5" spans="1:6" x14ac:dyDescent="0.25">
      <c r="A5" s="8" t="s">
        <v>352</v>
      </c>
      <c r="B5" s="11">
        <v>7</v>
      </c>
      <c r="E5" s="8" t="s">
        <v>352</v>
      </c>
      <c r="F5" s="11">
        <v>15</v>
      </c>
    </row>
    <row r="6" spans="1:6" x14ac:dyDescent="0.25">
      <c r="A6" s="8" t="s">
        <v>353</v>
      </c>
      <c r="B6" s="11">
        <v>2</v>
      </c>
      <c r="E6" s="8" t="s">
        <v>353</v>
      </c>
      <c r="F6" s="11">
        <v>9</v>
      </c>
    </row>
    <row r="7" spans="1:6" x14ac:dyDescent="0.25">
      <c r="A7" s="8" t="s">
        <v>354</v>
      </c>
      <c r="B7" s="11">
        <v>0</v>
      </c>
      <c r="E7" s="8" t="s">
        <v>354</v>
      </c>
      <c r="F7" s="11">
        <v>9</v>
      </c>
    </row>
    <row r="8" spans="1:6" x14ac:dyDescent="0.25">
      <c r="A8" s="8" t="s">
        <v>355</v>
      </c>
      <c r="B8" s="11">
        <v>15</v>
      </c>
      <c r="E8" s="8" t="s">
        <v>355</v>
      </c>
      <c r="F8" s="11">
        <v>21</v>
      </c>
    </row>
    <row r="9" spans="1:6" x14ac:dyDescent="0.25">
      <c r="A9" s="61" t="s">
        <v>356</v>
      </c>
      <c r="B9" s="62">
        <f>SUM(B3:B8)</f>
        <v>78</v>
      </c>
      <c r="E9" s="61" t="s">
        <v>356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357</v>
      </c>
      <c r="B1" s="5" t="s">
        <v>358</v>
      </c>
      <c r="C1" s="5" t="s">
        <v>359</v>
      </c>
      <c r="D1" s="5" t="s">
        <v>360</v>
      </c>
      <c r="E1" s="5" t="s">
        <v>361</v>
      </c>
      <c r="F1" s="5" t="s">
        <v>362</v>
      </c>
      <c r="G1" s="5" t="s">
        <v>363</v>
      </c>
      <c r="H1" s="5" t="s">
        <v>364</v>
      </c>
      <c r="I1" s="5" t="s">
        <v>365</v>
      </c>
      <c r="J1" s="5" t="s">
        <v>366</v>
      </c>
    </row>
    <row r="2" spans="1:10" x14ac:dyDescent="0.25">
      <c r="A2" s="1" t="s">
        <v>367</v>
      </c>
      <c r="B2" s="3" t="s">
        <v>368</v>
      </c>
      <c r="C2" s="3">
        <v>1</v>
      </c>
      <c r="D2" s="3">
        <v>101</v>
      </c>
      <c r="E2" s="24" t="s">
        <v>369</v>
      </c>
      <c r="F2" s="3" t="s">
        <v>370</v>
      </c>
      <c r="G2" s="3" t="s">
        <v>371</v>
      </c>
      <c r="H2" s="3" t="s">
        <v>371</v>
      </c>
      <c r="I2" s="3" t="s">
        <v>372</v>
      </c>
      <c r="J2" s="3" t="s">
        <v>373</v>
      </c>
    </row>
    <row r="3" spans="1:10" x14ac:dyDescent="0.25">
      <c r="A3" s="1" t="s">
        <v>374</v>
      </c>
      <c r="B3" s="3" t="s">
        <v>375</v>
      </c>
      <c r="C3" s="3">
        <v>2</v>
      </c>
      <c r="D3" s="3">
        <v>102</v>
      </c>
      <c r="E3" s="3" t="s">
        <v>376</v>
      </c>
      <c r="F3" s="6" t="s">
        <v>377</v>
      </c>
      <c r="G3" s="3" t="s">
        <v>378</v>
      </c>
      <c r="H3" s="3" t="s">
        <v>379</v>
      </c>
      <c r="I3" s="3" t="s">
        <v>380</v>
      </c>
      <c r="J3" s="3" t="s">
        <v>381</v>
      </c>
    </row>
    <row r="4" spans="1:10" x14ac:dyDescent="0.25">
      <c r="A4" s="1" t="s">
        <v>382</v>
      </c>
      <c r="B4" s="3" t="s">
        <v>383</v>
      </c>
      <c r="C4" s="3">
        <v>3</v>
      </c>
      <c r="D4" s="3">
        <v>103</v>
      </c>
      <c r="E4" s="3" t="s">
        <v>384</v>
      </c>
      <c r="F4" s="3" t="s">
        <v>385</v>
      </c>
      <c r="G4" s="3" t="s">
        <v>386</v>
      </c>
      <c r="H4" s="3" t="s">
        <v>387</v>
      </c>
      <c r="I4" s="3" t="s">
        <v>388</v>
      </c>
      <c r="J4" s="3" t="s">
        <v>387</v>
      </c>
    </row>
    <row r="5" spans="1:10" x14ac:dyDescent="0.25">
      <c r="A5" s="1" t="s">
        <v>389</v>
      </c>
      <c r="B5" s="3" t="s">
        <v>390</v>
      </c>
      <c r="C5" s="3">
        <v>4</v>
      </c>
      <c r="D5" s="3">
        <v>104</v>
      </c>
      <c r="E5" s="3" t="s">
        <v>381</v>
      </c>
      <c r="F5" s="3" t="s">
        <v>391</v>
      </c>
      <c r="G5" s="3" t="s">
        <v>392</v>
      </c>
      <c r="H5" s="3" t="s">
        <v>393</v>
      </c>
      <c r="I5" s="3" t="s">
        <v>387</v>
      </c>
    </row>
    <row r="6" spans="1:10" x14ac:dyDescent="0.25">
      <c r="A6" s="1" t="s">
        <v>394</v>
      </c>
      <c r="B6" s="3" t="s">
        <v>395</v>
      </c>
      <c r="C6" s="3">
        <v>5</v>
      </c>
      <c r="D6" s="3">
        <v>201</v>
      </c>
      <c r="E6" s="3" t="s">
        <v>396</v>
      </c>
      <c r="G6" s="3" t="s">
        <v>397</v>
      </c>
      <c r="H6" s="3" t="s">
        <v>398</v>
      </c>
      <c r="I6" s="3" t="s">
        <v>399</v>
      </c>
    </row>
    <row r="7" spans="1:10" x14ac:dyDescent="0.25">
      <c r="A7" s="1" t="s">
        <v>400</v>
      </c>
      <c r="B7" s="3" t="s">
        <v>401</v>
      </c>
      <c r="C7" s="3">
        <v>6</v>
      </c>
      <c r="D7" s="3">
        <v>202</v>
      </c>
      <c r="E7" s="3" t="s">
        <v>402</v>
      </c>
      <c r="G7" s="3" t="s">
        <v>403</v>
      </c>
      <c r="I7" s="3" t="s">
        <v>404</v>
      </c>
    </row>
    <row r="8" spans="1:10" x14ac:dyDescent="0.25">
      <c r="A8" s="1" t="s">
        <v>405</v>
      </c>
      <c r="B8" s="3" t="s">
        <v>406</v>
      </c>
      <c r="C8" s="3">
        <v>7</v>
      </c>
      <c r="D8" s="3">
        <v>203</v>
      </c>
      <c r="E8" s="3" t="s">
        <v>407</v>
      </c>
      <c r="G8" s="3"/>
      <c r="I8" s="3" t="s">
        <v>408</v>
      </c>
    </row>
    <row r="9" spans="1:10" x14ac:dyDescent="0.25">
      <c r="A9" s="1" t="s">
        <v>409</v>
      </c>
      <c r="B9" s="3" t="s">
        <v>410</v>
      </c>
      <c r="C9" s="3">
        <v>8</v>
      </c>
      <c r="D9" s="3">
        <v>204</v>
      </c>
      <c r="E9" s="3" t="s">
        <v>411</v>
      </c>
    </row>
    <row r="10" spans="1:10" x14ac:dyDescent="0.25">
      <c r="A10" s="1" t="s">
        <v>412</v>
      </c>
      <c r="B10" s="3" t="s">
        <v>413</v>
      </c>
      <c r="C10" s="3">
        <v>9</v>
      </c>
      <c r="D10" s="3">
        <v>301</v>
      </c>
      <c r="E10" s="3" t="s">
        <v>414</v>
      </c>
    </row>
    <row r="11" spans="1:10" x14ac:dyDescent="0.25">
      <c r="A11" s="1" t="s">
        <v>415</v>
      </c>
      <c r="B11" s="3" t="s">
        <v>416</v>
      </c>
      <c r="C11" s="3">
        <v>10</v>
      </c>
      <c r="D11" s="3">
        <v>302</v>
      </c>
      <c r="E11" s="3" t="s">
        <v>417</v>
      </c>
    </row>
    <row r="12" spans="1:10" x14ac:dyDescent="0.25">
      <c r="A12" s="1" t="s">
        <v>418</v>
      </c>
      <c r="B12" s="3" t="s">
        <v>419</v>
      </c>
      <c r="C12" s="3">
        <v>11</v>
      </c>
      <c r="D12" s="3">
        <v>303</v>
      </c>
      <c r="E12" s="24" t="s">
        <v>420</v>
      </c>
    </row>
    <row r="13" spans="1:10" x14ac:dyDescent="0.25">
      <c r="A13" s="1" t="s">
        <v>421</v>
      </c>
      <c r="B13" s="3" t="s">
        <v>422</v>
      </c>
      <c r="C13" s="3">
        <v>12</v>
      </c>
      <c r="D13" s="3">
        <v>304</v>
      </c>
      <c r="E13" t="s">
        <v>423</v>
      </c>
    </row>
    <row r="14" spans="1:10" x14ac:dyDescent="0.25">
      <c r="A14" s="1" t="s">
        <v>424</v>
      </c>
      <c r="B14" s="3" t="s">
        <v>425</v>
      </c>
      <c r="C14" s="3">
        <v>13</v>
      </c>
      <c r="D14" s="3">
        <v>401</v>
      </c>
      <c r="E14" s="3" t="s">
        <v>426</v>
      </c>
    </row>
    <row r="15" spans="1:10" x14ac:dyDescent="0.25">
      <c r="A15" s="1" t="s">
        <v>427</v>
      </c>
      <c r="B15" s="3" t="s">
        <v>428</v>
      </c>
      <c r="C15" s="3">
        <v>14</v>
      </c>
      <c r="D15" s="3">
        <v>402</v>
      </c>
      <c r="E15" s="3" t="s">
        <v>385</v>
      </c>
    </row>
    <row r="16" spans="1:10" x14ac:dyDescent="0.25">
      <c r="A16" s="1" t="s">
        <v>429</v>
      </c>
      <c r="C16" s="3">
        <v>15</v>
      </c>
      <c r="D16" s="3">
        <v>403</v>
      </c>
      <c r="E16" s="3" t="s">
        <v>430</v>
      </c>
    </row>
    <row r="17" spans="1:7" x14ac:dyDescent="0.25">
      <c r="A17" s="1" t="s">
        <v>354</v>
      </c>
      <c r="C17" s="3"/>
      <c r="D17" s="3">
        <v>404</v>
      </c>
      <c r="E17" s="3" t="s">
        <v>431</v>
      </c>
    </row>
    <row r="18" spans="1:7" x14ac:dyDescent="0.25">
      <c r="A18" s="1" t="s">
        <v>432</v>
      </c>
      <c r="C18" s="3"/>
      <c r="D18" s="3">
        <v>501</v>
      </c>
      <c r="E18" s="3" t="s">
        <v>433</v>
      </c>
    </row>
    <row r="19" spans="1:7" x14ac:dyDescent="0.25">
      <c r="A19" s="1" t="s">
        <v>434</v>
      </c>
      <c r="D19" s="3">
        <v>502</v>
      </c>
      <c r="E19" s="3" t="s">
        <v>435</v>
      </c>
    </row>
    <row r="20" spans="1:7" x14ac:dyDescent="0.25">
      <c r="A20" s="1" t="s">
        <v>353</v>
      </c>
      <c r="D20" s="3">
        <v>503</v>
      </c>
      <c r="E20" s="3" t="s">
        <v>436</v>
      </c>
    </row>
    <row r="21" spans="1:7" x14ac:dyDescent="0.25">
      <c r="A21" s="1" t="s">
        <v>437</v>
      </c>
      <c r="D21" s="3">
        <v>504</v>
      </c>
      <c r="E21" s="3" t="s">
        <v>373</v>
      </c>
    </row>
    <row r="22" spans="1:7" x14ac:dyDescent="0.25">
      <c r="A22" s="1" t="s">
        <v>438</v>
      </c>
      <c r="E22" s="3" t="s">
        <v>439</v>
      </c>
      <c r="G22" s="3"/>
    </row>
    <row r="23" spans="1:7" x14ac:dyDescent="0.25">
      <c r="A23" s="1" t="s">
        <v>440</v>
      </c>
      <c r="E23" s="3" t="s">
        <v>441</v>
      </c>
    </row>
    <row r="24" spans="1:7" x14ac:dyDescent="0.25">
      <c r="A24" s="1" t="s">
        <v>442</v>
      </c>
    </row>
    <row r="25" spans="1:7" x14ac:dyDescent="0.25">
      <c r="A25" s="1" t="s">
        <v>355</v>
      </c>
      <c r="G25" s="5"/>
    </row>
    <row r="26" spans="1:7" x14ac:dyDescent="0.25">
      <c r="A26" s="1" t="s">
        <v>443</v>
      </c>
      <c r="G26" s="3"/>
    </row>
    <row r="27" spans="1:7" x14ac:dyDescent="0.25">
      <c r="A27" s="1" t="s">
        <v>444</v>
      </c>
      <c r="G27" s="3"/>
    </row>
    <row r="28" spans="1:7" x14ac:dyDescent="0.25">
      <c r="A28" s="1" t="s">
        <v>445</v>
      </c>
      <c r="G28" s="3"/>
    </row>
    <row r="29" spans="1:7" x14ac:dyDescent="0.25">
      <c r="A29" s="1" t="s">
        <v>446</v>
      </c>
      <c r="G29" s="3"/>
    </row>
    <row r="30" spans="1:7" x14ac:dyDescent="0.25">
      <c r="A30" s="1" t="s">
        <v>447</v>
      </c>
      <c r="G30" s="3"/>
    </row>
    <row r="31" spans="1:7" x14ac:dyDescent="0.25">
      <c r="A31" s="1" t="s">
        <v>448</v>
      </c>
    </row>
    <row r="32" spans="1:7" x14ac:dyDescent="0.25">
      <c r="A32" s="1" t="s">
        <v>449</v>
      </c>
    </row>
    <row r="33" spans="1:1" x14ac:dyDescent="0.25">
      <c r="A33" s="1" t="s">
        <v>450</v>
      </c>
    </row>
    <row r="34" spans="1:1" x14ac:dyDescent="0.25">
      <c r="A34" s="1" t="s">
        <v>451</v>
      </c>
    </row>
    <row r="35" spans="1:1" x14ac:dyDescent="0.25">
      <c r="A35" s="1" t="s">
        <v>452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453</v>
      </c>
      <c r="B1" s="56" t="s">
        <v>454</v>
      </c>
    </row>
    <row r="2" spans="1:3" ht="24.95" customHeight="1" x14ac:dyDescent="0.25">
      <c r="A2" s="57" t="s">
        <v>368</v>
      </c>
      <c r="B2" s="57" t="e">
        <f>COUNTIF(#REF!,'QUANT COND'!A2)</f>
        <v>#REF!</v>
      </c>
    </row>
    <row r="3" spans="1:3" ht="24.95" customHeight="1" x14ac:dyDescent="0.25">
      <c r="A3" s="57" t="s">
        <v>375</v>
      </c>
      <c r="B3" s="57" t="e">
        <f>COUNTIF(#REF!,'QUANT COND'!A3)</f>
        <v>#REF!</v>
      </c>
    </row>
    <row r="4" spans="1:3" ht="24.95" customHeight="1" x14ac:dyDescent="0.25">
      <c r="A4" s="57" t="s">
        <v>383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390</v>
      </c>
      <c r="B5" s="57" t="e">
        <f>COUNTIF(#REF!,'QUANT COND'!A5)</f>
        <v>#REF!</v>
      </c>
    </row>
    <row r="6" spans="1:3" ht="24.95" customHeight="1" x14ac:dyDescent="0.25">
      <c r="A6" s="57" t="s">
        <v>395</v>
      </c>
      <c r="B6" s="57" t="e">
        <f>COUNTIF(#REF!,'QUANT COND'!A6)</f>
        <v>#REF!</v>
      </c>
    </row>
    <row r="7" spans="1:3" ht="24.95" customHeight="1" x14ac:dyDescent="0.25">
      <c r="A7" s="57" t="s">
        <v>401</v>
      </c>
      <c r="B7" s="57" t="e">
        <f>COUNTIF(#REF!,'QUANT COND'!A7)</f>
        <v>#REF!</v>
      </c>
    </row>
    <row r="8" spans="1:3" ht="24.95" customHeight="1" x14ac:dyDescent="0.25">
      <c r="A8" s="57" t="s">
        <v>406</v>
      </c>
      <c r="B8" s="57" t="e">
        <f>COUNTIF(#REF!,'QUANT COND'!A8)</f>
        <v>#REF!</v>
      </c>
    </row>
    <row r="9" spans="1:3" ht="24.95" customHeight="1" x14ac:dyDescent="0.25">
      <c r="A9" s="57" t="s">
        <v>410</v>
      </c>
      <c r="B9" s="57" t="e">
        <f>COUNTIF(#REF!,'QUANT COND'!A9)</f>
        <v>#REF!</v>
      </c>
    </row>
    <row r="10" spans="1:3" ht="24.95" customHeight="1" x14ac:dyDescent="0.25">
      <c r="A10" s="57" t="s">
        <v>413</v>
      </c>
      <c r="B10" s="57" t="e">
        <f>COUNTIF(#REF!,'QUANT COND'!A10)</f>
        <v>#REF!</v>
      </c>
    </row>
    <row r="11" spans="1:3" ht="24.95" customHeight="1" x14ac:dyDescent="0.25">
      <c r="A11" s="57" t="s">
        <v>416</v>
      </c>
      <c r="B11" s="57" t="e">
        <f>COUNTIF(#REF!,'QUANT COND'!A11)</f>
        <v>#REF!</v>
      </c>
    </row>
    <row r="12" spans="1:3" ht="24.95" customHeight="1" x14ac:dyDescent="0.25">
      <c r="A12" s="57" t="s">
        <v>419</v>
      </c>
      <c r="B12" s="57" t="e">
        <f>COUNTIF(#REF!,'QUANT COND'!A12)</f>
        <v>#REF!</v>
      </c>
    </row>
    <row r="13" spans="1:3" ht="24.95" customHeight="1" x14ac:dyDescent="0.25">
      <c r="A13" s="57" t="s">
        <v>422</v>
      </c>
      <c r="B13" s="57" t="e">
        <f>COUNTIF(#REF!,'QUANT COND'!A13)</f>
        <v>#REF!</v>
      </c>
    </row>
    <row r="14" spans="1:3" ht="24.95" customHeight="1" x14ac:dyDescent="0.25">
      <c r="A14" s="57" t="s">
        <v>425</v>
      </c>
      <c r="B14" s="57" t="e">
        <f>COUNTIF(#REF!,'QUANT COND'!A14)</f>
        <v>#REF!</v>
      </c>
    </row>
    <row r="15" spans="1:3" ht="24.95" customHeight="1" x14ac:dyDescent="0.25">
      <c r="A15" s="57" t="s">
        <v>428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13" t="s">
        <v>455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</row>
    <row r="2" spans="1:27" ht="50.25" customHeight="1" x14ac:dyDescent="0.25">
      <c r="A2" s="7" t="s">
        <v>13</v>
      </c>
      <c r="B2" s="7" t="s">
        <v>15</v>
      </c>
      <c r="C2" s="7" t="s">
        <v>456</v>
      </c>
      <c r="D2" s="12" t="s">
        <v>15</v>
      </c>
      <c r="E2" s="63" t="s">
        <v>457</v>
      </c>
      <c r="F2" s="63" t="s">
        <v>458</v>
      </c>
      <c r="G2" s="64" t="s">
        <v>459</v>
      </c>
      <c r="H2" s="64" t="s">
        <v>460</v>
      </c>
      <c r="I2" s="41" t="s">
        <v>461</v>
      </c>
      <c r="J2" s="42" t="s">
        <v>458</v>
      </c>
      <c r="K2" s="41" t="s">
        <v>460</v>
      </c>
      <c r="L2" s="53" t="s">
        <v>462</v>
      </c>
      <c r="M2" s="53" t="s">
        <v>463</v>
      </c>
      <c r="O2" s="65" t="s">
        <v>464</v>
      </c>
      <c r="P2" s="66" t="s">
        <v>454</v>
      </c>
      <c r="Q2" s="66" t="s">
        <v>465</v>
      </c>
      <c r="R2" s="66" t="s">
        <v>466</v>
      </c>
      <c r="S2" s="66" t="s">
        <v>467</v>
      </c>
      <c r="T2" s="43" t="s">
        <v>468</v>
      </c>
      <c r="Y2" s="45" t="s">
        <v>469</v>
      </c>
      <c r="Z2" s="45" t="s">
        <v>470</v>
      </c>
      <c r="AA2" s="44" t="s">
        <v>471</v>
      </c>
    </row>
    <row r="3" spans="1:27" x14ac:dyDescent="0.25">
      <c r="A3" s="13" t="s">
        <v>472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370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473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474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475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476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370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477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478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479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480</v>
      </c>
      <c r="B7" s="67"/>
      <c r="C7" s="18" t="s">
        <v>481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482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483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370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484</v>
      </c>
      <c r="B9" s="67">
        <v>98058690597</v>
      </c>
      <c r="C9" s="72"/>
      <c r="D9" s="69"/>
      <c r="E9" s="9">
        <v>423</v>
      </c>
      <c r="F9" s="25">
        <v>43182</v>
      </c>
      <c r="G9" s="70" t="s">
        <v>370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485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486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487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370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488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489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370</v>
      </c>
      <c r="H14" s="25">
        <v>42921</v>
      </c>
      <c r="I14" s="8"/>
      <c r="J14" s="8"/>
      <c r="K14" s="8"/>
      <c r="L14" s="9" t="s">
        <v>490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491</v>
      </c>
      <c r="B15" s="67">
        <v>38772276860</v>
      </c>
      <c r="C15" s="18" t="s">
        <v>492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493</v>
      </c>
      <c r="B16" s="67">
        <v>21538837846</v>
      </c>
      <c r="C16" s="72" t="s">
        <v>494</v>
      </c>
      <c r="D16" s="69">
        <v>94203180520</v>
      </c>
      <c r="E16" s="9">
        <v>810</v>
      </c>
      <c r="F16" s="25">
        <v>42915</v>
      </c>
      <c r="G16" s="70" t="s">
        <v>370</v>
      </c>
      <c r="H16" s="25">
        <v>42921</v>
      </c>
      <c r="I16" s="8"/>
      <c r="J16" s="8"/>
      <c r="K16" s="8"/>
      <c r="L16" s="9" t="s">
        <v>490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495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496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370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497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377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498</v>
      </c>
      <c r="B20" s="67">
        <v>18419589802</v>
      </c>
      <c r="C20" s="18" t="s">
        <v>481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499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500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370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501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370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502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370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503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504</v>
      </c>
      <c r="B26" s="67"/>
      <c r="C26" s="18" t="s">
        <v>481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505</v>
      </c>
      <c r="B27" s="67">
        <v>25894152810</v>
      </c>
      <c r="C27" s="72" t="s">
        <v>506</v>
      </c>
      <c r="D27" s="69">
        <v>8263008808</v>
      </c>
      <c r="E27" s="9">
        <v>292</v>
      </c>
      <c r="F27" s="25">
        <v>43168</v>
      </c>
      <c r="G27" s="70" t="s">
        <v>370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507</v>
      </c>
      <c r="B28" s="67">
        <v>43026389587</v>
      </c>
      <c r="C28" s="72" t="s">
        <v>508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509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377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510</v>
      </c>
      <c r="B30" s="67">
        <v>36531080809</v>
      </c>
      <c r="C30" s="72" t="s">
        <v>511</v>
      </c>
      <c r="D30" s="69">
        <v>22485483892</v>
      </c>
      <c r="E30" s="9">
        <v>1489</v>
      </c>
      <c r="F30" s="25">
        <v>43038</v>
      </c>
      <c r="G30" s="70" t="s">
        <v>370</v>
      </c>
      <c r="H30" s="9"/>
      <c r="I30" s="8"/>
      <c r="J30" s="8"/>
      <c r="K30" s="8"/>
      <c r="L30" s="9" t="s">
        <v>512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513</v>
      </c>
      <c r="B31" s="67">
        <v>28147186819</v>
      </c>
      <c r="C31" s="72" t="s">
        <v>514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515</v>
      </c>
      <c r="B32" s="67">
        <v>37559228860</v>
      </c>
      <c r="C32" s="72" t="s">
        <v>516</v>
      </c>
      <c r="D32" s="69">
        <v>28072024892</v>
      </c>
      <c r="E32" s="9">
        <v>1555</v>
      </c>
      <c r="F32" s="25">
        <v>43049</v>
      </c>
      <c r="G32" s="9" t="s">
        <v>370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517</v>
      </c>
      <c r="B33" s="67">
        <v>23635229822</v>
      </c>
      <c r="C33" s="72" t="s">
        <v>518</v>
      </c>
      <c r="D33" s="69">
        <v>21668057875</v>
      </c>
      <c r="E33" s="9">
        <v>262</v>
      </c>
      <c r="F33" s="25">
        <v>43160</v>
      </c>
      <c r="G33" s="70" t="s">
        <v>370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519</v>
      </c>
      <c r="B34" s="67"/>
      <c r="C34" s="29" t="s">
        <v>481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520</v>
      </c>
      <c r="B35" s="67">
        <v>40902634844</v>
      </c>
      <c r="C35" s="72" t="s">
        <v>521</v>
      </c>
      <c r="D35" s="69">
        <v>23795007895</v>
      </c>
      <c r="E35" s="9">
        <v>117</v>
      </c>
      <c r="F35" s="25">
        <v>43117</v>
      </c>
      <c r="G35" s="70" t="s">
        <v>370</v>
      </c>
      <c r="H35" s="25">
        <v>43151</v>
      </c>
      <c r="I35" s="8"/>
      <c r="J35" s="8"/>
      <c r="K35" s="8"/>
      <c r="L35" s="9" t="s">
        <v>522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523</v>
      </c>
      <c r="B36" s="67">
        <v>39615629898</v>
      </c>
      <c r="C36" s="72" t="s">
        <v>524</v>
      </c>
      <c r="D36" s="69">
        <v>43328275894</v>
      </c>
      <c r="E36" s="9">
        <v>423</v>
      </c>
      <c r="F36" s="25">
        <v>43182</v>
      </c>
      <c r="G36" s="70" t="s">
        <v>370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525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526</v>
      </c>
      <c r="B38" s="67"/>
      <c r="C38" s="29" t="s">
        <v>527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528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370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529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370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530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370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531</v>
      </c>
      <c r="B42" s="67">
        <v>10201704412</v>
      </c>
      <c r="C42" s="72" t="s">
        <v>532</v>
      </c>
      <c r="D42" s="69">
        <v>33674895811</v>
      </c>
      <c r="E42" s="9">
        <v>262</v>
      </c>
      <c r="F42" s="25">
        <v>43160</v>
      </c>
      <c r="G42" s="70" t="s">
        <v>370</v>
      </c>
      <c r="H42" s="25">
        <v>43164</v>
      </c>
      <c r="I42" s="8"/>
      <c r="J42" s="8"/>
      <c r="K42" s="8"/>
      <c r="L42" s="9">
        <v>255</v>
      </c>
      <c r="M42" s="8"/>
      <c r="O42" s="66" t="s">
        <v>533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534</v>
      </c>
      <c r="B43" s="67">
        <v>35271487873</v>
      </c>
      <c r="C43" s="68" t="s">
        <v>535</v>
      </c>
      <c r="D43" s="69">
        <v>557351502</v>
      </c>
      <c r="E43" s="9">
        <v>1128</v>
      </c>
      <c r="F43" s="25">
        <v>42972</v>
      </c>
      <c r="G43" s="70" t="s">
        <v>370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536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370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537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538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370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539</v>
      </c>
      <c r="B47" s="67">
        <v>31801479895</v>
      </c>
      <c r="C47" s="72" t="s">
        <v>540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541</v>
      </c>
      <c r="B48" s="67">
        <v>28638653824</v>
      </c>
      <c r="C48" s="72" t="s">
        <v>542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543</v>
      </c>
      <c r="B49" s="67">
        <v>17766101807</v>
      </c>
      <c r="C49" s="72" t="s">
        <v>544</v>
      </c>
      <c r="D49" s="69">
        <v>31993041842</v>
      </c>
      <c r="E49" s="9">
        <v>1824</v>
      </c>
      <c r="F49" s="25">
        <v>43091</v>
      </c>
      <c r="G49" s="70" t="s">
        <v>370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545</v>
      </c>
      <c r="B50" s="67">
        <v>17902799840</v>
      </c>
      <c r="C50" s="72" t="s">
        <v>546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547</v>
      </c>
      <c r="B51" s="67">
        <v>49122403892</v>
      </c>
      <c r="C51" s="75" t="s">
        <v>548</v>
      </c>
      <c r="D51" s="69">
        <v>1478139560</v>
      </c>
      <c r="E51" s="9">
        <v>608</v>
      </c>
      <c r="F51" s="25">
        <v>43012</v>
      </c>
      <c r="G51" s="70" t="s">
        <v>370</v>
      </c>
      <c r="H51" s="25">
        <v>43024</v>
      </c>
      <c r="I51" s="8"/>
      <c r="J51" s="8"/>
      <c r="K51" s="8"/>
      <c r="L51" s="8"/>
      <c r="M51" s="8"/>
      <c r="O51" s="212" t="s">
        <v>549</v>
      </c>
      <c r="P51" s="212"/>
      <c r="Q51" s="212"/>
      <c r="R51" s="212"/>
      <c r="S51" s="212"/>
      <c r="T51" s="212"/>
      <c r="U51" s="212"/>
    </row>
    <row r="52" spans="1:21" x14ac:dyDescent="0.25">
      <c r="A52" s="13" t="s">
        <v>550</v>
      </c>
      <c r="B52" s="67">
        <v>37534302854</v>
      </c>
      <c r="C52" s="71" t="s">
        <v>551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552</v>
      </c>
      <c r="B53" s="67">
        <v>14699996841</v>
      </c>
      <c r="C53" s="68" t="s">
        <v>553</v>
      </c>
      <c r="D53" s="69">
        <v>15089706883</v>
      </c>
      <c r="E53" s="9">
        <v>1128</v>
      </c>
      <c r="F53" s="25">
        <v>42972</v>
      </c>
      <c r="G53" s="70" t="s">
        <v>370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554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555</v>
      </c>
      <c r="B55" s="67">
        <v>40396239838</v>
      </c>
      <c r="C55" s="72" t="s">
        <v>556</v>
      </c>
      <c r="D55" s="69">
        <v>39420747883</v>
      </c>
      <c r="E55" s="9">
        <v>262</v>
      </c>
      <c r="F55" s="25">
        <v>43160</v>
      </c>
      <c r="G55" s="70" t="s">
        <v>370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557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370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558</v>
      </c>
      <c r="B57" s="67">
        <v>38781151802</v>
      </c>
      <c r="C57" s="18" t="s">
        <v>481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559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560</v>
      </c>
      <c r="B59" s="67">
        <v>2428277219</v>
      </c>
      <c r="C59" s="72" t="s">
        <v>561</v>
      </c>
      <c r="D59" s="69">
        <v>909805229</v>
      </c>
      <c r="E59" s="9">
        <v>810</v>
      </c>
      <c r="F59" s="25">
        <v>42915</v>
      </c>
      <c r="G59" s="70" t="s">
        <v>370</v>
      </c>
      <c r="H59" s="25">
        <v>42921</v>
      </c>
      <c r="I59" s="8"/>
      <c r="J59" s="8"/>
      <c r="K59" s="8"/>
      <c r="L59" s="9" t="s">
        <v>490</v>
      </c>
      <c r="M59" s="8"/>
    </row>
    <row r="60" spans="1:21" x14ac:dyDescent="0.25">
      <c r="A60" s="71" t="s">
        <v>562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563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370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564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565</v>
      </c>
      <c r="B63" s="67">
        <v>3722493889</v>
      </c>
      <c r="C63" s="72" t="s">
        <v>566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567</v>
      </c>
      <c r="B64" s="67">
        <v>14519340845</v>
      </c>
      <c r="C64" s="72" t="s">
        <v>568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569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570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571</v>
      </c>
      <c r="B67" s="67">
        <v>36392955879</v>
      </c>
      <c r="C67" s="72" t="s">
        <v>572</v>
      </c>
      <c r="D67" s="69">
        <v>5242864346</v>
      </c>
      <c r="E67" s="9">
        <v>117</v>
      </c>
      <c r="F67" s="25">
        <v>43117</v>
      </c>
      <c r="G67" s="70" t="s">
        <v>370</v>
      </c>
      <c r="H67" s="25">
        <v>43151</v>
      </c>
      <c r="I67" s="8"/>
      <c r="J67" s="8"/>
      <c r="K67" s="8"/>
      <c r="L67" s="9" t="s">
        <v>522</v>
      </c>
      <c r="M67" s="8"/>
    </row>
    <row r="68" spans="1:13" x14ac:dyDescent="0.25">
      <c r="A68" s="71" t="s">
        <v>573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370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574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575</v>
      </c>
      <c r="B70" s="67">
        <v>9882942490</v>
      </c>
      <c r="C70" s="18" t="s">
        <v>576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577</v>
      </c>
      <c r="B71" s="67">
        <v>14777572870</v>
      </c>
      <c r="C71" s="72" t="s">
        <v>578</v>
      </c>
      <c r="D71" s="69">
        <v>12874739898</v>
      </c>
      <c r="E71" s="9">
        <v>1824</v>
      </c>
      <c r="F71" s="25">
        <v>43091</v>
      </c>
      <c r="G71" s="70" t="s">
        <v>370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579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580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370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581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370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582</v>
      </c>
      <c r="B75" s="67">
        <v>26940268855</v>
      </c>
      <c r="C75" s="18" t="s">
        <v>583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584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370</v>
      </c>
      <c r="H76" s="9"/>
      <c r="I76" s="8"/>
      <c r="J76" s="8"/>
      <c r="K76" s="8"/>
      <c r="L76" s="9" t="s">
        <v>512</v>
      </c>
      <c r="M76" s="8"/>
    </row>
    <row r="77" spans="1:13" x14ac:dyDescent="0.25">
      <c r="A77" s="15" t="s">
        <v>585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370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586</v>
      </c>
      <c r="B78" s="67">
        <v>42352732808</v>
      </c>
      <c r="C78" s="72" t="s">
        <v>587</v>
      </c>
      <c r="D78" s="69">
        <v>281893373</v>
      </c>
      <c r="E78" s="9">
        <v>1214</v>
      </c>
      <c r="F78" s="25">
        <v>42989</v>
      </c>
      <c r="G78" s="70" t="s">
        <v>370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588</v>
      </c>
      <c r="B79" s="67">
        <v>13480043801</v>
      </c>
      <c r="C79" s="18" t="s">
        <v>589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590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370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591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370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592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370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593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594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595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596</v>
      </c>
      <c r="B86" s="67">
        <v>43053250802</v>
      </c>
      <c r="C86" s="68" t="s">
        <v>597</v>
      </c>
      <c r="D86" s="69">
        <v>35893147880</v>
      </c>
      <c r="E86" s="9">
        <v>1128</v>
      </c>
      <c r="F86" s="25">
        <v>42972</v>
      </c>
      <c r="G86" s="70" t="s">
        <v>370</v>
      </c>
      <c r="H86" s="9"/>
      <c r="I86" s="8"/>
      <c r="J86" s="8"/>
      <c r="K86" s="8"/>
      <c r="L86" s="8"/>
      <c r="M86" s="8"/>
    </row>
    <row r="87" spans="1:13" x14ac:dyDescent="0.25">
      <c r="A87" s="71" t="s">
        <v>598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370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599</v>
      </c>
      <c r="B88" s="67">
        <v>33617584837</v>
      </c>
      <c r="C88" s="72" t="s">
        <v>600</v>
      </c>
      <c r="D88" s="69">
        <v>26520094862</v>
      </c>
      <c r="E88" s="9">
        <v>608</v>
      </c>
      <c r="F88" s="25">
        <v>43012</v>
      </c>
      <c r="G88" s="70" t="s">
        <v>370</v>
      </c>
      <c r="H88" s="9"/>
      <c r="I88" s="8"/>
      <c r="J88" s="8"/>
      <c r="K88" s="8"/>
      <c r="L88" s="8"/>
      <c r="M88" s="8"/>
    </row>
    <row r="89" spans="1:13" x14ac:dyDescent="0.25">
      <c r="A89" s="14" t="s">
        <v>601</v>
      </c>
      <c r="B89" s="67">
        <v>38168161858</v>
      </c>
      <c r="C89" s="72" t="s">
        <v>602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603</v>
      </c>
      <c r="B90" s="67">
        <v>38728353862</v>
      </c>
      <c r="C90" s="72" t="s">
        <v>604</v>
      </c>
      <c r="D90" s="69">
        <v>37650358828</v>
      </c>
      <c r="E90" s="9">
        <v>1417</v>
      </c>
      <c r="F90" s="25">
        <v>43017</v>
      </c>
      <c r="G90" s="70" t="s">
        <v>370</v>
      </c>
      <c r="H90" s="9"/>
      <c r="I90" s="8"/>
      <c r="J90" s="8"/>
      <c r="K90" s="8"/>
      <c r="L90" s="9" t="s">
        <v>605</v>
      </c>
      <c r="M90" s="8"/>
    </row>
    <row r="91" spans="1:13" x14ac:dyDescent="0.25">
      <c r="A91" s="15" t="s">
        <v>606</v>
      </c>
      <c r="B91" s="67">
        <v>29479419858</v>
      </c>
      <c r="C91" s="72" t="s">
        <v>607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608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609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370</v>
      </c>
      <c r="H93" s="9"/>
      <c r="I93" s="8"/>
      <c r="J93" s="8"/>
      <c r="K93" s="8"/>
      <c r="L93" s="8"/>
      <c r="M93" s="8"/>
    </row>
    <row r="94" spans="1:13" x14ac:dyDescent="0.25">
      <c r="A94" s="15" t="s">
        <v>610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370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611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612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370</v>
      </c>
      <c r="H96" s="9"/>
      <c r="I96" s="8"/>
      <c r="J96" s="8"/>
      <c r="K96" s="8"/>
      <c r="L96" s="9" t="s">
        <v>512</v>
      </c>
      <c r="M96" s="8"/>
    </row>
    <row r="97" spans="1:13" x14ac:dyDescent="0.25">
      <c r="A97" s="71" t="s">
        <v>613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370</v>
      </c>
      <c r="H97" s="9"/>
      <c r="I97" s="8"/>
      <c r="J97" s="8"/>
      <c r="K97" s="8"/>
      <c r="L97" s="8"/>
      <c r="M97" s="8"/>
    </row>
    <row r="98" spans="1:13" x14ac:dyDescent="0.25">
      <c r="A98" s="29" t="s">
        <v>614</v>
      </c>
      <c r="B98" s="67">
        <v>3317260505</v>
      </c>
      <c r="C98" s="29" t="s">
        <v>615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616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370</v>
      </c>
      <c r="H99" s="9"/>
      <c r="I99" s="8"/>
      <c r="J99" s="8"/>
      <c r="K99" s="8"/>
      <c r="L99" s="8"/>
      <c r="M99" s="8"/>
    </row>
    <row r="100" spans="1:13" x14ac:dyDescent="0.25">
      <c r="A100" s="15" t="s">
        <v>617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370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618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370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619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370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620</v>
      </c>
      <c r="B103" s="67"/>
      <c r="C103" s="18" t="s">
        <v>481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621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370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622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370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623</v>
      </c>
      <c r="B106" s="67">
        <v>40823037827</v>
      </c>
      <c r="C106" s="72" t="s">
        <v>624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625</v>
      </c>
      <c r="B107" s="67">
        <v>54215625491</v>
      </c>
      <c r="C107" s="18" t="s">
        <v>626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627</v>
      </c>
      <c r="B108" s="67">
        <v>8424740807</v>
      </c>
      <c r="C108" s="18" t="s">
        <v>481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628</v>
      </c>
      <c r="B109" s="67">
        <v>78495857472</v>
      </c>
      <c r="C109" s="72" t="s">
        <v>629</v>
      </c>
      <c r="D109" s="69">
        <v>148572863</v>
      </c>
      <c r="E109" s="9">
        <v>1752</v>
      </c>
      <c r="F109" s="25">
        <v>43051</v>
      </c>
      <c r="G109" s="70" t="s">
        <v>370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630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631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370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632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633</v>
      </c>
      <c r="B113" s="67">
        <v>44444325860</v>
      </c>
      <c r="C113" s="72" t="s">
        <v>634</v>
      </c>
      <c r="D113" s="69">
        <v>36636133805</v>
      </c>
      <c r="E113" s="9">
        <v>292</v>
      </c>
      <c r="F113" s="25">
        <v>43168</v>
      </c>
      <c r="G113" s="70" t="s">
        <v>370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635</v>
      </c>
      <c r="B114" s="67">
        <v>39701017862</v>
      </c>
      <c r="C114" s="72" t="s">
        <v>636</v>
      </c>
      <c r="D114" s="69">
        <v>38933316892</v>
      </c>
      <c r="E114" s="9">
        <v>1350</v>
      </c>
      <c r="F114" s="25">
        <v>43006</v>
      </c>
      <c r="G114" s="70" t="s">
        <v>370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637</v>
      </c>
      <c r="B115" s="67">
        <v>40003107809</v>
      </c>
      <c r="C115" s="72" t="s">
        <v>638</v>
      </c>
      <c r="D115" s="69">
        <v>37929345823</v>
      </c>
      <c r="E115" s="9">
        <v>262</v>
      </c>
      <c r="F115" s="25">
        <v>43160</v>
      </c>
      <c r="G115" s="70" t="s">
        <v>370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639</v>
      </c>
      <c r="B116" s="67">
        <v>38786146831</v>
      </c>
      <c r="C116" s="29" t="s">
        <v>640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641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385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642</v>
      </c>
      <c r="B118" s="67">
        <v>3486705598</v>
      </c>
      <c r="C118" s="72" t="s">
        <v>643</v>
      </c>
      <c r="D118" s="69">
        <v>3581817551</v>
      </c>
      <c r="E118" s="9">
        <v>1752</v>
      </c>
      <c r="F118" s="25">
        <v>43051</v>
      </c>
      <c r="G118" s="70" t="s">
        <v>370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644</v>
      </c>
      <c r="B119" s="67">
        <v>37051125893</v>
      </c>
      <c r="C119" s="72" t="s">
        <v>645</v>
      </c>
      <c r="D119" s="69">
        <v>4303791458</v>
      </c>
      <c r="E119" s="9">
        <v>292</v>
      </c>
      <c r="F119" s="25">
        <v>43168</v>
      </c>
      <c r="G119" s="9" t="s">
        <v>370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646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647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648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370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649</v>
      </c>
      <c r="B123" s="67">
        <v>33879586845</v>
      </c>
      <c r="C123" s="77" t="s">
        <v>650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651</v>
      </c>
      <c r="M123" s="8"/>
    </row>
    <row r="124" spans="1:13" x14ac:dyDescent="0.25">
      <c r="A124" s="72" t="s">
        <v>652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653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654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370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655</v>
      </c>
      <c r="B127" s="67">
        <v>15401963807</v>
      </c>
      <c r="C127" s="72" t="s">
        <v>656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657</v>
      </c>
      <c r="B128" s="67">
        <v>2022016351</v>
      </c>
      <c r="C128" s="72" t="s">
        <v>658</v>
      </c>
      <c r="D128" s="69">
        <v>84914270315</v>
      </c>
      <c r="E128" s="9">
        <v>1106</v>
      </c>
      <c r="F128" s="25">
        <v>42965</v>
      </c>
      <c r="G128" s="70" t="s">
        <v>370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659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660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661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370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662</v>
      </c>
      <c r="B132" s="67">
        <v>1860886558</v>
      </c>
      <c r="C132" s="72" t="s">
        <v>663</v>
      </c>
      <c r="D132" s="69">
        <v>35132798845</v>
      </c>
      <c r="E132" s="9">
        <v>229</v>
      </c>
      <c r="F132" s="25">
        <v>43151</v>
      </c>
      <c r="G132" s="70" t="s">
        <v>370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664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370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665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666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667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370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668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370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669</v>
      </c>
      <c r="B138" s="67">
        <v>42262731845</v>
      </c>
      <c r="C138" s="72" t="s">
        <v>670</v>
      </c>
      <c r="D138" s="69">
        <v>34728432840</v>
      </c>
      <c r="E138" s="9">
        <v>1824</v>
      </c>
      <c r="F138" s="25">
        <v>43091</v>
      </c>
      <c r="G138" s="70" t="s">
        <v>370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671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370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672</v>
      </c>
      <c r="B140" s="67">
        <v>41446773892</v>
      </c>
      <c r="C140" s="72" t="s">
        <v>673</v>
      </c>
      <c r="D140" s="69">
        <v>38180353850</v>
      </c>
      <c r="E140" s="9">
        <v>292</v>
      </c>
      <c r="F140" s="25">
        <v>43168</v>
      </c>
      <c r="G140" s="9" t="s">
        <v>370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674</v>
      </c>
      <c r="B141" s="67">
        <v>1436459354</v>
      </c>
      <c r="C141" s="72" t="s">
        <v>675</v>
      </c>
      <c r="D141" s="69">
        <v>4149263310</v>
      </c>
      <c r="E141" s="9">
        <v>229</v>
      </c>
      <c r="F141" s="25">
        <v>43151</v>
      </c>
      <c r="G141" s="70" t="s">
        <v>370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676</v>
      </c>
      <c r="B142" s="67">
        <v>39953063818</v>
      </c>
      <c r="C142" s="29" t="s">
        <v>677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678</v>
      </c>
      <c r="B143" s="80">
        <v>15371893873</v>
      </c>
      <c r="C143" s="81" t="s">
        <v>679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680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370</v>
      </c>
      <c r="H144" s="9"/>
      <c r="I144" s="8"/>
      <c r="J144" s="8"/>
      <c r="K144" s="8"/>
      <c r="L144" s="9" t="s">
        <v>490</v>
      </c>
      <c r="M144" s="8"/>
    </row>
    <row r="145" spans="1:13" x14ac:dyDescent="0.25">
      <c r="A145" s="73" t="s">
        <v>681</v>
      </c>
      <c r="B145" s="67">
        <v>50773453334</v>
      </c>
      <c r="C145" s="72" t="s">
        <v>682</v>
      </c>
      <c r="D145" s="69">
        <v>51551365391</v>
      </c>
      <c r="E145" s="9">
        <v>1106</v>
      </c>
      <c r="F145" s="25">
        <v>42965</v>
      </c>
      <c r="G145" s="70" t="s">
        <v>377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683</v>
      </c>
      <c r="B146" s="67">
        <v>37805884803</v>
      </c>
      <c r="C146" s="72" t="s">
        <v>684</v>
      </c>
      <c r="D146" s="69">
        <v>35792474842</v>
      </c>
      <c r="E146" s="9">
        <v>262</v>
      </c>
      <c r="F146" s="25">
        <v>43160</v>
      </c>
      <c r="G146" s="9" t="s">
        <v>370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192</v>
      </c>
      <c r="B147" s="67">
        <v>38072219804</v>
      </c>
      <c r="C147" s="72" t="s">
        <v>685</v>
      </c>
      <c r="D147" s="69">
        <v>37125330800</v>
      </c>
      <c r="E147" s="9">
        <v>292</v>
      </c>
      <c r="F147" s="25">
        <v>43168</v>
      </c>
      <c r="G147" s="70" t="s">
        <v>370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686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370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687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688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370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689</v>
      </c>
      <c r="B151" s="67">
        <v>31476352879</v>
      </c>
      <c r="C151" s="72" t="s">
        <v>690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691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370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692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370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693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694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695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696</v>
      </c>
      <c r="B157" s="67">
        <v>86665944468</v>
      </c>
      <c r="C157" s="72" t="s">
        <v>697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698</v>
      </c>
      <c r="B158" s="67">
        <v>39747831805</v>
      </c>
      <c r="C158" s="72" t="s">
        <v>699</v>
      </c>
      <c r="D158" s="69">
        <v>1202056458</v>
      </c>
      <c r="E158" s="9">
        <v>292</v>
      </c>
      <c r="F158" s="25">
        <v>43168</v>
      </c>
      <c r="G158" s="70" t="s">
        <v>370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700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370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701</v>
      </c>
      <c r="B160" s="67"/>
      <c r="C160" s="29" t="s">
        <v>702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703</v>
      </c>
      <c r="B161" s="67">
        <v>38107907884</v>
      </c>
      <c r="C161" s="72" t="s">
        <v>704</v>
      </c>
      <c r="D161" s="69">
        <v>8669747685</v>
      </c>
      <c r="E161" s="9">
        <v>117</v>
      </c>
      <c r="F161" s="25">
        <v>43117</v>
      </c>
      <c r="G161" s="70" t="s">
        <v>370</v>
      </c>
      <c r="H161" s="9"/>
      <c r="I161" s="8"/>
      <c r="J161" s="8"/>
      <c r="K161" s="8"/>
      <c r="L161" s="9" t="s">
        <v>522</v>
      </c>
      <c r="M161" s="8"/>
    </row>
    <row r="162" spans="1:13" x14ac:dyDescent="0.25">
      <c r="A162" s="29" t="s">
        <v>705</v>
      </c>
      <c r="B162" s="67">
        <v>24759436880</v>
      </c>
      <c r="C162" s="29" t="s">
        <v>706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707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370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708</v>
      </c>
      <c r="B164" s="67">
        <v>22537971892</v>
      </c>
      <c r="C164" s="29" t="s">
        <v>709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710</v>
      </c>
      <c r="B165" s="67">
        <v>31362502812</v>
      </c>
      <c r="C165" s="72" t="s">
        <v>711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712</v>
      </c>
      <c r="B166" s="67">
        <v>4625640539</v>
      </c>
      <c r="C166" s="18" t="s">
        <v>713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714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370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715</v>
      </c>
      <c r="B168" s="67">
        <v>22234108802</v>
      </c>
      <c r="C168" s="72" t="s">
        <v>716</v>
      </c>
      <c r="D168" s="69"/>
      <c r="E168" s="9"/>
      <c r="F168" s="25"/>
      <c r="G168" s="70" t="s">
        <v>370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717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718</v>
      </c>
      <c r="B170" s="67">
        <v>182316599</v>
      </c>
      <c r="C170" s="72" t="s">
        <v>719</v>
      </c>
      <c r="D170" s="69">
        <v>73673560549</v>
      </c>
      <c r="E170" s="9">
        <v>292</v>
      </c>
      <c r="F170" s="25">
        <v>43168</v>
      </c>
      <c r="G170" s="9" t="s">
        <v>370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720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370</v>
      </c>
      <c r="H171" s="9"/>
      <c r="I171" s="8">
        <v>117</v>
      </c>
      <c r="J171" s="26">
        <v>43117</v>
      </c>
      <c r="K171" s="26">
        <v>43151</v>
      </c>
      <c r="L171" s="9" t="s">
        <v>605</v>
      </c>
      <c r="M171" s="26"/>
    </row>
    <row r="172" spans="1:13" x14ac:dyDescent="0.25">
      <c r="A172" s="71" t="s">
        <v>721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370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722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370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723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724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370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725</v>
      </c>
      <c r="B176" s="67">
        <v>36777190899</v>
      </c>
      <c r="C176" s="72" t="s">
        <v>726</v>
      </c>
      <c r="D176" s="69">
        <v>37104057854</v>
      </c>
      <c r="E176" s="9">
        <v>810</v>
      </c>
      <c r="F176" s="25">
        <v>42915</v>
      </c>
      <c r="G176" s="70" t="s">
        <v>370</v>
      </c>
      <c r="H176" s="9"/>
      <c r="I176" s="8"/>
      <c r="J176" s="8"/>
      <c r="K176" s="8"/>
      <c r="L176" s="9" t="s">
        <v>490</v>
      </c>
      <c r="M176" s="8"/>
    </row>
    <row r="177" spans="1:13" x14ac:dyDescent="0.25">
      <c r="A177" s="15" t="s">
        <v>727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370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728</v>
      </c>
      <c r="B178" s="67">
        <v>32428102877</v>
      </c>
      <c r="C178" s="72" t="s">
        <v>729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730</v>
      </c>
      <c r="B179" s="67">
        <v>28640229821</v>
      </c>
      <c r="C179" s="72" t="s">
        <v>731</v>
      </c>
      <c r="D179" s="69">
        <v>7752420808</v>
      </c>
      <c r="E179" s="9">
        <v>1106</v>
      </c>
      <c r="F179" s="25">
        <v>42965</v>
      </c>
      <c r="G179" s="70" t="s">
        <v>370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732</v>
      </c>
      <c r="B180" s="67">
        <v>38122976808</v>
      </c>
      <c r="C180" s="29" t="s">
        <v>733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734</v>
      </c>
      <c r="B181" s="67">
        <v>41494645882</v>
      </c>
      <c r="C181" s="72" t="s">
        <v>735</v>
      </c>
      <c r="D181" s="69">
        <v>23413130862</v>
      </c>
      <c r="E181" s="9">
        <v>1824</v>
      </c>
      <c r="F181" s="25">
        <v>43091</v>
      </c>
      <c r="G181" s="70" t="s">
        <v>370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736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370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737</v>
      </c>
      <c r="B183" s="67">
        <v>32882437846</v>
      </c>
      <c r="C183" s="77" t="s">
        <v>738</v>
      </c>
      <c r="D183" s="69" t="s">
        <v>739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740</v>
      </c>
      <c r="B184" s="67">
        <v>40733908802</v>
      </c>
      <c r="C184" s="72" t="s">
        <v>741</v>
      </c>
      <c r="D184" s="69"/>
      <c r="E184" s="9">
        <v>1128</v>
      </c>
      <c r="F184" s="25">
        <v>42972</v>
      </c>
      <c r="G184" s="70" t="s">
        <v>370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742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743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370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744</v>
      </c>
      <c r="B187" s="67">
        <v>32321499877</v>
      </c>
      <c r="C187" s="72" t="s">
        <v>745</v>
      </c>
      <c r="D187" s="69">
        <v>4788348373</v>
      </c>
      <c r="E187" s="9">
        <v>292</v>
      </c>
      <c r="F187" s="25">
        <v>43168</v>
      </c>
      <c r="G187" s="70" t="s">
        <v>370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746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370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747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370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748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385</v>
      </c>
      <c r="H190" s="9"/>
      <c r="I190" s="8"/>
      <c r="J190" s="8"/>
      <c r="K190" s="8"/>
      <c r="L190" s="9" t="s">
        <v>749</v>
      </c>
      <c r="M190" s="8"/>
    </row>
    <row r="191" spans="1:13" x14ac:dyDescent="0.25">
      <c r="A191" s="13" t="s">
        <v>750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370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751</v>
      </c>
      <c r="B192" s="67">
        <v>16700300835</v>
      </c>
      <c r="C192" s="72" t="s">
        <v>752</v>
      </c>
      <c r="D192" s="69">
        <v>28699951809</v>
      </c>
      <c r="E192" s="9">
        <v>262</v>
      </c>
      <c r="F192" s="25">
        <v>43160</v>
      </c>
      <c r="G192" s="70" t="s">
        <v>370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753</v>
      </c>
      <c r="B193" s="67">
        <v>33595120817</v>
      </c>
      <c r="C193" s="68" t="s">
        <v>754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755</v>
      </c>
      <c r="B194" s="67">
        <v>40386203873</v>
      </c>
      <c r="C194" s="68" t="s">
        <v>756</v>
      </c>
      <c r="D194" s="69">
        <v>27988479822</v>
      </c>
      <c r="E194" s="9">
        <v>1128</v>
      </c>
      <c r="F194" s="25">
        <v>42972</v>
      </c>
      <c r="G194" s="70" t="s">
        <v>370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757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758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759</v>
      </c>
      <c r="B197" s="67">
        <v>23473254851</v>
      </c>
      <c r="C197" s="72" t="s">
        <v>760</v>
      </c>
      <c r="D197" s="69">
        <v>32944503898</v>
      </c>
      <c r="E197" s="9">
        <v>85</v>
      </c>
      <c r="F197" s="25">
        <v>43109</v>
      </c>
      <c r="G197" s="70" t="s">
        <v>370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761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370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762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370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763</v>
      </c>
      <c r="B200" s="67">
        <v>2218915871</v>
      </c>
      <c r="C200" s="72" t="s">
        <v>764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765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766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767</v>
      </c>
      <c r="B203" s="67">
        <v>31793836825</v>
      </c>
      <c r="C203" s="72" t="s">
        <v>768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769</v>
      </c>
      <c r="B204" s="67">
        <v>41307266843</v>
      </c>
      <c r="C204" s="18" t="s">
        <v>770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771</v>
      </c>
      <c r="B205" s="67">
        <v>96683295549</v>
      </c>
      <c r="C205" s="72"/>
      <c r="D205" s="69"/>
      <c r="E205" s="9"/>
      <c r="F205" s="25"/>
      <c r="G205" s="70" t="s">
        <v>370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772</v>
      </c>
      <c r="B206" s="67">
        <v>18965913888</v>
      </c>
      <c r="C206" s="72" t="s">
        <v>773</v>
      </c>
      <c r="D206" s="69">
        <v>30385646801</v>
      </c>
      <c r="E206" s="9">
        <v>117</v>
      </c>
      <c r="F206" s="25">
        <v>43117</v>
      </c>
      <c r="G206" s="70" t="s">
        <v>370</v>
      </c>
      <c r="H206" s="9"/>
      <c r="I206" s="8"/>
      <c r="J206" s="8"/>
      <c r="K206" s="8"/>
      <c r="L206" s="9" t="s">
        <v>522</v>
      </c>
      <c r="M206" s="8"/>
    </row>
    <row r="207" spans="1:13" x14ac:dyDescent="0.25">
      <c r="A207" s="29" t="s">
        <v>774</v>
      </c>
      <c r="B207" s="67">
        <v>52371501875</v>
      </c>
      <c r="C207" s="18" t="s">
        <v>481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775</v>
      </c>
      <c r="B208" s="67"/>
      <c r="C208" s="18" t="s">
        <v>481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776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777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778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377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779</v>
      </c>
      <c r="B212" s="67">
        <v>25897391840</v>
      </c>
      <c r="C212" s="72" t="s">
        <v>780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781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782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783</v>
      </c>
      <c r="B215" s="67">
        <v>32841222810</v>
      </c>
      <c r="C215" s="72" t="s">
        <v>784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785</v>
      </c>
      <c r="B216" s="67">
        <v>32242692860</v>
      </c>
      <c r="C216" s="72" t="s">
        <v>786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787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788</v>
      </c>
      <c r="B218" s="67">
        <v>35157366892</v>
      </c>
      <c r="C218" s="72" t="s">
        <v>789</v>
      </c>
      <c r="D218" s="69">
        <v>7540659440</v>
      </c>
      <c r="E218" s="9">
        <v>262</v>
      </c>
      <c r="F218" s="25">
        <v>43160</v>
      </c>
      <c r="G218" s="70" t="s">
        <v>370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790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370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791</v>
      </c>
      <c r="B220" s="67">
        <v>86052484594</v>
      </c>
      <c r="C220" s="72" t="s">
        <v>792</v>
      </c>
      <c r="D220" s="69">
        <v>5551698556</v>
      </c>
      <c r="E220" s="9">
        <v>117</v>
      </c>
      <c r="F220" s="25">
        <v>43117</v>
      </c>
      <c r="G220" s="70" t="s">
        <v>370</v>
      </c>
      <c r="H220" s="70"/>
      <c r="I220" s="8"/>
      <c r="J220" s="8"/>
      <c r="K220" s="8"/>
      <c r="L220" s="9" t="s">
        <v>522</v>
      </c>
      <c r="M220" s="8"/>
    </row>
    <row r="221" spans="1:13" x14ac:dyDescent="0.25">
      <c r="A221" s="15" t="s">
        <v>793</v>
      </c>
      <c r="B221" s="67">
        <v>32193061874</v>
      </c>
      <c r="C221" s="72" t="s">
        <v>794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795</v>
      </c>
      <c r="B222" s="67">
        <v>32729382810</v>
      </c>
      <c r="C222" s="29" t="s">
        <v>796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797</v>
      </c>
      <c r="B223" s="67">
        <v>32554462879</v>
      </c>
      <c r="C223" s="72" t="s">
        <v>798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799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800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801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802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370</v>
      </c>
      <c r="H227" s="70"/>
      <c r="I227" s="8"/>
      <c r="J227" s="8"/>
      <c r="K227" s="8"/>
      <c r="L227" s="9" t="s">
        <v>490</v>
      </c>
      <c r="M227" s="8"/>
    </row>
    <row r="228" spans="1:13" x14ac:dyDescent="0.25">
      <c r="A228" s="72" t="s">
        <v>803</v>
      </c>
      <c r="B228" s="67">
        <v>39961258878</v>
      </c>
      <c r="C228" s="72" t="s">
        <v>804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805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806</v>
      </c>
      <c r="B230" s="67">
        <v>35719819878</v>
      </c>
      <c r="C230" s="72" t="s">
        <v>807</v>
      </c>
      <c r="D230" s="69">
        <v>11407737473</v>
      </c>
      <c r="E230" s="9">
        <v>1214</v>
      </c>
      <c r="F230" s="25">
        <v>42989</v>
      </c>
      <c r="G230" s="70" t="s">
        <v>370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808</v>
      </c>
      <c r="B231" s="67">
        <v>45813645829</v>
      </c>
      <c r="C231" s="68" t="s">
        <v>809</v>
      </c>
      <c r="D231" s="69">
        <v>40890894841</v>
      </c>
      <c r="E231" s="9">
        <v>1752</v>
      </c>
      <c r="F231" s="25">
        <v>43051</v>
      </c>
      <c r="G231" s="70" t="s">
        <v>370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810</v>
      </c>
      <c r="B232" s="67">
        <v>43811085824</v>
      </c>
      <c r="C232" s="15" t="s">
        <v>811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812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651</v>
      </c>
      <c r="M233" s="8"/>
    </row>
    <row r="234" spans="1:13" x14ac:dyDescent="0.25">
      <c r="A234" s="29" t="s">
        <v>813</v>
      </c>
      <c r="B234" s="67"/>
      <c r="C234" s="18" t="s">
        <v>481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814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815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370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816</v>
      </c>
      <c r="B237" s="67">
        <v>86221152593</v>
      </c>
      <c r="C237" s="72" t="s">
        <v>817</v>
      </c>
      <c r="D237" s="69">
        <v>3688414560</v>
      </c>
      <c r="E237" s="9">
        <v>1214</v>
      </c>
      <c r="F237" s="25">
        <v>42989</v>
      </c>
      <c r="G237" s="70" t="s">
        <v>370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818</v>
      </c>
      <c r="B238" s="67">
        <v>5918222456</v>
      </c>
      <c r="C238" s="72" t="s">
        <v>819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820</v>
      </c>
      <c r="B239" s="67">
        <v>37239200809</v>
      </c>
      <c r="C239" s="72" t="s">
        <v>821</v>
      </c>
      <c r="D239" s="69">
        <v>36014828869</v>
      </c>
      <c r="E239" s="9">
        <v>1350</v>
      </c>
      <c r="F239" s="25">
        <v>43006</v>
      </c>
      <c r="G239" s="70" t="s">
        <v>370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822</v>
      </c>
      <c r="B240" s="67">
        <v>6620279813</v>
      </c>
      <c r="C240" s="72" t="s">
        <v>823</v>
      </c>
      <c r="D240" s="69">
        <v>18461089855</v>
      </c>
      <c r="E240" s="9">
        <v>1824</v>
      </c>
      <c r="F240" s="25">
        <v>43091</v>
      </c>
      <c r="G240" s="70" t="s">
        <v>370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824</v>
      </c>
      <c r="B241" s="67">
        <v>11805424874</v>
      </c>
      <c r="C241" s="77" t="s">
        <v>825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826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370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827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370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828</v>
      </c>
      <c r="B244" s="67">
        <v>34001342871</v>
      </c>
      <c r="C244" s="18" t="s">
        <v>829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830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370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831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832</v>
      </c>
      <c r="B247" s="67">
        <v>1308082533</v>
      </c>
      <c r="C247" s="72" t="s">
        <v>833</v>
      </c>
      <c r="D247" s="69">
        <v>73690139520</v>
      </c>
      <c r="E247" s="9">
        <v>262</v>
      </c>
      <c r="F247" s="25">
        <v>43160</v>
      </c>
      <c r="G247" s="70" t="s">
        <v>370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834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370</v>
      </c>
      <c r="H248" s="70"/>
      <c r="I248" s="8"/>
      <c r="J248" s="8"/>
      <c r="K248" s="8"/>
      <c r="L248" s="9" t="s">
        <v>522</v>
      </c>
      <c r="M248" s="8"/>
    </row>
    <row r="249" spans="1:13" x14ac:dyDescent="0.25">
      <c r="A249" s="71" t="s">
        <v>835</v>
      </c>
      <c r="B249" s="67">
        <v>4068496846</v>
      </c>
      <c r="C249" s="72" t="s">
        <v>836</v>
      </c>
      <c r="D249" s="69">
        <v>26922524896</v>
      </c>
      <c r="E249" s="9">
        <v>1752</v>
      </c>
      <c r="F249" s="25">
        <v>43051</v>
      </c>
      <c r="G249" s="70" t="s">
        <v>370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837</v>
      </c>
      <c r="B250" s="67">
        <v>92175163849</v>
      </c>
      <c r="C250" s="72" t="s">
        <v>838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839</v>
      </c>
      <c r="B251" s="67">
        <v>76906388304</v>
      </c>
      <c r="C251" s="18" t="s">
        <v>840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841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370</v>
      </c>
      <c r="H252" s="70"/>
      <c r="I252" s="8"/>
      <c r="J252" s="8"/>
      <c r="K252" s="8"/>
      <c r="L252" s="9" t="s">
        <v>522</v>
      </c>
      <c r="M252" s="8"/>
    </row>
    <row r="253" spans="1:13" x14ac:dyDescent="0.25">
      <c r="A253" s="71" t="s">
        <v>842</v>
      </c>
      <c r="B253" s="67">
        <v>2925106323</v>
      </c>
      <c r="C253" s="72" t="s">
        <v>843</v>
      </c>
      <c r="D253" s="69">
        <v>16131378851</v>
      </c>
      <c r="E253" s="9">
        <v>1214</v>
      </c>
      <c r="F253" s="25">
        <v>42989</v>
      </c>
      <c r="G253" s="70" t="s">
        <v>370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844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370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845</v>
      </c>
      <c r="B255" s="67">
        <v>30871120895</v>
      </c>
      <c r="C255" s="68" t="s">
        <v>846</v>
      </c>
      <c r="D255" s="69">
        <v>7635106457</v>
      </c>
      <c r="E255" s="9">
        <v>1241</v>
      </c>
      <c r="F255" s="25">
        <v>42992</v>
      </c>
      <c r="G255" s="70" t="s">
        <v>370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847</v>
      </c>
      <c r="B256" s="67">
        <v>32016102837</v>
      </c>
      <c r="C256" s="72" t="s">
        <v>848</v>
      </c>
      <c r="D256" s="69">
        <v>25077406553</v>
      </c>
      <c r="E256" s="9">
        <v>292</v>
      </c>
      <c r="F256" s="25">
        <v>43168</v>
      </c>
      <c r="G256" s="70" t="s">
        <v>370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849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850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851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852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370</v>
      </c>
      <c r="H260" s="70"/>
      <c r="I260" s="8"/>
      <c r="J260" s="8"/>
      <c r="K260" s="8"/>
      <c r="L260" s="9" t="s">
        <v>853</v>
      </c>
      <c r="M260" s="8"/>
    </row>
    <row r="261" spans="1:13" x14ac:dyDescent="0.25">
      <c r="A261" s="15" t="s">
        <v>854</v>
      </c>
      <c r="B261" s="67">
        <v>18856620847</v>
      </c>
      <c r="C261" s="72" t="s">
        <v>855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856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857</v>
      </c>
      <c r="B263" s="67">
        <v>2766966382</v>
      </c>
      <c r="C263" s="72" t="s">
        <v>858</v>
      </c>
      <c r="D263" s="69">
        <v>2385838303</v>
      </c>
      <c r="E263" s="9">
        <v>262</v>
      </c>
      <c r="F263" s="25">
        <v>43160</v>
      </c>
      <c r="G263" s="70" t="s">
        <v>370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859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860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370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861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370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862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370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863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370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864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370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865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866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370</v>
      </c>
      <c r="H271" s="70"/>
      <c r="I271" s="8"/>
      <c r="J271" s="8"/>
      <c r="K271" s="8"/>
      <c r="L271" s="9" t="s">
        <v>512</v>
      </c>
      <c r="M271" s="8"/>
    </row>
    <row r="272" spans="1:13" x14ac:dyDescent="0.25">
      <c r="A272" s="71" t="s">
        <v>867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868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370</v>
      </c>
      <c r="H273" s="70"/>
      <c r="I273" s="8"/>
      <c r="J273" s="8"/>
      <c r="K273" s="8"/>
      <c r="L273" s="9" t="s">
        <v>512</v>
      </c>
      <c r="M273" s="8"/>
    </row>
    <row r="274" spans="1:13" x14ac:dyDescent="0.25">
      <c r="A274" s="71" t="s">
        <v>869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370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870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871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370</v>
      </c>
      <c r="H276" s="70"/>
      <c r="I276" s="8"/>
      <c r="J276" s="8"/>
      <c r="K276" s="8"/>
      <c r="L276" s="9" t="s">
        <v>490</v>
      </c>
      <c r="M276" s="8"/>
    </row>
    <row r="277" spans="1:13" x14ac:dyDescent="0.25">
      <c r="A277" s="13" t="s">
        <v>872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873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370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874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875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370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876</v>
      </c>
      <c r="B281" s="67">
        <v>5261128838</v>
      </c>
      <c r="C281" s="72" t="s">
        <v>877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878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879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880</v>
      </c>
      <c r="B284" s="67"/>
      <c r="C284" s="29" t="s">
        <v>481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881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370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882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883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370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884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370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885</v>
      </c>
      <c r="B289" s="67">
        <v>80117694304</v>
      </c>
      <c r="C289" s="72" t="s">
        <v>886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887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888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889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890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891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370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892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370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893</v>
      </c>
      <c r="B296" s="67">
        <v>34227913888</v>
      </c>
      <c r="C296" s="72" t="s">
        <v>894</v>
      </c>
      <c r="D296" s="69">
        <v>22306586896</v>
      </c>
      <c r="E296" s="9">
        <v>1214</v>
      </c>
      <c r="F296" s="25">
        <v>42989</v>
      </c>
      <c r="G296" s="70" t="s">
        <v>370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895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370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896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377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897</v>
      </c>
      <c r="B299" s="67">
        <v>33547844827</v>
      </c>
      <c r="C299" s="72" t="s">
        <v>898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899</v>
      </c>
      <c r="B300" s="67"/>
      <c r="C300" s="18" t="s">
        <v>481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900</v>
      </c>
      <c r="B301" s="67">
        <v>5212801842</v>
      </c>
      <c r="C301" s="72" t="s">
        <v>901</v>
      </c>
      <c r="D301" s="69">
        <v>7101207880</v>
      </c>
      <c r="E301" s="9">
        <v>262</v>
      </c>
      <c r="F301" s="25">
        <v>43160</v>
      </c>
      <c r="G301" s="70" t="s">
        <v>370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902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370</v>
      </c>
      <c r="H302" s="9"/>
      <c r="I302" s="8"/>
      <c r="J302" s="8"/>
      <c r="K302" s="8"/>
      <c r="L302" s="9" t="s">
        <v>490</v>
      </c>
      <c r="M302" s="8"/>
    </row>
    <row r="303" spans="1:13" x14ac:dyDescent="0.25">
      <c r="A303" s="71" t="s">
        <v>903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370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904</v>
      </c>
      <c r="B304" s="67"/>
      <c r="C304" s="29" t="s">
        <v>905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906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370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907</v>
      </c>
      <c r="B306" s="67">
        <v>43257974833</v>
      </c>
      <c r="C306" s="18" t="s">
        <v>481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908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370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909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910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370</v>
      </c>
      <c r="H309" s="9"/>
      <c r="I309" s="8"/>
      <c r="J309" s="8"/>
      <c r="K309" s="8"/>
      <c r="L309" s="9" t="s">
        <v>490</v>
      </c>
      <c r="M309" s="8"/>
    </row>
    <row r="310" spans="1:13" x14ac:dyDescent="0.25">
      <c r="A310" s="13" t="s">
        <v>911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370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912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370</v>
      </c>
      <c r="H311" s="9"/>
      <c r="I311" s="8"/>
      <c r="J311" s="8"/>
      <c r="K311" s="8"/>
      <c r="L311" s="9" t="s">
        <v>512</v>
      </c>
      <c r="M311" s="8"/>
    </row>
    <row r="312" spans="1:13" x14ac:dyDescent="0.25">
      <c r="A312" s="18" t="s">
        <v>913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914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370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915</v>
      </c>
      <c r="B314" s="67">
        <v>56647751300</v>
      </c>
      <c r="C314" s="72" t="s">
        <v>916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917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370</v>
      </c>
      <c r="H315" s="9"/>
      <c r="I315" s="8"/>
      <c r="J315" s="8"/>
      <c r="K315" s="8"/>
      <c r="L315" s="9" t="s">
        <v>512</v>
      </c>
      <c r="M315" s="8"/>
    </row>
    <row r="316" spans="1:13" x14ac:dyDescent="0.25">
      <c r="A316" s="71" t="s">
        <v>918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919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370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920</v>
      </c>
      <c r="B318" s="67">
        <v>42049249802</v>
      </c>
      <c r="C318" s="72" t="s">
        <v>921</v>
      </c>
      <c r="D318" s="69">
        <v>22669338844</v>
      </c>
      <c r="E318" s="9">
        <v>1267</v>
      </c>
      <c r="F318" s="25">
        <v>42998</v>
      </c>
      <c r="G318" s="70" t="s">
        <v>370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922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370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923</v>
      </c>
      <c r="B320" s="67">
        <v>1863847502</v>
      </c>
      <c r="C320" s="72" t="s">
        <v>924</v>
      </c>
      <c r="D320" s="69">
        <v>1636882579</v>
      </c>
      <c r="E320" s="9">
        <v>292</v>
      </c>
      <c r="F320" s="25">
        <v>43168</v>
      </c>
      <c r="G320" s="70" t="s">
        <v>370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925</v>
      </c>
      <c r="B321" s="67">
        <v>24759459820</v>
      </c>
      <c r="C321" s="18" t="s">
        <v>926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927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370</v>
      </c>
      <c r="H322" s="9"/>
      <c r="I322" s="8"/>
      <c r="J322" s="8"/>
      <c r="K322" s="8"/>
      <c r="L322" s="9" t="s">
        <v>749</v>
      </c>
      <c r="M322" s="8"/>
    </row>
    <row r="323" spans="1:13" x14ac:dyDescent="0.25">
      <c r="A323" s="29" t="s">
        <v>928</v>
      </c>
      <c r="B323" s="67"/>
      <c r="C323" s="18" t="s">
        <v>481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929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370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930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931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370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932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933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934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370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935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370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936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370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937</v>
      </c>
      <c r="B332" s="67">
        <v>43830821816</v>
      </c>
      <c r="C332" s="72" t="s">
        <v>938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939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385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940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941</v>
      </c>
      <c r="B335" s="67">
        <v>26501719879</v>
      </c>
      <c r="C335" s="75" t="s">
        <v>942</v>
      </c>
      <c r="D335" s="69">
        <v>26502973876</v>
      </c>
      <c r="E335" s="9">
        <v>1106</v>
      </c>
      <c r="F335" s="25">
        <v>42965</v>
      </c>
      <c r="G335" s="70" t="s">
        <v>370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943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370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944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945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370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946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947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948</v>
      </c>
      <c r="B341" s="67">
        <v>33603802829</v>
      </c>
      <c r="C341" s="72" t="s">
        <v>949</v>
      </c>
      <c r="D341" s="69">
        <v>26302620813</v>
      </c>
      <c r="E341" s="9">
        <v>1262</v>
      </c>
      <c r="F341" s="25">
        <v>42997</v>
      </c>
      <c r="G341" s="70" t="s">
        <v>370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950</v>
      </c>
      <c r="B342" s="67">
        <v>23802013824</v>
      </c>
      <c r="C342" s="72" t="s">
        <v>951</v>
      </c>
      <c r="D342" s="69">
        <v>23099249890</v>
      </c>
      <c r="E342" s="9">
        <v>1489</v>
      </c>
      <c r="F342" s="25">
        <v>43038</v>
      </c>
      <c r="G342" s="70" t="s">
        <v>370</v>
      </c>
      <c r="H342" s="9"/>
      <c r="I342" s="8"/>
      <c r="J342" s="8"/>
      <c r="K342" s="8"/>
      <c r="L342" s="9" t="s">
        <v>512</v>
      </c>
      <c r="M342" s="8"/>
    </row>
    <row r="343" spans="1:13" x14ac:dyDescent="0.25">
      <c r="A343" s="71" t="s">
        <v>952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953</v>
      </c>
      <c r="B344" s="67">
        <v>39348497847</v>
      </c>
      <c r="C344" s="72" t="s">
        <v>954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955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370</v>
      </c>
      <c r="H345" s="9"/>
      <c r="I345" s="8"/>
      <c r="J345" s="8"/>
      <c r="K345" s="8"/>
      <c r="L345" s="9" t="s">
        <v>512</v>
      </c>
      <c r="M345" s="8"/>
    </row>
    <row r="346" spans="1:13" x14ac:dyDescent="0.25">
      <c r="A346" s="71" t="s">
        <v>956</v>
      </c>
      <c r="B346" s="67">
        <v>46102945832</v>
      </c>
      <c r="C346" s="72" t="s">
        <v>957</v>
      </c>
      <c r="D346" s="69">
        <v>48110319890</v>
      </c>
      <c r="E346" s="9">
        <v>262</v>
      </c>
      <c r="F346" s="25">
        <v>43160</v>
      </c>
      <c r="G346" s="70" t="s">
        <v>370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958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370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959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960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385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961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370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962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963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370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964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370</v>
      </c>
      <c r="H353" s="9"/>
      <c r="I353" s="8"/>
      <c r="J353" s="8"/>
      <c r="K353" s="8"/>
      <c r="L353" s="9" t="s">
        <v>605</v>
      </c>
      <c r="M353" s="8"/>
    </row>
    <row r="354" spans="1:13" x14ac:dyDescent="0.25">
      <c r="A354" s="15" t="s">
        <v>965</v>
      </c>
      <c r="B354" s="67">
        <v>37738978805</v>
      </c>
      <c r="C354" s="15" t="s">
        <v>966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967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968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969</v>
      </c>
      <c r="B357" s="67">
        <v>37439665813</v>
      </c>
      <c r="C357" s="72" t="s">
        <v>970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651</v>
      </c>
      <c r="M357" s="8"/>
    </row>
    <row r="358" spans="1:13" x14ac:dyDescent="0.25">
      <c r="A358" s="15" t="s">
        <v>971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972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973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370</v>
      </c>
      <c r="H360" s="9"/>
      <c r="I360" s="8"/>
      <c r="J360" s="8"/>
      <c r="K360" s="8"/>
      <c r="L360" s="9" t="s">
        <v>853</v>
      </c>
      <c r="M360" s="8"/>
    </row>
    <row r="361" spans="1:13" x14ac:dyDescent="0.25">
      <c r="A361" s="15" t="s">
        <v>974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975</v>
      </c>
      <c r="B362" s="67">
        <v>39263170860</v>
      </c>
      <c r="C362" s="72" t="s">
        <v>976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977</v>
      </c>
      <c r="B363" s="67">
        <v>17803665829</v>
      </c>
      <c r="C363" s="72" t="s">
        <v>978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979</v>
      </c>
      <c r="B364" s="67">
        <v>39996489884</v>
      </c>
      <c r="C364" s="72" t="s">
        <v>980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981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370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982</v>
      </c>
      <c r="B366" s="67">
        <v>36210371876</v>
      </c>
      <c r="C366" s="72" t="s">
        <v>983</v>
      </c>
      <c r="D366" s="69">
        <v>32340716837</v>
      </c>
      <c r="E366" s="9">
        <v>229</v>
      </c>
      <c r="F366" s="25">
        <v>43151</v>
      </c>
      <c r="G366" s="70" t="s">
        <v>370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984</v>
      </c>
      <c r="B367" s="67">
        <v>42016007850</v>
      </c>
      <c r="C367" s="72" t="s">
        <v>985</v>
      </c>
      <c r="D367" s="69">
        <v>35228090843</v>
      </c>
      <c r="E367" s="9">
        <v>810</v>
      </c>
      <c r="F367" s="25">
        <v>42915</v>
      </c>
      <c r="G367" s="70" t="s">
        <v>370</v>
      </c>
      <c r="H367" s="9"/>
      <c r="I367" s="8"/>
      <c r="J367" s="8"/>
      <c r="K367" s="8"/>
      <c r="L367" s="9" t="s">
        <v>490</v>
      </c>
      <c r="M367" s="8"/>
    </row>
    <row r="368" spans="1:13" x14ac:dyDescent="0.25">
      <c r="A368" s="14" t="s">
        <v>986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370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987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370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988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370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989</v>
      </c>
      <c r="B371" s="67">
        <v>34350558802</v>
      </c>
      <c r="C371" s="18" t="s">
        <v>990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991</v>
      </c>
      <c r="B372" s="67">
        <v>41502336839</v>
      </c>
      <c r="C372" s="77" t="s">
        <v>992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993</v>
      </c>
      <c r="B373" s="67">
        <v>38156943880</v>
      </c>
      <c r="C373" s="72" t="s">
        <v>994</v>
      </c>
      <c r="D373" s="69">
        <v>35830934884</v>
      </c>
      <c r="E373" s="9">
        <v>262</v>
      </c>
      <c r="F373" s="25">
        <v>43160</v>
      </c>
      <c r="G373" s="70" t="s">
        <v>370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995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370</v>
      </c>
      <c r="H374" s="9"/>
      <c r="I374" s="8"/>
      <c r="J374" s="8"/>
      <c r="K374" s="8"/>
      <c r="L374" s="9" t="s">
        <v>490</v>
      </c>
      <c r="M374" s="8"/>
    </row>
    <row r="375" spans="1:13" x14ac:dyDescent="0.25">
      <c r="A375" s="71" t="s">
        <v>996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370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997</v>
      </c>
      <c r="B376" s="67" t="s">
        <v>998</v>
      </c>
      <c r="C376" s="73" t="s">
        <v>999</v>
      </c>
      <c r="D376" s="69" t="s">
        <v>1000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1001</v>
      </c>
      <c r="B377" s="67">
        <v>41104888858</v>
      </c>
      <c r="C377" s="72" t="s">
        <v>1002</v>
      </c>
      <c r="D377" s="69">
        <v>35714357884</v>
      </c>
      <c r="E377" s="9">
        <v>810</v>
      </c>
      <c r="F377" s="25">
        <v>42915</v>
      </c>
      <c r="G377" s="70" t="s">
        <v>370</v>
      </c>
      <c r="H377" s="9"/>
      <c r="I377" s="8"/>
      <c r="J377" s="8"/>
      <c r="K377" s="8"/>
      <c r="L377" s="9" t="s">
        <v>490</v>
      </c>
      <c r="M377" s="8"/>
    </row>
    <row r="378" spans="1:13" x14ac:dyDescent="0.25">
      <c r="A378" s="71" t="s">
        <v>1003</v>
      </c>
      <c r="B378" s="67">
        <v>34954516846</v>
      </c>
      <c r="C378" s="72" t="s">
        <v>1004</v>
      </c>
      <c r="D378" s="69">
        <v>18356312825</v>
      </c>
      <c r="E378" s="9">
        <v>1824</v>
      </c>
      <c r="F378" s="25">
        <v>43091</v>
      </c>
      <c r="G378" s="70" t="s">
        <v>385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1005</v>
      </c>
      <c r="B379" s="67"/>
      <c r="C379" s="29" t="s">
        <v>1006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1007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370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1008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370</v>
      </c>
      <c r="H381" s="9"/>
      <c r="I381" s="8"/>
      <c r="J381" s="8"/>
      <c r="K381" s="8"/>
      <c r="L381" s="9" t="s">
        <v>512</v>
      </c>
      <c r="M381" s="8"/>
    </row>
    <row r="382" spans="1:13" x14ac:dyDescent="0.25">
      <c r="A382" s="71" t="s">
        <v>1009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1010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370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1011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370</v>
      </c>
      <c r="H384" s="9"/>
      <c r="I384" s="8"/>
      <c r="J384" s="8"/>
      <c r="K384" s="8"/>
      <c r="L384" s="9" t="s">
        <v>512</v>
      </c>
      <c r="M384" s="8"/>
    </row>
    <row r="385" spans="1:13" x14ac:dyDescent="0.25">
      <c r="A385" s="15" t="s">
        <v>1012</v>
      </c>
      <c r="B385" s="67">
        <v>33239238802</v>
      </c>
      <c r="C385" s="72" t="s">
        <v>1013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1014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1015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370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1016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377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1017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370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1018</v>
      </c>
      <c r="B390" s="67">
        <v>13486189816</v>
      </c>
      <c r="C390" s="72" t="s">
        <v>1019</v>
      </c>
      <c r="D390" s="69">
        <v>15745057858</v>
      </c>
      <c r="E390" s="9">
        <v>262</v>
      </c>
      <c r="F390" s="25">
        <v>43160</v>
      </c>
      <c r="G390" s="70" t="s">
        <v>370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1020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370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1021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370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1022</v>
      </c>
      <c r="B393" s="67">
        <v>29672702884</v>
      </c>
      <c r="C393" s="72" t="s">
        <v>1023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1024</v>
      </c>
      <c r="B394" s="67"/>
      <c r="C394" s="29" t="s">
        <v>481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1025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370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1026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370</v>
      </c>
      <c r="H396" s="9"/>
      <c r="I396" s="8"/>
      <c r="J396" s="8"/>
      <c r="K396" s="8"/>
      <c r="L396" s="9" t="s">
        <v>522</v>
      </c>
      <c r="M396" s="8"/>
    </row>
    <row r="397" spans="1:13" x14ac:dyDescent="0.25">
      <c r="A397" s="15" t="s">
        <v>1027</v>
      </c>
      <c r="B397" s="67">
        <v>7030224582</v>
      </c>
      <c r="C397" s="72" t="s">
        <v>1028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1029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370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1030</v>
      </c>
      <c r="B399" s="67">
        <v>39783437895</v>
      </c>
      <c r="C399" s="72" t="s">
        <v>1031</v>
      </c>
      <c r="D399" s="69">
        <v>12062296754</v>
      </c>
      <c r="E399" s="9">
        <v>292</v>
      </c>
      <c r="F399" s="25">
        <v>43168</v>
      </c>
      <c r="G399" s="9" t="s">
        <v>370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1032</v>
      </c>
      <c r="B400" s="67">
        <v>41759713864</v>
      </c>
      <c r="C400" s="72" t="s">
        <v>1033</v>
      </c>
      <c r="D400" s="69">
        <v>38653116877</v>
      </c>
      <c r="E400" s="9">
        <v>1824</v>
      </c>
      <c r="F400" s="25">
        <v>43091</v>
      </c>
      <c r="G400" s="70" t="s">
        <v>370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1034</v>
      </c>
      <c r="B401" s="67">
        <v>37686754839</v>
      </c>
      <c r="C401" s="72" t="s">
        <v>1035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1036</v>
      </c>
      <c r="B402" s="67"/>
      <c r="C402" s="29" t="s">
        <v>1037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1038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370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1039</v>
      </c>
      <c r="B404" s="67">
        <v>44864217874</v>
      </c>
      <c r="C404" s="72" t="s">
        <v>1040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1041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370</v>
      </c>
      <c r="H405" s="9"/>
      <c r="I405" s="8"/>
      <c r="J405" s="8"/>
      <c r="K405" s="8"/>
      <c r="L405" s="9" t="s">
        <v>605</v>
      </c>
      <c r="M405" s="8"/>
    </row>
    <row r="406" spans="1:13" x14ac:dyDescent="0.25">
      <c r="A406" s="15" t="s">
        <v>1042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370</v>
      </c>
      <c r="H406" s="9"/>
      <c r="I406" s="8"/>
      <c r="J406" s="8"/>
      <c r="K406" s="8"/>
      <c r="L406" s="9" t="s">
        <v>522</v>
      </c>
      <c r="M406" s="8"/>
    </row>
    <row r="407" spans="1:13" x14ac:dyDescent="0.25">
      <c r="A407" s="13" t="s">
        <v>1043</v>
      </c>
      <c r="B407" s="67">
        <v>1329442512</v>
      </c>
      <c r="C407" s="68" t="s">
        <v>1044</v>
      </c>
      <c r="D407" s="69">
        <v>1320825516</v>
      </c>
      <c r="E407" s="9">
        <v>1214</v>
      </c>
      <c r="F407" s="25">
        <v>42989</v>
      </c>
      <c r="G407" s="70" t="s">
        <v>370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1045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1046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1047</v>
      </c>
      <c r="B410" s="67"/>
      <c r="C410" s="29" t="s">
        <v>481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1048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370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1049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370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1050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1051</v>
      </c>
      <c r="B414" s="67">
        <v>93440340520</v>
      </c>
      <c r="C414" s="68" t="s">
        <v>1052</v>
      </c>
      <c r="D414" s="69">
        <v>8858333845</v>
      </c>
      <c r="E414" s="9">
        <v>1267</v>
      </c>
      <c r="F414" s="25">
        <v>42998</v>
      </c>
      <c r="G414" s="70" t="s">
        <v>370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1053</v>
      </c>
      <c r="B415" s="67">
        <v>21947877801</v>
      </c>
      <c r="C415" s="29" t="s">
        <v>1054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1055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370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1056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370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1057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370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1058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370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1059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370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1060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1061</v>
      </c>
      <c r="B422" s="67">
        <v>11163355810</v>
      </c>
      <c r="C422" s="72" t="s">
        <v>1062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1063</v>
      </c>
      <c r="B423" s="67">
        <v>12870537859</v>
      </c>
      <c r="C423" s="72" t="s">
        <v>1064</v>
      </c>
      <c r="D423" s="69">
        <v>59856912849</v>
      </c>
      <c r="E423" s="9">
        <v>1417</v>
      </c>
      <c r="F423" s="25">
        <v>43017</v>
      </c>
      <c r="G423" s="70" t="s">
        <v>370</v>
      </c>
      <c r="H423" s="9"/>
      <c r="I423" s="8"/>
      <c r="J423" s="8"/>
      <c r="K423" s="8"/>
      <c r="L423" s="9" t="s">
        <v>605</v>
      </c>
      <c r="M423" s="8"/>
    </row>
    <row r="424" spans="1:13" x14ac:dyDescent="0.25">
      <c r="A424" s="14" t="s">
        <v>1065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370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1066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1067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370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1068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370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1069</v>
      </c>
      <c r="B428" s="67">
        <v>34133269888</v>
      </c>
      <c r="C428" s="72" t="s">
        <v>1070</v>
      </c>
      <c r="D428" s="69">
        <v>35360635860</v>
      </c>
      <c r="E428" s="9">
        <v>1824</v>
      </c>
      <c r="F428" s="25">
        <v>43091</v>
      </c>
      <c r="G428" s="70" t="s">
        <v>370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1071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370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1072</v>
      </c>
      <c r="B430" s="67">
        <v>26370314846</v>
      </c>
      <c r="C430" s="72" t="s">
        <v>1073</v>
      </c>
      <c r="D430" s="69">
        <v>26923862809</v>
      </c>
      <c r="E430" s="9">
        <v>117</v>
      </c>
      <c r="F430" s="25">
        <v>43117</v>
      </c>
      <c r="G430" s="70" t="s">
        <v>370</v>
      </c>
      <c r="H430" s="9"/>
      <c r="I430" s="8"/>
      <c r="J430" s="8"/>
      <c r="K430" s="8"/>
      <c r="L430" s="9" t="s">
        <v>522</v>
      </c>
      <c r="M430" s="8"/>
    </row>
    <row r="431" spans="1:13" x14ac:dyDescent="0.25">
      <c r="A431" s="71" t="s">
        <v>1074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1075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370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1076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370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1077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370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1078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370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1079</v>
      </c>
      <c r="B436" s="67"/>
      <c r="C436" s="29" t="s">
        <v>481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1080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385</v>
      </c>
      <c r="H437" s="9"/>
      <c r="I437" s="8"/>
      <c r="J437" s="8"/>
      <c r="K437" s="8"/>
      <c r="L437" s="9" t="s">
        <v>522</v>
      </c>
      <c r="M437" s="8"/>
    </row>
    <row r="438" spans="1:13" x14ac:dyDescent="0.25">
      <c r="A438" s="71" t="s">
        <v>1081</v>
      </c>
      <c r="B438" s="67">
        <v>28413241847</v>
      </c>
      <c r="C438" s="72" t="s">
        <v>1082</v>
      </c>
      <c r="D438" s="69">
        <v>14661915895</v>
      </c>
      <c r="E438" s="9">
        <v>810</v>
      </c>
      <c r="F438" s="25">
        <v>42915</v>
      </c>
      <c r="G438" s="70" t="s">
        <v>370</v>
      </c>
      <c r="H438" s="9"/>
      <c r="I438" s="8"/>
      <c r="J438" s="8"/>
      <c r="K438" s="8"/>
      <c r="L438" s="9" t="s">
        <v>490</v>
      </c>
      <c r="M438" s="8"/>
    </row>
    <row r="439" spans="1:13" x14ac:dyDescent="0.25">
      <c r="A439" s="15" t="s">
        <v>1083</v>
      </c>
      <c r="B439" s="67">
        <v>12898733806</v>
      </c>
      <c r="C439" s="72" t="s">
        <v>1084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1085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370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1086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1087</v>
      </c>
      <c r="B442" s="67">
        <v>667192328</v>
      </c>
      <c r="C442" s="29" t="s">
        <v>1088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1089</v>
      </c>
      <c r="B443" s="67">
        <v>3474339443</v>
      </c>
      <c r="C443" s="72" t="s">
        <v>1090</v>
      </c>
      <c r="D443" s="69">
        <v>58073604515</v>
      </c>
      <c r="E443" s="9">
        <v>810</v>
      </c>
      <c r="F443" s="25">
        <v>42915</v>
      </c>
      <c r="G443" s="70" t="s">
        <v>370</v>
      </c>
      <c r="H443" s="9"/>
      <c r="I443" s="8"/>
      <c r="J443" s="8"/>
      <c r="K443" s="8"/>
      <c r="L443" s="9" t="s">
        <v>490</v>
      </c>
      <c r="M443" s="8"/>
    </row>
    <row r="444" spans="1:13" x14ac:dyDescent="0.25">
      <c r="A444" s="71" t="s">
        <v>1091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370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1092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1093</v>
      </c>
      <c r="B446" s="67">
        <v>70014140349</v>
      </c>
      <c r="C446" s="72" t="s">
        <v>1094</v>
      </c>
      <c r="D446" s="69">
        <v>16412436863</v>
      </c>
      <c r="E446" s="9">
        <v>1262</v>
      </c>
      <c r="F446" s="25">
        <v>42997</v>
      </c>
      <c r="G446" s="70" t="s">
        <v>370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1095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1096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370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1097</v>
      </c>
      <c r="B449" s="67">
        <v>42230945807</v>
      </c>
      <c r="C449" s="29" t="s">
        <v>1098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1099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370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1100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370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1101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370</v>
      </c>
      <c r="H452" s="9"/>
      <c r="I452" s="8"/>
      <c r="J452" s="8"/>
      <c r="K452" s="8"/>
      <c r="L452" s="9" t="s">
        <v>512</v>
      </c>
      <c r="M452" s="8"/>
    </row>
    <row r="453" spans="1:13" x14ac:dyDescent="0.25">
      <c r="A453" s="71" t="s">
        <v>1102</v>
      </c>
      <c r="B453" s="67">
        <v>7380335456</v>
      </c>
      <c r="C453" s="72" t="s">
        <v>1103</v>
      </c>
      <c r="D453" s="69">
        <v>7548744439</v>
      </c>
      <c r="E453" s="9">
        <v>810</v>
      </c>
      <c r="F453" s="25">
        <v>42915</v>
      </c>
      <c r="G453" s="70" t="s">
        <v>370</v>
      </c>
      <c r="H453" s="9"/>
      <c r="I453" s="8"/>
      <c r="J453" s="8"/>
      <c r="K453" s="8"/>
      <c r="L453" s="9" t="s">
        <v>490</v>
      </c>
      <c r="M453" s="8"/>
    </row>
    <row r="454" spans="1:13" x14ac:dyDescent="0.25">
      <c r="A454" s="18" t="s">
        <v>1104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1105</v>
      </c>
      <c r="B455" s="67">
        <v>38529900847</v>
      </c>
      <c r="C455" s="72" t="s">
        <v>1106</v>
      </c>
      <c r="D455" s="69">
        <v>36056823830</v>
      </c>
      <c r="E455" s="9">
        <v>262</v>
      </c>
      <c r="F455" s="25">
        <v>43160</v>
      </c>
      <c r="G455" s="70" t="s">
        <v>370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1107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370</v>
      </c>
      <c r="H456" s="9"/>
      <c r="I456" s="8"/>
      <c r="J456" s="8"/>
      <c r="K456" s="8"/>
      <c r="L456" s="9" t="s">
        <v>605</v>
      </c>
      <c r="M456" s="8"/>
    </row>
    <row r="457" spans="1:13" x14ac:dyDescent="0.25">
      <c r="A457" s="13" t="s">
        <v>1108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370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1109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370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1110</v>
      </c>
      <c r="B459" s="67">
        <v>11806390817</v>
      </c>
      <c r="C459" s="72" t="s">
        <v>1111</v>
      </c>
      <c r="D459" s="69">
        <v>6924399860</v>
      </c>
      <c r="E459" s="9">
        <v>85</v>
      </c>
      <c r="F459" s="25">
        <v>43109</v>
      </c>
      <c r="G459" s="70" t="s">
        <v>370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1112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1113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370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1114</v>
      </c>
      <c r="B462" s="67">
        <v>32734621835</v>
      </c>
      <c r="C462" s="77" t="s">
        <v>1115</v>
      </c>
      <c r="D462" s="69" t="s">
        <v>1116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1117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370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1118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1119</v>
      </c>
      <c r="B465" s="67">
        <v>31367730805</v>
      </c>
      <c r="C465" s="68" t="s">
        <v>1120</v>
      </c>
      <c r="D465" s="69">
        <v>39532354867</v>
      </c>
      <c r="E465" s="9">
        <v>1350</v>
      </c>
      <c r="F465" s="25">
        <v>43006</v>
      </c>
      <c r="G465" s="70" t="s">
        <v>370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1121</v>
      </c>
      <c r="B466" s="67">
        <v>5579867611</v>
      </c>
      <c r="C466" s="72" t="s">
        <v>1122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1123</v>
      </c>
      <c r="B467" s="67">
        <v>17118545813</v>
      </c>
      <c r="C467" s="72" t="s">
        <v>1124</v>
      </c>
      <c r="D467" s="69">
        <v>29932279803</v>
      </c>
      <c r="E467" s="9">
        <v>262</v>
      </c>
      <c r="F467" s="25">
        <v>43160</v>
      </c>
      <c r="G467" s="70" t="s">
        <v>370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1125</v>
      </c>
      <c r="B468" s="67">
        <v>35031003855</v>
      </c>
      <c r="C468" s="72" t="s">
        <v>1126</v>
      </c>
      <c r="D468" s="69">
        <v>41246529840</v>
      </c>
      <c r="E468" s="9">
        <v>1422</v>
      </c>
      <c r="F468" s="25">
        <v>43018</v>
      </c>
      <c r="G468" s="70" t="s">
        <v>370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1127</v>
      </c>
      <c r="B469" s="67">
        <v>17803718884</v>
      </c>
      <c r="C469" s="32" t="s">
        <v>1128</v>
      </c>
      <c r="D469" s="69">
        <v>364628880</v>
      </c>
      <c r="E469" s="9">
        <v>1570</v>
      </c>
      <c r="F469" s="25">
        <v>43077</v>
      </c>
      <c r="G469" s="70" t="s">
        <v>370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1129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370</v>
      </c>
      <c r="H470" s="9"/>
      <c r="I470" s="8"/>
      <c r="J470" s="8"/>
      <c r="K470" s="8"/>
      <c r="L470" s="9" t="s">
        <v>522</v>
      </c>
      <c r="M470" s="8"/>
    </row>
    <row r="471" spans="1:13" x14ac:dyDescent="0.25">
      <c r="A471" s="13" t="s">
        <v>1130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370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1131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370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1132</v>
      </c>
      <c r="B473" s="67">
        <v>22740303831</v>
      </c>
      <c r="C473" s="18" t="s">
        <v>481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1133</v>
      </c>
      <c r="B474" s="67">
        <v>35482535800</v>
      </c>
      <c r="C474" s="72" t="s">
        <v>1134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1135</v>
      </c>
      <c r="B475" s="67">
        <v>22213116806</v>
      </c>
      <c r="C475" s="72" t="s">
        <v>1136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1137</v>
      </c>
      <c r="B476" s="67">
        <v>22168840814</v>
      </c>
      <c r="C476" s="29" t="s">
        <v>1138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1139</v>
      </c>
      <c r="B477" s="67">
        <v>30609785818</v>
      </c>
      <c r="C477" s="18" t="s">
        <v>1140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1141</v>
      </c>
      <c r="B478" s="67">
        <v>18515704897</v>
      </c>
      <c r="C478" s="18" t="s">
        <v>481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1142</v>
      </c>
      <c r="B479" s="67">
        <v>14683022800</v>
      </c>
      <c r="C479" s="72" t="s">
        <v>1143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1144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1145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370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1146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1147</v>
      </c>
      <c r="B483" s="67"/>
      <c r="C483" s="29" t="s">
        <v>481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1148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370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1149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370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1150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370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1151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370</v>
      </c>
      <c r="H487" s="9"/>
      <c r="I487" s="8"/>
      <c r="J487" s="8"/>
      <c r="K487" s="8"/>
      <c r="L487" s="9" t="s">
        <v>512</v>
      </c>
      <c r="M487" s="8"/>
    </row>
    <row r="488" spans="1:13" x14ac:dyDescent="0.25">
      <c r="A488" s="13" t="s">
        <v>1152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370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1153</v>
      </c>
      <c r="B489" s="67">
        <v>36664921855</v>
      </c>
      <c r="C489" s="72" t="s">
        <v>1154</v>
      </c>
      <c r="D489" s="69">
        <v>28495923823</v>
      </c>
      <c r="E489" s="9">
        <v>117</v>
      </c>
      <c r="F489" s="25">
        <v>43117</v>
      </c>
      <c r="G489" s="70" t="s">
        <v>377</v>
      </c>
      <c r="H489" s="9"/>
      <c r="I489" s="8"/>
      <c r="J489" s="8"/>
      <c r="K489" s="8"/>
      <c r="L489" s="9" t="s">
        <v>522</v>
      </c>
      <c r="M489" s="8"/>
    </row>
    <row r="490" spans="1:13" x14ac:dyDescent="0.25">
      <c r="A490" s="79" t="s">
        <v>1155</v>
      </c>
      <c r="B490" s="80">
        <v>22561317854</v>
      </c>
      <c r="C490" s="81" t="s">
        <v>1156</v>
      </c>
      <c r="D490" s="82">
        <v>26718748803</v>
      </c>
      <c r="E490" s="47">
        <v>1106</v>
      </c>
      <c r="F490" s="48">
        <v>42965</v>
      </c>
      <c r="G490" s="83" t="s">
        <v>377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1157</v>
      </c>
      <c r="B491" s="67">
        <v>34870463857</v>
      </c>
      <c r="C491" s="72" t="s">
        <v>1158</v>
      </c>
      <c r="D491" s="69">
        <v>7049816531</v>
      </c>
      <c r="E491" s="9">
        <v>292</v>
      </c>
      <c r="F491" s="25">
        <v>43168</v>
      </c>
      <c r="G491" s="70" t="s">
        <v>370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1159</v>
      </c>
      <c r="B492" s="67">
        <v>35225854885</v>
      </c>
      <c r="C492" s="72" t="s">
        <v>1160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1161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370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1162</v>
      </c>
      <c r="B494" s="67">
        <v>35929092826</v>
      </c>
      <c r="C494" s="72" t="s">
        <v>1163</v>
      </c>
      <c r="D494" s="69">
        <v>29462804893</v>
      </c>
      <c r="E494" s="9">
        <v>1267</v>
      </c>
      <c r="F494" s="25">
        <v>42998</v>
      </c>
      <c r="G494" s="70" t="s">
        <v>370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1164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1165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1166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1167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370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1168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385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1169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1170</v>
      </c>
      <c r="B501" s="67">
        <v>24660726886</v>
      </c>
      <c r="C501" s="72" t="s">
        <v>1171</v>
      </c>
      <c r="D501" s="69">
        <v>96400951504</v>
      </c>
      <c r="E501" s="9">
        <v>292</v>
      </c>
      <c r="F501" s="25">
        <v>43168</v>
      </c>
      <c r="G501" s="70" t="s">
        <v>377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1172</v>
      </c>
      <c r="B502" s="69">
        <v>27863381827</v>
      </c>
      <c r="C502" s="71" t="s">
        <v>1173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1174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370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1175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1176</v>
      </c>
      <c r="B505" s="67">
        <v>25856034821</v>
      </c>
      <c r="C505" s="72" t="s">
        <v>1177</v>
      </c>
      <c r="D505" s="69">
        <v>74821083353</v>
      </c>
      <c r="E505" s="9">
        <v>810</v>
      </c>
      <c r="F505" s="25">
        <v>42915</v>
      </c>
      <c r="G505" s="70" t="s">
        <v>370</v>
      </c>
      <c r="H505" s="9"/>
      <c r="I505" s="8"/>
      <c r="J505" s="8"/>
      <c r="K505" s="8"/>
      <c r="L505" s="9" t="s">
        <v>490</v>
      </c>
      <c r="M505" s="8"/>
    </row>
    <row r="506" spans="1:13" x14ac:dyDescent="0.25">
      <c r="A506" s="71" t="s">
        <v>1178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651</v>
      </c>
      <c r="M506" s="8"/>
    </row>
    <row r="507" spans="1:13" x14ac:dyDescent="0.25">
      <c r="A507" s="71" t="s">
        <v>1179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1180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651</v>
      </c>
      <c r="M508" s="8"/>
    </row>
    <row r="509" spans="1:13" x14ac:dyDescent="0.25">
      <c r="A509" s="29" t="s">
        <v>1181</v>
      </c>
      <c r="B509" s="67">
        <v>4802267843</v>
      </c>
      <c r="C509" s="29" t="s">
        <v>1182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1183</v>
      </c>
      <c r="B510" s="67">
        <v>6672502807</v>
      </c>
      <c r="C510" s="72" t="s">
        <v>1184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651</v>
      </c>
      <c r="M510" s="8"/>
    </row>
    <row r="511" spans="1:13" x14ac:dyDescent="0.25">
      <c r="A511" s="18" t="s">
        <v>1185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1186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1187</v>
      </c>
      <c r="B513" s="67">
        <v>37233245843</v>
      </c>
      <c r="C513" s="29" t="s">
        <v>1188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1189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1190</v>
      </c>
      <c r="B515" s="67">
        <v>33456412835</v>
      </c>
      <c r="C515" s="72" t="s">
        <v>1191</v>
      </c>
      <c r="D515" s="69">
        <v>9387669882</v>
      </c>
      <c r="E515" s="9">
        <v>229</v>
      </c>
      <c r="F515" s="25">
        <v>43151</v>
      </c>
      <c r="G515" s="70" t="s">
        <v>385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1192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370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1193</v>
      </c>
      <c r="B517" s="67">
        <v>10317452894</v>
      </c>
      <c r="C517" s="72" t="s">
        <v>1194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1195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370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1196</v>
      </c>
      <c r="B519" s="67"/>
      <c r="C519" s="29" t="s">
        <v>1197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1198</v>
      </c>
      <c r="B520" s="67">
        <v>42782953591</v>
      </c>
      <c r="C520" s="72" t="s">
        <v>1199</v>
      </c>
      <c r="D520" s="69">
        <v>53921186587</v>
      </c>
      <c r="E520" s="9">
        <v>85</v>
      </c>
      <c r="F520" s="25">
        <v>43109</v>
      </c>
      <c r="G520" s="70" t="s">
        <v>370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1200</v>
      </c>
      <c r="B521" s="67">
        <v>3086762896</v>
      </c>
      <c r="C521" s="72" t="s">
        <v>1201</v>
      </c>
      <c r="D521" s="69">
        <v>89632877853</v>
      </c>
      <c r="E521" s="9">
        <v>810</v>
      </c>
      <c r="F521" s="25">
        <v>42915</v>
      </c>
      <c r="G521" s="70" t="s">
        <v>370</v>
      </c>
      <c r="H521" s="9"/>
      <c r="I521" s="8"/>
      <c r="J521" s="8"/>
      <c r="K521" s="8"/>
      <c r="L521" s="9" t="s">
        <v>490</v>
      </c>
      <c r="M521" s="8"/>
    </row>
    <row r="522" spans="1:13" x14ac:dyDescent="0.25">
      <c r="A522" s="71" t="s">
        <v>1202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370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1203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370</v>
      </c>
      <c r="H523" s="9"/>
      <c r="I523" s="8"/>
      <c r="J523" s="8"/>
      <c r="K523" s="8"/>
      <c r="L523" s="9" t="s">
        <v>605</v>
      </c>
      <c r="M523" s="8"/>
    </row>
    <row r="524" spans="1:13" x14ac:dyDescent="0.25">
      <c r="A524" s="33" t="s">
        <v>1204</v>
      </c>
      <c r="B524" s="67">
        <v>22624049843</v>
      </c>
      <c r="C524" s="32" t="s">
        <v>1205</v>
      </c>
      <c r="D524" s="69">
        <v>32978302801</v>
      </c>
      <c r="E524" s="9">
        <v>1570</v>
      </c>
      <c r="F524" s="25">
        <v>43077</v>
      </c>
      <c r="G524" s="70" t="s">
        <v>370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1206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1207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370</v>
      </c>
      <c r="H526" s="9"/>
      <c r="I526" s="8"/>
      <c r="J526" s="8"/>
      <c r="K526" s="8"/>
      <c r="L526" s="9" t="s">
        <v>512</v>
      </c>
      <c r="M526" s="8"/>
    </row>
    <row r="527" spans="1:13" x14ac:dyDescent="0.25">
      <c r="A527" s="71" t="s">
        <v>1208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370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1209</v>
      </c>
      <c r="B528" s="67">
        <v>27112847869</v>
      </c>
      <c r="C528" s="72" t="s">
        <v>1210</v>
      </c>
      <c r="D528" s="69">
        <v>37782363420</v>
      </c>
      <c r="E528" s="9">
        <v>1106</v>
      </c>
      <c r="F528" s="25">
        <v>42965</v>
      </c>
      <c r="G528" s="70" t="s">
        <v>370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1211</v>
      </c>
      <c r="B529" s="67">
        <v>32811648895</v>
      </c>
      <c r="C529" s="72" t="s">
        <v>1212</v>
      </c>
      <c r="D529" s="69">
        <v>25428395818</v>
      </c>
      <c r="E529" s="9">
        <v>85</v>
      </c>
      <c r="F529" s="25">
        <v>43109</v>
      </c>
      <c r="G529" s="70" t="s">
        <v>370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1213</v>
      </c>
      <c r="B530" s="67">
        <v>12811159835</v>
      </c>
      <c r="C530" s="72" t="s">
        <v>1214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1215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1216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1217</v>
      </c>
      <c r="B533" s="67">
        <v>83941010468</v>
      </c>
      <c r="C533" s="18" t="s">
        <v>1218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1219</v>
      </c>
      <c r="B534" s="67">
        <v>43152462808</v>
      </c>
      <c r="C534" s="29" t="s">
        <v>1220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1221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1222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370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1223</v>
      </c>
      <c r="B537" s="67"/>
      <c r="C537" s="18" t="s">
        <v>481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1224</v>
      </c>
      <c r="B538" s="67">
        <v>41249931886</v>
      </c>
      <c r="C538" s="72" t="s">
        <v>1225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1226</v>
      </c>
      <c r="B539" s="67">
        <v>34361118809</v>
      </c>
      <c r="C539" s="72" t="s">
        <v>1227</v>
      </c>
      <c r="D539" s="69">
        <v>14784595813</v>
      </c>
      <c r="E539" s="9">
        <v>85</v>
      </c>
      <c r="F539" s="25">
        <v>43109</v>
      </c>
      <c r="G539" s="70" t="s">
        <v>370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1228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370</v>
      </c>
      <c r="H540" s="9"/>
      <c r="I540" s="8"/>
      <c r="J540" s="8"/>
      <c r="K540" s="8"/>
      <c r="L540" s="9" t="s">
        <v>853</v>
      </c>
      <c r="M540" s="8"/>
    </row>
    <row r="541" spans="1:13" x14ac:dyDescent="0.25">
      <c r="A541" s="71" t="s">
        <v>1229</v>
      </c>
      <c r="B541" s="67">
        <v>45469747875</v>
      </c>
      <c r="C541" s="72" t="s">
        <v>1230</v>
      </c>
      <c r="D541" s="69">
        <v>39042679816</v>
      </c>
      <c r="E541" s="9">
        <v>117</v>
      </c>
      <c r="F541" s="25">
        <v>43117</v>
      </c>
      <c r="G541" s="70" t="s">
        <v>370</v>
      </c>
      <c r="H541" s="9"/>
      <c r="I541" s="8"/>
      <c r="J541" s="8"/>
      <c r="K541" s="8"/>
      <c r="L541" s="9" t="s">
        <v>522</v>
      </c>
      <c r="M541" s="8"/>
    </row>
    <row r="542" spans="1:13" x14ac:dyDescent="0.25">
      <c r="A542" s="71" t="s">
        <v>1231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1232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370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1233</v>
      </c>
      <c r="B544" s="67">
        <v>33199855822</v>
      </c>
      <c r="C544" s="18" t="s">
        <v>1234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1235</v>
      </c>
      <c r="B545" s="67">
        <v>32878318870</v>
      </c>
      <c r="C545" s="18" t="s">
        <v>1236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1237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370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1238</v>
      </c>
      <c r="B547" s="67">
        <v>31328839800</v>
      </c>
      <c r="C547" s="72" t="s">
        <v>1239</v>
      </c>
      <c r="D547" s="69">
        <v>13482435898</v>
      </c>
      <c r="E547" s="9">
        <v>262</v>
      </c>
      <c r="F547" s="25">
        <v>43160</v>
      </c>
      <c r="G547" s="70" t="s">
        <v>370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1240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370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1241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370</v>
      </c>
      <c r="H549" s="9"/>
      <c r="I549" s="8"/>
      <c r="J549" s="8"/>
      <c r="K549" s="8"/>
      <c r="L549" s="9" t="s">
        <v>522</v>
      </c>
      <c r="M549" s="8"/>
    </row>
    <row r="550" spans="1:13" x14ac:dyDescent="0.25">
      <c r="A550" s="73" t="s">
        <v>1242</v>
      </c>
      <c r="B550" s="67">
        <v>33311756843</v>
      </c>
      <c r="C550" s="72" t="s">
        <v>1243</v>
      </c>
      <c r="D550" s="69">
        <v>31561945811</v>
      </c>
      <c r="E550" s="9">
        <v>1106</v>
      </c>
      <c r="F550" s="25">
        <v>42965</v>
      </c>
      <c r="G550" s="70" t="s">
        <v>370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1244</v>
      </c>
      <c r="B551" s="67" t="s">
        <v>1245</v>
      </c>
      <c r="C551" s="77" t="s">
        <v>1246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1247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370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1248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370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1249</v>
      </c>
      <c r="B554" s="67"/>
      <c r="C554" s="18" t="s">
        <v>481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1250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370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1251</v>
      </c>
      <c r="B556" s="67">
        <v>37608246847</v>
      </c>
      <c r="C556" s="68" t="s">
        <v>1252</v>
      </c>
      <c r="D556" s="69">
        <v>27976942875</v>
      </c>
      <c r="E556" s="9">
        <v>608</v>
      </c>
      <c r="F556" s="25">
        <v>43012</v>
      </c>
      <c r="G556" s="70" t="s">
        <v>370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1253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1254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1255</v>
      </c>
      <c r="B559" s="67">
        <v>39990709866</v>
      </c>
      <c r="C559" s="72" t="s">
        <v>1256</v>
      </c>
      <c r="D559" s="69">
        <v>46936249850</v>
      </c>
      <c r="E559" s="9">
        <v>229</v>
      </c>
      <c r="F559" s="25">
        <v>43151</v>
      </c>
      <c r="G559" s="70" t="s">
        <v>370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1257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1258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370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1259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370</v>
      </c>
      <c r="H562" s="9"/>
      <c r="I562" s="8"/>
      <c r="J562" s="8"/>
      <c r="K562" s="8"/>
      <c r="L562" s="9" t="s">
        <v>490</v>
      </c>
      <c r="M562" s="8"/>
    </row>
    <row r="563" spans="1:13" x14ac:dyDescent="0.25">
      <c r="A563" s="71" t="s">
        <v>1260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1261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1262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370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1263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1264</v>
      </c>
      <c r="B567" s="67">
        <v>9056201867</v>
      </c>
      <c r="C567" s="72" t="s">
        <v>1265</v>
      </c>
      <c r="D567" s="69">
        <v>59754605815</v>
      </c>
      <c r="E567" s="9">
        <v>810</v>
      </c>
      <c r="F567" s="25">
        <v>42915</v>
      </c>
      <c r="G567" s="70" t="s">
        <v>370</v>
      </c>
      <c r="H567" s="9"/>
      <c r="I567" s="8"/>
      <c r="J567" s="8"/>
      <c r="K567" s="8"/>
      <c r="L567" s="9" t="s">
        <v>490</v>
      </c>
      <c r="M567" s="8"/>
    </row>
    <row r="568" spans="1:13" x14ac:dyDescent="0.25">
      <c r="A568" s="71" t="s">
        <v>1266</v>
      </c>
      <c r="B568" s="67">
        <v>4434698656</v>
      </c>
      <c r="C568" s="72" t="s">
        <v>1267</v>
      </c>
      <c r="D568" s="69">
        <v>75851300400</v>
      </c>
      <c r="E568" s="9">
        <v>810</v>
      </c>
      <c r="F568" s="25">
        <v>42915</v>
      </c>
      <c r="G568" s="70" t="s">
        <v>370</v>
      </c>
      <c r="H568" s="9"/>
      <c r="I568" s="8"/>
      <c r="J568" s="8"/>
      <c r="K568" s="8"/>
      <c r="L568" s="9" t="s">
        <v>490</v>
      </c>
      <c r="M568" s="8"/>
    </row>
    <row r="569" spans="1:13" x14ac:dyDescent="0.25">
      <c r="A569" s="71" t="s">
        <v>1268</v>
      </c>
      <c r="B569" s="67">
        <v>27030279824</v>
      </c>
      <c r="C569" s="72" t="s">
        <v>1269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1270</v>
      </c>
      <c r="B570" s="67">
        <v>30478760884</v>
      </c>
      <c r="C570" s="77" t="s">
        <v>1271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1272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370</v>
      </c>
      <c r="H571" s="76">
        <v>43213</v>
      </c>
      <c r="I571" s="8"/>
      <c r="J571" s="8"/>
      <c r="K571" s="8"/>
      <c r="L571" s="9" t="s">
        <v>490</v>
      </c>
      <c r="M571" s="8"/>
    </row>
    <row r="572" spans="1:13" x14ac:dyDescent="0.25">
      <c r="A572" s="71" t="s">
        <v>1273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370</v>
      </c>
      <c r="H572" s="76">
        <v>43213</v>
      </c>
      <c r="I572" s="8"/>
      <c r="J572" s="8"/>
      <c r="K572" s="8"/>
      <c r="L572" s="9" t="s">
        <v>605</v>
      </c>
      <c r="M572" s="8"/>
    </row>
    <row r="573" spans="1:13" x14ac:dyDescent="0.25">
      <c r="A573" s="72" t="s">
        <v>1274</v>
      </c>
      <c r="B573" s="67">
        <v>16583214806</v>
      </c>
      <c r="C573" s="72" t="s">
        <v>1275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1276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1277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370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1278</v>
      </c>
      <c r="B576" s="67">
        <v>6882969639</v>
      </c>
      <c r="C576" s="29" t="s">
        <v>1279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1280</v>
      </c>
      <c r="B577" s="67">
        <v>22449339892</v>
      </c>
      <c r="C577" s="29" t="s">
        <v>1281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1282</v>
      </c>
      <c r="B578" s="67"/>
      <c r="C578" s="18" t="s">
        <v>481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1283</v>
      </c>
      <c r="B579" s="67">
        <v>22854740831</v>
      </c>
      <c r="C579" s="72" t="s">
        <v>1284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1285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1286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370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1287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370</v>
      </c>
      <c r="H582" s="9"/>
      <c r="I582" s="8"/>
      <c r="J582" s="8"/>
      <c r="K582" s="8"/>
      <c r="L582" s="9" t="s">
        <v>490</v>
      </c>
      <c r="M582" s="8"/>
    </row>
    <row r="583" spans="1:13" x14ac:dyDescent="0.25">
      <c r="A583" s="71" t="s">
        <v>1288</v>
      </c>
      <c r="B583" s="67">
        <v>47110994848</v>
      </c>
      <c r="C583" s="71" t="s">
        <v>1289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1290</v>
      </c>
      <c r="B584" s="67">
        <v>39353276845</v>
      </c>
      <c r="C584" s="72" t="s">
        <v>1291</v>
      </c>
      <c r="D584" s="69">
        <v>33343612847</v>
      </c>
      <c r="E584" s="9">
        <v>1417</v>
      </c>
      <c r="F584" s="25">
        <v>43017</v>
      </c>
      <c r="G584" s="70" t="s">
        <v>377</v>
      </c>
      <c r="H584" s="9"/>
      <c r="I584" s="8"/>
      <c r="J584" s="8"/>
      <c r="K584" s="8"/>
      <c r="L584" s="9" t="s">
        <v>605</v>
      </c>
      <c r="M584" s="8"/>
    </row>
    <row r="585" spans="1:13" x14ac:dyDescent="0.25">
      <c r="A585" s="13" t="s">
        <v>1292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370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1293</v>
      </c>
      <c r="B586" s="67">
        <v>39937482801</v>
      </c>
      <c r="C586" s="68" t="s">
        <v>1294</v>
      </c>
      <c r="D586" s="69">
        <v>36243454860</v>
      </c>
      <c r="E586" s="9">
        <v>1128</v>
      </c>
      <c r="F586" s="25">
        <v>42972</v>
      </c>
      <c r="G586" s="70" t="s">
        <v>370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1295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370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1296</v>
      </c>
      <c r="B588" s="67">
        <v>4090078466</v>
      </c>
      <c r="C588" s="72" t="s">
        <v>1297</v>
      </c>
      <c r="D588" s="69">
        <v>31135278806</v>
      </c>
      <c r="E588" s="9">
        <v>1555</v>
      </c>
      <c r="F588" s="25">
        <v>43049</v>
      </c>
      <c r="G588" s="70" t="s">
        <v>377</v>
      </c>
      <c r="H588" s="9"/>
      <c r="I588" s="8"/>
      <c r="J588" s="8"/>
      <c r="K588" s="8"/>
      <c r="L588" s="9" t="s">
        <v>749</v>
      </c>
      <c r="M588" s="8"/>
    </row>
    <row r="589" spans="1:13" x14ac:dyDescent="0.25">
      <c r="A589" s="72" t="s">
        <v>1298</v>
      </c>
      <c r="B589" s="67">
        <v>22857706855</v>
      </c>
      <c r="C589" s="72" t="s">
        <v>1299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1300</v>
      </c>
      <c r="B590" s="67">
        <v>30278629873</v>
      </c>
      <c r="C590" s="72" t="s">
        <v>1301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1302</v>
      </c>
      <c r="B591" s="67"/>
      <c r="C591" s="29" t="s">
        <v>1303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1304</v>
      </c>
      <c r="B592" s="67">
        <v>35569130896</v>
      </c>
      <c r="C592" s="72" t="s">
        <v>1305</v>
      </c>
      <c r="D592" s="69">
        <v>34252178878</v>
      </c>
      <c r="E592" s="9">
        <v>262</v>
      </c>
      <c r="F592" s="25">
        <v>43160</v>
      </c>
      <c r="G592" s="9" t="s">
        <v>370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1306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370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1307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370</v>
      </c>
      <c r="H594" s="9"/>
      <c r="I594" s="8"/>
      <c r="J594" s="8"/>
      <c r="K594" s="8"/>
      <c r="L594" s="9" t="s">
        <v>749</v>
      </c>
      <c r="M594" s="8"/>
    </row>
    <row r="595" spans="1:13" x14ac:dyDescent="0.25">
      <c r="A595" s="72" t="s">
        <v>1308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1309</v>
      </c>
      <c r="B596" s="67">
        <v>5704186580</v>
      </c>
      <c r="C596" s="72" t="s">
        <v>1310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1311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370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1312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370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1313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1314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370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1315</v>
      </c>
      <c r="B601" s="67">
        <v>38453816808</v>
      </c>
      <c r="C601" s="72" t="s">
        <v>1316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1317</v>
      </c>
      <c r="B602" s="67">
        <v>46366084882</v>
      </c>
      <c r="C602" s="18" t="s">
        <v>481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1318</v>
      </c>
      <c r="B603" s="67"/>
      <c r="C603" s="18" t="s">
        <v>481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1319</v>
      </c>
      <c r="B604" s="67">
        <v>40415212898</v>
      </c>
      <c r="C604" s="72" t="s">
        <v>1320</v>
      </c>
      <c r="D604" s="69">
        <v>35522659882</v>
      </c>
      <c r="E604" s="9">
        <v>262</v>
      </c>
      <c r="F604" s="25">
        <v>43160</v>
      </c>
      <c r="G604" s="70" t="s">
        <v>370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1321</v>
      </c>
      <c r="B605" s="67">
        <v>41957432810</v>
      </c>
      <c r="C605" s="72" t="s">
        <v>1322</v>
      </c>
      <c r="D605" s="69">
        <v>22992085855</v>
      </c>
      <c r="E605" s="9">
        <v>1824</v>
      </c>
      <c r="F605" s="25">
        <v>43091</v>
      </c>
      <c r="G605" s="70" t="s">
        <v>370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1323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370</v>
      </c>
      <c r="H606" s="9"/>
      <c r="I606" s="8"/>
      <c r="J606" s="8"/>
      <c r="K606" s="8"/>
      <c r="L606" s="9" t="s">
        <v>522</v>
      </c>
      <c r="M606" s="8"/>
    </row>
    <row r="607" spans="1:13" x14ac:dyDescent="0.25">
      <c r="A607" s="15" t="s">
        <v>1324</v>
      </c>
      <c r="B607" s="67">
        <v>36252717886</v>
      </c>
      <c r="C607" s="72" t="s">
        <v>1325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1326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370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1327</v>
      </c>
      <c r="B609" s="67">
        <v>23436019844</v>
      </c>
      <c r="C609" s="72" t="s">
        <v>1328</v>
      </c>
      <c r="D609" s="69">
        <v>35927095852</v>
      </c>
      <c r="E609" s="9">
        <v>810</v>
      </c>
      <c r="F609" s="25">
        <v>42915</v>
      </c>
      <c r="G609" s="70" t="s">
        <v>370</v>
      </c>
      <c r="H609" s="9"/>
      <c r="I609" s="8"/>
      <c r="J609" s="8"/>
      <c r="K609" s="8"/>
      <c r="L609" s="9" t="s">
        <v>490</v>
      </c>
      <c r="M609" s="8"/>
    </row>
    <row r="610" spans="1:13" x14ac:dyDescent="0.25">
      <c r="A610" s="71" t="s">
        <v>1329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370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1330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370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1331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370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1332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1333</v>
      </c>
      <c r="B614" s="67">
        <v>32114645819</v>
      </c>
      <c r="C614" s="72" t="s">
        <v>1334</v>
      </c>
      <c r="D614" s="69">
        <v>33183764857</v>
      </c>
      <c r="E614" s="9">
        <v>810</v>
      </c>
      <c r="F614" s="25">
        <v>42915</v>
      </c>
      <c r="G614" s="70" t="s">
        <v>370</v>
      </c>
      <c r="H614" s="9"/>
      <c r="I614" s="8"/>
      <c r="J614" s="8"/>
      <c r="K614" s="8"/>
      <c r="L614" s="9" t="s">
        <v>490</v>
      </c>
      <c r="M614" s="8"/>
    </row>
    <row r="615" spans="1:13" x14ac:dyDescent="0.25">
      <c r="A615" s="29" t="s">
        <v>1335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1336</v>
      </c>
      <c r="B616" s="67">
        <v>4836720508</v>
      </c>
      <c r="C616" s="18" t="s">
        <v>1337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1338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370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1339</v>
      </c>
      <c r="B618" s="67">
        <v>42187654800</v>
      </c>
      <c r="C618" s="29" t="s">
        <v>1340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1341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370</v>
      </c>
      <c r="H619" s="9"/>
      <c r="I619" s="8"/>
      <c r="J619" s="8"/>
      <c r="K619" s="8"/>
      <c r="L619" s="9" t="s">
        <v>853</v>
      </c>
      <c r="M619" s="8"/>
    </row>
    <row r="620" spans="1:13" x14ac:dyDescent="0.25">
      <c r="A620" s="71" t="s">
        <v>1342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1343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1344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1345</v>
      </c>
      <c r="B623" s="67">
        <v>1283631504</v>
      </c>
      <c r="C623" s="72" t="s">
        <v>1346</v>
      </c>
      <c r="D623" s="69">
        <v>62180886349</v>
      </c>
      <c r="E623" s="9">
        <v>1824</v>
      </c>
      <c r="F623" s="25">
        <v>43091</v>
      </c>
      <c r="G623" s="70" t="s">
        <v>370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1347</v>
      </c>
      <c r="B624" s="67">
        <v>5389709527</v>
      </c>
      <c r="C624" s="86" t="s">
        <v>1348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1349</v>
      </c>
      <c r="B625" s="67">
        <v>1262412528</v>
      </c>
      <c r="C625" s="68" t="s">
        <v>1350</v>
      </c>
      <c r="D625" s="69">
        <v>3045815502</v>
      </c>
      <c r="E625" s="9">
        <v>1241</v>
      </c>
      <c r="F625" s="25">
        <v>42992</v>
      </c>
      <c r="G625" s="70" t="s">
        <v>370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1351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651</v>
      </c>
      <c r="M626" s="8"/>
    </row>
    <row r="627" spans="1:13" x14ac:dyDescent="0.25">
      <c r="A627" s="71" t="s">
        <v>1352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576</v>
      </c>
      <c r="B628" s="67">
        <v>9704111460</v>
      </c>
      <c r="C628" s="72" t="s">
        <v>1353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1354</v>
      </c>
      <c r="B629" s="67">
        <v>41653576855</v>
      </c>
      <c r="C629" s="72" t="s">
        <v>1355</v>
      </c>
      <c r="D629" s="69">
        <v>33219880894</v>
      </c>
      <c r="E629" s="9">
        <v>1439</v>
      </c>
      <c r="F629" s="25">
        <v>43025</v>
      </c>
      <c r="G629" s="70" t="s">
        <v>370</v>
      </c>
      <c r="H629" s="9"/>
      <c r="I629" s="8"/>
      <c r="J629" s="8"/>
      <c r="K629" s="8"/>
      <c r="L629" s="9" t="s">
        <v>853</v>
      </c>
      <c r="M629" s="8"/>
    </row>
    <row r="630" spans="1:13" x14ac:dyDescent="0.25">
      <c r="A630" s="71" t="s">
        <v>1356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370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1357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370</v>
      </c>
      <c r="H631" s="9"/>
      <c r="I631" s="8"/>
      <c r="J631" s="8"/>
      <c r="K631" s="8"/>
      <c r="L631" s="9" t="s">
        <v>490</v>
      </c>
      <c r="M631" s="8"/>
    </row>
    <row r="632" spans="1:13" x14ac:dyDescent="0.25">
      <c r="A632" s="29" t="s">
        <v>1358</v>
      </c>
      <c r="B632" s="67">
        <v>29065742875</v>
      </c>
      <c r="C632" s="29" t="s">
        <v>1359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1360</v>
      </c>
      <c r="B633" s="67">
        <v>39491305867</v>
      </c>
      <c r="C633" s="72" t="s">
        <v>1361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1362</v>
      </c>
      <c r="B634" s="67">
        <v>35049140846</v>
      </c>
      <c r="C634" s="18" t="s">
        <v>1363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1364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370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1365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651</v>
      </c>
      <c r="M636" s="8"/>
    </row>
    <row r="637" spans="1:13" x14ac:dyDescent="0.25">
      <c r="A637" s="71" t="s">
        <v>1366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370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1367</v>
      </c>
      <c r="B638" s="67"/>
      <c r="C638" s="18" t="s">
        <v>1368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1369</v>
      </c>
      <c r="B639" s="67">
        <v>198674503</v>
      </c>
      <c r="C639" s="18" t="s">
        <v>1370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1371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1372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1373</v>
      </c>
      <c r="B642" s="67">
        <v>28074733858</v>
      </c>
      <c r="C642" s="72" t="s">
        <v>1374</v>
      </c>
      <c r="D642" s="69">
        <v>18033766867</v>
      </c>
      <c r="E642" s="9">
        <v>810</v>
      </c>
      <c r="F642" s="25">
        <v>42915</v>
      </c>
      <c r="G642" s="70" t="s">
        <v>370</v>
      </c>
      <c r="H642" s="9"/>
      <c r="I642" s="8"/>
      <c r="J642" s="8"/>
      <c r="K642" s="8"/>
      <c r="L642" s="9" t="s">
        <v>490</v>
      </c>
      <c r="M642" s="8"/>
    </row>
    <row r="643" spans="1:13" x14ac:dyDescent="0.25">
      <c r="A643" s="71" t="s">
        <v>1375</v>
      </c>
      <c r="B643" s="67">
        <v>41583475800</v>
      </c>
      <c r="C643" s="72" t="s">
        <v>1376</v>
      </c>
      <c r="D643" s="69">
        <v>47688665817</v>
      </c>
      <c r="E643" s="9">
        <v>810</v>
      </c>
      <c r="F643" s="25">
        <v>42915</v>
      </c>
      <c r="G643" s="70" t="s">
        <v>370</v>
      </c>
      <c r="H643" s="9"/>
      <c r="I643" s="8"/>
      <c r="J643" s="8"/>
      <c r="K643" s="8"/>
      <c r="L643" s="9" t="s">
        <v>490</v>
      </c>
      <c r="M643" s="8"/>
    </row>
    <row r="644" spans="1:13" x14ac:dyDescent="0.25">
      <c r="A644" s="71" t="s">
        <v>1377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370</v>
      </c>
      <c r="H644" s="9"/>
      <c r="I644" s="8"/>
      <c r="J644" s="8"/>
      <c r="K644" s="8"/>
      <c r="L644" s="9" t="s">
        <v>490</v>
      </c>
      <c r="M644" s="8"/>
    </row>
    <row r="645" spans="1:13" x14ac:dyDescent="0.25">
      <c r="A645" s="13" t="s">
        <v>1378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370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1379</v>
      </c>
      <c r="B646" s="67"/>
      <c r="C646" s="18" t="s">
        <v>481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1380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370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1381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370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1382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1383</v>
      </c>
      <c r="B650" s="67">
        <v>80234836334</v>
      </c>
      <c r="C650" s="72" t="s">
        <v>1384</v>
      </c>
      <c r="D650" s="69">
        <v>22522250841</v>
      </c>
      <c r="E650" s="9">
        <v>1267</v>
      </c>
      <c r="F650" s="25">
        <v>42998</v>
      </c>
      <c r="G650" s="70" t="s">
        <v>370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1385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370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1386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370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1387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1388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370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1389</v>
      </c>
      <c r="B655" s="67">
        <v>7385460895</v>
      </c>
      <c r="C655" s="72" t="s">
        <v>1390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1391</v>
      </c>
      <c r="B656" s="67">
        <v>31828009814</v>
      </c>
      <c r="C656" s="18" t="s">
        <v>1392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1393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370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1394</v>
      </c>
      <c r="B658" s="67">
        <v>15090098840</v>
      </c>
      <c r="C658" s="72" t="s">
        <v>1395</v>
      </c>
      <c r="D658" s="69">
        <v>3376233845</v>
      </c>
      <c r="E658" s="9">
        <v>1752</v>
      </c>
      <c r="F658" s="25">
        <v>43051</v>
      </c>
      <c r="G658" s="70" t="s">
        <v>370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1396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370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1397</v>
      </c>
      <c r="B660" s="67">
        <v>30652965865</v>
      </c>
      <c r="C660" s="72" t="s">
        <v>1398</v>
      </c>
      <c r="D660" s="69">
        <v>23330127813</v>
      </c>
      <c r="E660" s="9">
        <v>1214</v>
      </c>
      <c r="F660" s="25">
        <v>42989</v>
      </c>
      <c r="G660" s="70" t="s">
        <v>370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1399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370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1400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1401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370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1402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651</v>
      </c>
      <c r="M664" s="8"/>
    </row>
    <row r="665" spans="1:13" x14ac:dyDescent="0.25">
      <c r="A665" s="71" t="s">
        <v>1403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370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1404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370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1405</v>
      </c>
      <c r="B667" s="67">
        <v>39898491825</v>
      </c>
      <c r="C667" s="72" t="s">
        <v>1406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1407</v>
      </c>
      <c r="B668" s="67">
        <v>96629428587</v>
      </c>
      <c r="C668" s="29" t="s">
        <v>1408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1409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370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1410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370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1411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1412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370</v>
      </c>
      <c r="H672" s="9"/>
      <c r="I672" s="8"/>
      <c r="J672" s="8"/>
      <c r="K672" s="8"/>
      <c r="L672" s="9" t="s">
        <v>605</v>
      </c>
      <c r="M672" s="8"/>
    </row>
    <row r="673" spans="1:13" x14ac:dyDescent="0.25">
      <c r="A673" s="71" t="s">
        <v>1413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370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1414</v>
      </c>
      <c r="B674" s="67">
        <v>11438313810</v>
      </c>
      <c r="C674" s="72" t="s">
        <v>1415</v>
      </c>
      <c r="D674" s="69">
        <v>11400812844</v>
      </c>
      <c r="E674" s="9">
        <v>292</v>
      </c>
      <c r="F674" s="25">
        <v>43168</v>
      </c>
      <c r="G674" s="70" t="s">
        <v>370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1416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1417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370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1418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370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1419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1420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1421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370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1422</v>
      </c>
      <c r="B681" s="34">
        <v>31970473894</v>
      </c>
      <c r="C681" s="17" t="s">
        <v>1423</v>
      </c>
      <c r="D681" s="35">
        <v>22945039885</v>
      </c>
      <c r="E681" s="36">
        <v>1128</v>
      </c>
      <c r="F681" s="37">
        <v>42972</v>
      </c>
      <c r="G681" s="38" t="s">
        <v>370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1424</v>
      </c>
      <c r="B682" s="67">
        <v>29486419850</v>
      </c>
      <c r="C682" s="72" t="s">
        <v>1425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1426</v>
      </c>
      <c r="B683" s="67">
        <v>73699993272</v>
      </c>
      <c r="C683" s="72" t="s">
        <v>1427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1428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370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1429</v>
      </c>
      <c r="B685" s="67">
        <v>34833459817</v>
      </c>
      <c r="C685" s="68" t="s">
        <v>1430</v>
      </c>
      <c r="D685" s="69">
        <v>32077064870</v>
      </c>
      <c r="E685" s="9">
        <v>1128</v>
      </c>
      <c r="F685" s="25">
        <v>42972</v>
      </c>
      <c r="G685" s="70" t="s">
        <v>370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1431</v>
      </c>
      <c r="B686" s="67">
        <v>15203953880</v>
      </c>
      <c r="C686" s="72" t="s">
        <v>1432</v>
      </c>
      <c r="D686" s="69">
        <v>16339364810</v>
      </c>
      <c r="E686" s="9">
        <v>229</v>
      </c>
      <c r="F686" s="25">
        <v>43151</v>
      </c>
      <c r="G686" s="70" t="s">
        <v>377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1433</v>
      </c>
      <c r="B687" s="67">
        <v>23891239882</v>
      </c>
      <c r="C687" s="72" t="s">
        <v>1434</v>
      </c>
      <c r="D687" s="69">
        <v>22474449892</v>
      </c>
      <c r="E687" s="9">
        <v>1555</v>
      </c>
      <c r="F687" s="25">
        <v>43049</v>
      </c>
      <c r="G687" s="70" t="s">
        <v>370</v>
      </c>
      <c r="H687" s="9"/>
      <c r="I687" s="8"/>
      <c r="J687" s="8"/>
      <c r="K687" s="8"/>
      <c r="L687" s="9" t="s">
        <v>749</v>
      </c>
      <c r="M687" s="8"/>
    </row>
    <row r="688" spans="1:13" x14ac:dyDescent="0.25">
      <c r="A688" s="15" t="s">
        <v>1435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370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1436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370</v>
      </c>
      <c r="H689" s="9"/>
      <c r="I689" s="8"/>
      <c r="J689" s="8"/>
      <c r="K689" s="8"/>
      <c r="L689" s="9" t="s">
        <v>490</v>
      </c>
      <c r="M689" s="8"/>
    </row>
    <row r="690" spans="1:13" x14ac:dyDescent="0.25">
      <c r="A690" s="72" t="s">
        <v>1437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651</v>
      </c>
      <c r="M690" s="8"/>
    </row>
    <row r="691" spans="1:13" x14ac:dyDescent="0.25">
      <c r="A691" s="13" t="s">
        <v>1438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370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1439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1440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370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1441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1442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370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1443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377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1444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370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1445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370</v>
      </c>
      <c r="H698" s="9"/>
      <c r="I698" s="8"/>
      <c r="J698" s="8"/>
      <c r="K698" s="8"/>
      <c r="L698" s="9" t="s">
        <v>490</v>
      </c>
      <c r="M698" s="8"/>
    </row>
    <row r="699" spans="1:13" x14ac:dyDescent="0.25">
      <c r="A699" s="71" t="s">
        <v>1446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1447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370</v>
      </c>
      <c r="H700" s="9"/>
      <c r="I700" s="8"/>
      <c r="J700" s="8"/>
      <c r="K700" s="8"/>
      <c r="L700" s="9" t="s">
        <v>512</v>
      </c>
      <c r="M700" s="8"/>
    </row>
    <row r="701" spans="1:13" x14ac:dyDescent="0.25">
      <c r="A701" s="71" t="s">
        <v>1448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1449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1450</v>
      </c>
      <c r="B703" s="67">
        <v>25698933820</v>
      </c>
      <c r="C703" s="72" t="s">
        <v>1451</v>
      </c>
      <c r="D703" s="69">
        <v>14047433837</v>
      </c>
      <c r="E703" s="9">
        <v>810</v>
      </c>
      <c r="F703" s="25">
        <v>42915</v>
      </c>
      <c r="G703" s="70" t="s">
        <v>370</v>
      </c>
      <c r="H703" s="76">
        <v>43213</v>
      </c>
      <c r="I703" s="8"/>
      <c r="J703" s="8"/>
      <c r="K703" s="8"/>
      <c r="L703" s="9" t="s">
        <v>490</v>
      </c>
      <c r="M703" s="8"/>
    </row>
    <row r="704" spans="1:13" x14ac:dyDescent="0.25">
      <c r="A704" s="71" t="s">
        <v>1452</v>
      </c>
      <c r="B704" s="67">
        <v>34806644315</v>
      </c>
      <c r="C704" s="72" t="s">
        <v>1453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1454</v>
      </c>
      <c r="B705" s="67">
        <v>33189488886</v>
      </c>
      <c r="C705" s="72" t="s">
        <v>1455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1456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370</v>
      </c>
      <c r="H706" s="76">
        <v>43213</v>
      </c>
      <c r="I706" s="8"/>
      <c r="J706" s="8"/>
      <c r="K706" s="8"/>
      <c r="L706" s="9" t="s">
        <v>490</v>
      </c>
      <c r="M706" s="8"/>
    </row>
    <row r="707" spans="1:13" x14ac:dyDescent="0.25">
      <c r="A707" s="71" t="s">
        <v>1457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370</v>
      </c>
      <c r="H707" s="76">
        <v>43213</v>
      </c>
      <c r="I707" s="8"/>
      <c r="J707" s="8"/>
      <c r="K707" s="8"/>
      <c r="L707" s="9" t="s">
        <v>749</v>
      </c>
      <c r="M707" s="8"/>
    </row>
    <row r="708" spans="1:13" x14ac:dyDescent="0.25">
      <c r="A708" s="13" t="s">
        <v>1458</v>
      </c>
      <c r="B708" s="67">
        <v>28390636549</v>
      </c>
      <c r="C708" s="72" t="s">
        <v>1459</v>
      </c>
      <c r="D708" s="69">
        <v>49042904534</v>
      </c>
      <c r="E708" s="9">
        <v>1343</v>
      </c>
      <c r="F708" s="25">
        <v>43004</v>
      </c>
      <c r="G708" s="70" t="s">
        <v>370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1460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1461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370</v>
      </c>
      <c r="H710" s="76">
        <v>43213</v>
      </c>
      <c r="I710" s="8"/>
      <c r="J710" s="8"/>
      <c r="K710" s="8"/>
      <c r="L710" s="9" t="s">
        <v>490</v>
      </c>
      <c r="M710" s="8"/>
    </row>
    <row r="711" spans="1:13" x14ac:dyDescent="0.25">
      <c r="A711" s="71" t="s">
        <v>1462</v>
      </c>
      <c r="B711" s="67">
        <v>27863123534</v>
      </c>
      <c r="C711" s="72" t="s">
        <v>1463</v>
      </c>
      <c r="D711" s="69">
        <v>33480142800</v>
      </c>
      <c r="E711" s="9">
        <v>1214</v>
      </c>
      <c r="F711" s="25">
        <v>42989</v>
      </c>
      <c r="G711" s="70" t="s">
        <v>370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1464</v>
      </c>
      <c r="B712" s="67">
        <v>39454972804</v>
      </c>
      <c r="C712" s="72" t="s">
        <v>1465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1466</v>
      </c>
      <c r="B713" s="67"/>
      <c r="C713" s="29" t="s">
        <v>1467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1468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370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1469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370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1470</v>
      </c>
      <c r="B716" s="67">
        <v>17810014803</v>
      </c>
      <c r="C716" s="72" t="s">
        <v>1471</v>
      </c>
      <c r="D716" s="69">
        <v>28934526807</v>
      </c>
      <c r="E716" s="9">
        <v>292</v>
      </c>
      <c r="F716" s="25">
        <v>43168</v>
      </c>
      <c r="G716" s="9" t="s">
        <v>370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1472</v>
      </c>
      <c r="B717" s="67">
        <v>724258574</v>
      </c>
      <c r="C717" s="72" t="s">
        <v>1473</v>
      </c>
      <c r="D717" s="69">
        <v>18303361856</v>
      </c>
      <c r="E717" s="9">
        <v>262</v>
      </c>
      <c r="F717" s="25">
        <v>43160</v>
      </c>
      <c r="G717" s="70" t="s">
        <v>370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1474</v>
      </c>
      <c r="B718" s="67">
        <v>37453999863</v>
      </c>
      <c r="C718" s="72" t="s">
        <v>1475</v>
      </c>
      <c r="D718" s="69"/>
      <c r="E718" s="9">
        <v>1241</v>
      </c>
      <c r="F718" s="25">
        <v>42992</v>
      </c>
      <c r="G718" s="70" t="s">
        <v>370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1476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1477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370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1478</v>
      </c>
      <c r="B721" s="67">
        <v>30308539850</v>
      </c>
      <c r="C721" s="72" t="s">
        <v>1479</v>
      </c>
      <c r="D721" s="69">
        <v>84739517434</v>
      </c>
      <c r="E721" s="9">
        <v>810</v>
      </c>
      <c r="F721" s="25">
        <v>42915</v>
      </c>
      <c r="G721" s="70" t="s">
        <v>370</v>
      </c>
      <c r="H721" s="9"/>
      <c r="I721" s="8"/>
      <c r="J721" s="8"/>
      <c r="K721" s="8"/>
      <c r="L721" s="9" t="s">
        <v>490</v>
      </c>
      <c r="M721" s="8"/>
    </row>
    <row r="722" spans="1:13" x14ac:dyDescent="0.25">
      <c r="A722" s="71" t="s">
        <v>1480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1481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1482</v>
      </c>
      <c r="B724" s="67">
        <v>21716687845</v>
      </c>
      <c r="C724" s="15" t="s">
        <v>1483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1484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370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1485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370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1486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370</v>
      </c>
      <c r="H727" s="9"/>
      <c r="I727" s="8"/>
      <c r="J727" s="8"/>
      <c r="K727" s="8"/>
      <c r="L727" s="9" t="s">
        <v>605</v>
      </c>
      <c r="M727" s="8"/>
    </row>
    <row r="728" spans="1:13" x14ac:dyDescent="0.25">
      <c r="A728" s="14" t="s">
        <v>1487</v>
      </c>
      <c r="B728" s="67">
        <v>99658925553</v>
      </c>
      <c r="C728" s="72" t="s">
        <v>1488</v>
      </c>
      <c r="D728" s="69">
        <v>99610108504</v>
      </c>
      <c r="E728" s="9">
        <v>262</v>
      </c>
      <c r="F728" s="25">
        <v>43160</v>
      </c>
      <c r="G728" s="70" t="s">
        <v>370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1489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370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1490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370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1491</v>
      </c>
      <c r="B731" s="67"/>
      <c r="C731" s="18" t="s">
        <v>481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1492</v>
      </c>
      <c r="B732" s="67">
        <v>25905224870</v>
      </c>
      <c r="C732" s="68" t="s">
        <v>1493</v>
      </c>
      <c r="D732" s="69">
        <v>36185256304</v>
      </c>
      <c r="E732" s="9">
        <v>1824</v>
      </c>
      <c r="F732" s="25">
        <v>43091</v>
      </c>
      <c r="G732" s="70" t="s">
        <v>370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1494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370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1495</v>
      </c>
      <c r="B734" s="67">
        <v>33160363856</v>
      </c>
      <c r="C734" s="72" t="s">
        <v>1496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1497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370</v>
      </c>
      <c r="H735" s="9"/>
      <c r="I735" s="8"/>
      <c r="J735" s="8"/>
      <c r="K735" s="8"/>
      <c r="L735" s="9" t="s">
        <v>605</v>
      </c>
      <c r="M735" s="8"/>
    </row>
    <row r="736" spans="1:13" x14ac:dyDescent="0.25">
      <c r="A736" s="15" t="s">
        <v>1498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370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1499</v>
      </c>
      <c r="B737" s="67">
        <v>71752722434</v>
      </c>
      <c r="C737" s="18" t="s">
        <v>481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1500</v>
      </c>
      <c r="B738" s="67">
        <v>8590565890</v>
      </c>
      <c r="C738" s="72" t="s">
        <v>1501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651</v>
      </c>
      <c r="M738" s="8"/>
    </row>
    <row r="739" spans="1:13" x14ac:dyDescent="0.25">
      <c r="A739" s="71" t="s">
        <v>1502</v>
      </c>
      <c r="B739" s="67">
        <v>35556660883</v>
      </c>
      <c r="C739" s="72" t="s">
        <v>1503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1504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1505</v>
      </c>
      <c r="B741" s="67">
        <v>25905305870</v>
      </c>
      <c r="C741" s="72" t="s">
        <v>1506</v>
      </c>
      <c r="D741" s="69">
        <v>11480794830</v>
      </c>
      <c r="E741" s="9">
        <v>1267</v>
      </c>
      <c r="F741" s="25">
        <v>42998</v>
      </c>
      <c r="G741" s="70" t="s">
        <v>370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1507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1508</v>
      </c>
      <c r="B743" s="67">
        <v>18360141800</v>
      </c>
      <c r="C743" s="72" t="s">
        <v>1509</v>
      </c>
      <c r="D743" s="69">
        <v>48201979591</v>
      </c>
      <c r="E743" s="9">
        <v>117</v>
      </c>
      <c r="F743" s="25">
        <v>43117</v>
      </c>
      <c r="G743" s="70" t="s">
        <v>370</v>
      </c>
      <c r="H743" s="9"/>
      <c r="I743" s="8"/>
      <c r="J743" s="8"/>
      <c r="K743" s="8"/>
      <c r="L743" s="9" t="s">
        <v>522</v>
      </c>
      <c r="M743" s="8"/>
    </row>
    <row r="744" spans="1:13" x14ac:dyDescent="0.25">
      <c r="A744" s="15" t="s">
        <v>1510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522</v>
      </c>
      <c r="M744" s="8"/>
    </row>
    <row r="745" spans="1:13" x14ac:dyDescent="0.25">
      <c r="A745" s="71" t="s">
        <v>1511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1512</v>
      </c>
      <c r="B746" s="67">
        <v>36613647829</v>
      </c>
      <c r="C746" s="72" t="s">
        <v>1513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1514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370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1515</v>
      </c>
      <c r="B748" s="67">
        <v>25332480881</v>
      </c>
      <c r="C748" s="18" t="s">
        <v>481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1516</v>
      </c>
      <c r="B749" s="67">
        <v>16365042809</v>
      </c>
      <c r="C749" s="72" t="s">
        <v>1517</v>
      </c>
      <c r="D749" s="69">
        <v>26488933850</v>
      </c>
      <c r="E749" s="9">
        <v>117</v>
      </c>
      <c r="F749" s="25">
        <v>43117</v>
      </c>
      <c r="G749" s="70" t="s">
        <v>370</v>
      </c>
      <c r="H749" s="25">
        <v>43151</v>
      </c>
      <c r="I749" s="8"/>
      <c r="J749" s="8"/>
      <c r="K749" s="8"/>
      <c r="L749" s="9" t="s">
        <v>522</v>
      </c>
      <c r="M749" s="8"/>
    </row>
    <row r="750" spans="1:13" x14ac:dyDescent="0.25">
      <c r="A750" s="15" t="s">
        <v>1518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370</v>
      </c>
      <c r="H750" s="25">
        <v>43151</v>
      </c>
      <c r="I750" s="8"/>
      <c r="J750" s="8"/>
      <c r="K750" s="8"/>
      <c r="L750" s="9" t="s">
        <v>522</v>
      </c>
      <c r="M750" s="8"/>
    </row>
    <row r="751" spans="1:13" x14ac:dyDescent="0.25">
      <c r="A751" s="71" t="s">
        <v>1519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1520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377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1521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370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1522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370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1523</v>
      </c>
      <c r="B755" s="67"/>
      <c r="C755" s="18" t="s">
        <v>481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1524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1525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370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1526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1527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490</v>
      </c>
      <c r="M759" s="8"/>
    </row>
    <row r="760" spans="1:13" x14ac:dyDescent="0.25">
      <c r="A760" s="71" t="s">
        <v>1528</v>
      </c>
      <c r="B760" s="67">
        <v>41756319847</v>
      </c>
      <c r="C760" s="72" t="s">
        <v>1529</v>
      </c>
      <c r="D760" s="69">
        <v>28780799817</v>
      </c>
      <c r="E760" s="9">
        <v>1489</v>
      </c>
      <c r="F760" s="25">
        <v>43038</v>
      </c>
      <c r="G760" s="70" t="s">
        <v>385</v>
      </c>
      <c r="H760" s="9"/>
      <c r="I760" s="8"/>
      <c r="J760" s="8"/>
      <c r="K760" s="8"/>
      <c r="L760" s="9" t="s">
        <v>512</v>
      </c>
      <c r="M760" s="8"/>
    </row>
    <row r="761" spans="1:13" x14ac:dyDescent="0.25">
      <c r="A761" s="71" t="s">
        <v>1530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370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1531</v>
      </c>
      <c r="B762" s="67"/>
      <c r="C762" s="29" t="s">
        <v>481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1532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1533</v>
      </c>
      <c r="B764" s="67">
        <v>39762019873</v>
      </c>
      <c r="C764" s="68" t="s">
        <v>1534</v>
      </c>
      <c r="D764" s="69">
        <v>28639452890</v>
      </c>
      <c r="E764" s="9">
        <v>1128</v>
      </c>
      <c r="F764" s="25">
        <v>42972</v>
      </c>
      <c r="G764" s="70" t="s">
        <v>370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1535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370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1536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1537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370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1538</v>
      </c>
      <c r="B768" s="67">
        <v>21914504828</v>
      </c>
      <c r="C768" s="72" t="s">
        <v>1539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1540</v>
      </c>
      <c r="B769" s="67">
        <v>11259745830</v>
      </c>
      <c r="C769" s="72" t="s">
        <v>1541</v>
      </c>
      <c r="D769" s="69">
        <v>49121901368</v>
      </c>
      <c r="E769" s="9">
        <v>262</v>
      </c>
      <c r="F769" s="25">
        <v>43160</v>
      </c>
      <c r="G769" s="70" t="s">
        <v>370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1542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370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1543</v>
      </c>
      <c r="B771" s="67">
        <v>22547591839</v>
      </c>
      <c r="C771" s="72" t="s">
        <v>1544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1545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1546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1547</v>
      </c>
      <c r="B774" s="67">
        <v>9881940400</v>
      </c>
      <c r="C774" s="72" t="s">
        <v>1548</v>
      </c>
      <c r="D774" s="69">
        <v>1778905501</v>
      </c>
      <c r="E774" s="9">
        <v>262</v>
      </c>
      <c r="F774" s="25">
        <v>43160</v>
      </c>
      <c r="G774" s="70" t="s">
        <v>377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1549</v>
      </c>
      <c r="B775" s="67">
        <v>18240627889</v>
      </c>
      <c r="C775" s="77" t="s">
        <v>1550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1551</v>
      </c>
      <c r="B776" s="67">
        <v>34715955890</v>
      </c>
      <c r="C776" s="72" t="s">
        <v>1552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1553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370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1554</v>
      </c>
      <c r="B778" s="67">
        <v>2413902490</v>
      </c>
      <c r="C778" s="77" t="s">
        <v>1555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1556</v>
      </c>
      <c r="B779" s="67">
        <v>30558706894</v>
      </c>
      <c r="C779" s="72" t="s">
        <v>1557</v>
      </c>
      <c r="D779" s="69">
        <v>87700352372</v>
      </c>
      <c r="E779" s="9">
        <v>810</v>
      </c>
      <c r="F779" s="25">
        <v>42915</v>
      </c>
      <c r="G779" s="70" t="s">
        <v>370</v>
      </c>
      <c r="H779" s="9"/>
      <c r="I779" s="8"/>
      <c r="J779" s="8"/>
      <c r="K779" s="8"/>
      <c r="L779" s="9" t="s">
        <v>490</v>
      </c>
      <c r="M779" s="8"/>
    </row>
    <row r="780" spans="1:13" x14ac:dyDescent="0.25">
      <c r="A780" s="71" t="s">
        <v>1558</v>
      </c>
      <c r="B780" s="67">
        <v>27926471836</v>
      </c>
      <c r="C780" s="72" t="s">
        <v>1559</v>
      </c>
      <c r="D780" s="69">
        <v>2210309484</v>
      </c>
      <c r="E780" s="9">
        <v>1439</v>
      </c>
      <c r="F780" s="25">
        <v>43025</v>
      </c>
      <c r="G780" s="70" t="s">
        <v>377</v>
      </c>
      <c r="H780" s="9"/>
      <c r="I780" s="8"/>
      <c r="J780" s="8"/>
      <c r="K780" s="8"/>
      <c r="L780" s="9" t="s">
        <v>853</v>
      </c>
      <c r="M780" s="8"/>
    </row>
    <row r="781" spans="1:13" x14ac:dyDescent="0.25">
      <c r="A781" s="15" t="s">
        <v>1560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370</v>
      </c>
      <c r="H781" s="9"/>
      <c r="I781" s="8"/>
      <c r="J781" s="8"/>
      <c r="K781" s="8"/>
      <c r="L781" s="9" t="s">
        <v>522</v>
      </c>
      <c r="M781" s="8"/>
    </row>
    <row r="782" spans="1:13" x14ac:dyDescent="0.25">
      <c r="A782" s="71" t="s">
        <v>1561</v>
      </c>
      <c r="B782" s="67">
        <v>47361352391</v>
      </c>
      <c r="C782" s="72" t="s">
        <v>1562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1563</v>
      </c>
      <c r="B783" s="67">
        <v>32763223826</v>
      </c>
      <c r="C783" s="72" t="s">
        <v>1564</v>
      </c>
      <c r="D783" s="69">
        <v>27936363807</v>
      </c>
      <c r="E783" s="9">
        <v>608</v>
      </c>
      <c r="F783" s="25">
        <v>43012</v>
      </c>
      <c r="G783" s="70" t="s">
        <v>370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1565</v>
      </c>
      <c r="B784" s="67"/>
      <c r="C784" s="18" t="s">
        <v>1566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1567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370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1568</v>
      </c>
      <c r="B786" s="67">
        <v>39068600869</v>
      </c>
      <c r="C786" s="72"/>
      <c r="D786" s="69"/>
      <c r="E786" s="9"/>
      <c r="F786" s="25"/>
      <c r="G786" s="70" t="s">
        <v>370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1569</v>
      </c>
      <c r="B787" s="67">
        <v>31875471847</v>
      </c>
      <c r="C787" s="18" t="s">
        <v>1570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1571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1572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1573</v>
      </c>
      <c r="B790" s="67">
        <v>11634805844</v>
      </c>
      <c r="C790" s="29" t="s">
        <v>481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1574</v>
      </c>
      <c r="B791" s="67">
        <v>39485124856</v>
      </c>
      <c r="C791" s="72" t="s">
        <v>1575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1576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1577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1578</v>
      </c>
      <c r="B794" s="67">
        <v>32221516877</v>
      </c>
      <c r="C794" s="72" t="s">
        <v>1579</v>
      </c>
      <c r="D794" s="69">
        <v>18338419800</v>
      </c>
      <c r="E794" s="9">
        <v>1752</v>
      </c>
      <c r="F794" s="25">
        <v>43051</v>
      </c>
      <c r="G794" s="70" t="s">
        <v>370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1580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1581</v>
      </c>
      <c r="B796" s="67">
        <v>43951626810</v>
      </c>
      <c r="C796" s="72" t="s">
        <v>1582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1583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1584</v>
      </c>
      <c r="B798" s="67">
        <v>40840895836</v>
      </c>
      <c r="C798" s="72" t="s">
        <v>1585</v>
      </c>
      <c r="D798" s="69">
        <v>39329913890</v>
      </c>
      <c r="E798" s="9">
        <v>1106</v>
      </c>
      <c r="F798" s="25">
        <v>42965</v>
      </c>
      <c r="G798" s="70" t="s">
        <v>370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1586</v>
      </c>
      <c r="B799" s="67">
        <v>30969194809</v>
      </c>
      <c r="C799" s="72" t="s">
        <v>1587</v>
      </c>
      <c r="D799" s="69">
        <v>13013456876</v>
      </c>
      <c r="E799" s="9">
        <v>810</v>
      </c>
      <c r="F799" s="25">
        <v>42915</v>
      </c>
      <c r="G799" s="70" t="s">
        <v>370</v>
      </c>
      <c r="H799" s="76">
        <v>43213</v>
      </c>
      <c r="I799" s="8"/>
      <c r="J799" s="8"/>
      <c r="K799" s="8"/>
      <c r="L799" s="9" t="s">
        <v>490</v>
      </c>
      <c r="M799" s="8"/>
    </row>
    <row r="800" spans="1:13" x14ac:dyDescent="0.25">
      <c r="A800" s="71" t="s">
        <v>1588</v>
      </c>
      <c r="B800" s="67">
        <v>33186484855</v>
      </c>
      <c r="C800" s="77" t="s">
        <v>1589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1590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370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1591</v>
      </c>
      <c r="B802" s="67">
        <v>27298776819</v>
      </c>
      <c r="C802" s="72" t="s">
        <v>1592</v>
      </c>
      <c r="D802" s="69">
        <v>31387900544</v>
      </c>
      <c r="E802" s="9">
        <v>229</v>
      </c>
      <c r="F802" s="25">
        <v>43151</v>
      </c>
      <c r="G802" s="70" t="s">
        <v>370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1593</v>
      </c>
      <c r="B803" s="67">
        <v>28802120811</v>
      </c>
      <c r="C803" s="72" t="s">
        <v>1594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1595</v>
      </c>
      <c r="B804" s="67">
        <v>34581351898</v>
      </c>
      <c r="C804" s="18" t="s">
        <v>1596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1597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1598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370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1599</v>
      </c>
      <c r="B807" s="67"/>
      <c r="C807" s="29" t="s">
        <v>481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1600</v>
      </c>
      <c r="B808" s="67">
        <v>40324052391</v>
      </c>
      <c r="C808" s="72" t="s">
        <v>1601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1602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370</v>
      </c>
      <c r="H809" s="9"/>
      <c r="I809" s="8"/>
      <c r="J809" s="8"/>
      <c r="K809" s="8"/>
      <c r="L809" s="9" t="s">
        <v>490</v>
      </c>
      <c r="M809" s="8"/>
    </row>
    <row r="810" spans="1:13" x14ac:dyDescent="0.25">
      <c r="A810" s="71" t="s">
        <v>1603</v>
      </c>
      <c r="B810" s="67">
        <v>29022777847</v>
      </c>
      <c r="C810" s="72" t="s">
        <v>1604</v>
      </c>
      <c r="D810" s="69">
        <v>33430349400</v>
      </c>
      <c r="E810" s="9">
        <v>262</v>
      </c>
      <c r="F810" s="25">
        <v>43160</v>
      </c>
      <c r="G810" s="70" t="s">
        <v>370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1605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370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1606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1607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370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1608</v>
      </c>
      <c r="B814" s="67">
        <v>43523026865</v>
      </c>
      <c r="C814" s="72" t="s">
        <v>1609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1610</v>
      </c>
      <c r="B815" s="67"/>
      <c r="C815" s="29" t="s">
        <v>481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1611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370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1612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370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1613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370</v>
      </c>
      <c r="H818" s="9"/>
      <c r="I818" s="8"/>
      <c r="J818" s="8"/>
      <c r="K818" s="8"/>
      <c r="L818" s="9" t="s">
        <v>490</v>
      </c>
      <c r="M818" s="8"/>
    </row>
    <row r="819" spans="1:13" x14ac:dyDescent="0.25">
      <c r="A819" s="71" t="s">
        <v>1614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1615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1616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370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1617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370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1618</v>
      </c>
      <c r="B823" s="67">
        <v>5102923480</v>
      </c>
      <c r="C823" s="72" t="s">
        <v>1619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1620</v>
      </c>
      <c r="B824" s="67">
        <v>7268622406</v>
      </c>
      <c r="C824" s="72" t="s">
        <v>1621</v>
      </c>
      <c r="D824" s="69">
        <v>40507630874</v>
      </c>
      <c r="E824" s="9">
        <v>1267</v>
      </c>
      <c r="F824" s="25">
        <v>42998</v>
      </c>
      <c r="G824" s="70" t="s">
        <v>370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1622</v>
      </c>
      <c r="B825" s="67" t="s">
        <v>1623</v>
      </c>
      <c r="C825" s="77" t="s">
        <v>1624</v>
      </c>
      <c r="D825" s="69" t="s">
        <v>1625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1626</v>
      </c>
      <c r="B826" s="67"/>
      <c r="C826" s="29" t="s">
        <v>481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1627</v>
      </c>
      <c r="B827" s="67">
        <v>31429224827</v>
      </c>
      <c r="C827" s="72" t="s">
        <v>1628</v>
      </c>
      <c r="D827" s="69">
        <v>27263725894</v>
      </c>
      <c r="E827" s="9">
        <v>292</v>
      </c>
      <c r="F827" s="25">
        <v>43168</v>
      </c>
      <c r="G827" s="70" t="s">
        <v>377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1629</v>
      </c>
      <c r="B828" s="67">
        <v>3753540420</v>
      </c>
      <c r="C828" s="72" t="s">
        <v>1566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1630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1631</v>
      </c>
      <c r="B830" s="67">
        <v>36723660803</v>
      </c>
      <c r="C830" s="72" t="s">
        <v>1632</v>
      </c>
      <c r="D830" s="69">
        <v>32763586899</v>
      </c>
      <c r="E830" s="9">
        <v>608</v>
      </c>
      <c r="F830" s="25">
        <v>43012</v>
      </c>
      <c r="G830" s="70" t="s">
        <v>370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1633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370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1634</v>
      </c>
      <c r="B832" s="67">
        <v>166405462</v>
      </c>
      <c r="C832" s="15" t="s">
        <v>1635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1636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370</v>
      </c>
      <c r="H833" s="9"/>
      <c r="I833" s="8"/>
      <c r="J833" s="8"/>
      <c r="K833" s="8"/>
      <c r="L833" s="9" t="s">
        <v>490</v>
      </c>
      <c r="M833" s="8"/>
    </row>
    <row r="834" spans="1:13" x14ac:dyDescent="0.25">
      <c r="A834" s="15" t="s">
        <v>1637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370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1638</v>
      </c>
      <c r="B835" s="67">
        <v>13621159835</v>
      </c>
      <c r="C835" s="72" t="s">
        <v>1639</v>
      </c>
      <c r="D835" s="69">
        <v>35124170867</v>
      </c>
      <c r="E835" s="9">
        <v>229</v>
      </c>
      <c r="F835" s="25">
        <v>43151</v>
      </c>
      <c r="G835" s="70" t="s">
        <v>370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1640</v>
      </c>
      <c r="B836" s="67">
        <v>34649647878</v>
      </c>
      <c r="C836" s="72" t="s">
        <v>1641</v>
      </c>
      <c r="D836" s="69">
        <v>17811429802</v>
      </c>
      <c r="E836" s="9">
        <v>810</v>
      </c>
      <c r="F836" s="25">
        <v>42915</v>
      </c>
      <c r="G836" s="70" t="s">
        <v>370</v>
      </c>
      <c r="H836" s="9"/>
      <c r="I836" s="8"/>
      <c r="J836" s="8"/>
      <c r="K836" s="8"/>
      <c r="L836" s="9" t="s">
        <v>490</v>
      </c>
      <c r="M836" s="8"/>
    </row>
    <row r="837" spans="1:13" x14ac:dyDescent="0.25">
      <c r="A837" s="71" t="s">
        <v>1642</v>
      </c>
      <c r="B837" s="67">
        <v>25809517846</v>
      </c>
      <c r="C837" s="73" t="s">
        <v>1643</v>
      </c>
      <c r="D837" s="69">
        <v>68856830434</v>
      </c>
      <c r="E837" s="9">
        <v>292</v>
      </c>
      <c r="F837" s="25">
        <v>43168</v>
      </c>
      <c r="G837" s="70" t="s">
        <v>377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1644</v>
      </c>
      <c r="B838" s="67">
        <v>6952730435</v>
      </c>
      <c r="C838" s="72" t="s">
        <v>1645</v>
      </c>
      <c r="D838" s="69">
        <v>8004608477</v>
      </c>
      <c r="E838" s="9">
        <v>810</v>
      </c>
      <c r="F838" s="25">
        <v>42915</v>
      </c>
      <c r="G838" s="70" t="s">
        <v>370</v>
      </c>
      <c r="H838" s="9"/>
      <c r="I838" s="8"/>
      <c r="J838" s="8"/>
      <c r="K838" s="8"/>
      <c r="L838" s="9" t="s">
        <v>490</v>
      </c>
      <c r="M838" s="8"/>
    </row>
    <row r="839" spans="1:13" x14ac:dyDescent="0.25">
      <c r="A839" s="71" t="s">
        <v>1646</v>
      </c>
      <c r="B839" s="67">
        <v>23440697800</v>
      </c>
      <c r="C839" s="72" t="s">
        <v>1647</v>
      </c>
      <c r="D839" s="69">
        <v>93690177553</v>
      </c>
      <c r="E839" s="9">
        <v>292</v>
      </c>
      <c r="F839" s="25">
        <v>43168</v>
      </c>
      <c r="G839" s="70" t="s">
        <v>370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1648</v>
      </c>
      <c r="B840" s="67">
        <v>93567421549</v>
      </c>
      <c r="C840" s="72" t="s">
        <v>1649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1650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1651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370</v>
      </c>
      <c r="H842" s="9"/>
      <c r="I842" s="8"/>
      <c r="J842" s="8"/>
      <c r="K842" s="8"/>
      <c r="L842" s="9" t="s">
        <v>522</v>
      </c>
      <c r="M842" s="8"/>
    </row>
    <row r="843" spans="1:13" x14ac:dyDescent="0.25">
      <c r="A843" s="71" t="s">
        <v>1652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370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1653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1654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370</v>
      </c>
      <c r="H845" s="9"/>
      <c r="I845" s="8"/>
      <c r="J845" s="8"/>
      <c r="K845" s="8"/>
      <c r="L845" s="9" t="s">
        <v>522</v>
      </c>
      <c r="M845" s="8"/>
    </row>
    <row r="846" spans="1:13" x14ac:dyDescent="0.25">
      <c r="A846" s="71" t="s">
        <v>1655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370</v>
      </c>
      <c r="H846" s="9"/>
      <c r="I846" s="8"/>
      <c r="J846" s="8"/>
      <c r="K846" s="8"/>
      <c r="L846" s="9" t="s">
        <v>605</v>
      </c>
      <c r="M846" s="8"/>
    </row>
    <row r="847" spans="1:13" x14ac:dyDescent="0.25">
      <c r="A847" s="71" t="s">
        <v>1656</v>
      </c>
      <c r="B847" s="67">
        <v>10762166843</v>
      </c>
      <c r="C847" s="72" t="s">
        <v>1657</v>
      </c>
      <c r="D847" s="69">
        <v>18471490811</v>
      </c>
      <c r="E847" s="9">
        <v>1752</v>
      </c>
      <c r="F847" s="25">
        <v>43051</v>
      </c>
      <c r="G847" s="83" t="s">
        <v>370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1658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1659</v>
      </c>
      <c r="B849" s="67">
        <v>38988535863</v>
      </c>
      <c r="C849" s="72" t="s">
        <v>1660</v>
      </c>
      <c r="D849" s="69">
        <v>34543536886</v>
      </c>
      <c r="E849" s="9">
        <v>1555</v>
      </c>
      <c r="F849" s="25">
        <v>43049</v>
      </c>
      <c r="G849" s="70" t="s">
        <v>370</v>
      </c>
      <c r="H849" s="9"/>
      <c r="I849" s="8"/>
      <c r="J849" s="8"/>
      <c r="K849" s="8"/>
      <c r="L849" s="9" t="s">
        <v>749</v>
      </c>
      <c r="M849" s="8"/>
    </row>
    <row r="850" spans="1:13" x14ac:dyDescent="0.25">
      <c r="A850" s="71" t="s">
        <v>1661</v>
      </c>
      <c r="B850" s="67">
        <v>81902581334</v>
      </c>
      <c r="C850" s="72" t="s">
        <v>1662</v>
      </c>
      <c r="D850" s="69">
        <v>42305020368</v>
      </c>
      <c r="E850" s="9">
        <v>1752</v>
      </c>
      <c r="F850" s="25">
        <v>43051</v>
      </c>
      <c r="G850" s="70" t="s">
        <v>370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1663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1664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370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1665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370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1666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1667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370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1668</v>
      </c>
      <c r="B856" s="67">
        <v>36135801520</v>
      </c>
      <c r="C856" s="15" t="s">
        <v>1669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1670</v>
      </c>
      <c r="B857" s="67">
        <v>43231450802</v>
      </c>
      <c r="C857" s="72" t="s">
        <v>1671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1672</v>
      </c>
      <c r="B858" s="67">
        <v>38163601817</v>
      </c>
      <c r="C858" s="72" t="s">
        <v>1673</v>
      </c>
      <c r="D858" s="69">
        <v>36840584836</v>
      </c>
      <c r="E858" s="9">
        <v>292</v>
      </c>
      <c r="F858" s="25">
        <v>43168</v>
      </c>
      <c r="G858" s="70" t="s">
        <v>370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1674</v>
      </c>
      <c r="B859" s="67">
        <v>40853154805</v>
      </c>
      <c r="C859" s="72" t="s">
        <v>1675</v>
      </c>
      <c r="D859" s="69">
        <v>23596403804</v>
      </c>
      <c r="E859" s="9">
        <v>229</v>
      </c>
      <c r="F859" s="25">
        <v>43151</v>
      </c>
      <c r="G859" s="70" t="s">
        <v>370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1676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370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1677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1678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370</v>
      </c>
      <c r="H862" s="9"/>
      <c r="I862" s="8"/>
      <c r="J862" s="8"/>
      <c r="K862" s="8"/>
      <c r="L862" s="9" t="s">
        <v>749</v>
      </c>
      <c r="M862" s="8"/>
    </row>
    <row r="863" spans="1:13" x14ac:dyDescent="0.25">
      <c r="A863" s="14" t="s">
        <v>1679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370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1680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370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1681</v>
      </c>
      <c r="B865" s="67">
        <v>30708968805</v>
      </c>
      <c r="C865" s="72" t="s">
        <v>1682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1683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1684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370</v>
      </c>
      <c r="H867" s="9"/>
      <c r="I867" s="8"/>
      <c r="J867" s="8"/>
      <c r="K867" s="8"/>
      <c r="L867" s="9" t="s">
        <v>490</v>
      </c>
      <c r="M867" s="8"/>
    </row>
    <row r="868" spans="1:13" x14ac:dyDescent="0.25">
      <c r="A868" s="71" t="s">
        <v>1685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1686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370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1687</v>
      </c>
      <c r="B870" s="67">
        <v>41379878829</v>
      </c>
      <c r="C870" s="72" t="s">
        <v>1688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1689</v>
      </c>
      <c r="B871" s="67">
        <v>31471499863</v>
      </c>
      <c r="C871" s="72" t="s">
        <v>1690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1691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370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1692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370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1693</v>
      </c>
      <c r="B874" s="67">
        <v>27878860866</v>
      </c>
      <c r="C874" s="72" t="s">
        <v>1694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1695</v>
      </c>
      <c r="B875" s="67">
        <v>25002291813</v>
      </c>
      <c r="C875" s="72" t="s">
        <v>1696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1697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1698</v>
      </c>
      <c r="B877" s="67"/>
      <c r="C877" s="29" t="s">
        <v>1699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1700</v>
      </c>
      <c r="B878" s="67">
        <v>7205116589</v>
      </c>
      <c r="C878" s="72" t="s">
        <v>1701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1702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1703</v>
      </c>
      <c r="B880" s="67">
        <v>82084602491</v>
      </c>
      <c r="C880" s="72" t="s">
        <v>1704</v>
      </c>
      <c r="D880" s="69">
        <v>74937758420</v>
      </c>
      <c r="E880" s="9">
        <v>292</v>
      </c>
      <c r="F880" s="25">
        <v>43168</v>
      </c>
      <c r="G880" s="9" t="s">
        <v>370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1705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1706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1707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370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1708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370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1709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1710</v>
      </c>
      <c r="B886" s="67">
        <v>63234904553</v>
      </c>
      <c r="C886" s="68" t="s">
        <v>1711</v>
      </c>
      <c r="D886" s="69">
        <v>1193464870</v>
      </c>
      <c r="E886" s="9">
        <v>1128</v>
      </c>
      <c r="F886" s="25">
        <v>42972</v>
      </c>
      <c r="G886" s="70" t="s">
        <v>370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1712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1713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1714</v>
      </c>
      <c r="B889" s="67">
        <v>30967680808</v>
      </c>
      <c r="C889" s="18" t="s">
        <v>1715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1716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370</v>
      </c>
      <c r="H890" s="9"/>
      <c r="I890" s="8"/>
      <c r="J890" s="8"/>
      <c r="K890" s="8"/>
      <c r="L890" s="9" t="s">
        <v>490</v>
      </c>
      <c r="M890" s="8"/>
    </row>
    <row r="891" spans="1:13" x14ac:dyDescent="0.25">
      <c r="A891" s="15" t="s">
        <v>1717</v>
      </c>
      <c r="B891" s="67">
        <v>3570397696</v>
      </c>
      <c r="C891" s="72" t="s">
        <v>1718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1719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1720</v>
      </c>
      <c r="B893" s="67">
        <v>1170658547</v>
      </c>
      <c r="C893" s="72" t="s">
        <v>1721</v>
      </c>
      <c r="D893" s="69">
        <v>2695281560</v>
      </c>
      <c r="E893" s="9">
        <v>1824</v>
      </c>
      <c r="F893" s="25">
        <v>43091</v>
      </c>
      <c r="G893" s="70" t="s">
        <v>377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1722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370</v>
      </c>
      <c r="H894" s="9"/>
      <c r="I894" s="8"/>
      <c r="J894" s="8"/>
      <c r="K894" s="8"/>
      <c r="L894" s="9" t="s">
        <v>490</v>
      </c>
      <c r="M894" s="8"/>
    </row>
    <row r="895" spans="1:13" x14ac:dyDescent="0.25">
      <c r="A895" s="71" t="s">
        <v>1723</v>
      </c>
      <c r="B895" s="67">
        <v>29927032811</v>
      </c>
      <c r="C895" s="72" t="s">
        <v>1724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1725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1726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370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1727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370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1728</v>
      </c>
      <c r="B899" s="67">
        <v>37064427877</v>
      </c>
      <c r="C899" s="68" t="s">
        <v>1729</v>
      </c>
      <c r="D899" s="69">
        <v>34881680854</v>
      </c>
      <c r="E899" s="9">
        <v>1128</v>
      </c>
      <c r="F899" s="25">
        <v>42972</v>
      </c>
      <c r="G899" s="70" t="s">
        <v>370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1730</v>
      </c>
      <c r="B900" s="67">
        <v>34712023821</v>
      </c>
      <c r="C900" s="72" t="s">
        <v>1731</v>
      </c>
      <c r="D900" s="69">
        <v>80700918868</v>
      </c>
      <c r="E900" s="9">
        <v>117</v>
      </c>
      <c r="F900" s="25">
        <v>43117</v>
      </c>
      <c r="G900" s="70" t="s">
        <v>370</v>
      </c>
      <c r="H900" s="9"/>
      <c r="I900" s="8"/>
      <c r="J900" s="8"/>
      <c r="K900" s="8"/>
      <c r="L900" s="9" t="s">
        <v>522</v>
      </c>
      <c r="M900" s="8"/>
    </row>
    <row r="901" spans="1:13" x14ac:dyDescent="0.25">
      <c r="A901" s="71" t="s">
        <v>1732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370</v>
      </c>
      <c r="H901" s="9"/>
      <c r="I901" s="8"/>
      <c r="J901" s="8"/>
      <c r="K901" s="8"/>
      <c r="L901" s="9" t="s">
        <v>490</v>
      </c>
      <c r="M901" s="8"/>
    </row>
    <row r="902" spans="1:13" x14ac:dyDescent="0.25">
      <c r="A902" s="71" t="s">
        <v>1733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1734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370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1735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370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1736</v>
      </c>
      <c r="B905" s="67">
        <v>42517278865</v>
      </c>
      <c r="C905" s="72" t="s">
        <v>1737</v>
      </c>
      <c r="D905" s="69">
        <v>45677965863</v>
      </c>
      <c r="E905" s="9">
        <v>117</v>
      </c>
      <c r="F905" s="25">
        <v>43117</v>
      </c>
      <c r="G905" s="70" t="s">
        <v>370</v>
      </c>
      <c r="H905" s="9"/>
      <c r="I905" s="8"/>
      <c r="J905" s="8"/>
      <c r="K905" s="8"/>
      <c r="L905" s="9" t="s">
        <v>522</v>
      </c>
      <c r="M905" s="8"/>
    </row>
    <row r="906" spans="1:13" x14ac:dyDescent="0.25">
      <c r="A906" s="18" t="s">
        <v>1738</v>
      </c>
      <c r="B906" s="67">
        <v>34053574897</v>
      </c>
      <c r="C906" s="8" t="s">
        <v>1739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1740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370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1741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370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1742</v>
      </c>
      <c r="B909" s="67">
        <v>32391122802</v>
      </c>
      <c r="C909" s="72" t="s">
        <v>1743</v>
      </c>
      <c r="D909" s="69">
        <v>21653624825</v>
      </c>
      <c r="E909" s="9">
        <v>262</v>
      </c>
      <c r="F909" s="25">
        <v>43160</v>
      </c>
      <c r="G909" s="9" t="s">
        <v>370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1744</v>
      </c>
      <c r="B910" s="67"/>
      <c r="C910" s="29" t="s">
        <v>1745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1746</v>
      </c>
      <c r="B911" s="67">
        <v>39641812858</v>
      </c>
      <c r="C911" s="72" t="s">
        <v>1747</v>
      </c>
      <c r="D911" s="69">
        <v>23425114859</v>
      </c>
      <c r="E911" s="9">
        <v>262</v>
      </c>
      <c r="F911" s="25">
        <v>43160</v>
      </c>
      <c r="G911" s="70" t="s">
        <v>370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1748</v>
      </c>
      <c r="B912" s="67">
        <v>7664892481</v>
      </c>
      <c r="C912" s="72" t="s">
        <v>1749</v>
      </c>
      <c r="D912" s="69">
        <v>37120937804</v>
      </c>
      <c r="E912" s="9">
        <v>1570</v>
      </c>
      <c r="F912" s="25">
        <v>43077</v>
      </c>
      <c r="G912" s="70" t="s">
        <v>370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1750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370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1751</v>
      </c>
      <c r="B914" s="67">
        <v>35535310883</v>
      </c>
      <c r="C914" s="72" t="s">
        <v>1752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1753</v>
      </c>
      <c r="B915" s="67">
        <v>40993785867</v>
      </c>
      <c r="C915" s="72" t="s">
        <v>1754</v>
      </c>
      <c r="D915" s="69">
        <v>39284894883</v>
      </c>
      <c r="E915" s="9">
        <v>262</v>
      </c>
      <c r="F915" s="25">
        <v>43160</v>
      </c>
      <c r="G915" s="70" t="s">
        <v>370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1755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370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1756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370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1757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370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1758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370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1759</v>
      </c>
      <c r="B920" s="67">
        <v>39485589816</v>
      </c>
      <c r="C920" s="72" t="s">
        <v>1760</v>
      </c>
      <c r="D920" s="69">
        <v>6884648589</v>
      </c>
      <c r="E920" s="9">
        <v>85</v>
      </c>
      <c r="F920" s="25">
        <v>43109</v>
      </c>
      <c r="G920" s="70" t="s">
        <v>370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1761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1762</v>
      </c>
      <c r="B922" s="67">
        <v>39454700804</v>
      </c>
      <c r="C922" s="72" t="s">
        <v>1763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1764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1765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1766</v>
      </c>
      <c r="B925" s="67">
        <v>19681993810</v>
      </c>
      <c r="C925" s="72" t="s">
        <v>1767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1768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370</v>
      </c>
      <c r="H926" s="9"/>
      <c r="I926" s="8"/>
      <c r="J926" s="8"/>
      <c r="K926" s="8"/>
      <c r="L926" s="9" t="s">
        <v>490</v>
      </c>
      <c r="M926" s="8"/>
    </row>
    <row r="927" spans="1:13" x14ac:dyDescent="0.25">
      <c r="A927" s="71" t="s">
        <v>1769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1770</v>
      </c>
      <c r="B928" s="67">
        <v>32424255881</v>
      </c>
      <c r="C928" s="72" t="s">
        <v>1771</v>
      </c>
      <c r="D928" s="69">
        <v>4615874596</v>
      </c>
      <c r="E928" s="9">
        <v>229</v>
      </c>
      <c r="F928" s="25">
        <v>43151</v>
      </c>
      <c r="G928" s="70" t="s">
        <v>370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1772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370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1773</v>
      </c>
      <c r="B930" s="67">
        <v>77663551591</v>
      </c>
      <c r="C930" s="72" t="s">
        <v>1774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1775</v>
      </c>
      <c r="B931" s="67">
        <v>30768670837</v>
      </c>
      <c r="C931" s="72" t="s">
        <v>1776</v>
      </c>
      <c r="D931" s="69">
        <v>17858599860</v>
      </c>
      <c r="E931" s="9">
        <v>810</v>
      </c>
      <c r="F931" s="25">
        <v>42915</v>
      </c>
      <c r="G931" s="70" t="s">
        <v>370</v>
      </c>
      <c r="H931" s="9"/>
      <c r="I931" s="8"/>
      <c r="J931" s="8"/>
      <c r="K931" s="8"/>
      <c r="L931" s="9" t="s">
        <v>490</v>
      </c>
      <c r="M931" s="8"/>
    </row>
    <row r="932" spans="1:13" x14ac:dyDescent="0.25">
      <c r="A932" s="71" t="s">
        <v>1777</v>
      </c>
      <c r="B932" s="67">
        <v>40801562864</v>
      </c>
      <c r="C932" s="72" t="s">
        <v>1778</v>
      </c>
      <c r="D932" s="69">
        <v>40630792879</v>
      </c>
      <c r="E932" s="9">
        <v>117</v>
      </c>
      <c r="F932" s="25">
        <v>43117</v>
      </c>
      <c r="G932" s="70" t="s">
        <v>377</v>
      </c>
      <c r="H932" s="9"/>
      <c r="I932" s="8"/>
      <c r="J932" s="8"/>
      <c r="K932" s="8"/>
      <c r="L932" s="9" t="s">
        <v>522</v>
      </c>
      <c r="M932" s="8"/>
    </row>
    <row r="933" spans="1:13" x14ac:dyDescent="0.25">
      <c r="A933" s="71" t="s">
        <v>1779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370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1780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370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1781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1782</v>
      </c>
      <c r="B936" s="67">
        <v>33897782847</v>
      </c>
      <c r="C936" s="72" t="s">
        <v>1783</v>
      </c>
      <c r="D936" s="69">
        <v>22207136876</v>
      </c>
      <c r="E936" s="9">
        <v>1267</v>
      </c>
      <c r="F936" s="25">
        <v>42998</v>
      </c>
      <c r="G936" s="70" t="s">
        <v>370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1784</v>
      </c>
      <c r="B937" s="67">
        <v>31219124885</v>
      </c>
      <c r="C937" s="72" t="s">
        <v>1785</v>
      </c>
      <c r="D937" s="69">
        <v>53808967315</v>
      </c>
      <c r="E937" s="9">
        <v>292</v>
      </c>
      <c r="F937" s="25">
        <v>43168</v>
      </c>
      <c r="G937" s="70" t="s">
        <v>370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1786</v>
      </c>
      <c r="B938" s="67">
        <v>32332935851</v>
      </c>
      <c r="C938" s="18" t="s">
        <v>1787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1788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1789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385</v>
      </c>
      <c r="H940" s="47"/>
      <c r="I940" s="49"/>
      <c r="J940" s="49"/>
      <c r="K940" s="49"/>
      <c r="L940" s="9" t="s">
        <v>522</v>
      </c>
      <c r="M940" s="49"/>
    </row>
    <row r="941" spans="1:13" x14ac:dyDescent="0.25">
      <c r="A941" s="71" t="s">
        <v>1790</v>
      </c>
      <c r="B941" s="67">
        <v>35124692804</v>
      </c>
      <c r="C941" s="72" t="s">
        <v>1791</v>
      </c>
      <c r="D941" s="69">
        <v>17091274814</v>
      </c>
      <c r="E941" s="9">
        <v>262</v>
      </c>
      <c r="F941" s="25">
        <v>43160</v>
      </c>
      <c r="G941" s="70" t="s">
        <v>370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1792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1793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1794</v>
      </c>
      <c r="B944" s="67">
        <v>35271393895</v>
      </c>
      <c r="C944" s="72" t="s">
        <v>1795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1796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370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1797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651</v>
      </c>
      <c r="M946" s="8"/>
    </row>
    <row r="947" spans="1:13" x14ac:dyDescent="0.25">
      <c r="A947" s="71" t="s">
        <v>1798</v>
      </c>
      <c r="B947" s="67">
        <v>899199399</v>
      </c>
      <c r="C947" s="72" t="s">
        <v>1799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1800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370</v>
      </c>
      <c r="H948" s="9"/>
      <c r="I948" s="8"/>
      <c r="J948" s="8"/>
      <c r="K948" s="8"/>
      <c r="L948" s="9" t="s">
        <v>490</v>
      </c>
      <c r="M948" s="8"/>
    </row>
    <row r="949" spans="1:13" x14ac:dyDescent="0.25">
      <c r="A949" s="15" t="s">
        <v>1801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1802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370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1803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377</v>
      </c>
      <c r="H951" s="9"/>
      <c r="I951" s="8"/>
      <c r="J951" s="8"/>
      <c r="K951" s="8"/>
      <c r="L951" s="9" t="s">
        <v>522</v>
      </c>
      <c r="M951" s="8"/>
    </row>
    <row r="952" spans="1:13" x14ac:dyDescent="0.25">
      <c r="A952" s="15" t="s">
        <v>1804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370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1805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370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1806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370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1807</v>
      </c>
      <c r="B955" s="67">
        <v>19584308890</v>
      </c>
      <c r="C955" s="72" t="s">
        <v>1808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1809</v>
      </c>
      <c r="B956" s="67">
        <v>3220872441</v>
      </c>
      <c r="C956" s="72" t="s">
        <v>1810</v>
      </c>
      <c r="D956" s="69">
        <v>11805166808</v>
      </c>
      <c r="E956" s="9">
        <v>810</v>
      </c>
      <c r="F956" s="25">
        <v>42915</v>
      </c>
      <c r="G956" s="70" t="s">
        <v>370</v>
      </c>
      <c r="H956" s="9"/>
      <c r="I956" s="8"/>
      <c r="J956" s="8"/>
      <c r="K956" s="8"/>
      <c r="L956" s="9" t="s">
        <v>490</v>
      </c>
      <c r="M956" s="8"/>
    </row>
    <row r="957" spans="1:13" x14ac:dyDescent="0.25">
      <c r="A957" s="73" t="s">
        <v>1811</v>
      </c>
      <c r="B957" s="67">
        <v>29773950832</v>
      </c>
      <c r="C957" s="72" t="s">
        <v>1812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1813</v>
      </c>
      <c r="B958" s="78" t="s">
        <v>1814</v>
      </c>
      <c r="C958" s="72" t="s">
        <v>1815</v>
      </c>
      <c r="D958" s="69">
        <v>84102780300</v>
      </c>
      <c r="E958" s="9">
        <v>292</v>
      </c>
      <c r="F958" s="25">
        <v>43168</v>
      </c>
      <c r="G958" s="9" t="s">
        <v>370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1816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370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1817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1818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370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1819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370</v>
      </c>
      <c r="H962" s="9"/>
      <c r="I962" s="8"/>
      <c r="J962" s="8"/>
      <c r="K962" s="8"/>
      <c r="L962" s="9" t="s">
        <v>749</v>
      </c>
      <c r="M962" s="8"/>
    </row>
    <row r="963" spans="1:13" x14ac:dyDescent="0.25">
      <c r="A963" s="15" t="s">
        <v>1820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370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1821</v>
      </c>
      <c r="B964" s="67">
        <v>46248420300</v>
      </c>
      <c r="C964" s="72" t="s">
        <v>1822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1823</v>
      </c>
      <c r="B965" s="67">
        <v>84090294304</v>
      </c>
      <c r="C965" s="72" t="s">
        <v>1824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1825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1826</v>
      </c>
      <c r="B967" s="67">
        <v>918071313</v>
      </c>
      <c r="C967" s="72" t="s">
        <v>1827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1828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370</v>
      </c>
      <c r="H968" s="9"/>
      <c r="I968" s="8"/>
      <c r="J968" s="8"/>
      <c r="K968" s="8"/>
      <c r="L968" s="9" t="s">
        <v>522</v>
      </c>
      <c r="M968" s="8"/>
    </row>
    <row r="969" spans="1:13" x14ac:dyDescent="0.25">
      <c r="A969" s="71" t="s">
        <v>1829</v>
      </c>
      <c r="B969" s="67">
        <v>86465651300</v>
      </c>
      <c r="C969" s="72" t="s">
        <v>1830</v>
      </c>
      <c r="D969" s="69">
        <v>7091216792</v>
      </c>
      <c r="E969" s="9">
        <v>1350</v>
      </c>
      <c r="F969" s="25">
        <v>43006</v>
      </c>
      <c r="G969" s="70" t="s">
        <v>370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1831</v>
      </c>
      <c r="B970" s="67">
        <v>22893362893</v>
      </c>
      <c r="C970" s="72" t="s">
        <v>1832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1833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370</v>
      </c>
      <c r="H971" s="9"/>
      <c r="I971" s="8"/>
      <c r="J971" s="8"/>
      <c r="K971" s="8"/>
      <c r="L971" s="9" t="s">
        <v>605</v>
      </c>
      <c r="M971" s="8"/>
    </row>
    <row r="972" spans="1:13" x14ac:dyDescent="0.25">
      <c r="A972" s="29" t="s">
        <v>1834</v>
      </c>
      <c r="B972" s="67">
        <v>9964640854</v>
      </c>
      <c r="C972" s="18" t="s">
        <v>481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1835</v>
      </c>
      <c r="B973" s="67">
        <v>46593499854</v>
      </c>
      <c r="C973" s="29" t="s">
        <v>1836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1837</v>
      </c>
      <c r="B974" s="67">
        <v>34412339807</v>
      </c>
      <c r="C974" s="72" t="s">
        <v>1838</v>
      </c>
      <c r="D974" s="69">
        <v>30849792860</v>
      </c>
      <c r="E974" s="9">
        <v>1824</v>
      </c>
      <c r="F974" s="25">
        <v>43091</v>
      </c>
      <c r="G974" s="70" t="s">
        <v>370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1839</v>
      </c>
      <c r="B975" s="67">
        <v>63905825449</v>
      </c>
      <c r="C975" s="72" t="s">
        <v>1840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1841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370</v>
      </c>
      <c r="H976" s="9"/>
      <c r="I976" s="8"/>
      <c r="J976" s="8"/>
      <c r="K976" s="8"/>
      <c r="L976" s="9" t="s">
        <v>490</v>
      </c>
      <c r="M976" s="8"/>
    </row>
    <row r="977" spans="1:13" x14ac:dyDescent="0.25">
      <c r="A977" s="71" t="s">
        <v>1842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370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1843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370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1844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370</v>
      </c>
      <c r="H979" s="9"/>
      <c r="I979" s="8"/>
      <c r="J979" s="8"/>
      <c r="K979" s="8"/>
      <c r="L979" s="9" t="s">
        <v>490</v>
      </c>
      <c r="M979" s="8"/>
    </row>
    <row r="980" spans="1:13" x14ac:dyDescent="0.25">
      <c r="A980" s="18" t="s">
        <v>1845</v>
      </c>
      <c r="B980" s="67">
        <v>18473037812</v>
      </c>
      <c r="C980" s="18" t="s">
        <v>1846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1847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1848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370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1849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1850</v>
      </c>
      <c r="B984" s="67">
        <v>30458696889</v>
      </c>
      <c r="C984" s="68" t="s">
        <v>1851</v>
      </c>
      <c r="D984" s="69">
        <v>25196748814</v>
      </c>
      <c r="E984" s="9">
        <v>1267</v>
      </c>
      <c r="F984" s="25">
        <v>42998</v>
      </c>
      <c r="G984" s="70" t="s">
        <v>377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1852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370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1853</v>
      </c>
      <c r="B986" s="67"/>
      <c r="C986" s="29" t="s">
        <v>1854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1855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1856</v>
      </c>
      <c r="B988" s="67" t="s">
        <v>1857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1858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1859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1860</v>
      </c>
      <c r="B991" s="67"/>
      <c r="C991" s="18" t="s">
        <v>481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1861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1862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1863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370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1864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1865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370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1866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1867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1868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1869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370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1870</v>
      </c>
      <c r="B1001" s="67">
        <v>39651975334</v>
      </c>
      <c r="C1001" s="72" t="s">
        <v>1871</v>
      </c>
      <c r="D1001" s="69">
        <v>35104799808</v>
      </c>
      <c r="E1001" s="9">
        <v>229</v>
      </c>
      <c r="F1001" s="25">
        <v>43151</v>
      </c>
      <c r="G1001" s="70" t="s">
        <v>370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1872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370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1873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370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1874</v>
      </c>
      <c r="B1004" s="67">
        <v>46226383801</v>
      </c>
      <c r="C1004" s="72" t="s">
        <v>1875</v>
      </c>
      <c r="D1004" s="69">
        <v>46166460821</v>
      </c>
      <c r="E1004" s="9">
        <v>292</v>
      </c>
      <c r="F1004" s="25">
        <v>43168</v>
      </c>
      <c r="G1004" s="70" t="s">
        <v>370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1876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370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1877</v>
      </c>
      <c r="B1006" s="67">
        <v>37051448803</v>
      </c>
      <c r="C1006" s="72" t="s">
        <v>1878</v>
      </c>
      <c r="D1006" s="69">
        <v>22442223813</v>
      </c>
      <c r="E1006" s="9">
        <v>1489</v>
      </c>
      <c r="F1006" s="25">
        <v>43038</v>
      </c>
      <c r="G1006" s="70" t="s">
        <v>370</v>
      </c>
      <c r="H1006" s="9"/>
      <c r="I1006" s="8"/>
      <c r="J1006" s="8"/>
      <c r="K1006" s="8"/>
      <c r="L1006" s="9" t="s">
        <v>512</v>
      </c>
      <c r="M1006" s="8"/>
    </row>
    <row r="1007" spans="1:13" x14ac:dyDescent="0.25">
      <c r="A1007" s="71" t="s">
        <v>1879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1880</v>
      </c>
      <c r="B1008" s="67">
        <v>50092450865</v>
      </c>
      <c r="C1008" s="72" t="s">
        <v>1881</v>
      </c>
      <c r="D1008" s="69">
        <v>34366320827</v>
      </c>
      <c r="E1008" s="9">
        <v>608</v>
      </c>
      <c r="F1008" s="25">
        <v>43012</v>
      </c>
      <c r="G1008" s="70" t="s">
        <v>370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1882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370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1883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370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1884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370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1885</v>
      </c>
      <c r="B1012" s="67">
        <v>36501110807</v>
      </c>
      <c r="C1012" s="72" t="s">
        <v>1886</v>
      </c>
      <c r="D1012" s="69">
        <v>36592467860</v>
      </c>
      <c r="E1012" s="9">
        <v>262</v>
      </c>
      <c r="F1012" s="25">
        <v>43160</v>
      </c>
      <c r="G1012" s="70" t="s">
        <v>370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1887</v>
      </c>
      <c r="B1013" s="67">
        <v>34470374822</v>
      </c>
      <c r="C1013" s="29" t="s">
        <v>1888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1889</v>
      </c>
      <c r="B1014" s="67">
        <v>40814125883</v>
      </c>
      <c r="C1014" s="72" t="s">
        <v>1890</v>
      </c>
      <c r="D1014" s="69">
        <v>27095684898</v>
      </c>
      <c r="E1014" s="9">
        <v>810</v>
      </c>
      <c r="F1014" s="25">
        <v>42915</v>
      </c>
      <c r="G1014" s="70" t="s">
        <v>370</v>
      </c>
      <c r="H1014" s="9"/>
      <c r="I1014" s="8"/>
      <c r="J1014" s="8"/>
      <c r="K1014" s="8"/>
      <c r="L1014" s="9" t="s">
        <v>490</v>
      </c>
      <c r="M1014" s="8"/>
    </row>
    <row r="1015" spans="1:13" x14ac:dyDescent="0.25">
      <c r="A1015" s="71" t="s">
        <v>1891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1892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370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1893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1894</v>
      </c>
      <c r="B1018" s="67"/>
      <c r="C1018" s="18" t="s">
        <v>481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1895</v>
      </c>
      <c r="B1019" s="67">
        <v>26492754808</v>
      </c>
      <c r="C1019" s="9" t="s">
        <v>481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1896</v>
      </c>
      <c r="B1020" s="67">
        <v>526417595</v>
      </c>
      <c r="C1020" s="72" t="s">
        <v>1897</v>
      </c>
      <c r="D1020" s="69">
        <v>25810630847</v>
      </c>
      <c r="E1020" s="9">
        <v>262</v>
      </c>
      <c r="F1020" s="25">
        <v>43160</v>
      </c>
      <c r="G1020" s="9" t="s">
        <v>370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1898</v>
      </c>
      <c r="B1021" s="67">
        <v>26362064852</v>
      </c>
      <c r="C1021" s="77" t="s">
        <v>1899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651</v>
      </c>
      <c r="M1021" s="8"/>
    </row>
    <row r="1022" spans="1:13" x14ac:dyDescent="0.25">
      <c r="A1022" s="71" t="s">
        <v>1900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370</v>
      </c>
      <c r="H1022" s="9"/>
      <c r="I1022" s="8"/>
      <c r="J1022" s="8"/>
      <c r="K1022" s="8"/>
      <c r="L1022" s="9" t="s">
        <v>512</v>
      </c>
      <c r="M1022" s="8"/>
    </row>
    <row r="1023" spans="1:13" x14ac:dyDescent="0.25">
      <c r="A1023" s="71" t="s">
        <v>1901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370</v>
      </c>
      <c r="H1023" s="9"/>
      <c r="I1023" s="8"/>
      <c r="J1023" s="8"/>
      <c r="K1023" s="8"/>
      <c r="L1023" s="9" t="s">
        <v>490</v>
      </c>
      <c r="M1023" s="8"/>
    </row>
    <row r="1024" spans="1:13" x14ac:dyDescent="0.25">
      <c r="A1024" s="71" t="s">
        <v>1902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1903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1904</v>
      </c>
      <c r="B1026" s="67">
        <v>41791708846</v>
      </c>
      <c r="C1026" s="72" t="s">
        <v>1905</v>
      </c>
      <c r="D1026" s="69">
        <v>41003253806</v>
      </c>
      <c r="E1026" s="9">
        <v>262</v>
      </c>
      <c r="F1026" s="25">
        <v>43160</v>
      </c>
      <c r="G1026" s="70" t="s">
        <v>370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1906</v>
      </c>
      <c r="B1027" s="67"/>
      <c r="C1027" s="29" t="s">
        <v>1907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1908</v>
      </c>
      <c r="B1028" s="67">
        <v>34575373800</v>
      </c>
      <c r="C1028" s="72" t="s">
        <v>1909</v>
      </c>
      <c r="D1028" s="69">
        <v>22427117846</v>
      </c>
      <c r="E1028" s="9">
        <v>1350</v>
      </c>
      <c r="F1028" s="25">
        <v>43006</v>
      </c>
      <c r="G1028" s="70" t="s">
        <v>370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1910</v>
      </c>
      <c r="B1029" s="67">
        <v>79215262334</v>
      </c>
      <c r="C1029" s="72" t="s">
        <v>1911</v>
      </c>
      <c r="D1029" s="69">
        <v>76370372315</v>
      </c>
      <c r="E1029" s="9">
        <v>1451</v>
      </c>
      <c r="F1029" s="25">
        <v>43027</v>
      </c>
      <c r="G1029" s="70" t="s">
        <v>377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1912</v>
      </c>
      <c r="B1030" s="67">
        <v>15208922843</v>
      </c>
      <c r="C1030" s="72" t="s">
        <v>1913</v>
      </c>
      <c r="D1030" s="69">
        <v>34068960810</v>
      </c>
      <c r="E1030" s="9">
        <v>229</v>
      </c>
      <c r="F1030" s="25">
        <v>43151</v>
      </c>
      <c r="G1030" s="70" t="s">
        <v>385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1914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1915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1916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370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1917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651</v>
      </c>
      <c r="M1034" s="8"/>
    </row>
    <row r="1035" spans="1:13" x14ac:dyDescent="0.25">
      <c r="A1035" s="71" t="s">
        <v>1918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1919</v>
      </c>
      <c r="B1036" s="67">
        <v>99570467304</v>
      </c>
      <c r="C1036" s="72" t="s">
        <v>1920</v>
      </c>
      <c r="D1036" s="69">
        <v>7702980877</v>
      </c>
      <c r="E1036" s="9">
        <v>229</v>
      </c>
      <c r="F1036" s="25">
        <v>43151</v>
      </c>
      <c r="G1036" s="70" t="s">
        <v>370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1921</v>
      </c>
      <c r="B1037" s="67">
        <v>18710956549</v>
      </c>
      <c r="C1037" s="72" t="s">
        <v>1922</v>
      </c>
      <c r="D1037" s="69">
        <v>85859141572</v>
      </c>
      <c r="E1037" s="9">
        <v>1417</v>
      </c>
      <c r="F1037" s="25">
        <v>43017</v>
      </c>
      <c r="G1037" s="70" t="s">
        <v>370</v>
      </c>
      <c r="H1037" s="76">
        <v>43213</v>
      </c>
      <c r="I1037" s="8"/>
      <c r="J1037" s="8"/>
      <c r="K1037" s="8"/>
      <c r="L1037" s="9" t="s">
        <v>605</v>
      </c>
      <c r="M1037" s="8"/>
    </row>
    <row r="1038" spans="1:13" x14ac:dyDescent="0.25">
      <c r="A1038" s="71" t="s">
        <v>1923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1924</v>
      </c>
      <c r="B1039" s="67">
        <v>42748662890</v>
      </c>
      <c r="C1039" s="18" t="s">
        <v>1925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1926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370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1927</v>
      </c>
      <c r="B1041" s="67">
        <v>23367537829</v>
      </c>
      <c r="C1041" s="72" t="s">
        <v>1928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1929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370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1930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1931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370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1932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370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1933</v>
      </c>
      <c r="B1046" s="67">
        <v>74603671415</v>
      </c>
      <c r="C1046" s="72" t="s">
        <v>1934</v>
      </c>
      <c r="D1046" s="69">
        <v>28040569885</v>
      </c>
      <c r="E1046" s="9">
        <v>1267</v>
      </c>
      <c r="F1046" s="25">
        <v>42998</v>
      </c>
      <c r="G1046" s="70" t="s">
        <v>377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1935</v>
      </c>
      <c r="B1047" s="67">
        <v>41590060865</v>
      </c>
      <c r="C1047" s="72" t="s">
        <v>1936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1937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370</v>
      </c>
      <c r="H1048" s="9"/>
      <c r="I1048" s="8"/>
      <c r="J1048" s="8"/>
      <c r="K1048" s="8"/>
      <c r="L1048" s="9" t="s">
        <v>490</v>
      </c>
      <c r="M1048" s="8"/>
    </row>
    <row r="1049" spans="1:13" x14ac:dyDescent="0.25">
      <c r="A1049" s="13" t="s">
        <v>1938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370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1939</v>
      </c>
      <c r="B1050" s="67">
        <v>35741867898</v>
      </c>
      <c r="C1050" s="72" t="s">
        <v>1940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1941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1942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1943</v>
      </c>
      <c r="B1053" s="67">
        <v>27928359820</v>
      </c>
      <c r="C1053" s="72" t="s">
        <v>1944</v>
      </c>
      <c r="D1053" s="69">
        <v>61803766468</v>
      </c>
      <c r="E1053" s="9">
        <v>810</v>
      </c>
      <c r="F1053" s="25">
        <v>42915</v>
      </c>
      <c r="G1053" s="70" t="s">
        <v>370</v>
      </c>
      <c r="H1053" s="9"/>
      <c r="I1053" s="8"/>
      <c r="J1053" s="8"/>
      <c r="K1053" s="8"/>
      <c r="L1053" s="9" t="s">
        <v>490</v>
      </c>
      <c r="M1053" s="8"/>
    </row>
    <row r="1054" spans="1:13" x14ac:dyDescent="0.25">
      <c r="A1054" s="71" t="s">
        <v>1945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370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1946</v>
      </c>
      <c r="B1055" s="67">
        <v>59431920506</v>
      </c>
      <c r="C1055" s="18" t="s">
        <v>481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1947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370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1948</v>
      </c>
      <c r="B1057" s="67" t="s">
        <v>1949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1950</v>
      </c>
      <c r="B1058" s="67">
        <v>34366747880</v>
      </c>
      <c r="C1058" s="77" t="s">
        <v>1951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651</v>
      </c>
      <c r="M1058" s="8"/>
    </row>
    <row r="1059" spans="1:13" x14ac:dyDescent="0.25">
      <c r="A1059" s="71" t="s">
        <v>1952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370</v>
      </c>
      <c r="H1059" s="9"/>
      <c r="I1059" s="8"/>
      <c r="J1059" s="8"/>
      <c r="K1059" s="8"/>
      <c r="L1059" s="9" t="s">
        <v>512</v>
      </c>
      <c r="M1059" s="8"/>
    </row>
    <row r="1060" spans="1:13" x14ac:dyDescent="0.25">
      <c r="A1060" s="14" t="s">
        <v>1953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370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1954</v>
      </c>
      <c r="B1061" s="67">
        <v>19580560811</v>
      </c>
      <c r="C1061" s="68" t="s">
        <v>1955</v>
      </c>
      <c r="D1061" s="69">
        <v>28925414848</v>
      </c>
      <c r="E1061" s="9">
        <v>1359</v>
      </c>
      <c r="F1061" s="25">
        <v>43006</v>
      </c>
      <c r="G1061" s="70" t="s">
        <v>377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1956</v>
      </c>
      <c r="B1062" s="67">
        <v>34230472838</v>
      </c>
      <c r="C1062" s="9" t="s">
        <v>481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1957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1958</v>
      </c>
      <c r="B1064" s="67">
        <v>42398811883</v>
      </c>
      <c r="C1064" s="72" t="s">
        <v>1959</v>
      </c>
      <c r="D1064" s="69">
        <v>33876650836</v>
      </c>
      <c r="E1064" s="9">
        <v>117</v>
      </c>
      <c r="F1064" s="25">
        <v>43117</v>
      </c>
      <c r="G1064" s="70" t="s">
        <v>377</v>
      </c>
      <c r="H1064" s="9"/>
      <c r="I1064" s="8"/>
      <c r="J1064" s="8"/>
      <c r="K1064" s="8"/>
      <c r="L1064" s="9" t="s">
        <v>522</v>
      </c>
      <c r="M1064" s="8"/>
    </row>
    <row r="1065" spans="1:13" x14ac:dyDescent="0.25">
      <c r="A1065" s="13" t="s">
        <v>1960</v>
      </c>
      <c r="B1065" s="67">
        <v>3876363829</v>
      </c>
      <c r="C1065" s="72" t="s">
        <v>1961</v>
      </c>
      <c r="D1065" s="69">
        <v>9491364847</v>
      </c>
      <c r="E1065" s="9">
        <v>1359</v>
      </c>
      <c r="F1065" s="25">
        <v>43006</v>
      </c>
      <c r="G1065" s="70" t="s">
        <v>370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1962</v>
      </c>
      <c r="B1066" s="67">
        <v>27340044884</v>
      </c>
      <c r="C1066" s="72" t="s">
        <v>1963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1964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1965</v>
      </c>
      <c r="B1068" s="67">
        <v>38422303892</v>
      </c>
      <c r="C1068" s="72" t="s">
        <v>1966</v>
      </c>
      <c r="D1068" s="69">
        <v>33753889857</v>
      </c>
      <c r="E1068" s="9">
        <v>608</v>
      </c>
      <c r="F1068" s="25">
        <v>43012</v>
      </c>
      <c r="G1068" s="70" t="s">
        <v>370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1967</v>
      </c>
      <c r="B1069" s="67">
        <v>36171676837</v>
      </c>
      <c r="C1069" s="68" t="s">
        <v>1968</v>
      </c>
      <c r="D1069" s="69">
        <v>1470162580</v>
      </c>
      <c r="E1069" s="9">
        <v>1128</v>
      </c>
      <c r="F1069" s="25">
        <v>42972</v>
      </c>
      <c r="G1069" s="70" t="s">
        <v>370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1969</v>
      </c>
      <c r="B1070" s="67">
        <v>42047014859</v>
      </c>
      <c r="C1070" s="72" t="s">
        <v>1970</v>
      </c>
      <c r="D1070" s="69">
        <v>9300065424</v>
      </c>
      <c r="E1070" s="9">
        <v>1417</v>
      </c>
      <c r="F1070" s="25">
        <v>43017</v>
      </c>
      <c r="G1070" s="70" t="s">
        <v>377</v>
      </c>
      <c r="H1070" s="9"/>
      <c r="I1070" s="8"/>
      <c r="J1070" s="8"/>
      <c r="K1070" s="8"/>
      <c r="L1070" s="9" t="s">
        <v>605</v>
      </c>
      <c r="M1070" s="8"/>
    </row>
    <row r="1071" spans="1:13" x14ac:dyDescent="0.25">
      <c r="A1071" s="29" t="s">
        <v>1971</v>
      </c>
      <c r="B1071" s="67">
        <v>34822545830</v>
      </c>
      <c r="C1071" s="18" t="s">
        <v>481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1972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1973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370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1974</v>
      </c>
      <c r="B1074" s="67">
        <v>1737249308</v>
      </c>
      <c r="C1074" s="72" t="s">
        <v>1975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1976</v>
      </c>
      <c r="B1075" s="67">
        <v>3844142576</v>
      </c>
      <c r="C1075" s="72" t="s">
        <v>1977</v>
      </c>
      <c r="D1075" s="69">
        <v>35502503801</v>
      </c>
      <c r="E1075" s="9">
        <v>810</v>
      </c>
      <c r="F1075" s="25">
        <v>42915</v>
      </c>
      <c r="G1075" s="70" t="s">
        <v>370</v>
      </c>
      <c r="H1075" s="9"/>
      <c r="I1075" s="8"/>
      <c r="J1075" s="8"/>
      <c r="K1075" s="8"/>
      <c r="L1075" s="9" t="s">
        <v>490</v>
      </c>
      <c r="M1075" s="8"/>
    </row>
    <row r="1076" spans="1:13" x14ac:dyDescent="0.25">
      <c r="A1076" s="71" t="s">
        <v>1978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1979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370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1980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1981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370</v>
      </c>
      <c r="H1079" s="9"/>
      <c r="I1079" s="8"/>
      <c r="J1079" s="8"/>
      <c r="K1079" s="8"/>
      <c r="L1079" s="9" t="s">
        <v>522</v>
      </c>
      <c r="M1079" s="8"/>
    </row>
    <row r="1080" spans="1:13" x14ac:dyDescent="0.25">
      <c r="A1080" s="18" t="s">
        <v>1982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1983</v>
      </c>
      <c r="B1081" s="67">
        <v>44410556843</v>
      </c>
      <c r="C1081" s="72" t="s">
        <v>1984</v>
      </c>
      <c r="D1081" s="69">
        <v>39436457898</v>
      </c>
      <c r="E1081" s="9">
        <v>262</v>
      </c>
      <c r="F1081" s="25">
        <v>43160</v>
      </c>
      <c r="G1081" s="70" t="s">
        <v>370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1985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370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1986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1987</v>
      </c>
      <c r="B1084" s="67">
        <v>7838810884</v>
      </c>
      <c r="C1084" s="72" t="s">
        <v>1988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1989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370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1990</v>
      </c>
      <c r="B1086" s="67">
        <v>18239878857</v>
      </c>
      <c r="C1086" s="72" t="s">
        <v>1991</v>
      </c>
      <c r="D1086" s="69">
        <v>18871709870</v>
      </c>
      <c r="E1086" s="9">
        <v>85</v>
      </c>
      <c r="F1086" s="25">
        <v>43109</v>
      </c>
      <c r="G1086" s="70" t="s">
        <v>370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1992</v>
      </c>
      <c r="B1087" s="67">
        <v>33213821802</v>
      </c>
      <c r="C1087" s="18" t="s">
        <v>481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1993</v>
      </c>
      <c r="B1088" s="67">
        <v>39075719833</v>
      </c>
      <c r="C1088" s="72" t="s">
        <v>1994</v>
      </c>
      <c r="D1088" s="69">
        <v>29754975809</v>
      </c>
      <c r="E1088" s="9">
        <v>810</v>
      </c>
      <c r="F1088" s="25">
        <v>42915</v>
      </c>
      <c r="G1088" s="70" t="s">
        <v>377</v>
      </c>
      <c r="H1088" s="9"/>
      <c r="I1088" s="8"/>
      <c r="J1088" s="8"/>
      <c r="K1088" s="8"/>
      <c r="L1088" s="9" t="s">
        <v>490</v>
      </c>
      <c r="M1088" s="8"/>
    </row>
    <row r="1089" spans="1:13" x14ac:dyDescent="0.25">
      <c r="A1089" s="71" t="s">
        <v>1995</v>
      </c>
      <c r="B1089" s="67">
        <v>22599824842</v>
      </c>
      <c r="C1089" s="73" t="s">
        <v>1996</v>
      </c>
      <c r="D1089" s="69" t="s">
        <v>1997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1998</v>
      </c>
      <c r="B1090" s="67">
        <v>41719739889</v>
      </c>
      <c r="C1090" s="72" t="s">
        <v>1999</v>
      </c>
      <c r="D1090" s="69">
        <v>35883252800</v>
      </c>
      <c r="E1090" s="9">
        <v>1752</v>
      </c>
      <c r="F1090" s="25">
        <v>43051</v>
      </c>
      <c r="G1090" s="70" t="s">
        <v>370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2000</v>
      </c>
      <c r="B1091" s="67">
        <v>31524778800</v>
      </c>
      <c r="C1091" s="72" t="s">
        <v>2001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2002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2003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2004</v>
      </c>
      <c r="B1094" s="67">
        <v>6614830376</v>
      </c>
      <c r="C1094" s="72" t="s">
        <v>2005</v>
      </c>
      <c r="D1094" s="69">
        <v>6372277352</v>
      </c>
      <c r="E1094" s="9">
        <v>229</v>
      </c>
      <c r="F1094" s="25">
        <v>43151</v>
      </c>
      <c r="G1094" s="70" t="s">
        <v>370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2006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2007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370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2008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2009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370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2010</v>
      </c>
      <c r="B1099" s="67">
        <v>23047254818</v>
      </c>
      <c r="C1099" s="18" t="s">
        <v>481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2011</v>
      </c>
      <c r="B1100" s="69">
        <v>15755371504</v>
      </c>
      <c r="C1100" s="71" t="s">
        <v>2012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2013</v>
      </c>
      <c r="B1101" s="67"/>
      <c r="C1101" s="29" t="s">
        <v>481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2014</v>
      </c>
      <c r="B1102" s="67">
        <v>37975016845</v>
      </c>
      <c r="C1102" s="72" t="s">
        <v>2015</v>
      </c>
      <c r="D1102" s="69">
        <v>31274964865</v>
      </c>
      <c r="E1102" s="9">
        <v>810</v>
      </c>
      <c r="F1102" s="25">
        <v>42915</v>
      </c>
      <c r="G1102" s="70" t="s">
        <v>370</v>
      </c>
      <c r="H1102" s="9"/>
      <c r="I1102" s="8"/>
      <c r="J1102" s="8"/>
      <c r="K1102" s="8"/>
      <c r="L1102" s="9" t="s">
        <v>490</v>
      </c>
      <c r="M1102" s="8"/>
    </row>
    <row r="1103" spans="1:13" x14ac:dyDescent="0.25">
      <c r="A1103" s="71" t="s">
        <v>2016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2017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2018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370</v>
      </c>
      <c r="H1105" s="9"/>
      <c r="I1105" s="8"/>
      <c r="J1105" s="8"/>
      <c r="K1105" s="8"/>
      <c r="L1105" s="9" t="s">
        <v>522</v>
      </c>
      <c r="M1105" s="8"/>
    </row>
    <row r="1106" spans="1:13" x14ac:dyDescent="0.25">
      <c r="A1106" s="14" t="s">
        <v>2019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370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2020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2021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370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2022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2023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2024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370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2025</v>
      </c>
      <c r="B1112" s="67"/>
      <c r="C1112" s="29" t="s">
        <v>2026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2027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2028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2029</v>
      </c>
      <c r="B1115" s="67">
        <v>31228148899</v>
      </c>
      <c r="C1115" s="18" t="s">
        <v>2030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2031</v>
      </c>
      <c r="B1116" s="67">
        <v>28077309810</v>
      </c>
      <c r="C1116" s="72" t="s">
        <v>2032</v>
      </c>
      <c r="D1116" s="69">
        <v>62568370530</v>
      </c>
      <c r="E1116" s="9">
        <v>229</v>
      </c>
      <c r="F1116" s="25">
        <v>43151</v>
      </c>
      <c r="G1116" s="70" t="s">
        <v>370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2033</v>
      </c>
      <c r="B1117" s="67">
        <v>43681754845</v>
      </c>
      <c r="C1117" s="72" t="s">
        <v>2034</v>
      </c>
      <c r="D1117" s="69">
        <v>51120226805</v>
      </c>
      <c r="E1117" s="9">
        <v>1555</v>
      </c>
      <c r="F1117" s="25">
        <v>43049</v>
      </c>
      <c r="G1117" s="70" t="s">
        <v>370</v>
      </c>
      <c r="H1117" s="9"/>
      <c r="I1117" s="8"/>
      <c r="J1117" s="8"/>
      <c r="K1117" s="8"/>
      <c r="L1117" s="9" t="s">
        <v>749</v>
      </c>
      <c r="M1117" s="8"/>
    </row>
    <row r="1118" spans="1:13" x14ac:dyDescent="0.25">
      <c r="A1118" s="29" t="s">
        <v>2035</v>
      </c>
      <c r="B1118" s="67"/>
      <c r="C1118" s="29" t="s">
        <v>2036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2037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2038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370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2039</v>
      </c>
      <c r="B1121" s="67">
        <v>44708151870</v>
      </c>
      <c r="C1121" s="88" t="s">
        <v>2040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2041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2042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2043</v>
      </c>
      <c r="B1124" s="67">
        <v>8368671817</v>
      </c>
      <c r="C1124" s="72" t="s">
        <v>2044</v>
      </c>
      <c r="D1124" s="69">
        <v>19184424877</v>
      </c>
      <c r="E1124" s="9">
        <v>292</v>
      </c>
      <c r="F1124" s="25">
        <v>43168</v>
      </c>
      <c r="G1124" s="70" t="s">
        <v>370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2045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370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2046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370</v>
      </c>
      <c r="H1126" s="9"/>
      <c r="I1126" s="8"/>
      <c r="J1126" s="8"/>
      <c r="K1126" s="8"/>
      <c r="L1126" s="9" t="s">
        <v>490</v>
      </c>
      <c r="M1126" s="8"/>
    </row>
    <row r="1127" spans="1:13" x14ac:dyDescent="0.25">
      <c r="A1127" s="18" t="s">
        <v>2047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2048</v>
      </c>
      <c r="B1128" s="67">
        <v>45127604825</v>
      </c>
      <c r="C1128" s="72" t="s">
        <v>2049</v>
      </c>
      <c r="D1128" s="69" t="s">
        <v>2050</v>
      </c>
      <c r="E1128" s="9">
        <v>229</v>
      </c>
      <c r="F1128" s="25">
        <v>43151</v>
      </c>
      <c r="G1128" s="70" t="s">
        <v>385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2051</v>
      </c>
      <c r="B1129" s="67">
        <v>42987674856</v>
      </c>
      <c r="C1129" s="72" t="s">
        <v>2052</v>
      </c>
      <c r="D1129" s="69">
        <v>38745840890</v>
      </c>
      <c r="E1129" s="9">
        <v>85</v>
      </c>
      <c r="F1129" s="25">
        <v>43109</v>
      </c>
      <c r="G1129" s="70" t="s">
        <v>370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2053</v>
      </c>
      <c r="B1130" s="67">
        <v>36406558855</v>
      </c>
      <c r="C1130" s="72" t="s">
        <v>2054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2055</v>
      </c>
      <c r="B1131" s="67">
        <v>22758320843</v>
      </c>
      <c r="C1131" s="72" t="s">
        <v>2056</v>
      </c>
      <c r="D1131" s="69">
        <v>14229403810</v>
      </c>
      <c r="E1131" s="9">
        <v>1752</v>
      </c>
      <c r="F1131" s="25">
        <v>43051</v>
      </c>
      <c r="G1131" s="70" t="s">
        <v>370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2057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2058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370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2059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370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2060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370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2061</v>
      </c>
      <c r="B1136" s="67">
        <v>32518683810</v>
      </c>
      <c r="C1136" s="72" t="s">
        <v>2062</v>
      </c>
      <c r="D1136" s="69">
        <v>32570919829</v>
      </c>
      <c r="E1136" s="9">
        <v>262</v>
      </c>
      <c r="F1136" s="25">
        <v>43160</v>
      </c>
      <c r="G1136" s="70" t="s">
        <v>377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2063</v>
      </c>
      <c r="B1137" s="67">
        <v>35723911805</v>
      </c>
      <c r="C1137" s="18" t="s">
        <v>481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2064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370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2065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370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2066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370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2067</v>
      </c>
      <c r="B1141" s="67">
        <v>9527670667</v>
      </c>
      <c r="C1141" s="18" t="s">
        <v>2068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2069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370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2070</v>
      </c>
      <c r="B1143" s="80">
        <v>15404916842</v>
      </c>
      <c r="C1143" s="81" t="s">
        <v>2071</v>
      </c>
      <c r="D1143" s="82">
        <v>26437120487</v>
      </c>
      <c r="E1143" s="47">
        <v>1752</v>
      </c>
      <c r="F1143" s="48">
        <v>43051</v>
      </c>
      <c r="G1143" s="83" t="s">
        <v>385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2072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370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2073</v>
      </c>
      <c r="B1145" s="67">
        <v>16618981816</v>
      </c>
      <c r="C1145" s="77" t="s">
        <v>2074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2075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370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2076</v>
      </c>
      <c r="B1147" s="67">
        <v>14396561857</v>
      </c>
      <c r="C1147" s="72" t="s">
        <v>2077</v>
      </c>
      <c r="D1147" s="69">
        <v>26877955854</v>
      </c>
      <c r="E1147" s="9">
        <v>1350</v>
      </c>
      <c r="F1147" s="25">
        <v>43006</v>
      </c>
      <c r="G1147" s="70" t="s">
        <v>370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2078</v>
      </c>
      <c r="B1148" s="67">
        <v>89014774591</v>
      </c>
      <c r="C1148" s="72" t="s">
        <v>2079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2080</v>
      </c>
      <c r="B1149" s="67">
        <v>36708561883</v>
      </c>
      <c r="C1149" s="72" t="s">
        <v>2081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2082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370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2083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370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2084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370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2085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2086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2087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370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2088</v>
      </c>
      <c r="B1156" s="67">
        <v>35706404852</v>
      </c>
      <c r="C1156" s="72"/>
      <c r="D1156" s="69"/>
      <c r="E1156" s="9">
        <v>117</v>
      </c>
      <c r="F1156" s="25"/>
      <c r="G1156" s="70" t="s">
        <v>385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2089</v>
      </c>
      <c r="B1157" s="67">
        <v>2044062348</v>
      </c>
      <c r="C1157" s="72" t="s">
        <v>2090</v>
      </c>
      <c r="D1157" s="69">
        <v>61505005353</v>
      </c>
      <c r="E1157" s="9">
        <v>1214</v>
      </c>
      <c r="F1157" s="25">
        <v>42989</v>
      </c>
      <c r="G1157" s="70" t="s">
        <v>370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2091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370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2092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2093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370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2094</v>
      </c>
      <c r="B1161" s="67">
        <v>11126789801</v>
      </c>
      <c r="C1161" s="72" t="s">
        <v>2095</v>
      </c>
      <c r="D1161" s="69">
        <v>13442330823</v>
      </c>
      <c r="E1161" s="9">
        <v>85</v>
      </c>
      <c r="F1161" s="25">
        <v>43109</v>
      </c>
      <c r="G1161" s="70" t="s">
        <v>370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2096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370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2097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370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2098</v>
      </c>
      <c r="B1164" s="67">
        <v>42134258861</v>
      </c>
      <c r="C1164" s="72" t="s">
        <v>2099</v>
      </c>
      <c r="D1164" s="69">
        <v>36485490817</v>
      </c>
      <c r="E1164" s="9">
        <v>262</v>
      </c>
      <c r="F1164" s="25">
        <v>43160</v>
      </c>
      <c r="G1164" s="9" t="s">
        <v>370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2100</v>
      </c>
      <c r="B1165" s="67">
        <v>1772681318</v>
      </c>
      <c r="C1165" s="72" t="s">
        <v>2101</v>
      </c>
      <c r="D1165" s="69">
        <v>88109810306</v>
      </c>
      <c r="E1165" s="9">
        <v>85</v>
      </c>
      <c r="F1165" s="25">
        <v>43109</v>
      </c>
      <c r="G1165" s="70" t="s">
        <v>370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2102</v>
      </c>
      <c r="B1166" s="67">
        <v>88244881291</v>
      </c>
      <c r="C1166" s="72" t="s">
        <v>2103</v>
      </c>
      <c r="D1166" s="69">
        <v>71885609272</v>
      </c>
      <c r="E1166" s="9">
        <v>292</v>
      </c>
      <c r="F1166" s="25">
        <v>43168</v>
      </c>
      <c r="G1166" s="9" t="s">
        <v>370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2104</v>
      </c>
      <c r="B1167" s="67">
        <v>33535539838</v>
      </c>
      <c r="C1167" s="72" t="s">
        <v>2105</v>
      </c>
      <c r="D1167" s="69">
        <v>19438586830</v>
      </c>
      <c r="E1167" s="9">
        <v>85</v>
      </c>
      <c r="F1167" s="25">
        <v>43109</v>
      </c>
      <c r="G1167" s="70" t="s">
        <v>370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2106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370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2107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370</v>
      </c>
      <c r="H1169" s="9"/>
      <c r="I1169" s="8"/>
      <c r="J1169" s="8"/>
      <c r="K1169" s="8"/>
      <c r="L1169" s="9" t="s">
        <v>522</v>
      </c>
      <c r="M1169" s="8"/>
    </row>
    <row r="1170" spans="1:13" x14ac:dyDescent="0.25">
      <c r="A1170" s="71" t="s">
        <v>2108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2109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370</v>
      </c>
      <c r="H1171" s="9"/>
      <c r="I1171" s="8"/>
      <c r="J1171" s="8"/>
      <c r="K1171" s="8"/>
      <c r="L1171" s="9" t="s">
        <v>490</v>
      </c>
      <c r="M1171" s="8"/>
    </row>
    <row r="1172" spans="1:13" x14ac:dyDescent="0.25">
      <c r="A1172" s="71" t="s">
        <v>2110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370</v>
      </c>
      <c r="H1172" s="9"/>
      <c r="I1172" s="8"/>
      <c r="J1172" s="8"/>
      <c r="K1172" s="8"/>
      <c r="L1172" s="9" t="s">
        <v>749</v>
      </c>
      <c r="M1172" s="8"/>
    </row>
    <row r="1173" spans="1:13" x14ac:dyDescent="0.25">
      <c r="A1173" s="72" t="s">
        <v>2111</v>
      </c>
      <c r="B1173" s="67">
        <v>42160981850</v>
      </c>
      <c r="C1173" s="72" t="s">
        <v>2112</v>
      </c>
      <c r="D1173" s="69">
        <v>40077808894</v>
      </c>
      <c r="E1173" s="9">
        <v>608</v>
      </c>
      <c r="F1173" s="25">
        <v>43012</v>
      </c>
      <c r="G1173" s="70" t="s">
        <v>370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2113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377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2114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2115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651</v>
      </c>
      <c r="M1176" s="8"/>
    </row>
    <row r="1177" spans="1:13" x14ac:dyDescent="0.25">
      <c r="A1177" s="29" t="s">
        <v>2116</v>
      </c>
      <c r="B1177" s="67"/>
      <c r="C1177" s="29" t="s">
        <v>2117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2118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2119</v>
      </c>
      <c r="B1179" s="67">
        <v>11754585469</v>
      </c>
      <c r="C1179" s="77" t="s">
        <v>2120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651</v>
      </c>
      <c r="M1179" s="8"/>
    </row>
    <row r="1180" spans="1:13" x14ac:dyDescent="0.25">
      <c r="A1180" s="29" t="s">
        <v>2121</v>
      </c>
      <c r="B1180" s="67">
        <v>7621874503</v>
      </c>
      <c r="C1180" s="29" t="s">
        <v>2122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2123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370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2124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370</v>
      </c>
      <c r="H1182" s="9"/>
      <c r="I1182" s="8"/>
      <c r="J1182" s="8"/>
      <c r="K1182" s="8"/>
      <c r="L1182" s="9" t="s">
        <v>749</v>
      </c>
      <c r="M1182" s="8"/>
    </row>
    <row r="1183" spans="1:13" x14ac:dyDescent="0.25">
      <c r="A1183" s="29" t="s">
        <v>2125</v>
      </c>
      <c r="B1183" s="67">
        <v>29913700841</v>
      </c>
      <c r="C1183" s="18" t="s">
        <v>481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2126</v>
      </c>
      <c r="B1184" s="67">
        <v>28907743843</v>
      </c>
      <c r="C1184" s="29" t="s">
        <v>2127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2128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370</v>
      </c>
      <c r="H1185" s="9"/>
      <c r="I1185" s="8"/>
      <c r="J1185" s="8"/>
      <c r="K1185" s="8"/>
      <c r="L1185" s="9" t="s">
        <v>490</v>
      </c>
      <c r="M1185" s="8"/>
    </row>
    <row r="1186" spans="1:13" x14ac:dyDescent="0.25">
      <c r="A1186" s="29" t="s">
        <v>2129</v>
      </c>
      <c r="B1186" s="67"/>
      <c r="C1186" s="18" t="s">
        <v>481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2130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370</v>
      </c>
      <c r="H1187" s="9"/>
      <c r="I1187" s="8"/>
      <c r="J1187" s="8"/>
      <c r="K1187" s="8"/>
      <c r="L1187" s="9" t="s">
        <v>490</v>
      </c>
      <c r="M1187" s="8"/>
    </row>
    <row r="1188" spans="1:13" x14ac:dyDescent="0.25">
      <c r="A1188" s="73" t="s">
        <v>2131</v>
      </c>
      <c r="B1188" s="67">
        <v>1198397500</v>
      </c>
      <c r="C1188" s="72" t="s">
        <v>2132</v>
      </c>
      <c r="D1188" s="69">
        <v>87142503572</v>
      </c>
      <c r="E1188" s="9">
        <v>810</v>
      </c>
      <c r="F1188" s="25">
        <v>42915</v>
      </c>
      <c r="G1188" s="70" t="s">
        <v>370</v>
      </c>
      <c r="H1188" s="9"/>
      <c r="I1188" s="8"/>
      <c r="J1188" s="8"/>
      <c r="K1188" s="8"/>
      <c r="L1188" s="9" t="s">
        <v>490</v>
      </c>
      <c r="M1188" s="8"/>
    </row>
    <row r="1189" spans="1:13" x14ac:dyDescent="0.25">
      <c r="A1189" s="29" t="s">
        <v>2133</v>
      </c>
      <c r="B1189" s="67">
        <v>17487364852</v>
      </c>
      <c r="C1189" s="29" t="s">
        <v>2134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2135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370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2136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2137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2138</v>
      </c>
      <c r="B1193" s="67">
        <v>32993187805</v>
      </c>
      <c r="C1193" s="72" t="s">
        <v>2139</v>
      </c>
      <c r="D1193" s="69">
        <v>2605272460</v>
      </c>
      <c r="E1193" s="9">
        <v>1439</v>
      </c>
      <c r="F1193" s="25">
        <v>43025</v>
      </c>
      <c r="G1193" s="70" t="s">
        <v>370</v>
      </c>
      <c r="H1193" s="9"/>
      <c r="I1193" s="8"/>
      <c r="J1193" s="8"/>
      <c r="K1193" s="8"/>
      <c r="L1193" s="9" t="s">
        <v>853</v>
      </c>
      <c r="M1193" s="8"/>
    </row>
    <row r="1194" spans="1:13" x14ac:dyDescent="0.25">
      <c r="A1194" s="71" t="s">
        <v>2140</v>
      </c>
      <c r="B1194" s="67">
        <v>33182368885</v>
      </c>
      <c r="C1194" s="77" t="s">
        <v>2141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2142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370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2143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370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2144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370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2145</v>
      </c>
      <c r="B1198" s="67">
        <v>32557609846</v>
      </c>
      <c r="C1198" s="72" t="s">
        <v>2146</v>
      </c>
      <c r="D1198" s="69">
        <v>19150806904</v>
      </c>
      <c r="E1198" s="9">
        <v>1241</v>
      </c>
      <c r="F1198" s="25">
        <v>42992</v>
      </c>
      <c r="G1198" s="70" t="s">
        <v>370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2147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370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2148</v>
      </c>
      <c r="B1200" s="67">
        <v>38236980871</v>
      </c>
      <c r="C1200" s="72" t="s">
        <v>2149</v>
      </c>
      <c r="D1200" s="69">
        <v>5177834360</v>
      </c>
      <c r="E1200" s="9">
        <v>262</v>
      </c>
      <c r="F1200" s="25">
        <v>43160</v>
      </c>
      <c r="G1200" s="70" t="s">
        <v>370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2150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370</v>
      </c>
      <c r="H1201" s="9"/>
      <c r="I1201" s="8"/>
      <c r="J1201" s="8"/>
      <c r="K1201" s="8"/>
      <c r="L1201" s="9" t="s">
        <v>490</v>
      </c>
      <c r="M1201" s="8"/>
    </row>
    <row r="1202" spans="1:13" x14ac:dyDescent="0.25">
      <c r="A1202" s="72" t="s">
        <v>2151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2152</v>
      </c>
      <c r="B1203" s="67">
        <v>177446102</v>
      </c>
      <c r="C1203" s="72" t="s">
        <v>2153</v>
      </c>
      <c r="D1203" s="69">
        <v>31301235806</v>
      </c>
      <c r="E1203" s="9">
        <v>229</v>
      </c>
      <c r="F1203" s="25">
        <v>43151</v>
      </c>
      <c r="G1203" s="70" t="s">
        <v>370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2154</v>
      </c>
      <c r="B1204" s="67"/>
      <c r="C1204" s="29" t="s">
        <v>481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2155</v>
      </c>
      <c r="B1205" s="67">
        <v>22394984805</v>
      </c>
      <c r="C1205" s="72" t="s">
        <v>2156</v>
      </c>
      <c r="D1205" s="69">
        <v>29161087858</v>
      </c>
      <c r="E1205" s="9">
        <v>1106</v>
      </c>
      <c r="F1205" s="25">
        <v>42965</v>
      </c>
      <c r="G1205" s="70" t="s">
        <v>370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2157</v>
      </c>
      <c r="B1206" s="67">
        <v>22495577806</v>
      </c>
      <c r="C1206" s="72" t="s">
        <v>2158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2159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2160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2161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370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2162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2163</v>
      </c>
      <c r="B1211" s="67">
        <v>37304527897</v>
      </c>
      <c r="C1211" s="72" t="s">
        <v>2164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2165</v>
      </c>
      <c r="B1212" s="67">
        <v>11328067807</v>
      </c>
      <c r="C1212" s="72" t="s">
        <v>2166</v>
      </c>
      <c r="D1212" s="69">
        <v>60769793800</v>
      </c>
      <c r="E1212" s="9">
        <v>262</v>
      </c>
      <c r="F1212" s="25">
        <v>43160</v>
      </c>
      <c r="G1212" s="70" t="s">
        <v>370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2167</v>
      </c>
      <c r="B1213" s="67">
        <v>4007781575</v>
      </c>
      <c r="C1213" s="72" t="s">
        <v>2168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2169</v>
      </c>
      <c r="B1214" s="67">
        <v>38448111842</v>
      </c>
      <c r="C1214" s="72" t="s">
        <v>2170</v>
      </c>
      <c r="D1214" s="69">
        <v>38350911824</v>
      </c>
      <c r="E1214" s="9"/>
      <c r="F1214" s="25"/>
      <c r="G1214" s="70" t="s">
        <v>370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2171</v>
      </c>
      <c r="B1215" s="67"/>
      <c r="C1215" s="18" t="s">
        <v>481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2172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370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2173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370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2174</v>
      </c>
      <c r="B1218" s="67">
        <v>29040829802</v>
      </c>
      <c r="C1218" s="68" t="s">
        <v>2175</v>
      </c>
      <c r="D1218" s="69">
        <v>17804755864</v>
      </c>
      <c r="E1218" s="9">
        <v>1128</v>
      </c>
      <c r="F1218" s="25">
        <v>42972</v>
      </c>
      <c r="G1218" s="70" t="s">
        <v>370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2176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2177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370</v>
      </c>
      <c r="H1220" s="9"/>
      <c r="I1220" s="8"/>
      <c r="J1220" s="8"/>
      <c r="K1220" s="8"/>
      <c r="L1220" s="9" t="s">
        <v>605</v>
      </c>
      <c r="M1220" s="8"/>
    </row>
    <row r="1221" spans="1:13" x14ac:dyDescent="0.25">
      <c r="A1221" s="14" t="s">
        <v>2178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2179</v>
      </c>
      <c r="B1222" s="67">
        <v>22614376841</v>
      </c>
      <c r="C1222" s="18" t="s">
        <v>481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2180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2181</v>
      </c>
      <c r="B1224" s="67">
        <v>95023003515</v>
      </c>
      <c r="C1224" s="72" t="s">
        <v>2182</v>
      </c>
      <c r="D1224" s="69">
        <v>2283584507</v>
      </c>
      <c r="E1224" s="9">
        <v>117</v>
      </c>
      <c r="F1224" s="25">
        <v>43117</v>
      </c>
      <c r="G1224" s="70" t="s">
        <v>370</v>
      </c>
      <c r="H1224" s="9"/>
      <c r="I1224" s="8"/>
      <c r="J1224" s="8"/>
      <c r="K1224" s="8"/>
      <c r="L1224" s="9" t="s">
        <v>522</v>
      </c>
      <c r="M1224" s="8"/>
    </row>
    <row r="1225" spans="1:13" x14ac:dyDescent="0.25">
      <c r="A1225" s="15" t="s">
        <v>2183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370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2184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2185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370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2186</v>
      </c>
      <c r="B1228" s="67">
        <v>40584610807</v>
      </c>
      <c r="C1228" s="72" t="s">
        <v>2187</v>
      </c>
      <c r="D1228" s="69">
        <v>29182543801</v>
      </c>
      <c r="E1228" s="9">
        <v>810</v>
      </c>
      <c r="F1228" s="25">
        <v>42915</v>
      </c>
      <c r="G1228" s="70" t="s">
        <v>370</v>
      </c>
      <c r="H1228" s="9"/>
      <c r="I1228" s="8"/>
      <c r="J1228" s="8"/>
      <c r="K1228" s="8"/>
      <c r="L1228" s="9" t="s">
        <v>490</v>
      </c>
      <c r="M1228" s="8"/>
    </row>
    <row r="1229" spans="1:13" x14ac:dyDescent="0.25">
      <c r="A1229" s="71" t="s">
        <v>2188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370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2189</v>
      </c>
      <c r="B1230" s="67">
        <v>2330650590</v>
      </c>
      <c r="C1230" s="18" t="s">
        <v>743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2190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651</v>
      </c>
      <c r="M1231" s="8"/>
    </row>
    <row r="1232" spans="1:13" x14ac:dyDescent="0.25">
      <c r="A1232" s="71" t="s">
        <v>2191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370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2192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2193</v>
      </c>
      <c r="B1234" s="67">
        <v>35116318826</v>
      </c>
      <c r="C1234" s="72" t="s">
        <v>2194</v>
      </c>
      <c r="D1234" s="69">
        <v>22432837860</v>
      </c>
      <c r="E1234" s="9">
        <v>1824</v>
      </c>
      <c r="F1234" s="25">
        <v>43091</v>
      </c>
      <c r="G1234" s="70" t="s">
        <v>370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2195</v>
      </c>
      <c r="B1235" s="67">
        <v>40048912808</v>
      </c>
      <c r="C1235" s="72" t="s">
        <v>2196</v>
      </c>
      <c r="D1235" s="69">
        <v>43519054841</v>
      </c>
      <c r="E1235" s="9">
        <v>262</v>
      </c>
      <c r="F1235" s="25">
        <v>43160</v>
      </c>
      <c r="G1235" s="70" t="s">
        <v>370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2197</v>
      </c>
      <c r="B1236" s="67">
        <v>26016197831</v>
      </c>
      <c r="C1236" s="15" t="s">
        <v>2198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2199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370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2200</v>
      </c>
      <c r="B1238" s="67">
        <v>40121535878</v>
      </c>
      <c r="C1238" s="72" t="s">
        <v>2201</v>
      </c>
      <c r="D1238" s="69">
        <v>33343601802</v>
      </c>
      <c r="E1238" s="9">
        <v>292</v>
      </c>
      <c r="F1238" s="25">
        <v>43168</v>
      </c>
      <c r="G1238" s="70" t="s">
        <v>370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2202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370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2203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370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2204</v>
      </c>
      <c r="B1241" s="67">
        <v>31029975892</v>
      </c>
      <c r="C1241" s="72" t="s">
        <v>2205</v>
      </c>
      <c r="D1241" s="69">
        <v>36873004472</v>
      </c>
      <c r="E1241" s="9">
        <v>1106</v>
      </c>
      <c r="F1241" s="25">
        <v>42965</v>
      </c>
      <c r="G1241" s="9" t="s">
        <v>370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2206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370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2207</v>
      </c>
      <c r="B1243" s="67">
        <v>36051592814</v>
      </c>
      <c r="C1243" s="72" t="s">
        <v>2208</v>
      </c>
      <c r="D1243" s="69">
        <v>13109522847</v>
      </c>
      <c r="E1243" s="9">
        <v>810</v>
      </c>
      <c r="F1243" s="25">
        <v>42915</v>
      </c>
      <c r="G1243" s="70" t="s">
        <v>370</v>
      </c>
      <c r="H1243" s="9"/>
      <c r="I1243" s="8"/>
      <c r="J1243" s="8"/>
      <c r="K1243" s="8"/>
      <c r="L1243" s="9" t="s">
        <v>490</v>
      </c>
      <c r="M1243" s="8"/>
    </row>
    <row r="1244" spans="1:13" x14ac:dyDescent="0.25">
      <c r="A1244" s="71" t="s">
        <v>2209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2210</v>
      </c>
      <c r="B1245" s="67">
        <v>28142782820</v>
      </c>
      <c r="C1245" s="18" t="s">
        <v>2211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2212</v>
      </c>
      <c r="B1246" s="67">
        <v>30088939880</v>
      </c>
      <c r="C1246" s="72" t="s">
        <v>2213</v>
      </c>
      <c r="D1246" s="69">
        <v>2051861579</v>
      </c>
      <c r="E1246" s="9">
        <v>292</v>
      </c>
      <c r="F1246" s="25">
        <v>43168</v>
      </c>
      <c r="G1246" s="9" t="s">
        <v>370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2214</v>
      </c>
      <c r="B1247" s="67">
        <v>11525085476</v>
      </c>
      <c r="C1247" s="72" t="s">
        <v>2215</v>
      </c>
      <c r="D1247" s="69">
        <v>9293576473</v>
      </c>
      <c r="E1247" s="9">
        <v>262</v>
      </c>
      <c r="F1247" s="25">
        <v>43160</v>
      </c>
      <c r="G1247" s="70" t="s">
        <v>370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2216</v>
      </c>
      <c r="B1248" s="67"/>
      <c r="C1248" s="29" t="s">
        <v>2217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2218</v>
      </c>
      <c r="B1249" s="67">
        <v>31265129843</v>
      </c>
      <c r="C1249" s="68" t="s">
        <v>2219</v>
      </c>
      <c r="D1249" s="69">
        <v>2078435546</v>
      </c>
      <c r="E1249" s="9">
        <v>1241</v>
      </c>
      <c r="F1249" s="25">
        <v>42992</v>
      </c>
      <c r="G1249" s="70" t="s">
        <v>370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2220</v>
      </c>
      <c r="B1250" s="67">
        <v>22524200817</v>
      </c>
      <c r="C1250" s="72" t="s">
        <v>2221</v>
      </c>
      <c r="D1250" s="69">
        <v>22961531861</v>
      </c>
      <c r="E1250" s="9">
        <v>229</v>
      </c>
      <c r="F1250" s="25">
        <v>43151</v>
      </c>
      <c r="G1250" s="70" t="s">
        <v>377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2222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370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2223</v>
      </c>
      <c r="B1252" s="67">
        <v>29736807860</v>
      </c>
      <c r="C1252" s="72" t="s">
        <v>2224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2225</v>
      </c>
      <c r="B1253" s="67">
        <v>4890860398</v>
      </c>
      <c r="C1253" s="72" t="s">
        <v>2226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2227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370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2228</v>
      </c>
      <c r="B1255" s="67">
        <v>35336343889</v>
      </c>
      <c r="C1255" s="18" t="s">
        <v>2229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2230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651</v>
      </c>
      <c r="M1256" s="8"/>
    </row>
    <row r="1257" spans="1:13" x14ac:dyDescent="0.25">
      <c r="A1257" s="14" t="s">
        <v>2231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2232</v>
      </c>
      <c r="B1258" s="67">
        <v>39107511809</v>
      </c>
      <c r="C1258" s="72" t="s">
        <v>2233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2234</v>
      </c>
      <c r="B1259" s="67">
        <v>6652314584</v>
      </c>
      <c r="C1259" s="72" t="s">
        <v>2235</v>
      </c>
      <c r="D1259" s="69">
        <v>4945754500</v>
      </c>
      <c r="E1259" s="9">
        <v>85</v>
      </c>
      <c r="F1259" s="25">
        <v>43109</v>
      </c>
      <c r="G1259" s="70" t="s">
        <v>377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2236</v>
      </c>
      <c r="B1260" s="67">
        <v>43135974847</v>
      </c>
      <c r="C1260" s="73" t="s">
        <v>2237</v>
      </c>
      <c r="D1260" s="69" t="s">
        <v>2238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651</v>
      </c>
      <c r="M1260" s="8"/>
    </row>
    <row r="1261" spans="1:13" x14ac:dyDescent="0.25">
      <c r="A1261" s="13" t="s">
        <v>2239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370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2240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651</v>
      </c>
      <c r="M1262" s="8"/>
    </row>
    <row r="1263" spans="1:13" x14ac:dyDescent="0.25">
      <c r="A1263" s="14" t="s">
        <v>2241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370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2242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2243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377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2244</v>
      </c>
      <c r="B1266" s="67">
        <v>1748350943</v>
      </c>
      <c r="C1266" s="72" t="s">
        <v>2245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2246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2247</v>
      </c>
      <c r="B1268" s="67">
        <v>23502610851</v>
      </c>
      <c r="C1268" s="73" t="s">
        <v>2248</v>
      </c>
      <c r="D1268" s="69" t="s">
        <v>2249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2250</v>
      </c>
      <c r="B1269" s="67">
        <v>48857598896</v>
      </c>
      <c r="C1269" s="72" t="s">
        <v>2251</v>
      </c>
      <c r="D1269" s="69">
        <v>36223394896</v>
      </c>
      <c r="E1269" s="9">
        <v>262</v>
      </c>
      <c r="F1269" s="25">
        <v>43160</v>
      </c>
      <c r="G1269" s="46" t="s">
        <v>377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2252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2253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2254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370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2255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651</v>
      </c>
      <c r="M1273" s="8"/>
    </row>
    <row r="1274" spans="1:13" x14ac:dyDescent="0.25">
      <c r="A1274" s="71" t="s">
        <v>2256</v>
      </c>
      <c r="B1274" s="78" t="s">
        <v>2257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2258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370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2259</v>
      </c>
      <c r="B1276" s="67">
        <v>16354483876</v>
      </c>
      <c r="C1276" s="68" t="s">
        <v>2260</v>
      </c>
      <c r="D1276" s="69">
        <v>2853992845</v>
      </c>
      <c r="E1276" s="9">
        <v>1267</v>
      </c>
      <c r="F1276" s="25">
        <v>42998</v>
      </c>
      <c r="G1276" s="70" t="s">
        <v>370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2261</v>
      </c>
      <c r="B1277" s="67">
        <v>40753885816</v>
      </c>
      <c r="C1277" s="72" t="s">
        <v>2262</v>
      </c>
      <c r="D1277" s="69">
        <v>35877507850</v>
      </c>
      <c r="E1277" s="9">
        <v>85</v>
      </c>
      <c r="F1277" s="25">
        <v>43109</v>
      </c>
      <c r="G1277" s="70" t="s">
        <v>370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2263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370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2264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370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2265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2266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370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2267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2268</v>
      </c>
      <c r="B1283" s="67">
        <v>44632196800</v>
      </c>
      <c r="C1283" s="72" t="s">
        <v>2269</v>
      </c>
      <c r="D1283" s="69">
        <v>38901506831</v>
      </c>
      <c r="E1283" s="9">
        <v>1359</v>
      </c>
      <c r="F1283" s="25">
        <v>43006</v>
      </c>
      <c r="G1283" s="9" t="s">
        <v>370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2270</v>
      </c>
      <c r="B1284" s="67"/>
      <c r="C1284" s="18" t="s">
        <v>2271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2272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370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2273</v>
      </c>
      <c r="B1286" s="67">
        <v>7354753505</v>
      </c>
      <c r="C1286" s="72" t="s">
        <v>2274</v>
      </c>
      <c r="D1286" s="69">
        <v>26646541876</v>
      </c>
      <c r="E1286" s="9">
        <v>117</v>
      </c>
      <c r="F1286" s="25">
        <v>43117</v>
      </c>
      <c r="G1286" s="70" t="s">
        <v>370</v>
      </c>
      <c r="H1286" s="9"/>
      <c r="I1286" s="8"/>
      <c r="J1286" s="8"/>
      <c r="K1286" s="8"/>
      <c r="L1286" s="9" t="s">
        <v>522</v>
      </c>
      <c r="M1286" s="8"/>
    </row>
    <row r="1287" spans="1:13" x14ac:dyDescent="0.25">
      <c r="A1287" s="71" t="s">
        <v>2275</v>
      </c>
      <c r="B1287" s="67">
        <v>45378515890</v>
      </c>
      <c r="C1287" s="72" t="s">
        <v>2276</v>
      </c>
      <c r="D1287" s="69">
        <v>35635754520</v>
      </c>
      <c r="E1287" s="9">
        <v>1752</v>
      </c>
      <c r="F1287" s="25">
        <v>43051</v>
      </c>
      <c r="G1287" s="70" t="s">
        <v>370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2277</v>
      </c>
      <c r="B1288" s="67">
        <v>41274505844</v>
      </c>
      <c r="C1288" s="18" t="s">
        <v>2278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2279</v>
      </c>
      <c r="B1289" s="67">
        <v>46583836831</v>
      </c>
      <c r="C1289" s="72" t="s">
        <v>2280</v>
      </c>
      <c r="D1289" s="69">
        <v>39199167867</v>
      </c>
      <c r="E1289" s="9">
        <v>292</v>
      </c>
      <c r="F1289" s="25">
        <v>43168</v>
      </c>
      <c r="G1289" s="9" t="s">
        <v>370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2281</v>
      </c>
      <c r="B1290" s="67"/>
      <c r="C1290" s="29" t="s">
        <v>2282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2283</v>
      </c>
      <c r="B1291" s="67">
        <v>37483362847</v>
      </c>
      <c r="C1291" s="29" t="s">
        <v>2284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2285</v>
      </c>
      <c r="B1292" s="67">
        <v>43663899837</v>
      </c>
      <c r="C1292" s="18" t="s">
        <v>2286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2287</v>
      </c>
      <c r="B1293" s="67">
        <v>39203446850</v>
      </c>
      <c r="C1293" s="72" t="s">
        <v>2288</v>
      </c>
      <c r="D1293" s="69">
        <v>39255518836</v>
      </c>
      <c r="E1293" s="9">
        <v>292</v>
      </c>
      <c r="F1293" s="25">
        <v>43168</v>
      </c>
      <c r="G1293" s="70" t="s">
        <v>370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2289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2290</v>
      </c>
      <c r="B1295" s="67">
        <v>45722318850</v>
      </c>
      <c r="C1295" s="72" t="s">
        <v>2291</v>
      </c>
      <c r="D1295" s="69">
        <v>61122102313</v>
      </c>
      <c r="E1295" s="9">
        <v>229</v>
      </c>
      <c r="F1295" s="25">
        <v>43151</v>
      </c>
      <c r="G1295" s="70" t="s">
        <v>370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2292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370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2293</v>
      </c>
      <c r="B1297" s="67">
        <v>47697684861</v>
      </c>
      <c r="C1297" s="72" t="s">
        <v>2294</v>
      </c>
      <c r="D1297" s="69">
        <v>42642601838</v>
      </c>
      <c r="E1297" s="9">
        <v>229</v>
      </c>
      <c r="F1297" s="25">
        <v>43151</v>
      </c>
      <c r="G1297" s="70" t="s">
        <v>370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2295</v>
      </c>
      <c r="B1298" s="67">
        <v>97503479515</v>
      </c>
      <c r="C1298" s="15" t="s">
        <v>2296</v>
      </c>
      <c r="D1298" s="69">
        <v>28269015830</v>
      </c>
      <c r="E1298" s="9">
        <v>262</v>
      </c>
      <c r="F1298" s="25">
        <v>43160</v>
      </c>
      <c r="G1298" s="70" t="s">
        <v>370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2297</v>
      </c>
      <c r="B1299" s="67">
        <v>84327510491</v>
      </c>
      <c r="C1299" s="72" t="s">
        <v>2298</v>
      </c>
      <c r="D1299" s="69">
        <v>17305875856</v>
      </c>
      <c r="E1299" s="9">
        <v>292</v>
      </c>
      <c r="F1299" s="25">
        <v>43168</v>
      </c>
      <c r="G1299" s="70" t="s">
        <v>370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2299</v>
      </c>
      <c r="B1300" s="67">
        <v>24870791854</v>
      </c>
      <c r="C1300" s="68" t="s">
        <v>2300</v>
      </c>
      <c r="D1300" s="69">
        <v>4398744835</v>
      </c>
      <c r="E1300" s="9">
        <v>1128</v>
      </c>
      <c r="F1300" s="25">
        <v>42972</v>
      </c>
      <c r="G1300" s="70" t="s">
        <v>370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2301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370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2302</v>
      </c>
      <c r="B1302" s="67"/>
      <c r="C1302" s="18" t="s">
        <v>481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2303</v>
      </c>
      <c r="B1303" s="67">
        <v>25533246851</v>
      </c>
      <c r="C1303" s="72" t="s">
        <v>2304</v>
      </c>
      <c r="D1303" s="69">
        <v>2336832836</v>
      </c>
      <c r="E1303" s="9">
        <v>810</v>
      </c>
      <c r="F1303" s="25">
        <v>42915</v>
      </c>
      <c r="G1303" s="70" t="s">
        <v>370</v>
      </c>
      <c r="H1303" s="9"/>
      <c r="I1303" s="8"/>
      <c r="J1303" s="8"/>
      <c r="K1303" s="8"/>
      <c r="L1303" s="9" t="s">
        <v>490</v>
      </c>
      <c r="M1303" s="8"/>
    </row>
    <row r="1304" spans="1:13" x14ac:dyDescent="0.25">
      <c r="A1304" s="71" t="s">
        <v>2305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370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2306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2307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2308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2309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2310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2311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2312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370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2313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370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2314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2315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2316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370</v>
      </c>
      <c r="H1315" s="9"/>
      <c r="I1315" s="8"/>
      <c r="J1315" s="8"/>
      <c r="K1315" s="8"/>
      <c r="L1315" s="9" t="s">
        <v>605</v>
      </c>
      <c r="M1315" s="8"/>
    </row>
    <row r="1316" spans="1:13" x14ac:dyDescent="0.25">
      <c r="A1316" s="71" t="s">
        <v>2317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370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2318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2319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370</v>
      </c>
      <c r="H1318" s="9"/>
      <c r="I1318" s="8"/>
      <c r="J1318" s="8"/>
      <c r="K1318" s="8"/>
      <c r="L1318" s="9" t="s">
        <v>853</v>
      </c>
      <c r="M1318" s="8"/>
    </row>
    <row r="1319" spans="1:13" x14ac:dyDescent="0.25">
      <c r="A1319" s="15" t="s">
        <v>2320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2321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2322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370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2323</v>
      </c>
      <c r="B1322" s="67">
        <v>10519320921</v>
      </c>
      <c r="C1322" s="77" t="s">
        <v>2324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2325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370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2326</v>
      </c>
      <c r="B1324" s="67"/>
      <c r="C1324" s="18" t="s">
        <v>481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2327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2328</v>
      </c>
      <c r="B1326" s="67"/>
      <c r="C1326" s="29" t="s">
        <v>481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2329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370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2330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2331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370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2332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2333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370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2334</v>
      </c>
      <c r="B1332" s="67">
        <v>27211072830</v>
      </c>
      <c r="C1332" s="72" t="s">
        <v>2335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2336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2337</v>
      </c>
      <c r="B1334" s="67">
        <v>35197770880</v>
      </c>
      <c r="C1334" s="72" t="s">
        <v>2338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2339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2340</v>
      </c>
      <c r="B1336" s="67">
        <v>35236970857</v>
      </c>
      <c r="C1336" s="68" t="s">
        <v>2341</v>
      </c>
      <c r="D1336" s="69">
        <v>41901199894</v>
      </c>
      <c r="E1336" s="9">
        <v>1417</v>
      </c>
      <c r="F1336" s="25">
        <v>43017</v>
      </c>
      <c r="G1336" s="70" t="s">
        <v>370</v>
      </c>
      <c r="H1336" s="76">
        <v>43213</v>
      </c>
      <c r="I1336" s="8"/>
      <c r="J1336" s="8"/>
      <c r="K1336" s="8"/>
      <c r="L1336" s="9" t="s">
        <v>605</v>
      </c>
      <c r="M1336" s="8"/>
    </row>
    <row r="1337" spans="1:13" x14ac:dyDescent="0.25">
      <c r="A1337" s="71" t="s">
        <v>2342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370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2343</v>
      </c>
      <c r="B1338" s="67"/>
      <c r="C1338" s="29" t="s">
        <v>481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2344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370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2345</v>
      </c>
      <c r="B1340" s="67">
        <v>5263835850</v>
      </c>
      <c r="C1340" s="72" t="s">
        <v>2346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2347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370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2348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370</v>
      </c>
      <c r="H1342" s="76">
        <v>43213</v>
      </c>
      <c r="I1342" s="8"/>
      <c r="J1342" s="8"/>
      <c r="K1342" s="8"/>
      <c r="L1342" s="9" t="s">
        <v>522</v>
      </c>
      <c r="M1342" s="8"/>
    </row>
    <row r="1343" spans="1:13" x14ac:dyDescent="0.25">
      <c r="A1343" s="29" t="s">
        <v>2349</v>
      </c>
      <c r="B1343" s="67">
        <v>31148209808</v>
      </c>
      <c r="C1343" s="18" t="s">
        <v>481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2350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2351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370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2352</v>
      </c>
      <c r="B1346" s="67">
        <v>85794398507</v>
      </c>
      <c r="C1346" s="72" t="s">
        <v>2353</v>
      </c>
      <c r="D1346" s="69">
        <v>59689188534</v>
      </c>
      <c r="E1346" s="9">
        <v>292</v>
      </c>
      <c r="F1346" s="25">
        <v>43168</v>
      </c>
      <c r="G1346" s="70" t="s">
        <v>370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2354</v>
      </c>
      <c r="B1347" s="67">
        <v>2770765442</v>
      </c>
      <c r="C1347" s="72" t="s">
        <v>2355</v>
      </c>
      <c r="D1347" s="69">
        <v>24730161866</v>
      </c>
      <c r="E1347" s="9">
        <v>229</v>
      </c>
      <c r="F1347" s="25">
        <v>43151</v>
      </c>
      <c r="G1347" s="70" t="s">
        <v>370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2356</v>
      </c>
      <c r="B1348" s="67">
        <v>1295044838</v>
      </c>
      <c r="C1348" s="72" t="s">
        <v>2357</v>
      </c>
      <c r="D1348" s="69">
        <v>29976206860</v>
      </c>
      <c r="E1348" s="9">
        <v>485</v>
      </c>
      <c r="F1348" s="25">
        <v>43196</v>
      </c>
      <c r="G1348" s="70" t="s">
        <v>377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2358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370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2359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2360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2361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370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2362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370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2363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2364</v>
      </c>
      <c r="B1355" s="67">
        <v>75678772520</v>
      </c>
      <c r="C1355" s="72" t="s">
        <v>2365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2366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2367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2368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370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2369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370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2370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370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2371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370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2372</v>
      </c>
      <c r="B1362" s="67"/>
      <c r="C1362" s="18" t="s">
        <v>481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2373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2374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2375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370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2376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370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2377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2378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370</v>
      </c>
      <c r="H1368" s="9"/>
      <c r="I1368" s="8"/>
      <c r="J1368" s="8"/>
      <c r="K1368" s="8"/>
      <c r="L1368" s="9" t="s">
        <v>522</v>
      </c>
      <c r="M1368" s="8"/>
    </row>
    <row r="1369" spans="1:13" x14ac:dyDescent="0.25">
      <c r="A1369" s="29" t="s">
        <v>2379</v>
      </c>
      <c r="B1369" s="67"/>
      <c r="C1369" s="29" t="s">
        <v>481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2380</v>
      </c>
      <c r="B1370" s="67">
        <v>87915170520</v>
      </c>
      <c r="C1370" s="72" t="s">
        <v>2381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2382</v>
      </c>
      <c r="B1371" s="67">
        <v>30693970855</v>
      </c>
      <c r="C1371" s="72" t="s">
        <v>2383</v>
      </c>
      <c r="D1371" s="69">
        <v>6402681610</v>
      </c>
      <c r="E1371" s="9">
        <v>608</v>
      </c>
      <c r="F1371" s="25">
        <v>43012</v>
      </c>
      <c r="G1371" s="70" t="s">
        <v>377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2384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2385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2386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2387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370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2388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370</v>
      </c>
      <c r="H1376" s="9"/>
      <c r="I1376" s="8"/>
      <c r="J1376" s="8"/>
      <c r="K1376" s="8"/>
      <c r="L1376" s="9" t="s">
        <v>490</v>
      </c>
      <c r="M1376" s="8"/>
    </row>
    <row r="1377" spans="1:13" x14ac:dyDescent="0.25">
      <c r="A1377" s="71" t="s">
        <v>2389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370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2390</v>
      </c>
      <c r="B1378" s="78" t="s">
        <v>2391</v>
      </c>
      <c r="C1378" s="72"/>
      <c r="D1378" s="69"/>
      <c r="E1378" s="9">
        <v>292</v>
      </c>
      <c r="F1378" s="25">
        <v>43168</v>
      </c>
      <c r="G1378" s="9" t="s">
        <v>370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2392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2393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370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2394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370</v>
      </c>
      <c r="H1381" s="9"/>
      <c r="I1381" s="8"/>
      <c r="J1381" s="8"/>
      <c r="K1381" s="8"/>
      <c r="L1381" s="9" t="s">
        <v>749</v>
      </c>
      <c r="M1381" s="8"/>
    </row>
    <row r="1382" spans="1:13" x14ac:dyDescent="0.25">
      <c r="A1382" s="71" t="s">
        <v>2395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2396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2397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370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2398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370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2399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370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2400</v>
      </c>
      <c r="B1387" s="67">
        <v>5753509894</v>
      </c>
      <c r="C1387" s="9" t="s">
        <v>481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2401</v>
      </c>
      <c r="B1388" s="67"/>
      <c r="C1388" s="18" t="s">
        <v>2402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2403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2404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370</v>
      </c>
      <c r="H1390" s="9"/>
      <c r="I1390" s="8"/>
      <c r="J1390" s="8"/>
      <c r="K1390" s="8"/>
      <c r="L1390" s="9" t="s">
        <v>490</v>
      </c>
      <c r="M1390" s="8"/>
    </row>
    <row r="1391" spans="1:13" x14ac:dyDescent="0.25">
      <c r="A1391" s="71" t="s">
        <v>2405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370</v>
      </c>
      <c r="H1391" s="9"/>
      <c r="I1391" s="8"/>
      <c r="J1391" s="8"/>
      <c r="K1391" s="8"/>
      <c r="L1391" s="9" t="s">
        <v>490</v>
      </c>
      <c r="M1391" s="8"/>
    </row>
    <row r="1392" spans="1:13" x14ac:dyDescent="0.25">
      <c r="A1392" s="13" t="s">
        <v>2406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370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2407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377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2408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2409</v>
      </c>
      <c r="B1395" s="67">
        <v>61260606449</v>
      </c>
      <c r="C1395" s="72" t="s">
        <v>2410</v>
      </c>
      <c r="D1395" s="69">
        <v>73505854468</v>
      </c>
      <c r="E1395" s="9">
        <v>608</v>
      </c>
      <c r="F1395" s="25">
        <v>43012</v>
      </c>
      <c r="G1395" s="70" t="s">
        <v>370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2411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370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2412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2413</v>
      </c>
      <c r="B1398" s="67">
        <v>68516274853</v>
      </c>
      <c r="C1398" s="18" t="s">
        <v>481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2414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370</v>
      </c>
      <c r="H1399" s="9"/>
      <c r="I1399" s="8"/>
      <c r="J1399" s="8"/>
      <c r="K1399" s="8"/>
      <c r="L1399" s="9" t="s">
        <v>512</v>
      </c>
      <c r="M1399" s="8"/>
    </row>
    <row r="1400" spans="1:13" x14ac:dyDescent="0.25">
      <c r="A1400" s="15" t="s">
        <v>2415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370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2416</v>
      </c>
      <c r="B1401" s="67">
        <v>85576492820</v>
      </c>
      <c r="C1401" s="72" t="s">
        <v>2417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2418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2419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370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2420</v>
      </c>
      <c r="B1404" s="67">
        <v>27903916882</v>
      </c>
      <c r="C1404" s="32" t="s">
        <v>2421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2422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370</v>
      </c>
      <c r="H1405" s="9"/>
      <c r="I1405" s="8"/>
      <c r="J1405" s="8"/>
      <c r="K1405" s="8"/>
      <c r="L1405" s="9" t="s">
        <v>512</v>
      </c>
      <c r="M1405" s="8"/>
    </row>
    <row r="1406" spans="1:13" x14ac:dyDescent="0.25">
      <c r="A1406" s="71" t="s">
        <v>2423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377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2424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370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2425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370</v>
      </c>
      <c r="H1408" s="9"/>
      <c r="I1408" s="8"/>
      <c r="J1408" s="8"/>
      <c r="K1408" s="8"/>
      <c r="L1408" s="9" t="s">
        <v>490</v>
      </c>
      <c r="M1408" s="8"/>
    </row>
    <row r="1409" spans="1:13" x14ac:dyDescent="0.25">
      <c r="A1409" s="15" t="s">
        <v>2426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370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2427</v>
      </c>
      <c r="B1410" s="67">
        <v>754731863</v>
      </c>
      <c r="C1410" s="72" t="s">
        <v>2428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2429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370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2430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370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2431</v>
      </c>
      <c r="B1413" s="67" t="s">
        <v>2432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2433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370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2434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370</v>
      </c>
      <c r="H1415" s="9"/>
      <c r="I1415" s="8"/>
      <c r="J1415" s="8"/>
      <c r="K1415" s="8"/>
      <c r="L1415" s="9" t="s">
        <v>490</v>
      </c>
      <c r="M1415" s="8"/>
    </row>
    <row r="1416" spans="1:13" x14ac:dyDescent="0.25">
      <c r="A1416" s="71" t="s">
        <v>2435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370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2436</v>
      </c>
      <c r="B1417" s="67">
        <v>32045988880</v>
      </c>
      <c r="C1417" s="72" t="s">
        <v>2437</v>
      </c>
      <c r="D1417" s="69">
        <v>28522432880</v>
      </c>
      <c r="E1417" s="9">
        <v>85</v>
      </c>
      <c r="F1417" s="25">
        <v>43109</v>
      </c>
      <c r="G1417" s="70" t="s">
        <v>370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2438</v>
      </c>
      <c r="B1418" s="67">
        <v>14692639806</v>
      </c>
      <c r="C1418" s="18" t="s">
        <v>481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2439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2440</v>
      </c>
      <c r="B1420" s="67">
        <v>25745713801</v>
      </c>
      <c r="C1420" s="29" t="s">
        <v>2441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2442</v>
      </c>
      <c r="B1421" s="67">
        <v>10373973802</v>
      </c>
      <c r="C1421" s="72" t="s">
        <v>2443</v>
      </c>
      <c r="D1421" s="69">
        <v>3613530813</v>
      </c>
      <c r="E1421" s="9">
        <v>1752</v>
      </c>
      <c r="F1421" s="25">
        <v>43051</v>
      </c>
      <c r="G1421" s="70" t="s">
        <v>370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2444</v>
      </c>
      <c r="B1422" s="67">
        <v>25397304859</v>
      </c>
      <c r="C1422" s="29" t="s">
        <v>2445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2446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2447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370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2448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2449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2450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370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2451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370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2452</v>
      </c>
      <c r="B1429" s="67">
        <v>31115215833</v>
      </c>
      <c r="C1429" s="72" t="s">
        <v>2453</v>
      </c>
      <c r="D1429" s="69">
        <v>54134781515</v>
      </c>
      <c r="E1429" s="9">
        <v>608</v>
      </c>
      <c r="F1429" s="25">
        <v>43012</v>
      </c>
      <c r="G1429" s="70" t="s">
        <v>370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2454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370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2455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370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2456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370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2457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370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2458</v>
      </c>
      <c r="B1434" s="67">
        <v>35198444863</v>
      </c>
      <c r="C1434" s="72" t="s">
        <v>2459</v>
      </c>
      <c r="D1434" s="69">
        <v>30956969810</v>
      </c>
      <c r="E1434" s="9">
        <v>1489</v>
      </c>
      <c r="F1434" s="25">
        <v>43038</v>
      </c>
      <c r="G1434" s="70" t="s">
        <v>370</v>
      </c>
      <c r="H1434" s="9"/>
      <c r="I1434" s="8"/>
      <c r="J1434" s="8"/>
      <c r="K1434" s="8"/>
      <c r="L1434" s="9" t="s">
        <v>512</v>
      </c>
      <c r="M1434" s="8"/>
    </row>
    <row r="1435" spans="1:13" x14ac:dyDescent="0.25">
      <c r="A1435" s="72" t="s">
        <v>2460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2461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370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2462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370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2463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370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2464</v>
      </c>
      <c r="B1439" s="67">
        <v>1930099517</v>
      </c>
      <c r="C1439" s="68" t="s">
        <v>2465</v>
      </c>
      <c r="D1439" s="69">
        <v>91788226534</v>
      </c>
      <c r="E1439" s="9">
        <v>1752</v>
      </c>
      <c r="F1439" s="25">
        <v>43051</v>
      </c>
      <c r="G1439" s="70" t="s">
        <v>370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2466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2467</v>
      </c>
      <c r="B1441" s="67">
        <v>31068143819</v>
      </c>
      <c r="C1441" s="72" t="s">
        <v>2468</v>
      </c>
      <c r="D1441" s="69">
        <v>27121002809</v>
      </c>
      <c r="E1441" s="9">
        <v>608</v>
      </c>
      <c r="F1441" s="25">
        <v>43012</v>
      </c>
      <c r="G1441" s="70" t="s">
        <v>377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2469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370</v>
      </c>
      <c r="H1442" s="9"/>
      <c r="I1442" s="8"/>
      <c r="J1442" s="8"/>
      <c r="K1442" s="8"/>
      <c r="L1442" s="9" t="s">
        <v>853</v>
      </c>
      <c r="M1442" s="8"/>
    </row>
    <row r="1443" spans="1:13" x14ac:dyDescent="0.25">
      <c r="A1443" s="15" t="s">
        <v>2470</v>
      </c>
      <c r="B1443" s="67">
        <v>33100600800</v>
      </c>
      <c r="C1443" s="72" t="s">
        <v>2471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2472</v>
      </c>
      <c r="B1444" s="67">
        <v>23284980865</v>
      </c>
      <c r="C1444" s="72" t="s">
        <v>2473</v>
      </c>
      <c r="D1444" s="69">
        <v>8170993792</v>
      </c>
      <c r="E1444" s="9">
        <v>1214</v>
      </c>
      <c r="F1444" s="25">
        <v>42989</v>
      </c>
      <c r="G1444" s="70" t="s">
        <v>370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2474</v>
      </c>
      <c r="B1445" s="67">
        <v>27235231874</v>
      </c>
      <c r="C1445" s="72" t="s">
        <v>2475</v>
      </c>
      <c r="D1445" s="69">
        <v>36182133520</v>
      </c>
      <c r="E1445" s="9">
        <v>1106</v>
      </c>
      <c r="F1445" s="25">
        <v>42965</v>
      </c>
      <c r="G1445" s="70" t="s">
        <v>370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2476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2477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370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2478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2479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2480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2481</v>
      </c>
      <c r="B1451" s="67">
        <v>774242809</v>
      </c>
      <c r="C1451" s="72" t="s">
        <v>2482</v>
      </c>
      <c r="D1451" s="69">
        <v>16619607829</v>
      </c>
      <c r="E1451" s="9">
        <v>1824</v>
      </c>
      <c r="F1451" s="25">
        <v>43091</v>
      </c>
      <c r="G1451" s="70" t="s">
        <v>370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2483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370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2484</v>
      </c>
      <c r="B1453" s="67">
        <v>34817829850</v>
      </c>
      <c r="C1453" s="72" t="s">
        <v>2485</v>
      </c>
      <c r="D1453" s="69">
        <v>8025534863</v>
      </c>
      <c r="E1453" s="9">
        <v>1241</v>
      </c>
      <c r="F1453" s="25">
        <v>42992</v>
      </c>
      <c r="G1453" s="70" t="s">
        <v>385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2486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2487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370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2488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370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2489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651</v>
      </c>
      <c r="M1457" s="8"/>
    </row>
    <row r="1458" spans="1:13" x14ac:dyDescent="0.25">
      <c r="A1458" s="14" t="s">
        <v>2490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370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2491</v>
      </c>
      <c r="B1459" s="67">
        <v>32547457873</v>
      </c>
      <c r="C1459" s="72" t="s">
        <v>2492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2493</v>
      </c>
      <c r="B1460" s="67">
        <v>16784597800</v>
      </c>
      <c r="C1460" s="72" t="s">
        <v>2494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1541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2495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370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2496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2497</v>
      </c>
      <c r="B1464" s="67">
        <v>2467378403</v>
      </c>
      <c r="C1464" s="72" t="s">
        <v>2498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2499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2500</v>
      </c>
      <c r="B1466" s="67">
        <v>34247512862</v>
      </c>
      <c r="C1466" s="77" t="s">
        <v>2501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651</v>
      </c>
      <c r="M1466" s="8"/>
    </row>
    <row r="1467" spans="1:13" x14ac:dyDescent="0.25">
      <c r="A1467" s="71" t="s">
        <v>2502</v>
      </c>
      <c r="B1467" s="67" t="s">
        <v>2503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2504</v>
      </c>
      <c r="B1468" s="67">
        <v>47168211889</v>
      </c>
      <c r="C1468" s="72" t="s">
        <v>2505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2506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370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2507</v>
      </c>
      <c r="B1470" s="67">
        <v>1532239521</v>
      </c>
      <c r="C1470" s="72" t="s">
        <v>2508</v>
      </c>
      <c r="D1470" s="69">
        <v>37104060804</v>
      </c>
      <c r="E1470" s="9">
        <v>810</v>
      </c>
      <c r="F1470" s="25">
        <v>42915</v>
      </c>
      <c r="G1470" s="70" t="s">
        <v>370</v>
      </c>
      <c r="H1470" s="9"/>
      <c r="I1470" s="8"/>
      <c r="J1470" s="8"/>
      <c r="K1470" s="8"/>
      <c r="L1470" s="9" t="s">
        <v>490</v>
      </c>
      <c r="M1470" s="8"/>
    </row>
    <row r="1471" spans="1:13" x14ac:dyDescent="0.25">
      <c r="A1471" s="15" t="s">
        <v>2509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370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2510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370</v>
      </c>
      <c r="H1472" s="9"/>
      <c r="I1472" s="8"/>
      <c r="J1472" s="8"/>
      <c r="K1472" s="8"/>
      <c r="L1472" s="9" t="s">
        <v>490</v>
      </c>
      <c r="M1472" s="8"/>
    </row>
    <row r="1473" spans="1:13" x14ac:dyDescent="0.25">
      <c r="A1473" s="71" t="s">
        <v>2511</v>
      </c>
      <c r="B1473" s="67">
        <v>37117512881</v>
      </c>
      <c r="C1473" s="75" t="s">
        <v>2512</v>
      </c>
      <c r="D1473" s="69">
        <v>39740259871</v>
      </c>
      <c r="E1473" s="9">
        <v>1106</v>
      </c>
      <c r="F1473" s="25">
        <v>42965</v>
      </c>
      <c r="G1473" s="70" t="s">
        <v>370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2513</v>
      </c>
      <c r="B1474" s="67">
        <v>39967942827</v>
      </c>
      <c r="C1474" s="72" t="s">
        <v>2514</v>
      </c>
      <c r="D1474" s="69">
        <v>32777947848</v>
      </c>
      <c r="E1474" s="9">
        <v>1267</v>
      </c>
      <c r="F1474" s="25">
        <v>42998</v>
      </c>
      <c r="G1474" s="70" t="s">
        <v>370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2515</v>
      </c>
      <c r="B1475" s="67">
        <v>18464307802</v>
      </c>
      <c r="C1475" s="72" t="s">
        <v>2516</v>
      </c>
      <c r="D1475" s="69">
        <v>13642437842</v>
      </c>
      <c r="E1475" s="9">
        <v>608</v>
      </c>
      <c r="F1475" s="25">
        <v>43012</v>
      </c>
      <c r="G1475" s="70" t="s">
        <v>377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2517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370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2518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370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2519</v>
      </c>
      <c r="B1478" s="67">
        <v>91413168515</v>
      </c>
      <c r="C1478" s="72" t="s">
        <v>2520</v>
      </c>
      <c r="D1478" s="69">
        <v>12713438861</v>
      </c>
      <c r="E1478" s="9">
        <v>810</v>
      </c>
      <c r="F1478" s="25">
        <v>42915</v>
      </c>
      <c r="G1478" s="70" t="s">
        <v>370</v>
      </c>
      <c r="H1478" s="9"/>
      <c r="I1478" s="8"/>
      <c r="J1478" s="8"/>
      <c r="K1478" s="8"/>
      <c r="L1478" s="9" t="s">
        <v>490</v>
      </c>
      <c r="M1478" s="8"/>
    </row>
    <row r="1479" spans="1:13" x14ac:dyDescent="0.25">
      <c r="A1479" s="72" t="s">
        <v>2521</v>
      </c>
      <c r="B1479" s="67">
        <v>13554461806</v>
      </c>
      <c r="C1479" s="72" t="s">
        <v>2522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2523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370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2524</v>
      </c>
      <c r="B1481" s="67">
        <v>23473313882</v>
      </c>
      <c r="C1481" s="72" t="s">
        <v>2525</v>
      </c>
      <c r="D1481" s="69">
        <v>51042797404</v>
      </c>
      <c r="E1481" s="9">
        <v>485</v>
      </c>
      <c r="F1481" s="25">
        <v>43196</v>
      </c>
      <c r="G1481" s="70" t="s">
        <v>377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2526</v>
      </c>
      <c r="B1482" s="67">
        <v>7753877895</v>
      </c>
      <c r="C1482" s="68" t="s">
        <v>2527</v>
      </c>
      <c r="D1482" s="69">
        <v>66725372872</v>
      </c>
      <c r="E1482" s="9">
        <v>1214</v>
      </c>
      <c r="F1482" s="25">
        <v>42989</v>
      </c>
      <c r="G1482" s="70" t="s">
        <v>370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2528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2529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370</v>
      </c>
      <c r="H1484" s="9"/>
      <c r="I1484" s="8"/>
      <c r="J1484" s="8"/>
      <c r="K1484" s="8"/>
      <c r="L1484" s="9" t="s">
        <v>490</v>
      </c>
      <c r="M1484" s="8"/>
    </row>
    <row r="1485" spans="1:13" x14ac:dyDescent="0.25">
      <c r="A1485" s="71" t="s">
        <v>2530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370</v>
      </c>
      <c r="H1485" s="9"/>
      <c r="I1485" s="8"/>
      <c r="J1485" s="8"/>
      <c r="K1485" s="8"/>
      <c r="L1485" s="9" t="s">
        <v>490</v>
      </c>
      <c r="M1485" s="8"/>
    </row>
    <row r="1486" spans="1:13" x14ac:dyDescent="0.25">
      <c r="A1486" s="13" t="s">
        <v>2531</v>
      </c>
      <c r="B1486" s="67">
        <v>40779583850</v>
      </c>
      <c r="C1486" s="68" t="s">
        <v>2532</v>
      </c>
      <c r="D1486" s="69">
        <v>36411481890</v>
      </c>
      <c r="E1486" s="9">
        <v>1343</v>
      </c>
      <c r="F1486" s="25">
        <v>43004</v>
      </c>
      <c r="G1486" s="70" t="s">
        <v>370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2533</v>
      </c>
      <c r="B1487" s="67"/>
      <c r="C1487" s="29" t="s">
        <v>481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2534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2535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370</v>
      </c>
      <c r="H1489" s="9"/>
      <c r="I1489" s="8"/>
      <c r="J1489" s="8"/>
      <c r="K1489" s="8"/>
      <c r="L1489" s="9" t="s">
        <v>490</v>
      </c>
      <c r="M1489" s="8"/>
    </row>
    <row r="1490" spans="1:13" x14ac:dyDescent="0.25">
      <c r="A1490" s="15" t="s">
        <v>2536</v>
      </c>
      <c r="B1490" s="67">
        <v>45854900866</v>
      </c>
      <c r="C1490" s="72" t="s">
        <v>2537</v>
      </c>
      <c r="D1490" s="69">
        <v>23474048813</v>
      </c>
      <c r="E1490" s="9">
        <v>229</v>
      </c>
      <c r="F1490" s="25">
        <v>43151</v>
      </c>
      <c r="G1490" s="70" t="s">
        <v>370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2538</v>
      </c>
      <c r="B1491" s="67">
        <v>40870285858</v>
      </c>
      <c r="C1491" s="72" t="s">
        <v>2539</v>
      </c>
      <c r="D1491" s="69">
        <v>39638342854</v>
      </c>
      <c r="E1491" s="9">
        <v>229</v>
      </c>
      <c r="F1491" s="25">
        <v>43151</v>
      </c>
      <c r="G1491" s="70" t="s">
        <v>385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2540</v>
      </c>
      <c r="B1492" s="67">
        <v>43053164809</v>
      </c>
      <c r="C1492" s="71" t="s">
        <v>2541</v>
      </c>
      <c r="D1492" s="69">
        <v>35649973857</v>
      </c>
      <c r="E1492" s="9">
        <v>292</v>
      </c>
      <c r="F1492" s="25">
        <v>43168</v>
      </c>
      <c r="G1492" s="70" t="s">
        <v>377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2542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2543</v>
      </c>
      <c r="B1494" s="67">
        <v>34727823829</v>
      </c>
      <c r="C1494" s="72" t="s">
        <v>2544</v>
      </c>
      <c r="D1494" s="69">
        <v>33790197807</v>
      </c>
      <c r="E1494" s="9">
        <v>262</v>
      </c>
      <c r="F1494" s="25">
        <v>43160</v>
      </c>
      <c r="G1494" s="70" t="s">
        <v>377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2545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2546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370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2547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2548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370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2549</v>
      </c>
      <c r="B1499" s="67">
        <v>13576812830</v>
      </c>
      <c r="C1499" s="72" t="s">
        <v>2550</v>
      </c>
      <c r="D1499" s="69">
        <v>1075554845</v>
      </c>
      <c r="E1499" s="9">
        <v>1489</v>
      </c>
      <c r="F1499" s="25">
        <v>43038</v>
      </c>
      <c r="G1499" s="70" t="s">
        <v>370</v>
      </c>
      <c r="H1499" s="9"/>
      <c r="I1499" s="8"/>
      <c r="J1499" s="8"/>
      <c r="K1499" s="8"/>
      <c r="L1499" s="9" t="s">
        <v>512</v>
      </c>
      <c r="M1499" s="8"/>
    </row>
    <row r="1500" spans="1:13" x14ac:dyDescent="0.25">
      <c r="A1500" s="71" t="s">
        <v>2551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2552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2553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370</v>
      </c>
      <c r="H1502" s="9"/>
      <c r="I1502" s="8"/>
      <c r="J1502" s="8"/>
      <c r="K1502" s="8"/>
      <c r="L1502" s="9" t="s">
        <v>490</v>
      </c>
      <c r="M1502" s="8"/>
    </row>
    <row r="1503" spans="1:13" x14ac:dyDescent="0.25">
      <c r="A1503" s="71" t="s">
        <v>2554</v>
      </c>
      <c r="B1503" s="67">
        <v>42490041800</v>
      </c>
      <c r="C1503" s="71" t="s">
        <v>2555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2556</v>
      </c>
      <c r="B1504" s="67">
        <v>37150144829</v>
      </c>
      <c r="C1504" s="72" t="s">
        <v>2557</v>
      </c>
      <c r="D1504" s="69">
        <v>33420633866</v>
      </c>
      <c r="E1504" s="9">
        <v>1417</v>
      </c>
      <c r="F1504" s="25">
        <v>43017</v>
      </c>
      <c r="G1504" s="70" t="s">
        <v>385</v>
      </c>
      <c r="H1504" s="9"/>
      <c r="I1504" s="8"/>
      <c r="J1504" s="8"/>
      <c r="K1504" s="8"/>
      <c r="L1504" s="9" t="s">
        <v>605</v>
      </c>
      <c r="M1504" s="8"/>
    </row>
    <row r="1505" spans="1:13" x14ac:dyDescent="0.25">
      <c r="A1505" s="71" t="s">
        <v>2558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2559</v>
      </c>
      <c r="B1506" s="67">
        <v>95482300544</v>
      </c>
      <c r="C1506" s="72" t="s">
        <v>2560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2561</v>
      </c>
      <c r="B1507" s="67">
        <v>3915987590</v>
      </c>
      <c r="C1507" s="72" t="s">
        <v>2562</v>
      </c>
      <c r="D1507" s="69">
        <v>1733607501</v>
      </c>
      <c r="E1507" s="9">
        <v>85</v>
      </c>
      <c r="F1507" s="25">
        <v>43109</v>
      </c>
      <c r="G1507" s="70" t="s">
        <v>370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2563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370</v>
      </c>
      <c r="H1508" s="9"/>
      <c r="I1508" s="8"/>
      <c r="J1508" s="8"/>
      <c r="K1508" s="8"/>
      <c r="L1508" s="9" t="s">
        <v>853</v>
      </c>
      <c r="M1508" s="8"/>
    </row>
    <row r="1509" spans="1:13" x14ac:dyDescent="0.25">
      <c r="A1509" s="71" t="s">
        <v>2564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370</v>
      </c>
      <c r="H1509" s="9"/>
      <c r="I1509" s="8"/>
      <c r="J1509" s="8"/>
      <c r="K1509" s="8"/>
      <c r="L1509" s="9" t="s">
        <v>522</v>
      </c>
      <c r="M1509" s="8"/>
    </row>
    <row r="1510" spans="1:13" x14ac:dyDescent="0.25">
      <c r="A1510" s="29" t="s">
        <v>2565</v>
      </c>
      <c r="B1510" s="67"/>
      <c r="C1510" s="18" t="s">
        <v>481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2566</v>
      </c>
      <c r="B1511" s="80">
        <v>39490354864</v>
      </c>
      <c r="C1511" s="81" t="s">
        <v>2567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2568</v>
      </c>
      <c r="B1512" s="67">
        <v>36190827829</v>
      </c>
      <c r="C1512" s="72" t="s">
        <v>2569</v>
      </c>
      <c r="D1512" s="69">
        <v>6501914809</v>
      </c>
      <c r="E1512" s="9">
        <v>1489</v>
      </c>
      <c r="F1512" s="25">
        <v>43038</v>
      </c>
      <c r="G1512" s="70" t="s">
        <v>370</v>
      </c>
      <c r="H1512" s="9"/>
      <c r="I1512" s="8"/>
      <c r="J1512" s="8"/>
      <c r="K1512" s="8"/>
      <c r="L1512" s="9" t="s">
        <v>512</v>
      </c>
      <c r="M1512" s="8"/>
    </row>
    <row r="1513" spans="1:13" x14ac:dyDescent="0.25">
      <c r="A1513" s="71" t="s">
        <v>2570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370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2571</v>
      </c>
      <c r="B1514" s="67">
        <v>37978221890</v>
      </c>
      <c r="C1514" s="15" t="s">
        <v>2572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2573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651</v>
      </c>
      <c r="M1515" s="8"/>
    </row>
    <row r="1516" spans="1:13" x14ac:dyDescent="0.25">
      <c r="A1516" s="71" t="s">
        <v>2574</v>
      </c>
      <c r="B1516" s="67">
        <v>23341671854</v>
      </c>
      <c r="C1516" s="72" t="s">
        <v>2575</v>
      </c>
      <c r="D1516" s="69">
        <v>34413431820</v>
      </c>
      <c r="E1516" s="9">
        <v>810</v>
      </c>
      <c r="F1516" s="25">
        <v>42915</v>
      </c>
      <c r="G1516" s="83" t="s">
        <v>370</v>
      </c>
      <c r="H1516" s="9"/>
      <c r="I1516" s="8"/>
      <c r="J1516" s="8"/>
      <c r="K1516" s="8"/>
      <c r="L1516" s="9" t="s">
        <v>490</v>
      </c>
      <c r="M1516" s="8"/>
    </row>
    <row r="1517" spans="1:13" x14ac:dyDescent="0.25">
      <c r="A1517" s="71" t="s">
        <v>2576</v>
      </c>
      <c r="B1517" s="67">
        <v>35934079816</v>
      </c>
      <c r="C1517" s="72" t="s">
        <v>2577</v>
      </c>
      <c r="D1517" s="69">
        <v>2511538512</v>
      </c>
      <c r="E1517" s="9">
        <v>262</v>
      </c>
      <c r="F1517" s="25">
        <v>43160</v>
      </c>
      <c r="G1517" s="70" t="s">
        <v>370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2578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370</v>
      </c>
      <c r="H1518" s="9"/>
      <c r="I1518" s="8"/>
      <c r="J1518" s="8"/>
      <c r="K1518" s="8"/>
      <c r="L1518" s="9" t="s">
        <v>522</v>
      </c>
      <c r="M1518" s="8"/>
    </row>
    <row r="1519" spans="1:13" x14ac:dyDescent="0.25">
      <c r="A1519" s="71" t="s">
        <v>2579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370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2580</v>
      </c>
      <c r="B1520" s="67">
        <v>37395316819</v>
      </c>
      <c r="C1520" s="72" t="s">
        <v>2581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2582</v>
      </c>
      <c r="B1521" s="80">
        <v>47168651854</v>
      </c>
      <c r="C1521" s="50" t="s">
        <v>2583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2584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2585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370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2586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370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2587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2588</v>
      </c>
      <c r="B1526" s="67">
        <v>36776791848</v>
      </c>
      <c r="C1526" s="72" t="s">
        <v>2589</v>
      </c>
      <c r="D1526" s="69">
        <v>23340578869</v>
      </c>
      <c r="E1526" s="9">
        <v>608</v>
      </c>
      <c r="F1526" s="25">
        <v>43012</v>
      </c>
      <c r="G1526" s="70" t="s">
        <v>370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2590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2591</v>
      </c>
      <c r="B1528" s="67">
        <v>32561817830</v>
      </c>
      <c r="C1528" s="72" t="s">
        <v>2592</v>
      </c>
      <c r="D1528" s="69">
        <v>30328335827</v>
      </c>
      <c r="E1528" s="9">
        <v>1824</v>
      </c>
      <c r="F1528" s="25">
        <v>43091</v>
      </c>
      <c r="G1528" s="70" t="s">
        <v>377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2593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370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2594</v>
      </c>
      <c r="B1530" s="67">
        <v>36044847829</v>
      </c>
      <c r="C1530" s="72" t="s">
        <v>2595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2596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2597</v>
      </c>
      <c r="B1532" s="67">
        <v>35070422820</v>
      </c>
      <c r="C1532" s="72" t="s">
        <v>2598</v>
      </c>
      <c r="D1532" s="69">
        <v>24871235831</v>
      </c>
      <c r="E1532" s="9">
        <v>292</v>
      </c>
      <c r="F1532" s="25">
        <v>43168</v>
      </c>
      <c r="G1532" s="70" t="s">
        <v>370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2599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651</v>
      </c>
      <c r="M1533" s="8"/>
    </row>
    <row r="1534" spans="1:13" x14ac:dyDescent="0.25">
      <c r="A1534" s="15" t="s">
        <v>2600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2601</v>
      </c>
      <c r="B1535" s="67"/>
      <c r="C1535" s="29" t="s">
        <v>2602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2603</v>
      </c>
      <c r="B1536" s="67">
        <v>47240915840</v>
      </c>
      <c r="C1536" s="72"/>
      <c r="D1536" s="69"/>
      <c r="E1536" s="9"/>
      <c r="F1536" s="25"/>
      <c r="G1536" s="70" t="s">
        <v>370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2604</v>
      </c>
      <c r="B1537" s="67"/>
      <c r="C1537" s="18" t="s">
        <v>481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2605</v>
      </c>
      <c r="B1538" s="67">
        <v>42424051895</v>
      </c>
      <c r="C1538" s="72" t="s">
        <v>2606</v>
      </c>
      <c r="D1538" s="69">
        <v>34920392869</v>
      </c>
      <c r="E1538" s="9">
        <v>1214</v>
      </c>
      <c r="F1538" s="25">
        <v>42989</v>
      </c>
      <c r="G1538" s="70" t="s">
        <v>370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2607</v>
      </c>
      <c r="B1539" s="67">
        <v>45298965873</v>
      </c>
      <c r="C1539" s="18" t="s">
        <v>481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2608</v>
      </c>
      <c r="B1540" s="67">
        <v>48176009857</v>
      </c>
      <c r="C1540" s="18" t="s">
        <v>481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2609</v>
      </c>
      <c r="B1541" s="67">
        <v>32645353860</v>
      </c>
      <c r="C1541" s="71" t="s">
        <v>2610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2611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370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2612</v>
      </c>
      <c r="B1543" s="67">
        <v>34899686897</v>
      </c>
      <c r="C1543" s="72" t="s">
        <v>2613</v>
      </c>
      <c r="D1543" s="69">
        <v>34782852835</v>
      </c>
      <c r="E1543" s="9">
        <v>810</v>
      </c>
      <c r="F1543" s="25">
        <v>42915</v>
      </c>
      <c r="G1543" s="70" t="s">
        <v>370</v>
      </c>
      <c r="H1543" s="76">
        <v>43213</v>
      </c>
      <c r="I1543" s="8"/>
      <c r="J1543" s="8"/>
      <c r="K1543" s="8"/>
      <c r="L1543" s="9" t="s">
        <v>490</v>
      </c>
      <c r="M1543" s="8"/>
    </row>
    <row r="1544" spans="1:13" x14ac:dyDescent="0.25">
      <c r="A1544" s="71" t="s">
        <v>2614</v>
      </c>
      <c r="B1544" s="67">
        <v>39778910812</v>
      </c>
      <c r="C1544" s="68" t="s">
        <v>2615</v>
      </c>
      <c r="D1544" s="69">
        <v>34703237806</v>
      </c>
      <c r="E1544" s="9">
        <v>1128</v>
      </c>
      <c r="F1544" s="25">
        <v>42972</v>
      </c>
      <c r="G1544" s="70" t="s">
        <v>370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2616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651</v>
      </c>
      <c r="M1545" s="8"/>
    </row>
    <row r="1546" spans="1:13" x14ac:dyDescent="0.25">
      <c r="A1546" s="72" t="s">
        <v>2617</v>
      </c>
      <c r="B1546" s="67">
        <v>22429349884</v>
      </c>
      <c r="C1546" s="72" t="s">
        <v>2618</v>
      </c>
      <c r="D1546" s="69">
        <v>32307277897</v>
      </c>
      <c r="E1546" s="9">
        <v>1417</v>
      </c>
      <c r="F1546" s="25">
        <v>43017</v>
      </c>
      <c r="G1546" s="70" t="s">
        <v>370</v>
      </c>
      <c r="H1546" s="9"/>
      <c r="I1546" s="8"/>
      <c r="J1546" s="8"/>
      <c r="K1546" s="8"/>
      <c r="L1546" s="9" t="s">
        <v>605</v>
      </c>
      <c r="M1546" s="8"/>
    </row>
    <row r="1547" spans="1:13" x14ac:dyDescent="0.25">
      <c r="A1547" s="13" t="s">
        <v>2619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370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2620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651</v>
      </c>
      <c r="M1548" s="8"/>
    </row>
    <row r="1549" spans="1:13" x14ac:dyDescent="0.25">
      <c r="A1549" s="15" t="s">
        <v>2621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370</v>
      </c>
      <c r="H1549" s="9"/>
      <c r="I1549" s="8"/>
      <c r="J1549" s="8"/>
      <c r="K1549" s="8"/>
      <c r="L1549" s="9" t="s">
        <v>522</v>
      </c>
      <c r="M1549" s="8"/>
    </row>
    <row r="1550" spans="1:13" x14ac:dyDescent="0.25">
      <c r="A1550" s="15" t="s">
        <v>2622</v>
      </c>
      <c r="B1550" s="67">
        <v>7081215432</v>
      </c>
      <c r="C1550" s="15" t="s">
        <v>2623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651</v>
      </c>
      <c r="M1550" s="8"/>
    </row>
    <row r="1551" spans="1:13" x14ac:dyDescent="0.25">
      <c r="A1551" s="71" t="s">
        <v>2624</v>
      </c>
      <c r="B1551" s="67">
        <v>37104895809</v>
      </c>
      <c r="C1551" s="72" t="s">
        <v>2625</v>
      </c>
      <c r="D1551" s="69">
        <v>34256763856</v>
      </c>
      <c r="E1551" s="9">
        <v>1752</v>
      </c>
      <c r="F1551" s="25">
        <v>43051</v>
      </c>
      <c r="G1551" s="70" t="s">
        <v>385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2626</v>
      </c>
      <c r="B1552" s="67"/>
      <c r="C1552" s="29" t="s">
        <v>481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2627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651</v>
      </c>
      <c r="M1553" s="8"/>
    </row>
    <row r="1554" spans="1:13" x14ac:dyDescent="0.25">
      <c r="A1554" s="14" t="s">
        <v>2628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370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2629</v>
      </c>
      <c r="B1555" s="67">
        <v>45862437835</v>
      </c>
      <c r="C1555" s="72" t="s">
        <v>2630</v>
      </c>
      <c r="D1555" s="69">
        <v>2301226280</v>
      </c>
      <c r="E1555" s="9">
        <v>1752</v>
      </c>
      <c r="F1555" s="25">
        <v>43051</v>
      </c>
      <c r="G1555" s="70" t="s">
        <v>370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2631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370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2632</v>
      </c>
      <c r="B1557" s="67"/>
      <c r="C1557" s="29" t="s">
        <v>2633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2634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2635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651</v>
      </c>
      <c r="M1559" s="8"/>
    </row>
    <row r="1560" spans="1:13" x14ac:dyDescent="0.25">
      <c r="A1560" s="71" t="s">
        <v>2636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370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2637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370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2638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370</v>
      </c>
      <c r="H1562" s="9"/>
      <c r="I1562" s="8"/>
      <c r="J1562" s="8"/>
      <c r="K1562" s="8"/>
      <c r="L1562" s="9" t="s">
        <v>490</v>
      </c>
      <c r="M1562" s="8"/>
    </row>
    <row r="1563" spans="1:13" x14ac:dyDescent="0.25">
      <c r="A1563" s="15" t="s">
        <v>2639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370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2640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370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2641</v>
      </c>
      <c r="B1565" s="67">
        <v>33390811826</v>
      </c>
      <c r="C1565" s="72" t="s">
        <v>2642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2643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370</v>
      </c>
      <c r="H1566" s="9"/>
      <c r="I1566" s="8"/>
      <c r="J1566" s="8"/>
      <c r="K1566" s="8"/>
      <c r="L1566" s="9" t="s">
        <v>605</v>
      </c>
      <c r="M1566" s="8"/>
    </row>
    <row r="1567" spans="1:13" x14ac:dyDescent="0.25">
      <c r="A1567" s="29" t="s">
        <v>2644</v>
      </c>
      <c r="B1567" s="67">
        <v>22173656813</v>
      </c>
      <c r="C1567" s="18" t="s">
        <v>481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2645</v>
      </c>
      <c r="B1568" s="67">
        <v>30690514808</v>
      </c>
      <c r="C1568" s="72" t="s">
        <v>2646</v>
      </c>
      <c r="D1568" s="69">
        <v>22622085818</v>
      </c>
      <c r="E1568" s="9">
        <v>423</v>
      </c>
      <c r="F1568" s="25">
        <v>43182</v>
      </c>
      <c r="G1568" s="9" t="s">
        <v>370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2647</v>
      </c>
      <c r="B1569" s="67">
        <v>43901748865</v>
      </c>
      <c r="C1569" s="72" t="s">
        <v>2648</v>
      </c>
      <c r="D1569" s="69">
        <v>34818027812</v>
      </c>
      <c r="E1569" s="9">
        <v>1824</v>
      </c>
      <c r="F1569" s="25">
        <v>43091</v>
      </c>
      <c r="G1569" s="70" t="s">
        <v>370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2649</v>
      </c>
      <c r="B1570" s="67"/>
      <c r="C1570" s="18" t="s">
        <v>481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2650</v>
      </c>
      <c r="B1571" s="67">
        <v>5212444390</v>
      </c>
      <c r="C1571" s="15" t="s">
        <v>2651</v>
      </c>
      <c r="D1571" s="69">
        <v>2231738350</v>
      </c>
      <c r="E1571" s="9">
        <v>292</v>
      </c>
      <c r="F1571" s="25">
        <v>43168</v>
      </c>
      <c r="G1571" s="70" t="s">
        <v>370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2652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2653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370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2654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2655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370</v>
      </c>
      <c r="H1575" s="9"/>
      <c r="I1575" s="8"/>
      <c r="J1575" s="8"/>
      <c r="K1575" s="8"/>
      <c r="L1575" s="9" t="s">
        <v>490</v>
      </c>
      <c r="M1575" s="8"/>
    </row>
    <row r="1576" spans="1:13" x14ac:dyDescent="0.25">
      <c r="A1576" s="71" t="s">
        <v>2656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370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2657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2658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2659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2660</v>
      </c>
      <c r="B1580" s="67">
        <v>88436144520</v>
      </c>
      <c r="C1580" s="29" t="s">
        <v>481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2661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2662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370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2663</v>
      </c>
      <c r="B1583" s="67">
        <v>4967493580</v>
      </c>
      <c r="C1583" s="15" t="s">
        <v>2664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2665</v>
      </c>
      <c r="B1584" s="67">
        <v>28043649847</v>
      </c>
      <c r="C1584" s="72" t="s">
        <v>2666</v>
      </c>
      <c r="D1584" s="69">
        <v>37064432870</v>
      </c>
      <c r="E1584" s="9">
        <v>117</v>
      </c>
      <c r="F1584" s="25">
        <v>43117</v>
      </c>
      <c r="G1584" s="70" t="s">
        <v>370</v>
      </c>
      <c r="H1584" s="9"/>
      <c r="I1584" s="8"/>
      <c r="J1584" s="8"/>
      <c r="K1584" s="8"/>
      <c r="L1584" s="9" t="s">
        <v>522</v>
      </c>
      <c r="M1584" s="8"/>
    </row>
    <row r="1585" spans="1:13" x14ac:dyDescent="0.25">
      <c r="A1585" s="71" t="s">
        <v>2667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370</v>
      </c>
      <c r="H1585" s="9"/>
      <c r="I1585" s="8"/>
      <c r="J1585" s="8"/>
      <c r="K1585" s="8"/>
      <c r="L1585" s="9" t="s">
        <v>490</v>
      </c>
      <c r="M1585" s="8"/>
    </row>
    <row r="1586" spans="1:13" x14ac:dyDescent="0.25">
      <c r="A1586" s="73" t="s">
        <v>2668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370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2669</v>
      </c>
      <c r="B1587" s="67">
        <v>45671290325</v>
      </c>
      <c r="C1587" s="72" t="s">
        <v>2670</v>
      </c>
      <c r="D1587" s="69">
        <v>13019071895</v>
      </c>
      <c r="E1587" s="9">
        <v>117</v>
      </c>
      <c r="F1587" s="25">
        <v>43117</v>
      </c>
      <c r="G1587" s="70" t="s">
        <v>385</v>
      </c>
      <c r="H1587" s="9"/>
      <c r="I1587" s="8"/>
      <c r="J1587" s="8"/>
      <c r="K1587" s="8"/>
      <c r="L1587" s="9" t="s">
        <v>522</v>
      </c>
      <c r="M1587" s="8"/>
    </row>
    <row r="1588" spans="1:13" x14ac:dyDescent="0.25">
      <c r="A1588" s="13" t="s">
        <v>2671</v>
      </c>
      <c r="B1588" s="67">
        <v>7677424864</v>
      </c>
      <c r="C1588" s="72" t="s">
        <v>2672</v>
      </c>
      <c r="D1588" s="69">
        <v>6128186831</v>
      </c>
      <c r="E1588" s="9">
        <v>1570</v>
      </c>
      <c r="F1588" s="25">
        <v>43077</v>
      </c>
      <c r="G1588" s="70" t="s">
        <v>370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2673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2674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370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2675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370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2676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2677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370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2678</v>
      </c>
      <c r="B1594" s="67"/>
      <c r="C1594" s="29" t="s">
        <v>481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2679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370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2680</v>
      </c>
      <c r="B1596" s="67">
        <v>47555303850</v>
      </c>
      <c r="C1596" s="18" t="s">
        <v>481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2681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370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2682</v>
      </c>
      <c r="B1598" s="67">
        <v>25966733805</v>
      </c>
      <c r="C1598" s="72" t="s">
        <v>2683</v>
      </c>
      <c r="D1598" s="69">
        <v>19681706854</v>
      </c>
      <c r="E1598" s="9">
        <v>1752</v>
      </c>
      <c r="F1598" s="25">
        <v>43051</v>
      </c>
      <c r="G1598" s="70" t="s">
        <v>377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2684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370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2685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370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2686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2687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370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2688</v>
      </c>
      <c r="B1603" s="67">
        <v>32448230846</v>
      </c>
      <c r="C1603" s="18" t="s">
        <v>2689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2690</v>
      </c>
      <c r="B1604" s="67">
        <v>56151250559</v>
      </c>
      <c r="C1604" s="18" t="s">
        <v>2691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2692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370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2693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2694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370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2695</v>
      </c>
      <c r="B1608" s="67">
        <v>36713930840</v>
      </c>
      <c r="C1608" s="68" t="s">
        <v>2696</v>
      </c>
      <c r="D1608" s="69">
        <v>30171047885</v>
      </c>
      <c r="E1608" s="9">
        <v>1128</v>
      </c>
      <c r="F1608" s="25">
        <v>42972</v>
      </c>
      <c r="G1608" s="70" t="s">
        <v>370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2697</v>
      </c>
      <c r="B1609" s="67">
        <v>37138221827</v>
      </c>
      <c r="C1609" s="29" t="s">
        <v>2698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2699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370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2700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370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2701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370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2702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2703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370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2704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370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2705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370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2706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2707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370</v>
      </c>
      <c r="H1618" s="9"/>
      <c r="I1618" s="8"/>
      <c r="J1618" s="8"/>
      <c r="K1618" s="8"/>
      <c r="L1618" s="9" t="s">
        <v>490</v>
      </c>
      <c r="M1618" s="8"/>
    </row>
    <row r="1619" spans="1:13" x14ac:dyDescent="0.25">
      <c r="A1619" s="71" t="s">
        <v>2708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370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2709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370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2710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2711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2712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370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2713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2714</v>
      </c>
      <c r="B1625" s="67">
        <v>37338189897</v>
      </c>
      <c r="C1625" s="72" t="s">
        <v>2715</v>
      </c>
      <c r="D1625" s="69">
        <v>27359655897</v>
      </c>
      <c r="E1625" s="9">
        <v>1824</v>
      </c>
      <c r="F1625" s="25">
        <v>43091</v>
      </c>
      <c r="G1625" s="70" t="s">
        <v>370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2716</v>
      </c>
      <c r="B1626" s="67">
        <v>45632601854</v>
      </c>
      <c r="C1626" s="32" t="s">
        <v>2717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651</v>
      </c>
      <c r="M1626" s="8"/>
    </row>
    <row r="1627" spans="1:13" x14ac:dyDescent="0.25">
      <c r="A1627" s="29" t="s">
        <v>2718</v>
      </c>
      <c r="B1627" s="67"/>
      <c r="C1627" s="29" t="s">
        <v>2719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2720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2721</v>
      </c>
      <c r="B1629" s="67">
        <v>38150547886</v>
      </c>
      <c r="C1629" s="72" t="s">
        <v>2722</v>
      </c>
      <c r="D1629" s="69">
        <v>36270820871</v>
      </c>
      <c r="E1629" s="9">
        <v>262</v>
      </c>
      <c r="F1629" s="25">
        <v>43160</v>
      </c>
      <c r="G1629" s="9" t="s">
        <v>370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2723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2724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2725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2726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2727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370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2728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370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2729</v>
      </c>
      <c r="B1636" s="67">
        <v>44852605858</v>
      </c>
      <c r="C1636" s="15" t="s">
        <v>2730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2731</v>
      </c>
      <c r="B1637" s="67">
        <v>42130610862</v>
      </c>
      <c r="C1637" s="29" t="s">
        <v>2732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2733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370</v>
      </c>
      <c r="H1638" s="9"/>
      <c r="I1638" s="8"/>
      <c r="J1638" s="8"/>
      <c r="K1638" s="8"/>
      <c r="L1638" s="9" t="s">
        <v>522</v>
      </c>
      <c r="M1638" s="8"/>
    </row>
    <row r="1639" spans="1:13" x14ac:dyDescent="0.25">
      <c r="A1639" s="15" t="s">
        <v>2734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2735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370</v>
      </c>
      <c r="H1640" s="9"/>
      <c r="I1640" s="8"/>
      <c r="J1640" s="8"/>
      <c r="K1640" s="8"/>
      <c r="L1640" s="9" t="s">
        <v>522</v>
      </c>
      <c r="M1640" s="8"/>
    </row>
    <row r="1641" spans="1:13" x14ac:dyDescent="0.25">
      <c r="A1641" s="71" t="s">
        <v>2736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370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2737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2738</v>
      </c>
      <c r="B1643" s="67">
        <v>25399089858</v>
      </c>
      <c r="C1643" s="18" t="s">
        <v>2739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2740</v>
      </c>
      <c r="B1644" s="67">
        <v>36758489817</v>
      </c>
      <c r="C1644" s="72" t="s">
        <v>2741</v>
      </c>
      <c r="D1644" s="69">
        <v>15602238808</v>
      </c>
      <c r="E1644" s="9">
        <v>117</v>
      </c>
      <c r="F1644" s="25">
        <v>43117</v>
      </c>
      <c r="G1644" s="70" t="s">
        <v>370</v>
      </c>
      <c r="H1644" s="9"/>
      <c r="I1644" s="8"/>
      <c r="J1644" s="8"/>
      <c r="K1644" s="8"/>
      <c r="L1644" s="9" t="s">
        <v>522</v>
      </c>
      <c r="M1644" s="8"/>
    </row>
    <row r="1645" spans="1:13" x14ac:dyDescent="0.25">
      <c r="A1645" s="71" t="s">
        <v>2742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370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2743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2744</v>
      </c>
      <c r="B1647" s="67">
        <v>3051791440</v>
      </c>
      <c r="C1647" s="72" t="s">
        <v>2745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2746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370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2747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2748</v>
      </c>
      <c r="B1650" s="67">
        <v>8774817841</v>
      </c>
      <c r="C1650" s="18" t="s">
        <v>481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2749</v>
      </c>
      <c r="B1651" s="67">
        <v>15730438850</v>
      </c>
      <c r="C1651" s="72" t="s">
        <v>2750</v>
      </c>
      <c r="D1651" s="69">
        <v>11253544883</v>
      </c>
      <c r="E1651" s="9">
        <v>1628</v>
      </c>
      <c r="F1651" s="25">
        <v>43077</v>
      </c>
      <c r="G1651" s="70" t="s">
        <v>370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2751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2752</v>
      </c>
      <c r="B1653" s="67">
        <v>16416601800</v>
      </c>
      <c r="C1653" s="72" t="s">
        <v>2753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2754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2755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370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2756</v>
      </c>
      <c r="B1656" s="67">
        <v>6595999617</v>
      </c>
      <c r="C1656" s="68" t="s">
        <v>2757</v>
      </c>
      <c r="D1656" s="69">
        <v>9929242430</v>
      </c>
      <c r="E1656" s="9">
        <v>1128</v>
      </c>
      <c r="F1656" s="25">
        <v>42972</v>
      </c>
      <c r="G1656" s="70" t="s">
        <v>370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2758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370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2759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2760</v>
      </c>
      <c r="B1659" s="67">
        <v>28785359874</v>
      </c>
      <c r="C1659" s="72" t="s">
        <v>2761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2762</v>
      </c>
      <c r="B1660" s="67">
        <v>36460261890</v>
      </c>
      <c r="C1660" s="72" t="s">
        <v>2763</v>
      </c>
      <c r="D1660" s="69">
        <v>7468402841</v>
      </c>
      <c r="E1660" s="9">
        <v>608</v>
      </c>
      <c r="F1660" s="25">
        <v>43012</v>
      </c>
      <c r="G1660" s="70" t="s">
        <v>370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2764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370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2765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370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2766</v>
      </c>
      <c r="B1663" s="67">
        <v>34385358826</v>
      </c>
      <c r="C1663" s="72" t="s">
        <v>2767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2768</v>
      </c>
      <c r="B1664" s="67">
        <v>24820428870</v>
      </c>
      <c r="C1664" s="72" t="s">
        <v>2769</v>
      </c>
      <c r="D1664" s="69">
        <v>22012255833</v>
      </c>
      <c r="E1664" s="9">
        <v>1417</v>
      </c>
      <c r="F1664" s="25">
        <v>43017</v>
      </c>
      <c r="G1664" s="70" t="s">
        <v>370</v>
      </c>
      <c r="H1664" s="9"/>
      <c r="I1664" s="8"/>
      <c r="J1664" s="8"/>
      <c r="K1664" s="8"/>
      <c r="L1664" s="9" t="s">
        <v>605</v>
      </c>
      <c r="M1664" s="8"/>
    </row>
    <row r="1665" spans="1:13" x14ac:dyDescent="0.25">
      <c r="A1665" s="29" t="s">
        <v>2770</v>
      </c>
      <c r="B1665" s="67">
        <v>31148609822</v>
      </c>
      <c r="C1665" s="29" t="s">
        <v>2771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2772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385</v>
      </c>
      <c r="H1666" s="9"/>
      <c r="I1666" s="8"/>
      <c r="J1666" s="8"/>
      <c r="K1666" s="8"/>
      <c r="L1666" s="9" t="s">
        <v>522</v>
      </c>
      <c r="M1666" s="8"/>
    </row>
    <row r="1667" spans="1:13" x14ac:dyDescent="0.25">
      <c r="A1667" s="14" t="s">
        <v>2773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2773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370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2774</v>
      </c>
      <c r="B1669" s="67">
        <v>44772896856</v>
      </c>
      <c r="C1669" s="72" t="s">
        <v>2775</v>
      </c>
      <c r="D1669" s="69">
        <v>39313729873</v>
      </c>
      <c r="E1669" s="9">
        <v>117</v>
      </c>
      <c r="F1669" s="25">
        <v>43117</v>
      </c>
      <c r="G1669" s="70" t="s">
        <v>370</v>
      </c>
      <c r="H1669" s="9"/>
      <c r="I1669" s="8"/>
      <c r="J1669" s="8"/>
      <c r="K1669" s="8"/>
      <c r="L1669" s="9" t="s">
        <v>522</v>
      </c>
      <c r="M1669" s="8"/>
    </row>
    <row r="1670" spans="1:13" x14ac:dyDescent="0.25">
      <c r="A1670" s="29" t="s">
        <v>2776</v>
      </c>
      <c r="B1670" s="67">
        <v>28501359840</v>
      </c>
      <c r="C1670" s="29" t="s">
        <v>2777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2778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2779</v>
      </c>
      <c r="B1672" s="67">
        <v>30131142828</v>
      </c>
      <c r="C1672" s="77" t="s">
        <v>2780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2781</v>
      </c>
      <c r="B1673" s="67"/>
      <c r="C1673" s="29" t="s">
        <v>481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2782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370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2783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370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2784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370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2785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370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2786</v>
      </c>
      <c r="B1678" s="67">
        <v>30319988805</v>
      </c>
      <c r="C1678" s="29" t="s">
        <v>481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2787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2788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370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2789</v>
      </c>
      <c r="B1681" s="67">
        <v>1565236122</v>
      </c>
      <c r="C1681" s="72" t="s">
        <v>2790</v>
      </c>
      <c r="D1681" s="69">
        <v>218506589</v>
      </c>
      <c r="E1681" s="9">
        <v>1241</v>
      </c>
      <c r="F1681" s="25">
        <v>42992</v>
      </c>
      <c r="G1681" s="70" t="s">
        <v>370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2791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2792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370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2793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2794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2795</v>
      </c>
      <c r="B1686" s="67">
        <v>28842233803</v>
      </c>
      <c r="C1686" s="72" t="s">
        <v>2796</v>
      </c>
      <c r="D1686" s="69">
        <v>39207708892</v>
      </c>
      <c r="E1686" s="9">
        <v>262</v>
      </c>
      <c r="F1686" s="25">
        <v>43160</v>
      </c>
      <c r="G1686" s="70" t="s">
        <v>377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2797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370</v>
      </c>
      <c r="H1687" s="9"/>
      <c r="I1687" s="8"/>
      <c r="J1687" s="8"/>
      <c r="K1687" s="8"/>
      <c r="L1687" s="9" t="s">
        <v>490</v>
      </c>
      <c r="M1687" s="8"/>
    </row>
    <row r="1688" spans="1:13" x14ac:dyDescent="0.25">
      <c r="A1688" s="71" t="s">
        <v>2798</v>
      </c>
      <c r="B1688" s="67">
        <v>39111957883</v>
      </c>
      <c r="C1688" s="72" t="s">
        <v>2799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2800</v>
      </c>
      <c r="B1689" s="67">
        <v>26763450877</v>
      </c>
      <c r="C1689" s="72" t="s">
        <v>2801</v>
      </c>
      <c r="D1689" s="69">
        <v>23405053803</v>
      </c>
      <c r="E1689" s="9">
        <v>292</v>
      </c>
      <c r="F1689" s="25">
        <v>43168</v>
      </c>
      <c r="G1689" s="70" t="s">
        <v>370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2802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370</v>
      </c>
      <c r="H1690" s="9"/>
      <c r="I1690" s="8"/>
      <c r="J1690" s="8"/>
      <c r="K1690" s="8"/>
      <c r="L1690" s="9" t="s">
        <v>522</v>
      </c>
      <c r="M1690" s="8"/>
    </row>
    <row r="1691" spans="1:13" x14ac:dyDescent="0.25">
      <c r="A1691" s="29" t="s">
        <v>2803</v>
      </c>
      <c r="B1691" s="67">
        <v>41696411831</v>
      </c>
      <c r="C1691" s="29" t="s">
        <v>2804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2805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2806</v>
      </c>
      <c r="B1693" s="67"/>
      <c r="C1693" s="18" t="s">
        <v>481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2807</v>
      </c>
      <c r="B1694" s="67">
        <v>8946062479</v>
      </c>
      <c r="C1694" s="15" t="s">
        <v>2808</v>
      </c>
      <c r="D1694" s="69">
        <v>9671165460</v>
      </c>
      <c r="E1694" s="9">
        <v>292</v>
      </c>
      <c r="F1694" s="25">
        <v>43168</v>
      </c>
      <c r="G1694" s="70" t="s">
        <v>377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2809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370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2810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370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2811</v>
      </c>
      <c r="B1697" s="67"/>
      <c r="C1697" s="18" t="s">
        <v>481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2812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370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2813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2814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2815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2816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2817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2818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2819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2820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370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2821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370</v>
      </c>
      <c r="H1707" s="9"/>
      <c r="I1707" s="8"/>
      <c r="J1707" s="8"/>
      <c r="K1707" s="8"/>
      <c r="L1707" s="9" t="s">
        <v>605</v>
      </c>
      <c r="M1707" s="8"/>
    </row>
    <row r="1708" spans="1:13" x14ac:dyDescent="0.25">
      <c r="A1708" s="13" t="s">
        <v>2822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370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2823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2824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2825</v>
      </c>
      <c r="B1711" s="67"/>
      <c r="C1711" s="18" t="s">
        <v>481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2826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370</v>
      </c>
      <c r="H1712" s="9"/>
      <c r="I1712" s="8"/>
      <c r="J1712" s="8"/>
      <c r="K1712" s="8"/>
      <c r="L1712" s="9" t="s">
        <v>522</v>
      </c>
      <c r="M1712" s="8"/>
    </row>
    <row r="1713" spans="1:13" x14ac:dyDescent="0.25">
      <c r="A1713" s="71" t="s">
        <v>2827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370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2828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370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2829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2830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370</v>
      </c>
      <c r="H1716" s="9"/>
      <c r="I1716" s="8"/>
      <c r="J1716" s="8"/>
      <c r="K1716" s="8"/>
      <c r="L1716" s="9" t="s">
        <v>490</v>
      </c>
      <c r="M1716" s="8"/>
    </row>
    <row r="1717" spans="1:13" x14ac:dyDescent="0.25">
      <c r="A1717" s="71" t="s">
        <v>2831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2832</v>
      </c>
      <c r="B1718" s="67">
        <v>26903961810</v>
      </c>
      <c r="C1718" s="72" t="s">
        <v>2833</v>
      </c>
      <c r="D1718" s="69">
        <v>40904229904</v>
      </c>
      <c r="E1718" s="9">
        <v>1555</v>
      </c>
      <c r="F1718" s="25">
        <v>43049</v>
      </c>
      <c r="G1718" s="70" t="s">
        <v>370</v>
      </c>
      <c r="H1718" s="9"/>
      <c r="I1718" s="8"/>
      <c r="J1718" s="8"/>
      <c r="K1718" s="8"/>
      <c r="L1718" s="9" t="s">
        <v>749</v>
      </c>
      <c r="M1718" s="8"/>
    </row>
    <row r="1719" spans="1:13" x14ac:dyDescent="0.25">
      <c r="A1719" s="18" t="s">
        <v>2834</v>
      </c>
      <c r="B1719" s="67">
        <v>31611651875</v>
      </c>
      <c r="C1719" s="18" t="s">
        <v>2835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2836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370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2837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2838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370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2839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2840</v>
      </c>
      <c r="B1724" s="69">
        <v>22580790802</v>
      </c>
      <c r="C1724" s="71" t="s">
        <v>2841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2842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2843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2844</v>
      </c>
      <c r="B1727" s="69">
        <v>88565386520</v>
      </c>
      <c r="C1727" s="15" t="s">
        <v>2845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2846</v>
      </c>
      <c r="B1728" s="67">
        <v>1147816565</v>
      </c>
      <c r="C1728" s="72" t="s">
        <v>2847</v>
      </c>
      <c r="D1728" s="69">
        <v>24692193883</v>
      </c>
      <c r="E1728" s="9">
        <v>262</v>
      </c>
      <c r="F1728" s="25">
        <v>43160</v>
      </c>
      <c r="G1728" s="70" t="s">
        <v>370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2848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370</v>
      </c>
      <c r="H1729" s="9"/>
      <c r="I1729" s="8"/>
      <c r="J1729" s="8"/>
      <c r="K1729" s="8"/>
      <c r="L1729" s="9" t="s">
        <v>490</v>
      </c>
      <c r="M1729" s="8"/>
    </row>
    <row r="1730" spans="1:13" x14ac:dyDescent="0.25">
      <c r="A1730" s="14" t="s">
        <v>2849</v>
      </c>
      <c r="B1730" s="67">
        <v>7039189402</v>
      </c>
      <c r="C1730" s="72" t="s">
        <v>2850</v>
      </c>
      <c r="D1730" s="69">
        <v>5531291558</v>
      </c>
      <c r="E1730" s="9">
        <v>262</v>
      </c>
      <c r="F1730" s="25">
        <v>43160</v>
      </c>
      <c r="G1730" s="70" t="s">
        <v>370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2851</v>
      </c>
      <c r="B1731" s="67">
        <v>34602647804</v>
      </c>
      <c r="C1731" s="72" t="s">
        <v>2852</v>
      </c>
      <c r="D1731" s="69">
        <v>27640163870</v>
      </c>
      <c r="E1731" s="9">
        <v>229</v>
      </c>
      <c r="F1731" s="25">
        <v>43151</v>
      </c>
      <c r="G1731" s="70" t="s">
        <v>370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2853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370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2854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370</v>
      </c>
      <c r="H1733" s="9"/>
      <c r="I1733" s="8"/>
      <c r="J1733" s="8"/>
      <c r="K1733" s="8"/>
      <c r="L1733" s="9" t="s">
        <v>853</v>
      </c>
      <c r="M1733" s="8"/>
    </row>
    <row r="1734" spans="1:13" x14ac:dyDescent="0.25">
      <c r="A1734" s="71" t="s">
        <v>2855</v>
      </c>
      <c r="B1734" s="67">
        <v>4656282570</v>
      </c>
      <c r="C1734" s="72" t="s">
        <v>2856</v>
      </c>
      <c r="D1734" s="69">
        <v>85025780578</v>
      </c>
      <c r="E1734" s="9">
        <v>85</v>
      </c>
      <c r="F1734" s="25">
        <v>43109</v>
      </c>
      <c r="G1734" s="70" t="s">
        <v>370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2857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2858</v>
      </c>
      <c r="B1736" s="67">
        <v>44808773805</v>
      </c>
      <c r="C1736" s="72" t="s">
        <v>2859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2860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370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2861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2862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370</v>
      </c>
      <c r="H1739" s="9"/>
      <c r="I1739" s="8"/>
      <c r="J1739" s="8"/>
      <c r="K1739" s="8"/>
      <c r="L1739" s="9" t="s">
        <v>490</v>
      </c>
      <c r="M1739" s="8"/>
    </row>
    <row r="1740" spans="1:13" x14ac:dyDescent="0.25">
      <c r="A1740" s="71" t="s">
        <v>2863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385</v>
      </c>
      <c r="H1740" s="9"/>
      <c r="I1740" s="8"/>
      <c r="J1740" s="8"/>
      <c r="K1740" s="8"/>
      <c r="L1740" s="9" t="s">
        <v>605</v>
      </c>
      <c r="M1740" s="8"/>
    </row>
    <row r="1741" spans="1:13" x14ac:dyDescent="0.25">
      <c r="A1741" s="15" t="s">
        <v>2864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370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2865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2866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2867</v>
      </c>
      <c r="B1744" s="67">
        <v>19129440491</v>
      </c>
      <c r="C1744" s="72" t="s">
        <v>2868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2869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370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2870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370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2871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370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2872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370</v>
      </c>
      <c r="H1748" s="9"/>
      <c r="I1748" s="8"/>
      <c r="J1748" s="8"/>
      <c r="K1748" s="8"/>
      <c r="L1748" s="9" t="s">
        <v>749</v>
      </c>
      <c r="M1748" s="8"/>
    </row>
    <row r="1749" spans="1:13" x14ac:dyDescent="0.25">
      <c r="A1749" s="13" t="s">
        <v>2873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370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2874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2875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370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2876</v>
      </c>
      <c r="B1752" s="67">
        <v>15634351871</v>
      </c>
      <c r="C1752" s="72" t="s">
        <v>2877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2878</v>
      </c>
      <c r="B1753" s="67">
        <v>35994306835</v>
      </c>
      <c r="C1753" s="72" t="s">
        <v>2879</v>
      </c>
      <c r="D1753" s="69">
        <v>25021610880</v>
      </c>
      <c r="E1753" s="9">
        <v>262</v>
      </c>
      <c r="F1753" s="25">
        <v>43160</v>
      </c>
      <c r="G1753" s="70" t="s">
        <v>370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2880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370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2881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2882</v>
      </c>
      <c r="B1756" s="67">
        <v>32525046854</v>
      </c>
      <c r="C1756" s="29" t="s">
        <v>481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2883</v>
      </c>
      <c r="B1757" s="67">
        <v>23704553816</v>
      </c>
      <c r="C1757" s="77" t="s">
        <v>2884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651</v>
      </c>
      <c r="M1757" s="8"/>
    </row>
    <row r="1758" spans="1:13" x14ac:dyDescent="0.25">
      <c r="A1758" s="71" t="s">
        <v>2885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370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2886</v>
      </c>
      <c r="B1759" s="67">
        <v>3180351543</v>
      </c>
      <c r="C1759" s="72" t="s">
        <v>2887</v>
      </c>
      <c r="D1759" s="69">
        <v>38259838893</v>
      </c>
      <c r="E1759" s="9">
        <v>1752</v>
      </c>
      <c r="F1759" s="25">
        <v>43051</v>
      </c>
      <c r="G1759" s="70" t="s">
        <v>370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2888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370</v>
      </c>
      <c r="H1760" s="9"/>
      <c r="I1760" s="8"/>
      <c r="J1760" s="8"/>
      <c r="K1760" s="8"/>
      <c r="L1760" s="9" t="s">
        <v>490</v>
      </c>
      <c r="M1760" s="8"/>
    </row>
    <row r="1761" spans="1:13" x14ac:dyDescent="0.25">
      <c r="A1761" s="71" t="s">
        <v>2889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370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2890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2891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370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2892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370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2893</v>
      </c>
      <c r="B1765" s="80">
        <v>27034088896</v>
      </c>
      <c r="C1765" s="81" t="s">
        <v>2894</v>
      </c>
      <c r="D1765" s="82">
        <v>31801530831</v>
      </c>
      <c r="E1765" s="47">
        <v>1267</v>
      </c>
      <c r="F1765" s="48">
        <v>42998</v>
      </c>
      <c r="G1765" s="83" t="s">
        <v>377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2895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2896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2897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370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2898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370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2899</v>
      </c>
      <c r="B1770" s="67">
        <v>13035980861</v>
      </c>
      <c r="C1770" s="72" t="s">
        <v>2900</v>
      </c>
      <c r="D1770" s="69">
        <v>60623608553</v>
      </c>
      <c r="E1770" s="9">
        <v>1752</v>
      </c>
      <c r="F1770" s="25">
        <v>43051</v>
      </c>
      <c r="G1770" s="70" t="s">
        <v>370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2901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2902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370</v>
      </c>
      <c r="H1772" s="9"/>
      <c r="I1772" s="8"/>
      <c r="J1772" s="8"/>
      <c r="K1772" s="8"/>
      <c r="L1772" s="9" t="s">
        <v>490</v>
      </c>
      <c r="M1772" s="8"/>
    </row>
    <row r="1773" spans="1:13" x14ac:dyDescent="0.25">
      <c r="A1773" s="29" t="s">
        <v>2903</v>
      </c>
      <c r="B1773" s="67">
        <v>7965453401</v>
      </c>
      <c r="C1773" s="29" t="s">
        <v>2904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2905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370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2906</v>
      </c>
      <c r="B1775" s="67">
        <v>29335127850</v>
      </c>
      <c r="C1775" s="68" t="s">
        <v>2907</v>
      </c>
      <c r="D1775" s="69">
        <v>18384225877</v>
      </c>
      <c r="E1775" s="9">
        <v>1214</v>
      </c>
      <c r="F1775" s="25">
        <v>42989</v>
      </c>
      <c r="G1775" s="70" t="s">
        <v>370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2908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370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2909</v>
      </c>
      <c r="B1777" s="67">
        <v>22530539880</v>
      </c>
      <c r="C1777" s="72" t="s">
        <v>2910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2911</v>
      </c>
      <c r="B1778" s="67">
        <v>22135571873</v>
      </c>
      <c r="C1778" s="72" t="s">
        <v>2912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2913</v>
      </c>
      <c r="B1779" s="67">
        <v>29928831823</v>
      </c>
      <c r="C1779" s="72" t="s">
        <v>2914</v>
      </c>
      <c r="D1779" s="69">
        <v>9500916428</v>
      </c>
      <c r="E1779" s="9">
        <v>810</v>
      </c>
      <c r="F1779" s="25">
        <v>42915</v>
      </c>
      <c r="G1779" s="70" t="s">
        <v>370</v>
      </c>
      <c r="H1779" s="9"/>
      <c r="I1779" s="8"/>
      <c r="J1779" s="8"/>
      <c r="K1779" s="8"/>
      <c r="L1779" s="9" t="s">
        <v>490</v>
      </c>
      <c r="M1779" s="8"/>
    </row>
    <row r="1780" spans="1:13" x14ac:dyDescent="0.25">
      <c r="A1780" s="72" t="s">
        <v>2915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2916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370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2917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2918</v>
      </c>
      <c r="B1783" s="67"/>
      <c r="C1783" s="29" t="s">
        <v>481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2919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370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2920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370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2921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370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2922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370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2923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370</v>
      </c>
      <c r="H1788" s="9"/>
      <c r="I1788" s="8"/>
      <c r="J1788" s="8"/>
      <c r="K1788" s="8"/>
      <c r="L1788" s="9" t="s">
        <v>490</v>
      </c>
      <c r="M1788" s="8"/>
    </row>
    <row r="1789" spans="1:13" x14ac:dyDescent="0.25">
      <c r="A1789" s="71" t="s">
        <v>2924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370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2925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370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2926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370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2927</v>
      </c>
      <c r="B1792" s="67">
        <v>29652104825</v>
      </c>
      <c r="C1792" s="68" t="s">
        <v>2928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2929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370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2930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2931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2932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370</v>
      </c>
      <c r="H1796" s="9"/>
      <c r="I1796" s="8"/>
      <c r="J1796" s="8"/>
      <c r="K1796" s="8"/>
      <c r="L1796" s="9" t="s">
        <v>853</v>
      </c>
      <c r="M1796" s="8"/>
    </row>
    <row r="1797" spans="1:13" x14ac:dyDescent="0.25">
      <c r="A1797" s="71" t="s">
        <v>2933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370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2934</v>
      </c>
      <c r="B1798" s="67">
        <v>6896659890</v>
      </c>
      <c r="C1798" s="29" t="s">
        <v>2935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2936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370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2937</v>
      </c>
      <c r="B1800" s="67">
        <v>60230380506</v>
      </c>
      <c r="C1800" s="72" t="s">
        <v>2938</v>
      </c>
      <c r="D1800" s="69">
        <v>30853536821</v>
      </c>
      <c r="E1800" s="9">
        <v>1570</v>
      </c>
      <c r="F1800" s="25">
        <v>43051</v>
      </c>
      <c r="G1800" s="70" t="s">
        <v>377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2939</v>
      </c>
      <c r="B1801" s="67">
        <v>44556393817</v>
      </c>
      <c r="C1801" s="72" t="s">
        <v>2940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2941</v>
      </c>
      <c r="B1802" s="67">
        <v>35780076847</v>
      </c>
      <c r="C1802" s="29" t="s">
        <v>2942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2943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370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2944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370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2945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2946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2947</v>
      </c>
      <c r="B1807" s="67">
        <v>8265497806</v>
      </c>
      <c r="C1807" s="18" t="s">
        <v>481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2948</v>
      </c>
      <c r="B1808" s="67">
        <v>27435732877</v>
      </c>
      <c r="C1808" s="29" t="s">
        <v>481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2949</v>
      </c>
      <c r="B1809" s="67">
        <v>17620421858</v>
      </c>
      <c r="C1809" s="72" t="s">
        <v>2950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2951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370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2952</v>
      </c>
      <c r="B1811" s="78" t="s">
        <v>2953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2954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370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2955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2956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2957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370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2958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651</v>
      </c>
      <c r="M1816" s="8"/>
    </row>
    <row r="1817" spans="1:13" x14ac:dyDescent="0.25">
      <c r="A1817" s="14" t="s">
        <v>2959</v>
      </c>
      <c r="B1817" s="67">
        <v>24655581883</v>
      </c>
      <c r="C1817" s="72" t="s">
        <v>2960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2961</v>
      </c>
      <c r="B1818" s="67">
        <v>6455171861</v>
      </c>
      <c r="C1818" s="72" t="s">
        <v>2962</v>
      </c>
      <c r="D1818" s="69">
        <v>34375910534</v>
      </c>
      <c r="E1818" s="9">
        <v>1417</v>
      </c>
      <c r="F1818" s="25">
        <v>43017</v>
      </c>
      <c r="G1818" s="70" t="s">
        <v>370</v>
      </c>
      <c r="H1818" s="9"/>
      <c r="I1818" s="8"/>
      <c r="J1818" s="8"/>
      <c r="K1818" s="8"/>
      <c r="L1818" s="9" t="s">
        <v>605</v>
      </c>
      <c r="M1818" s="8"/>
    </row>
    <row r="1819" spans="1:13" x14ac:dyDescent="0.25">
      <c r="A1819" s="71" t="s">
        <v>2963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370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2964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370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2965</v>
      </c>
      <c r="B1821" s="67">
        <v>16417318850</v>
      </c>
      <c r="C1821" s="72" t="s">
        <v>2966</v>
      </c>
      <c r="D1821" s="69">
        <v>18195940846</v>
      </c>
      <c r="E1821" s="9">
        <v>810</v>
      </c>
      <c r="F1821" s="25">
        <v>42915</v>
      </c>
      <c r="G1821" s="70" t="s">
        <v>377</v>
      </c>
      <c r="H1821" s="9"/>
      <c r="I1821" s="8"/>
      <c r="J1821" s="8"/>
      <c r="K1821" s="8"/>
      <c r="L1821" s="9" t="s">
        <v>490</v>
      </c>
      <c r="M1821" s="8"/>
    </row>
    <row r="1822" spans="1:13" x14ac:dyDescent="0.25">
      <c r="A1822" s="14" t="s">
        <v>2967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370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2968</v>
      </c>
      <c r="B1823" s="67">
        <v>14369207878</v>
      </c>
      <c r="C1823" s="72" t="s">
        <v>2969</v>
      </c>
      <c r="D1823" s="69">
        <v>7358923421</v>
      </c>
      <c r="E1823" s="9">
        <v>292</v>
      </c>
      <c r="F1823" s="25">
        <v>43168</v>
      </c>
      <c r="G1823" s="9" t="s">
        <v>370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2970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2970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2971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370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2972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2973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2974</v>
      </c>
      <c r="B1829" s="67" t="s">
        <v>2975</v>
      </c>
      <c r="C1829" s="72" t="s">
        <v>2976</v>
      </c>
      <c r="D1829" s="69">
        <v>43860821822</v>
      </c>
      <c r="E1829" s="9">
        <v>1752</v>
      </c>
      <c r="F1829" s="25">
        <v>43051</v>
      </c>
      <c r="G1829" s="70" t="s">
        <v>370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2974</v>
      </c>
      <c r="B1830" s="67"/>
      <c r="C1830" s="18" t="s">
        <v>481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2977</v>
      </c>
      <c r="B1831" s="67">
        <v>32969576856</v>
      </c>
      <c r="C1831" s="72" t="s">
        <v>2978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2979</v>
      </c>
      <c r="B1832" s="67">
        <v>23651706842</v>
      </c>
      <c r="C1832" s="18" t="s">
        <v>2980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2981</v>
      </c>
      <c r="B1833" s="67"/>
      <c r="C1833" s="29" t="s">
        <v>2982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2983</v>
      </c>
      <c r="B1834" s="67">
        <v>24891699809</v>
      </c>
      <c r="C1834" s="72" t="s">
        <v>2984</v>
      </c>
      <c r="D1834" s="69">
        <v>17610300861</v>
      </c>
      <c r="E1834" s="9">
        <v>262</v>
      </c>
      <c r="F1834" s="25">
        <v>43160</v>
      </c>
      <c r="G1834" s="70" t="s">
        <v>377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2985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370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2986</v>
      </c>
      <c r="B1836" s="67">
        <v>79465617687</v>
      </c>
      <c r="C1836" s="77" t="s">
        <v>2987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651</v>
      </c>
      <c r="M1836" s="8"/>
    </row>
    <row r="1837" spans="1:13" x14ac:dyDescent="0.25">
      <c r="A1837" s="29" t="s">
        <v>2988</v>
      </c>
      <c r="B1837" s="67"/>
      <c r="C1837" s="29" t="s">
        <v>481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2989</v>
      </c>
      <c r="B1838" s="67" t="s">
        <v>2990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2991</v>
      </c>
      <c r="B1839" s="67">
        <v>8545670893</v>
      </c>
      <c r="C1839" s="18" t="s">
        <v>2992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2991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370</v>
      </c>
      <c r="H1840" s="9"/>
      <c r="I1840" s="8"/>
      <c r="J1840" s="8"/>
      <c r="K1840" s="8"/>
      <c r="L1840" s="9" t="s">
        <v>490</v>
      </c>
      <c r="M1840" s="8"/>
    </row>
    <row r="1841" spans="1:13" x14ac:dyDescent="0.25">
      <c r="A1841" s="72" t="s">
        <v>2993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2994</v>
      </c>
      <c r="B1842" s="67"/>
      <c r="C1842" s="29" t="s">
        <v>481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2995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370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2996</v>
      </c>
      <c r="B1844" s="69">
        <v>84920157487</v>
      </c>
      <c r="C1844" s="71" t="s">
        <v>2997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2998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2999</v>
      </c>
      <c r="B1846" s="67">
        <v>35331745814</v>
      </c>
      <c r="C1846" s="75" t="s">
        <v>3000</v>
      </c>
      <c r="D1846" s="69">
        <v>33184459837</v>
      </c>
      <c r="E1846" s="9">
        <v>1106</v>
      </c>
      <c r="F1846" s="25">
        <v>42965</v>
      </c>
      <c r="G1846" s="70" t="s">
        <v>370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3001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370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3002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3003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370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3004</v>
      </c>
      <c r="B1850" s="67">
        <v>14686278805</v>
      </c>
      <c r="C1850" s="18" t="s">
        <v>481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3005</v>
      </c>
      <c r="B1851" s="67">
        <v>14857592851</v>
      </c>
      <c r="C1851" s="72" t="s">
        <v>3006</v>
      </c>
      <c r="D1851" s="69">
        <v>35142215885</v>
      </c>
      <c r="E1851" s="9">
        <v>1106</v>
      </c>
      <c r="F1851" s="25">
        <v>42965</v>
      </c>
      <c r="G1851" s="70" t="s">
        <v>370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3007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370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3008</v>
      </c>
      <c r="B1853" s="67">
        <v>35714112857</v>
      </c>
      <c r="C1853" s="72" t="s">
        <v>3009</v>
      </c>
      <c r="D1853" s="69">
        <v>32342783850</v>
      </c>
      <c r="E1853" s="9">
        <v>810</v>
      </c>
      <c r="F1853" s="25">
        <v>42915</v>
      </c>
      <c r="G1853" s="70" t="s">
        <v>370</v>
      </c>
      <c r="H1853" s="9"/>
      <c r="I1853" s="8"/>
      <c r="J1853" s="8"/>
      <c r="K1853" s="8"/>
      <c r="L1853" s="9" t="s">
        <v>490</v>
      </c>
      <c r="M1853" s="8"/>
    </row>
    <row r="1854" spans="1:13" x14ac:dyDescent="0.25">
      <c r="A1854" s="15" t="s">
        <v>3010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3011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370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3012</v>
      </c>
      <c r="B1856" s="67">
        <v>22009621859</v>
      </c>
      <c r="C1856" s="72" t="s">
        <v>3013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3014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370</v>
      </c>
      <c r="H1857" s="9"/>
      <c r="I1857" s="8"/>
      <c r="J1857" s="8"/>
      <c r="K1857" s="8"/>
      <c r="L1857" s="9" t="s">
        <v>490</v>
      </c>
      <c r="M1857" s="8"/>
    </row>
    <row r="1858" spans="1:13" x14ac:dyDescent="0.25">
      <c r="A1858" s="71" t="s">
        <v>3015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370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3016</v>
      </c>
      <c r="B1859" s="67">
        <v>32752183879</v>
      </c>
      <c r="C1859" s="72" t="s">
        <v>3017</v>
      </c>
      <c r="D1859" s="69">
        <v>15202346867</v>
      </c>
      <c r="E1859" s="9">
        <v>85</v>
      </c>
      <c r="F1859" s="25">
        <v>43109</v>
      </c>
      <c r="G1859" s="70" t="s">
        <v>370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3018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3019</v>
      </c>
      <c r="B1861" s="67">
        <v>13622732873</v>
      </c>
      <c r="C1861" s="68"/>
      <c r="D1861" s="69"/>
      <c r="E1861" s="9"/>
      <c r="F1861" s="25"/>
      <c r="G1861" s="70" t="s">
        <v>370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3020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3021</v>
      </c>
      <c r="B1863" s="67">
        <v>17094778813</v>
      </c>
      <c r="C1863" s="72" t="s">
        <v>3022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3023</v>
      </c>
      <c r="B1864" s="67"/>
      <c r="C1864" s="72" t="s">
        <v>3024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3025</v>
      </c>
      <c r="B1865" s="67">
        <v>43289674878</v>
      </c>
      <c r="C1865" s="72" t="s">
        <v>3026</v>
      </c>
      <c r="D1865" s="69">
        <v>39726735823</v>
      </c>
      <c r="E1865" s="9">
        <v>810</v>
      </c>
      <c r="F1865" s="25">
        <v>42915</v>
      </c>
      <c r="G1865" s="70" t="s">
        <v>370</v>
      </c>
      <c r="H1865" s="9"/>
      <c r="I1865" s="8"/>
      <c r="J1865" s="8"/>
      <c r="K1865" s="8"/>
      <c r="L1865" s="9" t="s">
        <v>490</v>
      </c>
      <c r="M1865" s="8"/>
    </row>
    <row r="1866" spans="1:13" x14ac:dyDescent="0.25">
      <c r="A1866" s="29" t="s">
        <v>3027</v>
      </c>
      <c r="B1866" s="67">
        <v>3778856812</v>
      </c>
      <c r="C1866" s="18" t="s">
        <v>481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3028</v>
      </c>
      <c r="B1867" s="67">
        <v>36074731888</v>
      </c>
      <c r="C1867" s="29" t="s">
        <v>481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3029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3030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370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3031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651</v>
      </c>
      <c r="M1870" s="8"/>
    </row>
    <row r="1871" spans="1:13" x14ac:dyDescent="0.25">
      <c r="A1871" s="71" t="s">
        <v>3032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3033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370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3034</v>
      </c>
      <c r="B1873" s="67">
        <v>35885861803</v>
      </c>
      <c r="C1873" s="72" t="s">
        <v>3035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3036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3037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370</v>
      </c>
      <c r="H1875" s="9"/>
      <c r="I1875" s="8"/>
      <c r="J1875" s="8"/>
      <c r="K1875" s="8"/>
      <c r="L1875" s="9" t="s">
        <v>490</v>
      </c>
      <c r="M1875" s="8"/>
    </row>
    <row r="1876" spans="1:13" x14ac:dyDescent="0.25">
      <c r="A1876" s="13" t="s">
        <v>3038</v>
      </c>
      <c r="B1876" s="67">
        <v>14888258821</v>
      </c>
      <c r="C1876" s="72" t="s">
        <v>3039</v>
      </c>
      <c r="D1876" s="69">
        <v>9173891827</v>
      </c>
      <c r="E1876" s="9">
        <v>229</v>
      </c>
      <c r="F1876" s="25">
        <v>43151</v>
      </c>
      <c r="G1876" s="70" t="s">
        <v>370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3040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370</v>
      </c>
      <c r="H1877" s="9"/>
      <c r="I1877" s="8"/>
      <c r="J1877" s="8"/>
      <c r="K1877" s="8"/>
      <c r="L1877" s="9" t="s">
        <v>853</v>
      </c>
      <c r="M1877" s="8"/>
    </row>
    <row r="1878" spans="1:13" x14ac:dyDescent="0.25">
      <c r="A1878" s="73" t="s">
        <v>3041</v>
      </c>
      <c r="B1878" s="67">
        <v>36238125870</v>
      </c>
      <c r="C1878" s="72" t="s">
        <v>3042</v>
      </c>
      <c r="D1878" s="69">
        <v>44321368391</v>
      </c>
      <c r="E1878" s="9">
        <v>1106</v>
      </c>
      <c r="F1878" s="25">
        <v>42965</v>
      </c>
      <c r="G1878" s="70" t="s">
        <v>370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3043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370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3044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3045</v>
      </c>
      <c r="B1881" s="67">
        <v>25970465836</v>
      </c>
      <c r="C1881" s="29" t="s">
        <v>3046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3047</v>
      </c>
      <c r="B1882" s="67">
        <v>26569869825</v>
      </c>
      <c r="C1882" s="15" t="s">
        <v>3048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3049</v>
      </c>
      <c r="B1883" s="67">
        <v>87835053349</v>
      </c>
      <c r="C1883" s="72" t="s">
        <v>3050</v>
      </c>
      <c r="D1883" s="69">
        <v>18172850840</v>
      </c>
      <c r="E1883" s="9">
        <v>1106</v>
      </c>
      <c r="F1883" s="25">
        <v>42965</v>
      </c>
      <c r="G1883" s="70" t="s">
        <v>370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3051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651</v>
      </c>
      <c r="M1884" s="8"/>
    </row>
    <row r="1885" spans="1:13" x14ac:dyDescent="0.25">
      <c r="A1885" s="72" t="s">
        <v>3052</v>
      </c>
      <c r="B1885" s="67">
        <v>32747471810</v>
      </c>
      <c r="C1885" s="72" t="s">
        <v>3053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3054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3055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370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3056</v>
      </c>
      <c r="B1888" s="67">
        <v>31413965822</v>
      </c>
      <c r="C1888" s="72" t="s">
        <v>3057</v>
      </c>
      <c r="D1888" s="69">
        <v>17486425882</v>
      </c>
      <c r="E1888" s="9">
        <v>1106</v>
      </c>
      <c r="F1888" s="25">
        <v>42965</v>
      </c>
      <c r="G1888" s="70" t="s">
        <v>370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3058</v>
      </c>
      <c r="B1889" s="67">
        <v>35736302861</v>
      </c>
      <c r="C1889" s="72" t="s">
        <v>3059</v>
      </c>
      <c r="D1889" s="69">
        <v>39355200854</v>
      </c>
      <c r="E1889" s="9">
        <v>229</v>
      </c>
      <c r="F1889" s="25">
        <v>43151</v>
      </c>
      <c r="G1889" s="70" t="s">
        <v>370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3060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370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3061</v>
      </c>
      <c r="B1891" s="67">
        <v>16364261825</v>
      </c>
      <c r="C1891" s="72" t="s">
        <v>3062</v>
      </c>
      <c r="D1891" s="69">
        <v>3293003427</v>
      </c>
      <c r="E1891" s="9">
        <v>117</v>
      </c>
      <c r="F1891" s="25">
        <v>43117</v>
      </c>
      <c r="G1891" s="70" t="s">
        <v>370</v>
      </c>
      <c r="H1891" s="9"/>
      <c r="I1891" s="8"/>
      <c r="J1891" s="8"/>
      <c r="K1891" s="8"/>
      <c r="L1891" s="9" t="s">
        <v>522</v>
      </c>
      <c r="M1891" s="8"/>
    </row>
    <row r="1892" spans="1:13" x14ac:dyDescent="0.25">
      <c r="A1892" s="84" t="s">
        <v>3063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3064</v>
      </c>
      <c r="B1893" s="67">
        <v>33729129856</v>
      </c>
      <c r="C1893" s="72" t="s">
        <v>3065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3066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370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3067</v>
      </c>
      <c r="B1895" s="67">
        <v>6579182458</v>
      </c>
      <c r="C1895" s="72" t="s">
        <v>3068</v>
      </c>
      <c r="D1895" s="69">
        <v>7424068490</v>
      </c>
      <c r="E1895" s="9">
        <v>810</v>
      </c>
      <c r="F1895" s="25">
        <v>42915</v>
      </c>
      <c r="G1895" s="70" t="s">
        <v>370</v>
      </c>
      <c r="H1895" s="9"/>
      <c r="I1895" s="8"/>
      <c r="J1895" s="8"/>
      <c r="K1895" s="8"/>
      <c r="L1895" s="9" t="s">
        <v>490</v>
      </c>
      <c r="M1895" s="8"/>
    </row>
    <row r="1896" spans="1:13" x14ac:dyDescent="0.25">
      <c r="A1896" s="71" t="s">
        <v>3069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3070</v>
      </c>
      <c r="B1897" s="67">
        <v>65195140553</v>
      </c>
      <c r="C1897" s="29" t="s">
        <v>481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3071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3071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370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3072</v>
      </c>
      <c r="B1900" s="67">
        <v>17146759806</v>
      </c>
      <c r="C1900" s="72" t="s">
        <v>3073</v>
      </c>
      <c r="D1900" s="69">
        <v>39095494896</v>
      </c>
      <c r="E1900" s="9">
        <v>1262</v>
      </c>
      <c r="F1900" s="25">
        <v>42997</v>
      </c>
      <c r="G1900" s="70" t="s">
        <v>377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3074</v>
      </c>
      <c r="B1901" s="67">
        <v>3893020403</v>
      </c>
      <c r="C1901" s="68" t="s">
        <v>3075</v>
      </c>
      <c r="D1901" s="69">
        <v>31615704809</v>
      </c>
      <c r="E1901" s="9">
        <v>1128</v>
      </c>
      <c r="F1901" s="25">
        <v>42972</v>
      </c>
      <c r="G1901" s="70" t="s">
        <v>370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3076</v>
      </c>
      <c r="B1902" s="67">
        <v>70116695404</v>
      </c>
      <c r="C1902" s="72" t="s">
        <v>3077</v>
      </c>
      <c r="D1902" s="69">
        <v>66319943491</v>
      </c>
      <c r="E1902" s="9">
        <v>1106</v>
      </c>
      <c r="F1902" s="25">
        <v>42965</v>
      </c>
      <c r="G1902" s="70" t="s">
        <v>370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3078</v>
      </c>
      <c r="B1903" s="67"/>
      <c r="C1903" s="29" t="s">
        <v>3079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3080</v>
      </c>
      <c r="B1904" s="67"/>
      <c r="C1904" s="29" t="s">
        <v>481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3081</v>
      </c>
      <c r="B1905" s="67"/>
      <c r="C1905" s="29" t="s">
        <v>3082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3083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370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3084</v>
      </c>
      <c r="B1907" s="67">
        <v>6936214436</v>
      </c>
      <c r="C1907" s="72" t="s">
        <v>3085</v>
      </c>
      <c r="D1907" s="69">
        <v>8583452423</v>
      </c>
      <c r="E1907" s="9">
        <v>85</v>
      </c>
      <c r="F1907" s="25">
        <v>43109</v>
      </c>
      <c r="G1907" s="70" t="s">
        <v>370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3086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370</v>
      </c>
      <c r="H1908" s="9"/>
      <c r="I1908" s="8"/>
      <c r="J1908" s="8"/>
      <c r="K1908" s="8"/>
      <c r="L1908" s="9" t="s">
        <v>490</v>
      </c>
      <c r="M1908" s="8"/>
    </row>
    <row r="1909" spans="1:13" x14ac:dyDescent="0.25">
      <c r="A1909" s="15" t="s">
        <v>3087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370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3088</v>
      </c>
      <c r="B1910" s="67">
        <v>35264817847</v>
      </c>
      <c r="C1910" s="29" t="s">
        <v>481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3089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3090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370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3091</v>
      </c>
      <c r="B1913" s="67">
        <v>90046226591</v>
      </c>
      <c r="C1913" s="72" t="s">
        <v>3092</v>
      </c>
      <c r="D1913" s="69">
        <v>74829505591</v>
      </c>
      <c r="E1913" s="9">
        <v>262</v>
      </c>
      <c r="F1913" s="25">
        <v>43160</v>
      </c>
      <c r="G1913" s="9" t="s">
        <v>370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3093</v>
      </c>
      <c r="B1914" s="67">
        <v>29871369867</v>
      </c>
      <c r="C1914" s="72" t="s">
        <v>3094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3095</v>
      </c>
      <c r="B1915" s="67">
        <v>26681571883</v>
      </c>
      <c r="C1915" s="71" t="s">
        <v>3096</v>
      </c>
      <c r="D1915" s="69">
        <v>18465693897</v>
      </c>
      <c r="E1915" s="9">
        <v>292</v>
      </c>
      <c r="F1915" s="25">
        <v>43168</v>
      </c>
      <c r="G1915" s="70" t="s">
        <v>370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3097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3098</v>
      </c>
      <c r="B1917" s="67">
        <v>26526680801</v>
      </c>
      <c r="C1917" s="68" t="s">
        <v>3099</v>
      </c>
      <c r="D1917" s="69">
        <v>7117205631</v>
      </c>
      <c r="E1917" s="9">
        <v>1128</v>
      </c>
      <c r="F1917" s="25">
        <v>42972</v>
      </c>
      <c r="G1917" s="70" t="s">
        <v>370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3100</v>
      </c>
      <c r="B1918" s="67">
        <v>67285902420</v>
      </c>
      <c r="C1918" s="72" t="s">
        <v>1868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651</v>
      </c>
      <c r="M1918" s="8"/>
    </row>
    <row r="1919" spans="1:13" x14ac:dyDescent="0.25">
      <c r="A1919" s="29" t="s">
        <v>3101</v>
      </c>
      <c r="B1919" s="67"/>
      <c r="C1919" s="18" t="s">
        <v>481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3102</v>
      </c>
      <c r="B1920" s="67">
        <v>1097111490</v>
      </c>
      <c r="C1920" s="77" t="s">
        <v>3103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651</v>
      </c>
      <c r="M1920" s="8"/>
    </row>
    <row r="1921" spans="1:13" x14ac:dyDescent="0.25">
      <c r="A1921" s="71" t="s">
        <v>3104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370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3105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370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3106</v>
      </c>
      <c r="B1923" s="67">
        <v>16756911856</v>
      </c>
      <c r="C1923" s="72" t="s">
        <v>3107</v>
      </c>
      <c r="D1923" s="69">
        <v>10411415808</v>
      </c>
      <c r="E1923" s="9">
        <v>1752</v>
      </c>
      <c r="F1923" s="25">
        <v>43051</v>
      </c>
      <c r="G1923" s="70" t="s">
        <v>370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3108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3109</v>
      </c>
      <c r="B1925" s="67"/>
      <c r="C1925" s="72" t="s">
        <v>3110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3111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377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3112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3113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370</v>
      </c>
      <c r="H1928" s="9"/>
      <c r="I1928" s="8"/>
      <c r="J1928" s="8"/>
      <c r="K1928" s="8"/>
      <c r="L1928" s="9" t="s">
        <v>853</v>
      </c>
      <c r="M1928" s="8"/>
    </row>
    <row r="1929" spans="1:13" x14ac:dyDescent="0.25">
      <c r="A1929" s="29" t="s">
        <v>3114</v>
      </c>
      <c r="B1929" s="67"/>
      <c r="C1929" s="29" t="s">
        <v>481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3115</v>
      </c>
      <c r="B1930" s="67"/>
      <c r="C1930" s="29" t="s">
        <v>3116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3117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370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3118</v>
      </c>
      <c r="B1932" s="67">
        <v>30900118830</v>
      </c>
      <c r="C1932" s="72" t="s">
        <v>3119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3120</v>
      </c>
      <c r="B1933" s="67">
        <v>64217299400</v>
      </c>
      <c r="C1933" s="18" t="s">
        <v>3121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3122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3123</v>
      </c>
      <c r="B1935" s="67">
        <v>95875409487</v>
      </c>
      <c r="C1935" s="72" t="s">
        <v>3124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3125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3126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370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3127</v>
      </c>
      <c r="B1938" s="67">
        <v>26655730325</v>
      </c>
      <c r="C1938" s="72" t="s">
        <v>3128</v>
      </c>
      <c r="D1938" s="69">
        <v>59222891520</v>
      </c>
      <c r="E1938" s="9">
        <v>262</v>
      </c>
      <c r="F1938" s="25">
        <v>43160</v>
      </c>
      <c r="G1938" s="70" t="s">
        <v>370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3129</v>
      </c>
      <c r="B1939" s="67">
        <v>15696788807</v>
      </c>
      <c r="C1939" s="72" t="s">
        <v>3130</v>
      </c>
      <c r="D1939" s="69">
        <v>4231184801</v>
      </c>
      <c r="E1939" s="9">
        <v>1555</v>
      </c>
      <c r="F1939" s="25">
        <v>43049</v>
      </c>
      <c r="G1939" s="70" t="s">
        <v>370</v>
      </c>
      <c r="H1939" s="9"/>
      <c r="I1939" s="8"/>
      <c r="J1939" s="8"/>
      <c r="K1939" s="8"/>
      <c r="L1939" s="9" t="s">
        <v>749</v>
      </c>
      <c r="M1939" s="8"/>
    </row>
    <row r="1940" spans="1:13" x14ac:dyDescent="0.25">
      <c r="A1940" s="71" t="s">
        <v>3131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377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3132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370</v>
      </c>
      <c r="H1941" s="9"/>
      <c r="I1941" s="8"/>
      <c r="J1941" s="8"/>
      <c r="K1941" s="8"/>
      <c r="L1941" s="9" t="s">
        <v>522</v>
      </c>
      <c r="M1941" s="8"/>
    </row>
    <row r="1942" spans="1:13" x14ac:dyDescent="0.25">
      <c r="A1942" s="71" t="s">
        <v>3133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370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3134</v>
      </c>
      <c r="B1943" s="67">
        <v>1280254688</v>
      </c>
      <c r="C1943" s="72" t="s">
        <v>3135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3136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370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3137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3138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3139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370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3140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3140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370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3140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370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3141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3142</v>
      </c>
      <c r="B1952" s="67">
        <v>33635659843</v>
      </c>
      <c r="C1952" s="29" t="s">
        <v>3143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3144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370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3144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651</v>
      </c>
      <c r="M1954" s="8"/>
    </row>
    <row r="1955" spans="1:13" x14ac:dyDescent="0.25">
      <c r="A1955" s="71" t="s">
        <v>3145</v>
      </c>
      <c r="B1955" s="67">
        <v>36841231880</v>
      </c>
      <c r="C1955" s="77" t="s">
        <v>3146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3147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370</v>
      </c>
      <c r="H1956" s="9"/>
      <c r="I1956" s="8"/>
      <c r="J1956" s="8"/>
      <c r="K1956" s="8"/>
      <c r="L1956" s="9" t="s">
        <v>512</v>
      </c>
      <c r="M1956" s="8"/>
    </row>
    <row r="1957" spans="1:13" x14ac:dyDescent="0.25">
      <c r="A1957" s="29" t="s">
        <v>3148</v>
      </c>
      <c r="B1957" s="67"/>
      <c r="C1957" s="29" t="s">
        <v>481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3149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370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3150</v>
      </c>
      <c r="B1959" s="67"/>
      <c r="C1959" s="29" t="s">
        <v>3151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3152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3153</v>
      </c>
      <c r="B1961" s="67">
        <v>64404714734</v>
      </c>
      <c r="C1961" s="29" t="s">
        <v>3154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3155</v>
      </c>
      <c r="B1962" s="67">
        <v>29783527878</v>
      </c>
      <c r="C1962" s="29" t="s">
        <v>3156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3157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370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3158</v>
      </c>
      <c r="B1964" s="67">
        <v>70155356372</v>
      </c>
      <c r="C1964" s="18" t="s">
        <v>3159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3160</v>
      </c>
      <c r="B1965" s="67">
        <v>4350125337</v>
      </c>
      <c r="C1965" s="72" t="s">
        <v>3161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3162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385</v>
      </c>
      <c r="H1966" s="9"/>
      <c r="I1966" s="8"/>
      <c r="J1966" s="8"/>
      <c r="K1966" s="8"/>
      <c r="L1966" s="9" t="s">
        <v>605</v>
      </c>
      <c r="M1966" s="8"/>
    </row>
    <row r="1967" spans="1:13" x14ac:dyDescent="0.25">
      <c r="A1967" s="72" t="s">
        <v>3163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370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3164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3165</v>
      </c>
      <c r="B1969" s="67"/>
      <c r="C1969" s="29" t="s">
        <v>481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3166</v>
      </c>
      <c r="B1970" s="67">
        <v>49628474812</v>
      </c>
      <c r="C1970" s="72" t="s">
        <v>3167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3168</v>
      </c>
      <c r="B1971" s="67">
        <v>37473032852</v>
      </c>
      <c r="C1971" s="72" t="s">
        <v>3169</v>
      </c>
      <c r="D1971" s="69">
        <v>21894541820</v>
      </c>
      <c r="E1971" s="9">
        <v>1824</v>
      </c>
      <c r="F1971" s="25">
        <v>43091</v>
      </c>
      <c r="G1971" s="70" t="s">
        <v>385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3170</v>
      </c>
      <c r="B1972" s="67">
        <v>36383878875</v>
      </c>
      <c r="C1972" s="72" t="s">
        <v>3171</v>
      </c>
      <c r="D1972" s="69">
        <v>39907872849</v>
      </c>
      <c r="E1972" s="9">
        <v>117</v>
      </c>
      <c r="F1972" s="25">
        <v>43117</v>
      </c>
      <c r="G1972" s="70" t="s">
        <v>377</v>
      </c>
      <c r="H1972" s="9"/>
      <c r="I1972" s="8"/>
      <c r="J1972" s="8"/>
      <c r="K1972" s="8"/>
      <c r="L1972" s="9" t="s">
        <v>522</v>
      </c>
      <c r="M1972" s="8"/>
    </row>
    <row r="1973" spans="1:13" x14ac:dyDescent="0.25">
      <c r="A1973" s="71" t="s">
        <v>3172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370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3173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370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3173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370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3173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370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3174</v>
      </c>
      <c r="B1977" s="80">
        <v>87102331487</v>
      </c>
      <c r="C1977" s="81" t="s">
        <v>3175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490</v>
      </c>
      <c r="M1977" s="49"/>
    </row>
    <row r="1978" spans="1:13" x14ac:dyDescent="0.25">
      <c r="A1978" s="15" t="s">
        <v>3176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370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3177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370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3178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370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3179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370</v>
      </c>
      <c r="H1981" s="9"/>
      <c r="I1981" s="8"/>
      <c r="J1981" s="8"/>
      <c r="K1981" s="8"/>
      <c r="L1981" s="9" t="s">
        <v>522</v>
      </c>
      <c r="M1981" s="8"/>
    </row>
    <row r="1982" spans="1:13" x14ac:dyDescent="0.25">
      <c r="A1982" s="71" t="s">
        <v>3180</v>
      </c>
      <c r="B1982" s="67">
        <v>18360384886</v>
      </c>
      <c r="C1982" s="72" t="s">
        <v>3181</v>
      </c>
      <c r="D1982" s="69">
        <v>28828648848</v>
      </c>
      <c r="E1982" s="9">
        <v>1214</v>
      </c>
      <c r="F1982" s="25">
        <v>42989</v>
      </c>
      <c r="G1982" s="70" t="s">
        <v>370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3182</v>
      </c>
      <c r="B1983" s="67">
        <v>8224204812</v>
      </c>
      <c r="C1983" s="72" t="s">
        <v>3183</v>
      </c>
      <c r="D1983" s="69">
        <v>5373139823</v>
      </c>
      <c r="E1983" s="9">
        <v>1752</v>
      </c>
      <c r="F1983" s="25">
        <v>43051</v>
      </c>
      <c r="G1983" s="70" t="s">
        <v>370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3184</v>
      </c>
      <c r="B1984" s="67">
        <v>61232386200</v>
      </c>
      <c r="C1984" s="72" t="s">
        <v>3185</v>
      </c>
      <c r="D1984" s="69">
        <v>30971900310</v>
      </c>
      <c r="E1984" s="9">
        <v>1267</v>
      </c>
      <c r="F1984" s="25">
        <v>42998</v>
      </c>
      <c r="G1984" s="70" t="s">
        <v>370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3186</v>
      </c>
      <c r="B1985" s="67">
        <v>68688210420</v>
      </c>
      <c r="C1985" s="32" t="s">
        <v>3187</v>
      </c>
      <c r="D1985" s="69">
        <v>3241531805</v>
      </c>
      <c r="E1985" s="9">
        <v>1570</v>
      </c>
      <c r="F1985" s="25">
        <v>43077</v>
      </c>
      <c r="G1985" s="70" t="s">
        <v>370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3188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370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3189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370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3190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3191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370</v>
      </c>
      <c r="H1989" s="9"/>
      <c r="I1989" s="8"/>
      <c r="J1989" s="8"/>
      <c r="K1989" s="8"/>
      <c r="L1989" s="9" t="s">
        <v>490</v>
      </c>
      <c r="M1989" s="8"/>
    </row>
    <row r="1990" spans="1:13" x14ac:dyDescent="0.25">
      <c r="A1990" s="71" t="s">
        <v>3192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370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3193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3194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3195</v>
      </c>
      <c r="B1993" s="67">
        <v>22566146896</v>
      </c>
      <c r="C1993" s="72" t="s">
        <v>3196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3197</v>
      </c>
      <c r="B1994" s="67">
        <v>27957199836</v>
      </c>
      <c r="C1994" s="72" t="s">
        <v>3198</v>
      </c>
      <c r="D1994" s="69">
        <v>14369564808</v>
      </c>
      <c r="E1994" s="9">
        <v>292</v>
      </c>
      <c r="F1994" s="25">
        <v>43168</v>
      </c>
      <c r="G1994" s="70" t="s">
        <v>370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3199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370</v>
      </c>
      <c r="H1995" s="9"/>
      <c r="I1995" s="8"/>
      <c r="J1995" s="8"/>
      <c r="K1995" s="8"/>
      <c r="L1995" s="9" t="s">
        <v>749</v>
      </c>
      <c r="M1995" s="8"/>
    </row>
    <row r="1996" spans="1:13" x14ac:dyDescent="0.25">
      <c r="A1996" s="18" t="s">
        <v>3200</v>
      </c>
      <c r="B1996" s="67"/>
      <c r="C1996" s="18" t="s">
        <v>3201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3202</v>
      </c>
      <c r="B1997" s="67">
        <v>12723195805</v>
      </c>
      <c r="C1997" s="72" t="s">
        <v>3203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3204</v>
      </c>
      <c r="B1998" s="67">
        <v>15731373833</v>
      </c>
      <c r="C1998" s="75" t="s">
        <v>3205</v>
      </c>
      <c r="D1998" s="69">
        <v>12858074801</v>
      </c>
      <c r="E1998" s="9">
        <v>1106</v>
      </c>
      <c r="F1998" s="25">
        <v>42965</v>
      </c>
      <c r="G1998" s="70" t="s">
        <v>377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3206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370</v>
      </c>
      <c r="H1999" s="9"/>
      <c r="I1999" s="8"/>
      <c r="J1999" s="8"/>
      <c r="K1999" s="8"/>
      <c r="L1999" s="9" t="s">
        <v>490</v>
      </c>
      <c r="M1999" s="8"/>
    </row>
    <row r="2000" spans="1:13" x14ac:dyDescent="0.25">
      <c r="A2000" s="71" t="s">
        <v>3207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3208</v>
      </c>
      <c r="B2001" s="67">
        <v>38402878806</v>
      </c>
      <c r="C2001" s="72" t="s">
        <v>3209</v>
      </c>
      <c r="D2001" s="69">
        <v>23700547862</v>
      </c>
      <c r="E2001" s="9">
        <v>262</v>
      </c>
      <c r="F2001" s="25">
        <v>43160</v>
      </c>
      <c r="G2001" s="9" t="s">
        <v>370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3210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3211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3212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3213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3214</v>
      </c>
      <c r="B2006" s="67">
        <v>27023833862</v>
      </c>
      <c r="C2006" s="29" t="s">
        <v>3215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3216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3217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370</v>
      </c>
      <c r="H2008" s="9"/>
      <c r="I2008" s="8"/>
      <c r="J2008" s="8"/>
      <c r="K2008" s="8"/>
      <c r="L2008" s="9" t="s">
        <v>522</v>
      </c>
      <c r="M2008" s="8"/>
    </row>
    <row r="2009" spans="1:13" x14ac:dyDescent="0.25">
      <c r="A2009" s="71" t="s">
        <v>3218</v>
      </c>
      <c r="B2009" s="67">
        <v>38815800344</v>
      </c>
      <c r="C2009" s="72" t="s">
        <v>3219</v>
      </c>
      <c r="D2009" s="69">
        <v>39085252334</v>
      </c>
      <c r="E2009" s="9">
        <v>85</v>
      </c>
      <c r="F2009" s="25">
        <v>43109</v>
      </c>
      <c r="G2009" s="70" t="s">
        <v>370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3220</v>
      </c>
      <c r="B2010" s="67">
        <v>36154299826</v>
      </c>
      <c r="C2010" s="72" t="s">
        <v>3221</v>
      </c>
      <c r="D2010" s="69">
        <v>34489273843</v>
      </c>
      <c r="E2010" s="9">
        <v>1267</v>
      </c>
      <c r="F2010" s="25">
        <v>42998</v>
      </c>
      <c r="G2010" s="70" t="s">
        <v>377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3222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370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3223</v>
      </c>
      <c r="B2012" s="67"/>
      <c r="C2012" s="18" t="s">
        <v>481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3224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3225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370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3226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370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3227</v>
      </c>
      <c r="B2016" s="67">
        <v>64174182434</v>
      </c>
      <c r="C2016" s="72" t="s">
        <v>3228</v>
      </c>
      <c r="D2016" s="69">
        <v>98105183587</v>
      </c>
      <c r="E2016" s="9">
        <v>262</v>
      </c>
      <c r="F2016" s="25">
        <v>43160</v>
      </c>
      <c r="G2016" s="70" t="s">
        <v>370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3229</v>
      </c>
      <c r="B2017" s="67">
        <v>4148505485</v>
      </c>
      <c r="C2017" s="29" t="s">
        <v>3230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3231</v>
      </c>
      <c r="B2018" s="67">
        <v>39364828372</v>
      </c>
      <c r="C2018" s="72" t="s">
        <v>3232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3233</v>
      </c>
      <c r="B2019" s="67">
        <v>82046042468</v>
      </c>
      <c r="C2019" s="72" t="s">
        <v>3234</v>
      </c>
      <c r="D2019" s="69">
        <v>88251098491</v>
      </c>
      <c r="E2019" s="9">
        <v>85</v>
      </c>
      <c r="F2019" s="25">
        <v>43109</v>
      </c>
      <c r="G2019" s="70" t="s">
        <v>370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3235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370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3236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370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3237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370</v>
      </c>
      <c r="H2022" s="9"/>
      <c r="I2022" s="8"/>
      <c r="J2022" s="8"/>
      <c r="K2022" s="8"/>
      <c r="L2022" s="9" t="s">
        <v>605</v>
      </c>
      <c r="M2022" s="8"/>
    </row>
    <row r="2023" spans="1:13" x14ac:dyDescent="0.25">
      <c r="A2023" s="72" t="s">
        <v>3238</v>
      </c>
      <c r="B2023" s="67">
        <v>37806851836</v>
      </c>
      <c r="C2023" s="72" t="s">
        <v>3239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3240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3241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3242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3243</v>
      </c>
      <c r="B2027" s="67">
        <v>27506021811</v>
      </c>
      <c r="C2027" s="72" t="s">
        <v>3244</v>
      </c>
      <c r="D2027" s="69">
        <v>13130281851</v>
      </c>
      <c r="E2027" s="9">
        <v>810</v>
      </c>
      <c r="F2027" s="25">
        <v>42915</v>
      </c>
      <c r="G2027" s="70" t="s">
        <v>370</v>
      </c>
      <c r="H2027" s="9"/>
      <c r="I2027" s="8"/>
      <c r="J2027" s="8"/>
      <c r="K2027" s="8"/>
      <c r="L2027" s="9" t="s">
        <v>490</v>
      </c>
      <c r="M2027" s="8"/>
    </row>
    <row r="2028" spans="1:13" x14ac:dyDescent="0.25">
      <c r="A2028" s="15" t="s">
        <v>3245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370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3246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370</v>
      </c>
      <c r="H2029" s="9"/>
      <c r="I2029" s="8"/>
      <c r="J2029" s="8"/>
      <c r="K2029" s="8"/>
      <c r="L2029" s="9" t="s">
        <v>605</v>
      </c>
      <c r="M2029" s="8"/>
    </row>
    <row r="2030" spans="1:13" x14ac:dyDescent="0.25">
      <c r="A2030" s="15" t="s">
        <v>3247</v>
      </c>
      <c r="B2030" s="67">
        <v>660919346</v>
      </c>
      <c r="C2030" s="72" t="s">
        <v>3248</v>
      </c>
      <c r="D2030" s="69">
        <v>296516384</v>
      </c>
      <c r="E2030" s="9">
        <v>262</v>
      </c>
      <c r="F2030" s="25">
        <v>43160</v>
      </c>
      <c r="G2030" s="70" t="s">
        <v>377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3249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370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3250</v>
      </c>
      <c r="B2032" s="67">
        <v>55075746500</v>
      </c>
      <c r="C2032" s="72" t="s">
        <v>3251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3252</v>
      </c>
      <c r="B2033" s="67">
        <v>34549590807</v>
      </c>
      <c r="C2033" s="72" t="s">
        <v>3253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3254</v>
      </c>
      <c r="B2034" s="67"/>
      <c r="C2034" s="18" t="s">
        <v>481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3255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3256</v>
      </c>
      <c r="B2036" s="67">
        <v>41292199873</v>
      </c>
      <c r="C2036" s="72" t="s">
        <v>3257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3258</v>
      </c>
      <c r="B2037" s="67"/>
      <c r="C2037" s="29" t="s">
        <v>481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3259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3260</v>
      </c>
      <c r="B2039" s="67">
        <v>42318039860</v>
      </c>
      <c r="C2039" s="72" t="s">
        <v>3261</v>
      </c>
      <c r="D2039" s="69">
        <v>23059375801</v>
      </c>
      <c r="E2039" s="9">
        <v>85</v>
      </c>
      <c r="F2039" s="25">
        <v>43109</v>
      </c>
      <c r="G2039" s="70" t="s">
        <v>370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3262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370</v>
      </c>
      <c r="H2040" s="9"/>
      <c r="I2040" s="8"/>
      <c r="J2040" s="8"/>
      <c r="K2040" s="8"/>
      <c r="L2040" s="9" t="s">
        <v>490</v>
      </c>
      <c r="M2040" s="8"/>
    </row>
    <row r="2041" spans="1:13" x14ac:dyDescent="0.25">
      <c r="A2041" s="71" t="s">
        <v>3263</v>
      </c>
      <c r="B2041" s="67">
        <v>2693234573</v>
      </c>
      <c r="C2041" s="71" t="s">
        <v>3264</v>
      </c>
      <c r="D2041" s="69">
        <v>36131987890</v>
      </c>
      <c r="E2041" s="9">
        <v>292</v>
      </c>
      <c r="F2041" s="25">
        <v>43168</v>
      </c>
      <c r="G2041" s="9" t="s">
        <v>370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3265</v>
      </c>
      <c r="B2042" s="67">
        <v>19677621807</v>
      </c>
      <c r="C2042" s="72" t="s">
        <v>3266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3267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370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3268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3269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370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3270</v>
      </c>
      <c r="B2046" s="67">
        <v>22583603825</v>
      </c>
      <c r="C2046" s="72" t="s">
        <v>3271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3272</v>
      </c>
      <c r="B2047" s="67">
        <v>14858077861</v>
      </c>
      <c r="C2047" s="15" t="s">
        <v>3273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3274</v>
      </c>
      <c r="B2048" s="67">
        <v>32291860879</v>
      </c>
      <c r="C2048" s="29" t="s">
        <v>3275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3276</v>
      </c>
      <c r="B2049" s="67">
        <v>76396126320</v>
      </c>
      <c r="C2049" s="72" t="s">
        <v>3277</v>
      </c>
      <c r="D2049" s="69">
        <v>62133390510</v>
      </c>
      <c r="E2049" s="9">
        <v>1262</v>
      </c>
      <c r="F2049" s="25">
        <v>42997</v>
      </c>
      <c r="G2049" s="70" t="s">
        <v>370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3278</v>
      </c>
      <c r="B2050" s="67">
        <v>34303186880</v>
      </c>
      <c r="C2050" s="72" t="s">
        <v>3279</v>
      </c>
      <c r="D2050" s="69">
        <v>39695431852</v>
      </c>
      <c r="E2050" s="9">
        <v>1570</v>
      </c>
      <c r="F2050" s="25">
        <v>43077</v>
      </c>
      <c r="G2050" s="70" t="s">
        <v>370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3280</v>
      </c>
      <c r="B2051" s="67">
        <v>14331980880</v>
      </c>
      <c r="C2051" s="8" t="s">
        <v>3281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3280</v>
      </c>
      <c r="B2052" s="67">
        <v>14331980880</v>
      </c>
      <c r="C2052" s="77" t="s">
        <v>3281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3282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3283</v>
      </c>
      <c r="B2054" s="67"/>
      <c r="C2054" s="29" t="s">
        <v>3284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3285</v>
      </c>
      <c r="B2055" s="67">
        <v>31662836848</v>
      </c>
      <c r="C2055" s="72" t="s">
        <v>3286</v>
      </c>
      <c r="D2055" s="69">
        <v>12871784809</v>
      </c>
      <c r="E2055" s="9">
        <v>1570</v>
      </c>
      <c r="F2055" s="25">
        <v>43077</v>
      </c>
      <c r="G2055" s="70" t="s">
        <v>370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3287</v>
      </c>
      <c r="B2056" s="67">
        <v>39000389372</v>
      </c>
      <c r="C2056" s="72" t="s">
        <v>3288</v>
      </c>
      <c r="D2056" s="69">
        <v>14683732858</v>
      </c>
      <c r="E2056" s="9">
        <v>1417</v>
      </c>
      <c r="F2056" s="25">
        <v>43017</v>
      </c>
      <c r="G2056" s="70" t="s">
        <v>370</v>
      </c>
      <c r="H2056" s="9"/>
      <c r="I2056" s="8"/>
      <c r="J2056" s="8"/>
      <c r="K2056" s="8"/>
      <c r="L2056" s="9" t="s">
        <v>605</v>
      </c>
      <c r="M2056" s="8"/>
    </row>
    <row r="2057" spans="1:13" x14ac:dyDescent="0.25">
      <c r="A2057" s="18" t="s">
        <v>3289</v>
      </c>
      <c r="B2057" s="67">
        <v>10349044856</v>
      </c>
      <c r="C2057" s="18" t="s">
        <v>2560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3290</v>
      </c>
      <c r="B2058" s="67">
        <v>25058845873</v>
      </c>
      <c r="C2058" s="71" t="s">
        <v>3291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3292</v>
      </c>
      <c r="B2059" s="67"/>
      <c r="C2059" s="29" t="s">
        <v>3293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3294</v>
      </c>
      <c r="B2060" s="67">
        <v>5088717431</v>
      </c>
      <c r="C2060" s="72" t="s">
        <v>3295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651</v>
      </c>
      <c r="M2060" s="8"/>
    </row>
    <row r="2061" spans="1:13" x14ac:dyDescent="0.25">
      <c r="A2061" s="13" t="s">
        <v>3296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370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3297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3298</v>
      </c>
      <c r="B2063" s="67">
        <v>33517044881</v>
      </c>
      <c r="C2063" s="72" t="s">
        <v>3299</v>
      </c>
      <c r="D2063" s="69">
        <v>28076571847</v>
      </c>
      <c r="E2063" s="9">
        <v>85</v>
      </c>
      <c r="F2063" s="25">
        <v>43109</v>
      </c>
      <c r="G2063" s="93" t="s">
        <v>377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3300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370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3301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3302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370</v>
      </c>
      <c r="H2066" s="9"/>
      <c r="I2066" s="8"/>
      <c r="J2066" s="8"/>
      <c r="K2066" s="8"/>
      <c r="L2066" s="9" t="s">
        <v>749</v>
      </c>
      <c r="M2066" s="8"/>
    </row>
    <row r="2067" spans="1:13" x14ac:dyDescent="0.25">
      <c r="A2067" s="71" t="s">
        <v>3303</v>
      </c>
      <c r="B2067" s="67">
        <v>16488724843</v>
      </c>
      <c r="C2067" s="73" t="s">
        <v>3304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3305</v>
      </c>
      <c r="B2068" s="67">
        <v>22230898876</v>
      </c>
      <c r="C2068" s="18" t="s">
        <v>481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3306</v>
      </c>
      <c r="B2069" s="67">
        <v>1218219866</v>
      </c>
      <c r="C2069" s="18" t="s">
        <v>481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3307</v>
      </c>
      <c r="B2070" s="67">
        <v>75696312772</v>
      </c>
      <c r="C2070" s="77" t="s">
        <v>3308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3309</v>
      </c>
      <c r="B2071" s="67">
        <v>12772099873</v>
      </c>
      <c r="C2071" s="29" t="s">
        <v>3310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3311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651</v>
      </c>
      <c r="M2072" s="8"/>
    </row>
    <row r="2073" spans="1:13" x14ac:dyDescent="0.25">
      <c r="A2073" s="18" t="s">
        <v>768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768</v>
      </c>
      <c r="B2074" s="67">
        <v>40312801491</v>
      </c>
      <c r="C2074" s="72" t="s">
        <v>3312</v>
      </c>
      <c r="D2074" s="69">
        <v>36270235823</v>
      </c>
      <c r="E2074" s="9">
        <v>810</v>
      </c>
      <c r="F2074" s="25">
        <v>42915</v>
      </c>
      <c r="G2074" s="70" t="s">
        <v>370</v>
      </c>
      <c r="H2074" s="9"/>
      <c r="I2074" s="8"/>
      <c r="J2074" s="8"/>
      <c r="K2074" s="8"/>
      <c r="L2074" s="9" t="s">
        <v>490</v>
      </c>
      <c r="M2074" s="8"/>
    </row>
    <row r="2075" spans="1:13" x14ac:dyDescent="0.25">
      <c r="A2075" s="71" t="s">
        <v>768</v>
      </c>
      <c r="B2075" s="67">
        <v>13016641895</v>
      </c>
      <c r="C2075" s="72" t="s">
        <v>3313</v>
      </c>
      <c r="D2075" s="69">
        <v>2681565731</v>
      </c>
      <c r="E2075" s="9">
        <v>810</v>
      </c>
      <c r="F2075" s="25">
        <v>42915</v>
      </c>
      <c r="G2075" s="70" t="s">
        <v>370</v>
      </c>
      <c r="H2075" s="9"/>
      <c r="I2075" s="8"/>
      <c r="J2075" s="8"/>
      <c r="K2075" s="8"/>
      <c r="L2075" s="9" t="s">
        <v>490</v>
      </c>
      <c r="M2075" s="8"/>
    </row>
    <row r="2076" spans="1:13" x14ac:dyDescent="0.25">
      <c r="A2076" s="71" t="s">
        <v>3314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3315</v>
      </c>
      <c r="B2077" s="67">
        <v>18472653838</v>
      </c>
      <c r="C2077" s="72" t="s">
        <v>3316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3317</v>
      </c>
      <c r="B2078" s="67"/>
      <c r="C2078" s="18" t="s">
        <v>481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3318</v>
      </c>
      <c r="B2079" s="67">
        <v>21531362885</v>
      </c>
      <c r="C2079" s="72" t="s">
        <v>3319</v>
      </c>
      <c r="D2079" s="69">
        <v>27454333850</v>
      </c>
      <c r="E2079" s="9">
        <v>117</v>
      </c>
      <c r="F2079" s="25">
        <v>43117</v>
      </c>
      <c r="G2079" s="70" t="s">
        <v>370</v>
      </c>
      <c r="H2079" s="9"/>
      <c r="I2079" s="8"/>
      <c r="J2079" s="8"/>
      <c r="K2079" s="8"/>
      <c r="L2079" s="9" t="s">
        <v>522</v>
      </c>
      <c r="M2079" s="8"/>
    </row>
    <row r="2080" spans="1:13" x14ac:dyDescent="0.25">
      <c r="A2080" s="13" t="s">
        <v>3318</v>
      </c>
      <c r="B2080" s="67">
        <v>35537854899</v>
      </c>
      <c r="C2080" s="72" t="s">
        <v>3320</v>
      </c>
      <c r="D2080" s="69">
        <v>35365081897</v>
      </c>
      <c r="E2080" s="9">
        <v>1128</v>
      </c>
      <c r="F2080" s="25">
        <v>42972</v>
      </c>
      <c r="G2080" s="70" t="s">
        <v>370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3321</v>
      </c>
      <c r="B2081" s="67"/>
      <c r="C2081" s="29" t="s">
        <v>3322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3323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370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3324</v>
      </c>
      <c r="B2083" s="67">
        <v>35483702840</v>
      </c>
      <c r="C2083" s="72" t="s">
        <v>3325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3326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370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3327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651</v>
      </c>
      <c r="M2085" s="8"/>
    </row>
    <row r="2086" spans="1:13" x14ac:dyDescent="0.25">
      <c r="A2086" s="72" t="s">
        <v>3328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3329</v>
      </c>
      <c r="B2087" s="67">
        <v>3322258440</v>
      </c>
      <c r="C2087" s="18" t="s">
        <v>3330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3331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3332</v>
      </c>
      <c r="B2089" s="67"/>
      <c r="C2089" s="18" t="s">
        <v>481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3333</v>
      </c>
      <c r="B2090" s="67">
        <v>25564758897</v>
      </c>
      <c r="C2090" s="72" t="s">
        <v>3334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3335</v>
      </c>
      <c r="B2091" s="67">
        <v>9722276875</v>
      </c>
      <c r="C2091" s="72" t="s">
        <v>3336</v>
      </c>
      <c r="D2091" s="69">
        <v>7777516825</v>
      </c>
      <c r="E2091" s="9">
        <v>810</v>
      </c>
      <c r="F2091" s="25">
        <v>42915</v>
      </c>
      <c r="G2091" s="70" t="s">
        <v>370</v>
      </c>
      <c r="H2091" s="9"/>
      <c r="I2091" s="8"/>
      <c r="J2091" s="8"/>
      <c r="K2091" s="8"/>
      <c r="L2091" s="9" t="s">
        <v>490</v>
      </c>
      <c r="M2091" s="8"/>
    </row>
    <row r="2092" spans="1:13" x14ac:dyDescent="0.25">
      <c r="A2092" s="71" t="s">
        <v>3337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3338</v>
      </c>
      <c r="B2093" s="67">
        <v>27192176893</v>
      </c>
      <c r="C2093" s="68" t="s">
        <v>3339</v>
      </c>
      <c r="D2093" s="69">
        <v>8367664825</v>
      </c>
      <c r="E2093" s="9">
        <v>608</v>
      </c>
      <c r="F2093" s="25">
        <v>43012</v>
      </c>
      <c r="G2093" s="70" t="s">
        <v>370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3340</v>
      </c>
      <c r="B2094" s="67">
        <v>16514255825</v>
      </c>
      <c r="C2094" s="18" t="s">
        <v>3341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3342</v>
      </c>
      <c r="B2095" s="67">
        <v>4809644324</v>
      </c>
      <c r="C2095" s="72" t="s">
        <v>3343</v>
      </c>
      <c r="D2095" s="69">
        <v>31827963808</v>
      </c>
      <c r="E2095" s="9">
        <v>1214</v>
      </c>
      <c r="F2095" s="25">
        <v>42989</v>
      </c>
      <c r="G2095" s="70" t="s">
        <v>370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3344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370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3345</v>
      </c>
      <c r="B2097" s="67">
        <v>11894918428</v>
      </c>
      <c r="C2097" s="72" t="s">
        <v>3346</v>
      </c>
      <c r="D2097" s="69">
        <v>37623185810</v>
      </c>
      <c r="E2097" s="9">
        <v>810</v>
      </c>
      <c r="F2097" s="25">
        <v>42915</v>
      </c>
      <c r="G2097" s="70" t="s">
        <v>370</v>
      </c>
      <c r="H2097" s="9"/>
      <c r="I2097" s="8"/>
      <c r="J2097" s="8"/>
      <c r="K2097" s="8"/>
      <c r="L2097" s="9" t="s">
        <v>490</v>
      </c>
      <c r="M2097" s="8"/>
    </row>
    <row r="2098" spans="1:13" x14ac:dyDescent="0.25">
      <c r="A2098" s="15" t="s">
        <v>3347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370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3348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3349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651</v>
      </c>
      <c r="M2100" s="8"/>
    </row>
    <row r="2101" spans="1:13" x14ac:dyDescent="0.25">
      <c r="A2101" s="15" t="s">
        <v>3350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3351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370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3352</v>
      </c>
      <c r="B2103" s="67"/>
      <c r="C2103" s="29" t="s">
        <v>481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3353</v>
      </c>
      <c r="B2104" s="67">
        <v>4241745377</v>
      </c>
      <c r="C2104" s="72" t="s">
        <v>3354</v>
      </c>
      <c r="D2104" s="69">
        <v>4417028303</v>
      </c>
      <c r="E2104" s="9">
        <v>85</v>
      </c>
      <c r="F2104" s="25">
        <v>43109</v>
      </c>
      <c r="G2104" s="70" t="s">
        <v>370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3355</v>
      </c>
      <c r="B2105" s="67"/>
      <c r="C2105" s="29" t="s">
        <v>3356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3357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370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3358</v>
      </c>
      <c r="B2107" s="67">
        <v>2182682708</v>
      </c>
      <c r="C2107" s="72" t="s">
        <v>3359</v>
      </c>
      <c r="D2107" s="69">
        <v>1409950727</v>
      </c>
      <c r="E2107" s="9">
        <v>810</v>
      </c>
      <c r="F2107" s="25">
        <v>42915</v>
      </c>
      <c r="G2107" s="70" t="s">
        <v>385</v>
      </c>
      <c r="H2107" s="9"/>
      <c r="I2107" s="8"/>
      <c r="J2107" s="8"/>
      <c r="K2107" s="8"/>
      <c r="L2107" s="9" t="s">
        <v>490</v>
      </c>
      <c r="M2107" s="8"/>
    </row>
    <row r="2108" spans="1:13" x14ac:dyDescent="0.25">
      <c r="A2108" s="71" t="s">
        <v>3360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3361</v>
      </c>
      <c r="B2109" s="67">
        <v>11694151808</v>
      </c>
      <c r="C2109" s="72" t="s">
        <v>3362</v>
      </c>
      <c r="D2109" s="69">
        <v>29721167800</v>
      </c>
      <c r="E2109" s="9">
        <v>485</v>
      </c>
      <c r="F2109" s="25">
        <v>43196</v>
      </c>
      <c r="G2109" s="70" t="s">
        <v>377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3363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370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3364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3365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370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3366</v>
      </c>
      <c r="B2113" s="67">
        <v>24613427843</v>
      </c>
      <c r="C2113" s="72" t="s">
        <v>3367</v>
      </c>
      <c r="D2113" s="69">
        <v>6003706821</v>
      </c>
      <c r="E2113" s="9">
        <v>810</v>
      </c>
      <c r="F2113" s="25">
        <v>42915</v>
      </c>
      <c r="G2113" s="70" t="s">
        <v>370</v>
      </c>
      <c r="H2113" s="76">
        <v>43213</v>
      </c>
      <c r="I2113" s="8"/>
      <c r="J2113" s="8"/>
      <c r="K2113" s="8"/>
      <c r="L2113" s="9" t="s">
        <v>490</v>
      </c>
      <c r="M2113" s="8"/>
    </row>
    <row r="2114" spans="1:13" x14ac:dyDescent="0.25">
      <c r="A2114" s="72" t="s">
        <v>3368</v>
      </c>
      <c r="B2114" s="67">
        <v>61234508400</v>
      </c>
      <c r="C2114" s="72" t="s">
        <v>3369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3370</v>
      </c>
      <c r="B2115" s="67"/>
      <c r="C2115" s="18" t="s">
        <v>481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3371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370</v>
      </c>
      <c r="H2116" s="76">
        <v>43213</v>
      </c>
      <c r="I2116" s="8"/>
      <c r="J2116" s="8"/>
      <c r="K2116" s="8"/>
      <c r="L2116" s="9" t="s">
        <v>490</v>
      </c>
      <c r="M2116" s="8"/>
    </row>
    <row r="2117" spans="1:13" x14ac:dyDescent="0.25">
      <c r="A2117" s="71" t="s">
        <v>3372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385</v>
      </c>
      <c r="H2117" s="76">
        <v>43213</v>
      </c>
      <c r="I2117" s="8"/>
      <c r="J2117" s="8"/>
      <c r="K2117" s="8"/>
      <c r="L2117" s="9" t="s">
        <v>749</v>
      </c>
      <c r="M2117" s="8"/>
    </row>
    <row r="2118" spans="1:13" x14ac:dyDescent="0.25">
      <c r="A2118" s="71" t="s">
        <v>3373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3374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3375</v>
      </c>
      <c r="B2120" s="67">
        <v>3493507364</v>
      </c>
      <c r="C2120" s="72" t="s">
        <v>3376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3377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370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3378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370</v>
      </c>
      <c r="H2122" s="9"/>
      <c r="I2122" s="8"/>
      <c r="J2122" s="8"/>
      <c r="K2122" s="8"/>
      <c r="L2122" s="9" t="s">
        <v>490</v>
      </c>
      <c r="M2122" s="8"/>
    </row>
    <row r="2123" spans="1:13" x14ac:dyDescent="0.25">
      <c r="A2123" s="71" t="s">
        <v>3379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3380</v>
      </c>
      <c r="B2124" s="67">
        <v>31365484858</v>
      </c>
      <c r="C2124" s="71" t="s">
        <v>3381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3382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370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3383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370</v>
      </c>
      <c r="H2126" s="9"/>
      <c r="I2126" s="8"/>
      <c r="J2126" s="8"/>
      <c r="K2126" s="8"/>
      <c r="L2126" s="9" t="s">
        <v>490</v>
      </c>
      <c r="M2126" s="8"/>
    </row>
    <row r="2127" spans="1:13" x14ac:dyDescent="0.25">
      <c r="A2127" s="14" t="s">
        <v>3384</v>
      </c>
      <c r="B2127" s="67">
        <v>69813043504</v>
      </c>
      <c r="C2127" s="72" t="s">
        <v>3385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3386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3387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370</v>
      </c>
      <c r="H2129" s="9"/>
      <c r="I2129" s="8"/>
      <c r="J2129" s="8"/>
      <c r="K2129" s="8"/>
      <c r="L2129" s="9" t="s">
        <v>522</v>
      </c>
      <c r="M2129" s="8"/>
    </row>
    <row r="2130" spans="1:13" x14ac:dyDescent="0.25">
      <c r="A2130" s="18" t="s">
        <v>3388</v>
      </c>
      <c r="B2130" s="67">
        <v>15800175845</v>
      </c>
      <c r="C2130" s="18" t="s">
        <v>3389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3390</v>
      </c>
      <c r="B2131" s="67">
        <v>13018290801</v>
      </c>
      <c r="C2131" s="72" t="s">
        <v>3391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3392</v>
      </c>
      <c r="B2132" s="67">
        <v>61505078318</v>
      </c>
      <c r="C2132" s="18" t="s">
        <v>3393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3394</v>
      </c>
      <c r="B2133" s="67">
        <v>6097323824</v>
      </c>
      <c r="C2133" s="72" t="s">
        <v>3395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3396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370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3397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370</v>
      </c>
      <c r="H2135" s="76">
        <v>43213</v>
      </c>
      <c r="I2135" s="8"/>
      <c r="J2135" s="8"/>
      <c r="K2135" s="8"/>
      <c r="L2135" s="9" t="s">
        <v>490</v>
      </c>
      <c r="M2135" s="8"/>
    </row>
    <row r="2136" spans="1:13" x14ac:dyDescent="0.25">
      <c r="A2136" s="71" t="s">
        <v>3398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370</v>
      </c>
      <c r="H2136" s="76">
        <v>43213</v>
      </c>
      <c r="I2136" s="8"/>
      <c r="J2136" s="8"/>
      <c r="K2136" s="8"/>
      <c r="L2136" s="9" t="s">
        <v>490</v>
      </c>
      <c r="M2136" s="8"/>
    </row>
    <row r="2137" spans="1:13" x14ac:dyDescent="0.25">
      <c r="A2137" s="71" t="s">
        <v>3399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370</v>
      </c>
      <c r="H2137" s="76">
        <v>43213</v>
      </c>
      <c r="I2137" s="8"/>
      <c r="J2137" s="8"/>
      <c r="K2137" s="8"/>
      <c r="L2137" s="9" t="s">
        <v>490</v>
      </c>
      <c r="M2137" s="8"/>
    </row>
    <row r="2138" spans="1:13" x14ac:dyDescent="0.25">
      <c r="A2138" s="71" t="s">
        <v>3400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3401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370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3402</v>
      </c>
      <c r="B2140" s="67">
        <v>33005130819</v>
      </c>
      <c r="C2140" s="72" t="s">
        <v>3403</v>
      </c>
      <c r="D2140" s="69">
        <v>29843431820</v>
      </c>
      <c r="E2140" s="9">
        <v>117</v>
      </c>
      <c r="F2140" s="25">
        <v>43117</v>
      </c>
      <c r="G2140" s="70" t="s">
        <v>370</v>
      </c>
      <c r="H2140" s="76">
        <v>43213</v>
      </c>
      <c r="I2140" s="8"/>
      <c r="J2140" s="8"/>
      <c r="K2140" s="8"/>
      <c r="L2140" s="9" t="s">
        <v>522</v>
      </c>
      <c r="M2140" s="8"/>
    </row>
    <row r="2141" spans="1:13" x14ac:dyDescent="0.25">
      <c r="A2141" s="71" t="s">
        <v>3404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370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3405</v>
      </c>
      <c r="B2142" s="67">
        <v>42840674866</v>
      </c>
      <c r="C2142" s="72" t="s">
        <v>3406</v>
      </c>
      <c r="D2142" s="69">
        <v>33066015866</v>
      </c>
      <c r="E2142" s="9">
        <v>117</v>
      </c>
      <c r="F2142" s="25">
        <v>43117</v>
      </c>
      <c r="G2142" s="70" t="s">
        <v>370</v>
      </c>
      <c r="H2142" s="9"/>
      <c r="I2142" s="8"/>
      <c r="J2142" s="8"/>
      <c r="K2142" s="8"/>
      <c r="L2142" s="9" t="s">
        <v>522</v>
      </c>
      <c r="M2142" s="8"/>
    </row>
    <row r="2143" spans="1:13" x14ac:dyDescent="0.25">
      <c r="A2143" s="71" t="s">
        <v>3407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3408</v>
      </c>
      <c r="B2144" s="67">
        <v>2312065851</v>
      </c>
      <c r="C2144" s="73" t="s">
        <v>3409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3410</v>
      </c>
      <c r="B2145" s="67">
        <v>48549010472</v>
      </c>
      <c r="C2145" s="72" t="s">
        <v>3411</v>
      </c>
      <c r="D2145" s="69">
        <v>7796014830</v>
      </c>
      <c r="E2145" s="9">
        <v>1267</v>
      </c>
      <c r="F2145" s="25">
        <v>42998</v>
      </c>
      <c r="G2145" s="70" t="s">
        <v>370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3412</v>
      </c>
      <c r="B2146" s="67"/>
      <c r="C2146" s="18" t="s">
        <v>481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3412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3413</v>
      </c>
      <c r="B2148" s="67">
        <v>38348922890</v>
      </c>
      <c r="C2148" s="72" t="s">
        <v>3414</v>
      </c>
      <c r="D2148" s="69">
        <v>22580367802</v>
      </c>
      <c r="E2148" s="9">
        <v>810</v>
      </c>
      <c r="F2148" s="25">
        <v>42915</v>
      </c>
      <c r="G2148" s="70" t="s">
        <v>370</v>
      </c>
      <c r="H2148" s="9"/>
      <c r="I2148" s="8"/>
      <c r="J2148" s="8"/>
      <c r="K2148" s="8"/>
      <c r="L2148" s="9" t="s">
        <v>490</v>
      </c>
      <c r="M2148" s="8"/>
    </row>
    <row r="2149" spans="1:13" x14ac:dyDescent="0.25">
      <c r="A2149" s="72" t="s">
        <v>3415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370</v>
      </c>
      <c r="H2149" s="9"/>
      <c r="I2149" s="8"/>
      <c r="J2149" s="8"/>
      <c r="K2149" s="8"/>
      <c r="L2149" s="9" t="s">
        <v>522</v>
      </c>
      <c r="M2149" s="8"/>
    </row>
    <row r="2150" spans="1:13" x14ac:dyDescent="0.25">
      <c r="A2150" s="71" t="s">
        <v>3416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3417</v>
      </c>
      <c r="B2151" s="67">
        <v>36691354800</v>
      </c>
      <c r="C2151" s="72" t="s">
        <v>3418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3419</v>
      </c>
      <c r="B2152" s="67">
        <v>2599679559</v>
      </c>
      <c r="C2152" s="72" t="s">
        <v>3420</v>
      </c>
      <c r="D2152" s="69">
        <v>99002051549</v>
      </c>
      <c r="E2152" s="9">
        <v>1824</v>
      </c>
      <c r="F2152" s="25">
        <v>43091</v>
      </c>
      <c r="G2152" s="70" t="s">
        <v>385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3421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3422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370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3423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370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3424</v>
      </c>
      <c r="B2156" s="67">
        <v>94813078591</v>
      </c>
      <c r="C2156" s="18" t="s">
        <v>3425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3426</v>
      </c>
      <c r="B2157" s="67">
        <v>6522038846</v>
      </c>
      <c r="C2157" s="72" t="s">
        <v>3427</v>
      </c>
      <c r="D2157" s="69">
        <v>390582808</v>
      </c>
      <c r="E2157" s="9">
        <v>292</v>
      </c>
      <c r="F2157" s="25">
        <v>43168</v>
      </c>
      <c r="G2157" s="70" t="s">
        <v>370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3428</v>
      </c>
      <c r="B2158" s="67">
        <v>70986847402</v>
      </c>
      <c r="C2158" s="72" t="s">
        <v>3429</v>
      </c>
      <c r="D2158" s="69">
        <v>39640099899</v>
      </c>
      <c r="E2158" s="9">
        <v>229</v>
      </c>
      <c r="F2158" s="25">
        <v>43151</v>
      </c>
      <c r="G2158" s="70" t="s">
        <v>370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3430</v>
      </c>
      <c r="B2159" s="67">
        <v>37737032878</v>
      </c>
      <c r="C2159" s="72" t="s">
        <v>3431</v>
      </c>
      <c r="D2159" s="69">
        <v>24659778819</v>
      </c>
      <c r="E2159" s="9">
        <v>1417</v>
      </c>
      <c r="F2159" s="25">
        <v>43017</v>
      </c>
      <c r="G2159" s="70" t="s">
        <v>377</v>
      </c>
      <c r="H2159" s="9"/>
      <c r="I2159" s="8"/>
      <c r="J2159" s="8"/>
      <c r="K2159" s="8"/>
      <c r="L2159" s="9" t="s">
        <v>605</v>
      </c>
      <c r="M2159" s="8"/>
    </row>
    <row r="2160" spans="1:13" x14ac:dyDescent="0.25">
      <c r="A2160" s="71" t="s">
        <v>3432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3433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370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3434</v>
      </c>
      <c r="B2162" s="67">
        <v>15716959822</v>
      </c>
      <c r="C2162" s="72" t="s">
        <v>3435</v>
      </c>
      <c r="D2162" s="69">
        <v>10451985877</v>
      </c>
      <c r="E2162" s="9">
        <v>262</v>
      </c>
      <c r="F2162" s="25">
        <v>43160</v>
      </c>
      <c r="G2162" s="70" t="s">
        <v>370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3436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3437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370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3438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370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3439</v>
      </c>
      <c r="B2166" s="67">
        <v>32241408875</v>
      </c>
      <c r="C2166" s="72" t="s">
        <v>3440</v>
      </c>
      <c r="D2166" s="69">
        <v>7164250413</v>
      </c>
      <c r="E2166" s="9">
        <v>1824</v>
      </c>
      <c r="F2166" s="25">
        <v>43091</v>
      </c>
      <c r="G2166" s="70" t="s">
        <v>370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3441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370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3442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370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3443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3444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3445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370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3446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370</v>
      </c>
      <c r="H2172" s="9"/>
      <c r="I2172" s="8"/>
      <c r="J2172" s="8"/>
      <c r="K2172" s="8"/>
      <c r="L2172" s="9" t="s">
        <v>605</v>
      </c>
      <c r="M2172" s="8"/>
    </row>
    <row r="2173" spans="1:13" x14ac:dyDescent="0.25">
      <c r="A2173" s="71" t="s">
        <v>3447</v>
      </c>
      <c r="B2173" s="67">
        <v>8983229870</v>
      </c>
      <c r="C2173" s="72" t="s">
        <v>3448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3449</v>
      </c>
      <c r="B2174" s="67">
        <v>9269199894</v>
      </c>
      <c r="C2174" s="72" t="s">
        <v>3450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3451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370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3452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370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3453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370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3454</v>
      </c>
      <c r="B2178" s="67">
        <v>34641758808</v>
      </c>
      <c r="C2178" s="72" t="s">
        <v>3455</v>
      </c>
      <c r="D2178" s="69">
        <v>30083315802</v>
      </c>
      <c r="E2178" s="9">
        <v>810</v>
      </c>
      <c r="F2178" s="25">
        <v>42915</v>
      </c>
      <c r="G2178" s="70" t="s">
        <v>370</v>
      </c>
      <c r="H2178" s="9"/>
      <c r="I2178" s="8"/>
      <c r="J2178" s="8"/>
      <c r="K2178" s="8"/>
      <c r="L2178" s="9" t="s">
        <v>490</v>
      </c>
      <c r="M2178" s="8"/>
    </row>
    <row r="2179" spans="1:13" x14ac:dyDescent="0.25">
      <c r="A2179" s="71" t="s">
        <v>3456</v>
      </c>
      <c r="B2179" s="67">
        <v>1335459383</v>
      </c>
      <c r="C2179" s="71" t="s">
        <v>3457</v>
      </c>
      <c r="D2179" s="69">
        <v>2369426381</v>
      </c>
      <c r="E2179" s="9">
        <v>292</v>
      </c>
      <c r="F2179" s="25">
        <v>43168</v>
      </c>
      <c r="G2179" s="70" t="s">
        <v>370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3458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370</v>
      </c>
      <c r="H2180" s="9"/>
      <c r="I2180" s="8"/>
      <c r="J2180" s="8"/>
      <c r="K2180" s="8"/>
      <c r="L2180" s="9" t="s">
        <v>522</v>
      </c>
      <c r="M2180" s="8"/>
    </row>
    <row r="2181" spans="1:13" x14ac:dyDescent="0.25">
      <c r="A2181" s="71" t="s">
        <v>3459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370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3460</v>
      </c>
      <c r="B2182" s="67">
        <v>38248770826</v>
      </c>
      <c r="C2182" s="29" t="s">
        <v>3461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3462</v>
      </c>
      <c r="B2183" s="67">
        <v>32857847840</v>
      </c>
      <c r="C2183" s="72" t="s">
        <v>3463</v>
      </c>
      <c r="D2183" s="69">
        <v>33885204886</v>
      </c>
      <c r="E2183" s="9">
        <v>810</v>
      </c>
      <c r="F2183" s="25">
        <v>42915</v>
      </c>
      <c r="G2183" s="70" t="s">
        <v>370</v>
      </c>
      <c r="H2183" s="9"/>
      <c r="I2183" s="8"/>
      <c r="J2183" s="8"/>
      <c r="K2183" s="8"/>
      <c r="L2183" s="9" t="s">
        <v>490</v>
      </c>
      <c r="M2183" s="8"/>
    </row>
    <row r="2184" spans="1:13" x14ac:dyDescent="0.25">
      <c r="A2184" s="14" t="s">
        <v>3464</v>
      </c>
      <c r="B2184" s="67">
        <v>25367069827</v>
      </c>
      <c r="C2184" s="72" t="s">
        <v>3465</v>
      </c>
      <c r="D2184" s="69">
        <v>28922275855</v>
      </c>
      <c r="E2184" s="9">
        <v>262</v>
      </c>
      <c r="F2184" s="25">
        <v>43160</v>
      </c>
      <c r="G2184" s="70" t="s">
        <v>377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3466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370</v>
      </c>
      <c r="H2185" s="9"/>
      <c r="I2185" s="8"/>
      <c r="J2185" s="8"/>
      <c r="K2185" s="8"/>
      <c r="L2185" s="9" t="s">
        <v>522</v>
      </c>
      <c r="M2185" s="8"/>
    </row>
    <row r="2186" spans="1:13" x14ac:dyDescent="0.25">
      <c r="A2186" s="71" t="s">
        <v>3467</v>
      </c>
      <c r="B2186" s="67">
        <v>29652533866</v>
      </c>
      <c r="C2186" s="72" t="s">
        <v>3468</v>
      </c>
      <c r="D2186" s="69">
        <v>21898199892</v>
      </c>
      <c r="E2186" s="9">
        <v>1752</v>
      </c>
      <c r="F2186" s="25">
        <v>43051</v>
      </c>
      <c r="G2186" s="70" t="s">
        <v>370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3469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370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3470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370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3471</v>
      </c>
      <c r="B2189" s="67">
        <v>34777966836</v>
      </c>
      <c r="C2189" s="72" t="s">
        <v>3472</v>
      </c>
      <c r="D2189" s="69">
        <v>33600648870</v>
      </c>
      <c r="E2189" s="9">
        <v>117</v>
      </c>
      <c r="F2189" s="25">
        <v>43117</v>
      </c>
      <c r="G2189" s="70" t="s">
        <v>370</v>
      </c>
      <c r="H2189" s="9"/>
      <c r="I2189" s="8"/>
      <c r="J2189" s="8"/>
      <c r="K2189" s="8"/>
      <c r="L2189" s="9" t="s">
        <v>522</v>
      </c>
      <c r="M2189" s="8"/>
    </row>
    <row r="2190" spans="1:13" x14ac:dyDescent="0.25">
      <c r="A2190" s="29" t="s">
        <v>3473</v>
      </c>
      <c r="B2190" s="67"/>
      <c r="C2190" s="29" t="s">
        <v>3474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3475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370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3476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3477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370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3478</v>
      </c>
      <c r="B2194" s="67">
        <v>27082581840</v>
      </c>
      <c r="C2194" s="77" t="s">
        <v>3479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3480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3481</v>
      </c>
      <c r="B2196" s="67">
        <v>40878539859</v>
      </c>
      <c r="C2196" s="72" t="s">
        <v>3482</v>
      </c>
      <c r="D2196" s="69"/>
      <c r="E2196" s="9">
        <v>1489</v>
      </c>
      <c r="F2196" s="25">
        <v>43038</v>
      </c>
      <c r="G2196" s="70" t="s">
        <v>370</v>
      </c>
      <c r="H2196" s="9"/>
      <c r="I2196" s="8"/>
      <c r="J2196" s="8"/>
      <c r="K2196" s="8"/>
      <c r="L2196" s="9" t="s">
        <v>512</v>
      </c>
      <c r="M2196" s="8"/>
    </row>
    <row r="2197" spans="1:13" x14ac:dyDescent="0.25">
      <c r="A2197" s="71" t="s">
        <v>3483</v>
      </c>
      <c r="B2197" s="67">
        <v>35643661802</v>
      </c>
      <c r="C2197" s="68" t="s">
        <v>3484</v>
      </c>
      <c r="D2197" s="69">
        <v>34613571898</v>
      </c>
      <c r="E2197" s="9">
        <v>1128</v>
      </c>
      <c r="F2197" s="25">
        <v>42972</v>
      </c>
      <c r="G2197" s="70" t="s">
        <v>370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3485</v>
      </c>
      <c r="B2198" s="67">
        <v>89251660549</v>
      </c>
      <c r="C2198" s="18" t="s">
        <v>481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3486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370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3487</v>
      </c>
      <c r="B2200" s="67">
        <v>28280731814</v>
      </c>
      <c r="C2200" s="68" t="s">
        <v>3488</v>
      </c>
      <c r="D2200" s="69">
        <v>36523032884</v>
      </c>
      <c r="E2200" s="9">
        <v>1128</v>
      </c>
      <c r="F2200" s="25">
        <v>42972</v>
      </c>
      <c r="G2200" s="70" t="s">
        <v>370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3489</v>
      </c>
      <c r="B2201" s="67">
        <v>12525223802</v>
      </c>
      <c r="C2201" s="68" t="s">
        <v>3490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3491</v>
      </c>
      <c r="B2202" s="67">
        <v>37014825860</v>
      </c>
      <c r="C2202" s="72" t="s">
        <v>3492</v>
      </c>
      <c r="D2202" s="69">
        <v>38869051870</v>
      </c>
      <c r="E2202" s="9">
        <v>1752</v>
      </c>
      <c r="F2202" s="25">
        <v>43051</v>
      </c>
      <c r="G2202" s="70" t="s">
        <v>370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3493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370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3494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370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3495</v>
      </c>
      <c r="B2205" s="67">
        <v>15095801825</v>
      </c>
      <c r="C2205" s="72" t="s">
        <v>3496</v>
      </c>
      <c r="D2205" s="69">
        <v>16417229831</v>
      </c>
      <c r="E2205" s="9">
        <v>85</v>
      </c>
      <c r="F2205" s="25">
        <v>43109</v>
      </c>
      <c r="G2205" s="70" t="s">
        <v>370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3497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3498</v>
      </c>
      <c r="B2207" s="67">
        <v>58037845249</v>
      </c>
      <c r="C2207" s="72" t="s">
        <v>3499</v>
      </c>
      <c r="D2207" s="69">
        <v>496500333</v>
      </c>
      <c r="E2207" s="9">
        <v>117</v>
      </c>
      <c r="F2207" s="25">
        <v>43117</v>
      </c>
      <c r="G2207" s="70" t="s">
        <v>370</v>
      </c>
      <c r="H2207" s="9"/>
      <c r="I2207" s="8"/>
      <c r="J2207" s="8"/>
      <c r="K2207" s="8"/>
      <c r="L2207" s="9" t="s">
        <v>522</v>
      </c>
      <c r="M2207" s="8"/>
    </row>
    <row r="2208" spans="1:13" x14ac:dyDescent="0.25">
      <c r="A2208" s="84" t="s">
        <v>3500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3501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3502</v>
      </c>
      <c r="B2210" s="67">
        <v>4416847858</v>
      </c>
      <c r="C2210" s="72" t="s">
        <v>3503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3504</v>
      </c>
      <c r="B2211" s="67"/>
      <c r="C2211" s="18" t="s">
        <v>481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3505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370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3506</v>
      </c>
      <c r="B2213" s="67">
        <v>35325197800</v>
      </c>
      <c r="C2213" s="72" t="s">
        <v>3507</v>
      </c>
      <c r="D2213" s="69">
        <v>38159378840</v>
      </c>
      <c r="E2213" s="9">
        <v>810</v>
      </c>
      <c r="F2213" s="25">
        <v>42915</v>
      </c>
      <c r="G2213" s="70" t="s">
        <v>370</v>
      </c>
      <c r="H2213" s="9"/>
      <c r="I2213" s="8"/>
      <c r="J2213" s="8"/>
      <c r="K2213" s="8"/>
      <c r="L2213" s="9" t="s">
        <v>490</v>
      </c>
      <c r="M2213" s="8"/>
    </row>
    <row r="2214" spans="1:13" x14ac:dyDescent="0.25">
      <c r="A2214" s="71" t="s">
        <v>3508</v>
      </c>
      <c r="B2214" s="67">
        <v>37527821884</v>
      </c>
      <c r="C2214" s="72" t="s">
        <v>3509</v>
      </c>
      <c r="D2214" s="69">
        <v>69447810420</v>
      </c>
      <c r="E2214" s="9">
        <v>262</v>
      </c>
      <c r="F2214" s="25">
        <v>43160</v>
      </c>
      <c r="G2214" s="70" t="s">
        <v>370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3510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370</v>
      </c>
      <c r="H2215" s="9"/>
      <c r="I2215" s="8"/>
      <c r="J2215" s="8"/>
      <c r="K2215" s="8"/>
      <c r="L2215" s="9" t="s">
        <v>522</v>
      </c>
      <c r="M2215" s="8"/>
    </row>
    <row r="2216" spans="1:13" x14ac:dyDescent="0.25">
      <c r="A2216" s="15" t="s">
        <v>3511</v>
      </c>
      <c r="B2216" s="67">
        <v>85281050672</v>
      </c>
      <c r="C2216" s="72" t="s">
        <v>3512</v>
      </c>
      <c r="D2216" s="69">
        <v>5490696664</v>
      </c>
      <c r="E2216" s="9">
        <v>229</v>
      </c>
      <c r="F2216" s="25">
        <v>43151</v>
      </c>
      <c r="G2216" s="70" t="s">
        <v>370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3513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370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3514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377</v>
      </c>
      <c r="H2218" s="9"/>
      <c r="I2218" s="8"/>
      <c r="J2218" s="8"/>
      <c r="K2218" s="8"/>
      <c r="L2218" s="9" t="s">
        <v>522</v>
      </c>
      <c r="M2218" s="8"/>
    </row>
    <row r="2219" spans="1:13" x14ac:dyDescent="0.25">
      <c r="A2219" s="71" t="s">
        <v>3515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3516</v>
      </c>
      <c r="B2220" s="67">
        <v>27851461820</v>
      </c>
      <c r="C2220" s="72" t="s">
        <v>3517</v>
      </c>
      <c r="D2220" s="69">
        <v>27264565882</v>
      </c>
      <c r="E2220" s="9">
        <v>117</v>
      </c>
      <c r="F2220" s="25">
        <v>43117</v>
      </c>
      <c r="G2220" s="70" t="s">
        <v>370</v>
      </c>
      <c r="H2220" s="9"/>
      <c r="I2220" s="8"/>
      <c r="J2220" s="8"/>
      <c r="K2220" s="8"/>
      <c r="L2220" s="9" t="s">
        <v>522</v>
      </c>
      <c r="M2220" s="8"/>
    </row>
    <row r="2221" spans="1:13" x14ac:dyDescent="0.25">
      <c r="A2221" s="71" t="s">
        <v>3518</v>
      </c>
      <c r="B2221" s="67">
        <v>32960731832</v>
      </c>
      <c r="C2221" s="77" t="s">
        <v>3519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3520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3521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370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3522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370</v>
      </c>
      <c r="H2224" s="9"/>
      <c r="I2224" s="8"/>
      <c r="J2224" s="8"/>
      <c r="K2224" s="8"/>
      <c r="L2224" s="9" t="s">
        <v>512</v>
      </c>
      <c r="M2224" s="8"/>
    </row>
    <row r="2225" spans="1:13" x14ac:dyDescent="0.25">
      <c r="A2225" s="71" t="s">
        <v>3523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370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3524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370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3525</v>
      </c>
      <c r="B2227" s="67"/>
      <c r="C2227" s="18" t="s">
        <v>481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3526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370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3527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370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3528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3529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370</v>
      </c>
      <c r="H2231" s="9"/>
      <c r="I2231" s="8"/>
      <c r="J2231" s="8"/>
      <c r="K2231" s="8"/>
      <c r="L2231" s="9" t="s">
        <v>522</v>
      </c>
      <c r="M2231" s="8"/>
    </row>
    <row r="2232" spans="1:13" x14ac:dyDescent="0.25">
      <c r="A2232" s="14" t="s">
        <v>3530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3531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370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3532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3533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3534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3535</v>
      </c>
      <c r="B2237" s="67">
        <v>22548549844</v>
      </c>
      <c r="C2237" s="77" t="s">
        <v>3536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3537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370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3538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370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3539</v>
      </c>
      <c r="B2240" s="67">
        <v>27757716888</v>
      </c>
      <c r="C2240" s="77" t="s">
        <v>3540</v>
      </c>
      <c r="D2240" s="69" t="s">
        <v>3541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3542</v>
      </c>
      <c r="B2241" s="67">
        <v>30926413880</v>
      </c>
      <c r="C2241" s="72" t="s">
        <v>3543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651</v>
      </c>
      <c r="M2241" s="8"/>
    </row>
    <row r="2242" spans="1:13" x14ac:dyDescent="0.25">
      <c r="A2242" s="71" t="s">
        <v>3544</v>
      </c>
      <c r="B2242" s="67">
        <v>32954076810</v>
      </c>
      <c r="C2242" s="72" t="s">
        <v>3545</v>
      </c>
      <c r="D2242" s="69">
        <v>82353131468</v>
      </c>
      <c r="E2242" s="9">
        <v>292</v>
      </c>
      <c r="F2242" s="25">
        <v>43168</v>
      </c>
      <c r="G2242" s="70" t="s">
        <v>370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3546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377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3547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370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3548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370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3549</v>
      </c>
      <c r="B2246" s="67">
        <v>23171032805</v>
      </c>
      <c r="C2246" s="72" t="s">
        <v>3550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3551</v>
      </c>
      <c r="B2247" s="67">
        <v>33375182813</v>
      </c>
      <c r="C2247" s="75" t="s">
        <v>3552</v>
      </c>
      <c r="D2247" s="69">
        <v>30178836800</v>
      </c>
      <c r="E2247" s="9">
        <v>1106</v>
      </c>
      <c r="F2247" s="25">
        <v>42965</v>
      </c>
      <c r="G2247" s="70" t="s">
        <v>370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3553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370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3554</v>
      </c>
      <c r="B2249" s="67">
        <v>15712243865</v>
      </c>
      <c r="C2249" s="72" t="s">
        <v>3555</v>
      </c>
      <c r="D2249" s="69">
        <v>501095705</v>
      </c>
      <c r="E2249" s="9">
        <v>1752</v>
      </c>
      <c r="F2249" s="25">
        <v>43051</v>
      </c>
      <c r="G2249" s="70" t="s">
        <v>370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3556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370</v>
      </c>
      <c r="H2250" s="9"/>
      <c r="I2250" s="8"/>
      <c r="J2250" s="8"/>
      <c r="K2250" s="8"/>
      <c r="L2250" s="9" t="s">
        <v>490</v>
      </c>
      <c r="M2250" s="8"/>
    </row>
    <row r="2251" spans="1:13" x14ac:dyDescent="0.25">
      <c r="A2251" s="15" t="s">
        <v>3557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370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3558</v>
      </c>
      <c r="B2252" s="67">
        <v>22403927899</v>
      </c>
      <c r="C2252" s="72" t="s">
        <v>3559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3560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370</v>
      </c>
      <c r="H2253" s="9"/>
      <c r="I2253" s="8"/>
      <c r="J2253" s="8"/>
      <c r="K2253" s="8"/>
      <c r="L2253" s="9" t="s">
        <v>522</v>
      </c>
      <c r="M2253" s="8"/>
    </row>
    <row r="2254" spans="1:13" x14ac:dyDescent="0.25">
      <c r="A2254" s="14" t="s">
        <v>3561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3562</v>
      </c>
      <c r="B2255" s="67">
        <v>32624504800</v>
      </c>
      <c r="C2255" s="72" t="s">
        <v>3563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3564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370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3565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377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3566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3567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370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3568</v>
      </c>
      <c r="B2260" s="67">
        <v>14688456832</v>
      </c>
      <c r="C2260" s="72" t="s">
        <v>3569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3570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370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3571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370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3572</v>
      </c>
      <c r="B2263" s="67">
        <v>38726646897</v>
      </c>
      <c r="C2263" s="18" t="s">
        <v>3573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3574</v>
      </c>
      <c r="B2264" s="67">
        <v>45171952876</v>
      </c>
      <c r="C2264" s="29" t="s">
        <v>3575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3576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370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3577</v>
      </c>
      <c r="B2266" s="67">
        <v>36695082871</v>
      </c>
      <c r="C2266" s="72" t="s">
        <v>3578</v>
      </c>
      <c r="D2266" s="69">
        <v>36736721857</v>
      </c>
      <c r="E2266" s="9">
        <v>1241</v>
      </c>
      <c r="F2266" s="25">
        <v>42992</v>
      </c>
      <c r="G2266" s="70" t="s">
        <v>370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3579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3580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3581</v>
      </c>
      <c r="B2269" s="67">
        <v>42141950864</v>
      </c>
      <c r="C2269" s="72" t="s">
        <v>3582</v>
      </c>
      <c r="D2269" s="69"/>
      <c r="E2269" s="9">
        <v>1214</v>
      </c>
      <c r="F2269" s="25">
        <v>42989</v>
      </c>
      <c r="G2269" s="70" t="s">
        <v>370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3583</v>
      </c>
      <c r="B2270" s="67">
        <v>47270275858</v>
      </c>
      <c r="C2270" s="72" t="s">
        <v>3584</v>
      </c>
      <c r="D2270" s="69">
        <v>34861975840</v>
      </c>
      <c r="E2270" s="9">
        <v>1824</v>
      </c>
      <c r="F2270" s="25">
        <v>43091</v>
      </c>
      <c r="G2270" s="70" t="s">
        <v>370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3585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370</v>
      </c>
      <c r="H2271" s="9"/>
      <c r="I2271" s="8"/>
      <c r="J2271" s="8"/>
      <c r="K2271" s="8"/>
      <c r="L2271" s="9" t="s">
        <v>522</v>
      </c>
      <c r="M2271" s="8"/>
    </row>
    <row r="2272" spans="1:13" x14ac:dyDescent="0.25">
      <c r="A2272" s="29" t="s">
        <v>3586</v>
      </c>
      <c r="B2272" s="67">
        <v>22899917838</v>
      </c>
      <c r="C2272" s="18" t="s">
        <v>481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3587</v>
      </c>
      <c r="B2273" s="67"/>
      <c r="C2273" s="29" t="s">
        <v>481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3588</v>
      </c>
      <c r="B2274" s="67">
        <v>45477385804</v>
      </c>
      <c r="C2274" s="72" t="s">
        <v>3589</v>
      </c>
      <c r="D2274" s="69">
        <v>40972166866</v>
      </c>
      <c r="E2274" s="9">
        <v>1417</v>
      </c>
      <c r="F2274" s="25">
        <v>43017</v>
      </c>
      <c r="G2274" s="70" t="s">
        <v>370</v>
      </c>
      <c r="H2274" s="9"/>
      <c r="I2274" s="8"/>
      <c r="J2274" s="8"/>
      <c r="K2274" s="8"/>
      <c r="L2274" s="9" t="s">
        <v>605</v>
      </c>
      <c r="M2274" s="8"/>
    </row>
    <row r="2275" spans="1:13" x14ac:dyDescent="0.25">
      <c r="A2275" s="71" t="s">
        <v>3590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370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3591</v>
      </c>
      <c r="B2276" s="67"/>
      <c r="C2276" s="29" t="s">
        <v>3592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3593</v>
      </c>
      <c r="B2277" s="67">
        <v>8990461855</v>
      </c>
      <c r="C2277" s="15" t="s">
        <v>3432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3594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3595</v>
      </c>
      <c r="B2279" s="67"/>
      <c r="C2279" s="29" t="s">
        <v>3596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3597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370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3598</v>
      </c>
      <c r="B2281" s="67">
        <v>38917984827</v>
      </c>
      <c r="C2281" s="72" t="s">
        <v>3599</v>
      </c>
      <c r="D2281" s="69">
        <v>42231603896</v>
      </c>
      <c r="E2281" s="9">
        <v>229</v>
      </c>
      <c r="F2281" s="25">
        <v>43151</v>
      </c>
      <c r="G2281" s="70" t="s">
        <v>370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3600</v>
      </c>
      <c r="B2282" s="67">
        <v>37870673889</v>
      </c>
      <c r="C2282" s="72" t="s">
        <v>3601</v>
      </c>
      <c r="D2282" s="69">
        <v>2786569516</v>
      </c>
      <c r="E2282" s="9">
        <v>262</v>
      </c>
      <c r="F2282" s="25">
        <v>43160</v>
      </c>
      <c r="G2282" s="70" t="s">
        <v>370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3602</v>
      </c>
      <c r="B2283" s="67">
        <v>10441616801</v>
      </c>
      <c r="C2283" s="72" t="s">
        <v>3603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3604</v>
      </c>
      <c r="B2284" s="67">
        <v>11702039811</v>
      </c>
      <c r="C2284" s="32" t="s">
        <v>3605</v>
      </c>
      <c r="D2284" s="69">
        <v>14689396884</v>
      </c>
      <c r="E2284" s="9">
        <v>1350</v>
      </c>
      <c r="F2284" s="25">
        <v>43006</v>
      </c>
      <c r="G2284" s="70" t="s">
        <v>370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3606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370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3607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3608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3609</v>
      </c>
      <c r="B2288" s="67">
        <v>46959766842</v>
      </c>
      <c r="C2288" s="72" t="s">
        <v>3610</v>
      </c>
      <c r="D2288" s="69">
        <v>40096022876</v>
      </c>
      <c r="E2288" s="9">
        <v>1350</v>
      </c>
      <c r="F2288" s="25">
        <v>43006</v>
      </c>
      <c r="G2288" s="70" t="s">
        <v>370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3611</v>
      </c>
      <c r="B2289" s="67">
        <v>15147799869</v>
      </c>
      <c r="C2289" s="72" t="s">
        <v>3612</v>
      </c>
      <c r="D2289" s="69">
        <v>18304595893</v>
      </c>
      <c r="E2289" s="9">
        <v>1824</v>
      </c>
      <c r="F2289" s="25">
        <v>43091</v>
      </c>
      <c r="G2289" s="70" t="s">
        <v>370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3613</v>
      </c>
      <c r="B2290" s="67">
        <v>29012884802</v>
      </c>
      <c r="C2290" s="72" t="s">
        <v>3614</v>
      </c>
      <c r="D2290" s="69">
        <v>16761377854</v>
      </c>
      <c r="E2290" s="9">
        <v>85</v>
      </c>
      <c r="F2290" s="25">
        <v>43109</v>
      </c>
      <c r="G2290" s="70" t="s">
        <v>370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3615</v>
      </c>
      <c r="B2291" s="67">
        <v>13009518854</v>
      </c>
      <c r="C2291" s="72" t="s">
        <v>3616</v>
      </c>
      <c r="D2291" s="69">
        <v>59636467749</v>
      </c>
      <c r="E2291" s="9">
        <v>1267</v>
      </c>
      <c r="F2291" s="25">
        <v>42998</v>
      </c>
      <c r="G2291" s="70" t="s">
        <v>385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3617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3618</v>
      </c>
      <c r="B2293" s="67">
        <v>38605259809</v>
      </c>
      <c r="C2293" s="72" t="s">
        <v>3619</v>
      </c>
      <c r="D2293" s="69">
        <v>1090388519</v>
      </c>
      <c r="E2293" s="9">
        <v>117</v>
      </c>
      <c r="F2293" s="25">
        <v>43117</v>
      </c>
      <c r="G2293" s="70" t="s">
        <v>370</v>
      </c>
      <c r="H2293" s="9"/>
      <c r="I2293" s="8"/>
      <c r="J2293" s="8"/>
      <c r="K2293" s="8"/>
      <c r="L2293" s="9" t="s">
        <v>522</v>
      </c>
      <c r="M2293" s="8"/>
    </row>
    <row r="2294" spans="1:13" x14ac:dyDescent="0.25">
      <c r="A2294" s="15" t="s">
        <v>3620</v>
      </c>
      <c r="B2294" s="67">
        <v>9333321810</v>
      </c>
      <c r="C2294" s="72" t="s">
        <v>3621</v>
      </c>
      <c r="D2294" s="69">
        <v>16122645818</v>
      </c>
      <c r="E2294" s="9">
        <v>117</v>
      </c>
      <c r="F2294" s="25">
        <v>43117</v>
      </c>
      <c r="G2294" s="70" t="s">
        <v>370</v>
      </c>
      <c r="H2294" s="9"/>
      <c r="I2294" s="8"/>
      <c r="J2294" s="8"/>
      <c r="K2294" s="8"/>
      <c r="L2294" s="9" t="s">
        <v>522</v>
      </c>
      <c r="M2294" s="8"/>
    </row>
    <row r="2295" spans="1:13" x14ac:dyDescent="0.25">
      <c r="A2295" s="71" t="s">
        <v>3622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370</v>
      </c>
      <c r="H2295" s="9"/>
      <c r="I2295" s="8"/>
      <c r="J2295" s="8"/>
      <c r="K2295" s="8"/>
      <c r="L2295" s="9" t="s">
        <v>490</v>
      </c>
      <c r="M2295" s="8"/>
    </row>
    <row r="2296" spans="1:13" x14ac:dyDescent="0.25">
      <c r="A2296" s="71" t="s">
        <v>3623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3624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3625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3626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3627</v>
      </c>
      <c r="B2300" s="67">
        <v>35810601839</v>
      </c>
      <c r="C2300" s="18" t="s">
        <v>3628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3629</v>
      </c>
      <c r="B2301" s="67">
        <v>32203433841</v>
      </c>
      <c r="C2301" s="72" t="s">
        <v>3630</v>
      </c>
      <c r="D2301" s="69">
        <v>36256617890</v>
      </c>
      <c r="E2301" s="9">
        <v>810</v>
      </c>
      <c r="F2301" s="25">
        <v>42915</v>
      </c>
      <c r="G2301" s="70" t="s">
        <v>370</v>
      </c>
      <c r="H2301" s="9"/>
      <c r="I2301" s="8"/>
      <c r="J2301" s="8"/>
      <c r="K2301" s="8"/>
      <c r="L2301" s="9" t="s">
        <v>490</v>
      </c>
      <c r="M2301" s="8"/>
    </row>
    <row r="2302" spans="1:13" x14ac:dyDescent="0.25">
      <c r="A2302" s="72" t="s">
        <v>3631</v>
      </c>
      <c r="B2302" s="67">
        <v>29816586894</v>
      </c>
      <c r="C2302" s="72" t="s">
        <v>3632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3633</v>
      </c>
      <c r="B2303" s="67">
        <v>3087797545</v>
      </c>
      <c r="C2303" s="71" t="s">
        <v>3634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3635</v>
      </c>
      <c r="B2304" s="67">
        <v>44135110851</v>
      </c>
      <c r="C2304" s="18" t="s">
        <v>3636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3637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370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3638</v>
      </c>
      <c r="B2306" s="67">
        <v>5416929847</v>
      </c>
      <c r="C2306" s="72" t="s">
        <v>3639</v>
      </c>
      <c r="D2306" s="69">
        <v>69220670887</v>
      </c>
      <c r="E2306" s="9">
        <v>292</v>
      </c>
      <c r="F2306" s="25">
        <v>43168</v>
      </c>
      <c r="G2306" s="70" t="s">
        <v>377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3640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370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3641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3642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370</v>
      </c>
      <c r="H2309" s="70"/>
      <c r="I2309" s="8"/>
      <c r="J2309" s="8"/>
      <c r="K2309" s="8"/>
      <c r="L2309" s="9" t="s">
        <v>605</v>
      </c>
      <c r="M2309" s="8"/>
    </row>
    <row r="2310" spans="1:13" x14ac:dyDescent="0.25">
      <c r="A2310" s="71" t="s">
        <v>3643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370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3644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3645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370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3646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370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3647</v>
      </c>
      <c r="B2314" s="67">
        <v>60363616373</v>
      </c>
      <c r="C2314" s="72" t="s">
        <v>3648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3649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370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3650</v>
      </c>
      <c r="B2316" s="67">
        <v>6780677833</v>
      </c>
      <c r="C2316" s="29" t="s">
        <v>3651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3652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3653</v>
      </c>
      <c r="B2318" s="67"/>
      <c r="C2318" s="29" t="s">
        <v>481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3654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3655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3656</v>
      </c>
      <c r="B2321" s="67"/>
      <c r="C2321" s="18" t="s">
        <v>3657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3658</v>
      </c>
      <c r="B2322" s="67">
        <v>47104776800</v>
      </c>
      <c r="C2322" s="72" t="s">
        <v>3659</v>
      </c>
      <c r="D2322" s="69">
        <v>29524413833</v>
      </c>
      <c r="E2322" s="9">
        <v>117</v>
      </c>
      <c r="F2322" s="25">
        <v>43117</v>
      </c>
      <c r="G2322" s="70" t="s">
        <v>370</v>
      </c>
      <c r="H2322" s="70"/>
      <c r="I2322" s="8"/>
      <c r="J2322" s="8"/>
      <c r="K2322" s="8"/>
      <c r="L2322" s="9" t="s">
        <v>522</v>
      </c>
      <c r="M2322" s="8"/>
    </row>
    <row r="2323" spans="1:13" x14ac:dyDescent="0.25">
      <c r="A2323" s="71" t="s">
        <v>3660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370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3661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370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3662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3663</v>
      </c>
      <c r="B2326" s="67"/>
      <c r="C2326" s="29" t="s">
        <v>3664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3665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370</v>
      </c>
      <c r="H2327" s="9"/>
      <c r="I2327" s="8"/>
      <c r="J2327" s="8"/>
      <c r="K2327" s="8"/>
      <c r="L2327" s="9" t="s">
        <v>522</v>
      </c>
      <c r="M2327" s="8"/>
    </row>
    <row r="2328" spans="1:13" x14ac:dyDescent="0.25">
      <c r="A2328" s="71" t="s">
        <v>3666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3667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3668</v>
      </c>
      <c r="B2330" s="67">
        <v>44920823878</v>
      </c>
      <c r="C2330" s="72" t="s">
        <v>3669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3670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3671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3672</v>
      </c>
      <c r="B2333" s="67">
        <v>8665698809</v>
      </c>
      <c r="C2333" s="72" t="s">
        <v>3673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3674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370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3675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3676</v>
      </c>
      <c r="B2336" s="67">
        <v>37383675860</v>
      </c>
      <c r="C2336" s="72" t="s">
        <v>3677</v>
      </c>
      <c r="D2336" s="69">
        <v>37457320814</v>
      </c>
      <c r="E2336" s="9">
        <v>1824</v>
      </c>
      <c r="F2336" s="25">
        <v>43091</v>
      </c>
      <c r="G2336" s="70" t="s">
        <v>370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3678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370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3679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370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3680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3681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3682</v>
      </c>
      <c r="B2341" s="67">
        <v>36394093882</v>
      </c>
      <c r="C2341" s="72" t="s">
        <v>3683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3684</v>
      </c>
      <c r="B2342" s="80">
        <v>38327155687</v>
      </c>
      <c r="C2342" s="81" t="s">
        <v>3685</v>
      </c>
      <c r="D2342" s="82">
        <v>20534089879</v>
      </c>
      <c r="E2342" s="47">
        <v>1824</v>
      </c>
      <c r="F2342" s="48">
        <v>43091</v>
      </c>
      <c r="G2342" s="83" t="s">
        <v>385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3686</v>
      </c>
      <c r="B2343" s="67">
        <v>36553625875</v>
      </c>
      <c r="C2343" s="72" t="s">
        <v>3687</v>
      </c>
      <c r="D2343" s="69">
        <v>34615418850</v>
      </c>
      <c r="E2343" s="9">
        <v>608</v>
      </c>
      <c r="F2343" s="25">
        <v>43012</v>
      </c>
      <c r="G2343" s="70" t="s">
        <v>370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3688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370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3689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370</v>
      </c>
      <c r="H2345" s="9"/>
      <c r="I2345" s="8"/>
      <c r="J2345" s="8"/>
      <c r="K2345" s="8"/>
      <c r="L2345" s="9" t="s">
        <v>490</v>
      </c>
      <c r="M2345" s="8"/>
    </row>
    <row r="2346" spans="1:13" x14ac:dyDescent="0.25">
      <c r="A2346" s="13" t="s">
        <v>3690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370</v>
      </c>
      <c r="H2346" s="9"/>
      <c r="I2346" s="8"/>
      <c r="J2346" s="8"/>
      <c r="K2346" s="8"/>
      <c r="L2346" s="9" t="s">
        <v>512</v>
      </c>
      <c r="M2346" s="8"/>
    </row>
    <row r="2347" spans="1:13" x14ac:dyDescent="0.25">
      <c r="A2347" s="71" t="s">
        <v>3691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3692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370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3693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370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3694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370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3695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370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3696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3697</v>
      </c>
      <c r="B2353" s="67">
        <v>2267811863</v>
      </c>
      <c r="C2353" s="68" t="s">
        <v>3698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3699</v>
      </c>
      <c r="B2354" s="67">
        <v>4640546726</v>
      </c>
      <c r="C2354" s="72" t="s">
        <v>3700</v>
      </c>
      <c r="D2354" s="69">
        <v>72849215791</v>
      </c>
      <c r="E2354" s="9">
        <v>262</v>
      </c>
      <c r="F2354" s="25">
        <v>43160</v>
      </c>
      <c r="G2354" s="70" t="s">
        <v>370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3701</v>
      </c>
      <c r="B2355" s="67">
        <v>11862093806</v>
      </c>
      <c r="C2355" s="18" t="s">
        <v>481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3702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370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3703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370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3704</v>
      </c>
      <c r="B2358" s="67">
        <v>12983214842</v>
      </c>
      <c r="C2358" s="72" t="s">
        <v>3705</v>
      </c>
      <c r="D2358" s="69">
        <v>33776403802</v>
      </c>
      <c r="E2358" s="9">
        <v>85</v>
      </c>
      <c r="F2358" s="25">
        <v>43109</v>
      </c>
      <c r="G2358" s="70" t="s">
        <v>370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3706</v>
      </c>
      <c r="B2359" s="67">
        <v>3343521507</v>
      </c>
      <c r="C2359" s="15" t="s">
        <v>3707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3708</v>
      </c>
      <c r="B2360" s="67">
        <v>41812689500</v>
      </c>
      <c r="C2360" s="72" t="s">
        <v>3709</v>
      </c>
      <c r="D2360" s="69">
        <v>14037047837</v>
      </c>
      <c r="E2360" s="9">
        <v>1106</v>
      </c>
      <c r="F2360" s="25">
        <v>42965</v>
      </c>
      <c r="G2360" s="70" t="s">
        <v>370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3710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3711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370</v>
      </c>
      <c r="H2362" s="9"/>
      <c r="I2362" s="8"/>
      <c r="J2362" s="8"/>
      <c r="K2362" s="8"/>
      <c r="L2362" s="9" t="s">
        <v>490</v>
      </c>
      <c r="M2362" s="8"/>
    </row>
    <row r="2363" spans="1:13" x14ac:dyDescent="0.25">
      <c r="A2363" s="71" t="s">
        <v>3712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3713</v>
      </c>
      <c r="B2364" s="67">
        <v>45479391879</v>
      </c>
      <c r="C2364" s="30" t="s">
        <v>3714</v>
      </c>
      <c r="D2364" s="67">
        <v>35624185820</v>
      </c>
      <c r="E2364" s="9">
        <v>1350</v>
      </c>
      <c r="F2364" s="25">
        <v>43006</v>
      </c>
      <c r="G2364" s="70" t="s">
        <v>370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3715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385</v>
      </c>
      <c r="H2365" s="9"/>
      <c r="I2365" s="8"/>
      <c r="J2365" s="8"/>
      <c r="K2365" s="8"/>
      <c r="L2365" s="9" t="s">
        <v>853</v>
      </c>
      <c r="M2365" s="8"/>
    </row>
    <row r="2366" spans="1:13" x14ac:dyDescent="0.25">
      <c r="A2366" s="15" t="s">
        <v>3716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370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3717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3718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3719</v>
      </c>
      <c r="B2369" s="67">
        <v>36159577840</v>
      </c>
      <c r="C2369" s="72" t="s">
        <v>3720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3721</v>
      </c>
      <c r="B2370" s="67">
        <v>39308828842</v>
      </c>
      <c r="C2370" s="72" t="s">
        <v>3722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3723</v>
      </c>
      <c r="B2371" s="67">
        <v>6619801897</v>
      </c>
      <c r="C2371" s="29" t="s">
        <v>3724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3725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3726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370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3727</v>
      </c>
      <c r="B2374" s="67">
        <v>36138056850</v>
      </c>
      <c r="C2374" s="72" t="s">
        <v>3728</v>
      </c>
      <c r="D2374" s="69">
        <v>56721897504</v>
      </c>
      <c r="E2374" s="9">
        <v>262</v>
      </c>
      <c r="F2374" s="25">
        <v>43160</v>
      </c>
      <c r="G2374" s="70" t="s">
        <v>370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3729</v>
      </c>
      <c r="B2375" s="67">
        <v>22365509878</v>
      </c>
      <c r="C2375" s="72" t="s">
        <v>3730</v>
      </c>
      <c r="D2375" s="69">
        <v>9353681839</v>
      </c>
      <c r="E2375" s="9">
        <v>810</v>
      </c>
      <c r="F2375" s="25">
        <v>42915</v>
      </c>
      <c r="G2375" s="70" t="s">
        <v>370</v>
      </c>
      <c r="H2375" s="9"/>
      <c r="I2375" s="8"/>
      <c r="J2375" s="8"/>
      <c r="K2375" s="8"/>
      <c r="L2375" s="9" t="s">
        <v>490</v>
      </c>
      <c r="M2375" s="8"/>
    </row>
    <row r="2376" spans="1:13" x14ac:dyDescent="0.25">
      <c r="A2376" s="72" t="s">
        <v>3731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3732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370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3733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3734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370</v>
      </c>
      <c r="H2379" s="9"/>
      <c r="I2379" s="8"/>
      <c r="J2379" s="8"/>
      <c r="K2379" s="8"/>
      <c r="L2379" s="9" t="s">
        <v>749</v>
      </c>
      <c r="M2379" s="8"/>
    </row>
    <row r="2380" spans="1:13" x14ac:dyDescent="0.25">
      <c r="A2380" s="71" t="s">
        <v>3735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370</v>
      </c>
      <c r="H2380" s="9"/>
      <c r="I2380" s="8"/>
      <c r="J2380" s="8"/>
      <c r="K2380" s="8"/>
      <c r="L2380" s="9" t="s">
        <v>522</v>
      </c>
      <c r="M2380" s="8"/>
    </row>
    <row r="2381" spans="1:13" x14ac:dyDescent="0.25">
      <c r="A2381" s="71" t="s">
        <v>3736</v>
      </c>
      <c r="B2381" s="67">
        <v>40878398856</v>
      </c>
      <c r="C2381" s="72" t="s">
        <v>3737</v>
      </c>
      <c r="D2381" s="69">
        <v>73226718568</v>
      </c>
      <c r="E2381" s="9">
        <v>262</v>
      </c>
      <c r="F2381" s="25">
        <v>43160</v>
      </c>
      <c r="G2381" s="70" t="s">
        <v>370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3738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370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3739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370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3740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370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3741</v>
      </c>
      <c r="B2385" s="67">
        <v>33475393387</v>
      </c>
      <c r="C2385" s="72" t="s">
        <v>3742</v>
      </c>
      <c r="D2385" s="69">
        <v>21580260306</v>
      </c>
      <c r="E2385" s="9">
        <v>292</v>
      </c>
      <c r="F2385" s="25">
        <v>43168</v>
      </c>
      <c r="G2385" s="70" t="s">
        <v>370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3743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3744</v>
      </c>
      <c r="B2387" s="67">
        <v>15114386816</v>
      </c>
      <c r="C2387" s="29" t="s">
        <v>3745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3746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370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3747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370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3748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3749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3750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3751</v>
      </c>
      <c r="B2393" s="67">
        <v>38754982839</v>
      </c>
      <c r="C2393" s="72" t="s">
        <v>3752</v>
      </c>
      <c r="D2393" s="69">
        <v>34941494881</v>
      </c>
      <c r="E2393" s="9">
        <v>85</v>
      </c>
      <c r="F2393" s="25">
        <v>43109</v>
      </c>
      <c r="G2393" s="70" t="s">
        <v>385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3753</v>
      </c>
      <c r="B2394" s="67">
        <v>33401168819</v>
      </c>
      <c r="C2394" s="72" t="s">
        <v>3754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3755</v>
      </c>
      <c r="B2395" s="67">
        <v>42116294843</v>
      </c>
      <c r="C2395" s="72" t="s">
        <v>3756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3757</v>
      </c>
      <c r="B2396" s="67">
        <v>12648968679</v>
      </c>
      <c r="C2396" s="72" t="s">
        <v>3758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3759</v>
      </c>
      <c r="B2397" s="67">
        <v>34361698899</v>
      </c>
      <c r="C2397" s="72" t="s">
        <v>3760</v>
      </c>
      <c r="D2397" s="69">
        <v>21266025839</v>
      </c>
      <c r="E2397" s="9">
        <v>1489</v>
      </c>
      <c r="F2397" s="25">
        <v>43038</v>
      </c>
      <c r="G2397" s="70" t="s">
        <v>370</v>
      </c>
      <c r="H2397" s="9"/>
      <c r="I2397" s="8"/>
      <c r="J2397" s="8"/>
      <c r="K2397" s="8"/>
      <c r="L2397" s="9" t="s">
        <v>512</v>
      </c>
      <c r="M2397" s="8"/>
    </row>
    <row r="2398" spans="1:13" x14ac:dyDescent="0.25">
      <c r="A2398" s="71" t="s">
        <v>3761</v>
      </c>
      <c r="B2398" s="67">
        <v>12835905812</v>
      </c>
      <c r="C2398" s="72" t="s">
        <v>3762</v>
      </c>
      <c r="D2398" s="69">
        <v>26821342890</v>
      </c>
      <c r="E2398" s="9">
        <v>262</v>
      </c>
      <c r="F2398" s="25">
        <v>43160</v>
      </c>
      <c r="G2398" s="70" t="s">
        <v>377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3763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370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3764</v>
      </c>
      <c r="B2400" s="67">
        <v>22713517826</v>
      </c>
      <c r="C2400" s="72" t="s">
        <v>3765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3766</v>
      </c>
      <c r="B2401" s="67">
        <v>28467390808</v>
      </c>
      <c r="C2401" s="72" t="s">
        <v>3767</v>
      </c>
      <c r="D2401" s="69">
        <v>90847547</v>
      </c>
      <c r="E2401" s="9">
        <v>810</v>
      </c>
      <c r="F2401" s="25">
        <v>42915</v>
      </c>
      <c r="G2401" s="70" t="s">
        <v>370</v>
      </c>
      <c r="H2401" s="9"/>
      <c r="I2401" s="8"/>
      <c r="J2401" s="8"/>
      <c r="K2401" s="8"/>
      <c r="L2401" s="9" t="s">
        <v>490</v>
      </c>
      <c r="M2401" s="8"/>
    </row>
    <row r="2402" spans="1:13" x14ac:dyDescent="0.25">
      <c r="A2402" s="71" t="s">
        <v>3768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370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3769</v>
      </c>
      <c r="B2403" s="67">
        <v>32033541878</v>
      </c>
      <c r="C2403" s="72" t="s">
        <v>3770</v>
      </c>
      <c r="D2403" s="69">
        <v>19674006877</v>
      </c>
      <c r="E2403" s="9">
        <v>1752</v>
      </c>
      <c r="F2403" s="25">
        <v>43051</v>
      </c>
      <c r="G2403" s="70" t="s">
        <v>370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3771</v>
      </c>
      <c r="B2404" s="67">
        <v>23241720896</v>
      </c>
      <c r="C2404" s="18" t="s">
        <v>3772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3773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3774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370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3775</v>
      </c>
      <c r="B2407" s="67">
        <v>1889333360</v>
      </c>
      <c r="C2407" s="72" t="s">
        <v>3776</v>
      </c>
      <c r="D2407" s="69">
        <v>580003302</v>
      </c>
      <c r="E2407" s="9">
        <v>1241</v>
      </c>
      <c r="F2407" s="25">
        <v>42992</v>
      </c>
      <c r="G2407" s="70" t="s">
        <v>370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3777</v>
      </c>
      <c r="B2408" s="67">
        <v>40321655800</v>
      </c>
      <c r="C2408" s="72" t="s">
        <v>3778</v>
      </c>
      <c r="D2408" s="69">
        <v>37378835803</v>
      </c>
      <c r="E2408" s="9">
        <v>810</v>
      </c>
      <c r="F2408" s="25">
        <v>42915</v>
      </c>
      <c r="G2408" s="70" t="s">
        <v>370</v>
      </c>
      <c r="H2408" s="9"/>
      <c r="I2408" s="8"/>
      <c r="J2408" s="8"/>
      <c r="K2408" s="8"/>
      <c r="L2408" s="9" t="s">
        <v>490</v>
      </c>
      <c r="M2408" s="8"/>
    </row>
    <row r="2409" spans="1:13" x14ac:dyDescent="0.25">
      <c r="A2409" s="14" t="s">
        <v>3779</v>
      </c>
      <c r="B2409" s="67">
        <v>5117256557</v>
      </c>
      <c r="C2409" s="72" t="s">
        <v>3780</v>
      </c>
      <c r="D2409" s="69">
        <v>5063737544</v>
      </c>
      <c r="E2409" s="9">
        <v>262</v>
      </c>
      <c r="F2409" s="25">
        <v>43160</v>
      </c>
      <c r="G2409" s="70" t="s">
        <v>377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3781</v>
      </c>
      <c r="B2410" s="67">
        <v>21863985832</v>
      </c>
      <c r="C2410" s="72" t="s">
        <v>3782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3783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370</v>
      </c>
      <c r="H2411" s="9"/>
      <c r="I2411" s="8"/>
      <c r="J2411" s="8"/>
      <c r="K2411" s="8"/>
      <c r="L2411" s="9" t="s">
        <v>605</v>
      </c>
      <c r="M2411" s="8"/>
    </row>
    <row r="2412" spans="1:13" x14ac:dyDescent="0.25">
      <c r="A2412" s="18" t="s">
        <v>3784</v>
      </c>
      <c r="B2412" s="67">
        <v>31694477851</v>
      </c>
      <c r="C2412" s="18" t="s">
        <v>3785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3786</v>
      </c>
      <c r="B2413" s="67">
        <v>14690610827</v>
      </c>
      <c r="C2413" s="72" t="s">
        <v>3787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3788</v>
      </c>
      <c r="B2414" s="67">
        <v>1740803523</v>
      </c>
      <c r="C2414" s="72" t="s">
        <v>3789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3790</v>
      </c>
      <c r="B2415" s="67">
        <v>23328195840</v>
      </c>
      <c r="C2415" s="72" t="s">
        <v>3791</v>
      </c>
      <c r="D2415" s="69">
        <v>770249310</v>
      </c>
      <c r="E2415" s="9">
        <v>810</v>
      </c>
      <c r="F2415" s="25">
        <v>42915</v>
      </c>
      <c r="G2415" s="70" t="s">
        <v>370</v>
      </c>
      <c r="H2415" s="9"/>
      <c r="I2415" s="8"/>
      <c r="J2415" s="8"/>
      <c r="K2415" s="8"/>
      <c r="L2415" s="9" t="s">
        <v>490</v>
      </c>
      <c r="M2415" s="8"/>
    </row>
    <row r="2416" spans="1:13" x14ac:dyDescent="0.25">
      <c r="A2416" s="71" t="s">
        <v>3792</v>
      </c>
      <c r="B2416" s="67">
        <v>28082388862</v>
      </c>
      <c r="C2416" s="72" t="s">
        <v>3793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3794</v>
      </c>
      <c r="B2417" s="67">
        <v>43054747867</v>
      </c>
      <c r="C2417" s="29" t="s">
        <v>3795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3796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3797</v>
      </c>
      <c r="B2419" s="67">
        <v>89863704504</v>
      </c>
      <c r="C2419" s="72" t="s">
        <v>3798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3799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3800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370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3801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3802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370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3803</v>
      </c>
      <c r="B2424" s="67">
        <v>33538686823</v>
      </c>
      <c r="C2424" s="72" t="s">
        <v>3804</v>
      </c>
      <c r="D2424" s="69">
        <v>37104062858</v>
      </c>
      <c r="E2424" s="9">
        <v>810</v>
      </c>
      <c r="F2424" s="25">
        <v>42915</v>
      </c>
      <c r="G2424" s="9" t="s">
        <v>370</v>
      </c>
      <c r="H2424" s="9"/>
      <c r="I2424" s="8"/>
      <c r="J2424" s="8"/>
      <c r="K2424" s="8"/>
      <c r="L2424" s="9" t="s">
        <v>490</v>
      </c>
      <c r="M2424" s="8"/>
    </row>
    <row r="2425" spans="1:13" x14ac:dyDescent="0.25">
      <c r="A2425" s="18" t="s">
        <v>3805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3806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370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3807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3808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370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3809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370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3810</v>
      </c>
      <c r="B2430" s="67"/>
      <c r="C2430" s="29" t="s">
        <v>481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3811</v>
      </c>
      <c r="B2431" s="67">
        <v>39308964860</v>
      </c>
      <c r="C2431" s="72" t="s">
        <v>3812</v>
      </c>
      <c r="D2431" s="69">
        <v>39308963898</v>
      </c>
      <c r="E2431" s="9">
        <v>229</v>
      </c>
      <c r="F2431" s="25">
        <v>43151</v>
      </c>
      <c r="G2431" s="70" t="s">
        <v>370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3813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370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3814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370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3815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3816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370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3817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3818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3819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3820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370</v>
      </c>
      <c r="H2439" s="9"/>
      <c r="I2439" s="8"/>
      <c r="J2439" s="8"/>
      <c r="K2439" s="8"/>
      <c r="L2439" s="9" t="s">
        <v>522</v>
      </c>
      <c r="M2439" s="8"/>
    </row>
    <row r="2440" spans="1:13" x14ac:dyDescent="0.25">
      <c r="A2440" s="71" t="s">
        <v>3821</v>
      </c>
      <c r="B2440" s="67">
        <v>36344864818</v>
      </c>
      <c r="C2440" s="72" t="s">
        <v>3822</v>
      </c>
      <c r="D2440" s="69">
        <v>35601867810</v>
      </c>
      <c r="E2440" s="9">
        <v>810</v>
      </c>
      <c r="F2440" s="25">
        <v>42915</v>
      </c>
      <c r="G2440" s="70" t="s">
        <v>370</v>
      </c>
      <c r="H2440" s="9"/>
      <c r="I2440" s="8"/>
      <c r="J2440" s="8"/>
      <c r="K2440" s="8"/>
      <c r="L2440" s="9" t="s">
        <v>490</v>
      </c>
      <c r="M2440" s="8"/>
    </row>
    <row r="2441" spans="1:13" x14ac:dyDescent="0.25">
      <c r="A2441" s="29" t="s">
        <v>3823</v>
      </c>
      <c r="B2441" s="67"/>
      <c r="C2441" s="29" t="s">
        <v>481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3824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370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3825</v>
      </c>
      <c r="B2443" s="67">
        <v>23969560861</v>
      </c>
      <c r="C2443" s="72" t="s">
        <v>3826</v>
      </c>
      <c r="D2443" s="69">
        <v>16141701850</v>
      </c>
      <c r="E2443" s="9">
        <v>1267</v>
      </c>
      <c r="F2443" s="25">
        <v>42998</v>
      </c>
      <c r="G2443" s="70" t="s">
        <v>370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3827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3828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370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3829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370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3830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3831</v>
      </c>
      <c r="B2448" s="67">
        <v>35193151817</v>
      </c>
      <c r="C2448" s="72" t="s">
        <v>3832</v>
      </c>
      <c r="D2448" s="69">
        <v>26084005829</v>
      </c>
      <c r="E2448" s="9">
        <v>229</v>
      </c>
      <c r="F2448" s="25">
        <v>43151</v>
      </c>
      <c r="G2448" s="70" t="s">
        <v>370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3833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3834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3835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370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3836</v>
      </c>
      <c r="B2452" s="67">
        <v>34674605857</v>
      </c>
      <c r="C2452" s="72" t="s">
        <v>3837</v>
      </c>
      <c r="D2452" s="69">
        <v>36771603830</v>
      </c>
      <c r="E2452" s="9">
        <v>810</v>
      </c>
      <c r="F2452" s="25">
        <v>42915</v>
      </c>
      <c r="G2452" s="70" t="s">
        <v>370</v>
      </c>
      <c r="H2452" s="9"/>
      <c r="I2452" s="8"/>
      <c r="J2452" s="8"/>
      <c r="K2452" s="8"/>
      <c r="L2452" s="9" t="s">
        <v>490</v>
      </c>
      <c r="M2452" s="8"/>
    </row>
    <row r="2453" spans="1:13" x14ac:dyDescent="0.25">
      <c r="A2453" s="71" t="s">
        <v>3838</v>
      </c>
      <c r="B2453" s="67">
        <v>33248807857</v>
      </c>
      <c r="C2453" s="72" t="s">
        <v>3839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3840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370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3841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370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3842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3843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370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3844</v>
      </c>
      <c r="B2458" s="67">
        <v>7143855901</v>
      </c>
      <c r="C2458" s="18" t="s">
        <v>481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3845</v>
      </c>
      <c r="B2459" s="67"/>
      <c r="C2459" s="29" t="s">
        <v>481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3846</v>
      </c>
      <c r="B2460" s="67">
        <v>5365375505</v>
      </c>
      <c r="C2460" s="68" t="s">
        <v>3847</v>
      </c>
      <c r="D2460" s="69">
        <v>34658162857</v>
      </c>
      <c r="E2460" s="9">
        <v>1128</v>
      </c>
      <c r="F2460" s="25">
        <v>42972</v>
      </c>
      <c r="G2460" s="70" t="s">
        <v>370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3848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3849</v>
      </c>
      <c r="B2462" s="67">
        <v>66691990404</v>
      </c>
      <c r="C2462" s="29" t="s">
        <v>3850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3851</v>
      </c>
      <c r="B2463" s="67">
        <v>60347000355</v>
      </c>
      <c r="C2463" s="72" t="s">
        <v>3852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3853</v>
      </c>
      <c r="B2464" s="67">
        <v>37467543808</v>
      </c>
      <c r="C2464" s="72" t="s">
        <v>3854</v>
      </c>
      <c r="D2464" s="69">
        <v>40552745804</v>
      </c>
      <c r="E2464" s="9">
        <v>229</v>
      </c>
      <c r="F2464" s="25">
        <v>43151</v>
      </c>
      <c r="G2464" s="70" t="s">
        <v>370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3855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3856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3857</v>
      </c>
      <c r="B2467" s="67"/>
      <c r="C2467" s="18" t="s">
        <v>481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3858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370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3859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3860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3861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3862</v>
      </c>
      <c r="B2472" s="67"/>
      <c r="C2472" s="18" t="s">
        <v>481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3863</v>
      </c>
      <c r="B2473" s="67">
        <v>34907942818</v>
      </c>
      <c r="C2473" s="72" t="s">
        <v>3864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3865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3866</v>
      </c>
      <c r="B2475" s="67">
        <v>40642684820</v>
      </c>
      <c r="C2475" s="72" t="s">
        <v>3867</v>
      </c>
      <c r="D2475" s="69">
        <v>43189527890</v>
      </c>
      <c r="E2475" s="9">
        <v>292</v>
      </c>
      <c r="F2475" s="25">
        <v>43168</v>
      </c>
      <c r="G2475" s="70" t="s">
        <v>370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3868</v>
      </c>
      <c r="B2476" s="67">
        <v>36401343893</v>
      </c>
      <c r="C2476" s="72" t="s">
        <v>3869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651</v>
      </c>
      <c r="M2476" s="8"/>
    </row>
    <row r="2477" spans="1:13" x14ac:dyDescent="0.25">
      <c r="A2477" s="15" t="s">
        <v>3870</v>
      </c>
      <c r="B2477" s="67">
        <v>10413301460</v>
      </c>
      <c r="C2477" s="72" t="s">
        <v>3871</v>
      </c>
      <c r="D2477" s="69">
        <v>10931047404</v>
      </c>
      <c r="E2477" s="9">
        <v>117</v>
      </c>
      <c r="F2477" s="25">
        <v>43117</v>
      </c>
      <c r="G2477" s="70" t="s">
        <v>370</v>
      </c>
      <c r="H2477" s="9"/>
      <c r="I2477" s="8"/>
      <c r="J2477" s="8"/>
      <c r="K2477" s="8"/>
      <c r="L2477" s="9" t="s">
        <v>522</v>
      </c>
      <c r="M2477" s="8"/>
    </row>
    <row r="2478" spans="1:13" x14ac:dyDescent="0.25">
      <c r="A2478" s="15" t="s">
        <v>3872</v>
      </c>
      <c r="B2478" s="67">
        <v>42030087866</v>
      </c>
      <c r="C2478" s="72" t="s">
        <v>3873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3874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3875</v>
      </c>
      <c r="B2480" s="67">
        <v>38302413801</v>
      </c>
      <c r="C2480" s="77" t="s">
        <v>3876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3877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370</v>
      </c>
      <c r="H2481" s="9"/>
      <c r="I2481" s="8"/>
      <c r="J2481" s="8"/>
      <c r="K2481" s="8"/>
      <c r="L2481" s="9" t="s">
        <v>490</v>
      </c>
      <c r="M2481" s="8"/>
    </row>
    <row r="2482" spans="1:13" x14ac:dyDescent="0.25">
      <c r="A2482" s="71" t="s">
        <v>3878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3879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377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3880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370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3881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370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3882</v>
      </c>
      <c r="B2486" s="67">
        <v>34034498315</v>
      </c>
      <c r="C2486" s="72" t="s">
        <v>3883</v>
      </c>
      <c r="D2486" s="69">
        <v>30620015349</v>
      </c>
      <c r="E2486" s="9">
        <v>1470</v>
      </c>
      <c r="F2486" s="25">
        <v>43031</v>
      </c>
      <c r="G2486" s="70" t="s">
        <v>370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3884</v>
      </c>
      <c r="B2487" s="67">
        <v>38027861810</v>
      </c>
      <c r="C2487" s="72" t="s">
        <v>3885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3886</v>
      </c>
      <c r="B2488" s="67">
        <v>34557275818</v>
      </c>
      <c r="C2488" s="72" t="s">
        <v>3887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3888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370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3889</v>
      </c>
      <c r="B2490" s="67"/>
      <c r="C2490" s="29" t="s">
        <v>3890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3891</v>
      </c>
      <c r="B2491" s="67">
        <v>40298877830</v>
      </c>
      <c r="C2491" s="72" t="s">
        <v>3892</v>
      </c>
      <c r="D2491" s="69">
        <v>5551703576</v>
      </c>
      <c r="E2491" s="9">
        <v>262</v>
      </c>
      <c r="F2491" s="25">
        <v>43160</v>
      </c>
      <c r="G2491" s="70" t="s">
        <v>370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3893</v>
      </c>
      <c r="B2492" s="67">
        <v>36295512895</v>
      </c>
      <c r="C2492" s="72" t="s">
        <v>3894</v>
      </c>
      <c r="D2492" s="69">
        <v>29129585805</v>
      </c>
      <c r="E2492" s="9">
        <v>292</v>
      </c>
      <c r="F2492" s="25">
        <v>43168</v>
      </c>
      <c r="G2492" s="70" t="s">
        <v>370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3895</v>
      </c>
      <c r="B2493" s="67">
        <v>13188101830</v>
      </c>
      <c r="C2493" s="72" t="s">
        <v>3896</v>
      </c>
      <c r="D2493" s="69">
        <v>55072399320</v>
      </c>
      <c r="E2493" s="9">
        <v>1752</v>
      </c>
      <c r="F2493" s="25">
        <v>43051</v>
      </c>
      <c r="G2493" s="70" t="s">
        <v>377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3897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3898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370</v>
      </c>
      <c r="H2495" s="9"/>
      <c r="I2495" s="8"/>
      <c r="J2495" s="8"/>
      <c r="K2495" s="8"/>
      <c r="L2495" s="9" t="s">
        <v>512</v>
      </c>
      <c r="M2495" s="8"/>
    </row>
    <row r="2496" spans="1:13" x14ac:dyDescent="0.25">
      <c r="A2496" s="71" t="s">
        <v>3899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3900</v>
      </c>
      <c r="B2497" s="67">
        <v>18468597864</v>
      </c>
      <c r="C2497" s="72" t="s">
        <v>3901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3902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370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3903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370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3904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370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3905</v>
      </c>
      <c r="B2501" s="67">
        <v>23134916843</v>
      </c>
      <c r="C2501" s="72" t="s">
        <v>3906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3907</v>
      </c>
      <c r="B2502" s="67">
        <v>60939966468</v>
      </c>
      <c r="C2502" s="72" t="s">
        <v>3908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3909</v>
      </c>
      <c r="B2503" s="67"/>
      <c r="C2503" s="29" t="s">
        <v>3910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3911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370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3912</v>
      </c>
      <c r="B2505" s="67">
        <v>33594407810</v>
      </c>
      <c r="C2505" s="68" t="s">
        <v>3913</v>
      </c>
      <c r="D2505" s="69">
        <v>5613611777</v>
      </c>
      <c r="E2505" s="9">
        <v>1128</v>
      </c>
      <c r="F2505" s="25">
        <v>42972</v>
      </c>
      <c r="G2505" s="70" t="s">
        <v>370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3914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370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3915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3916</v>
      </c>
      <c r="B2508" s="67">
        <v>38404903832</v>
      </c>
      <c r="C2508" s="72" t="s">
        <v>3917</v>
      </c>
      <c r="D2508" s="69">
        <v>35612360819</v>
      </c>
      <c r="E2508" s="9">
        <v>810</v>
      </c>
      <c r="F2508" s="25">
        <v>42915</v>
      </c>
      <c r="G2508" s="70" t="s">
        <v>370</v>
      </c>
      <c r="H2508" s="9"/>
      <c r="I2508" s="8"/>
      <c r="J2508" s="8"/>
      <c r="K2508" s="8"/>
      <c r="L2508" s="9" t="s">
        <v>490</v>
      </c>
      <c r="M2508" s="8"/>
    </row>
    <row r="2509" spans="1:13" x14ac:dyDescent="0.25">
      <c r="A2509" s="71" t="s">
        <v>3918</v>
      </c>
      <c r="B2509" s="67">
        <v>33198410843</v>
      </c>
      <c r="C2509" s="72" t="s">
        <v>3919</v>
      </c>
      <c r="D2509" s="69">
        <v>32853865843</v>
      </c>
      <c r="E2509" s="9">
        <v>810</v>
      </c>
      <c r="F2509" s="25">
        <v>42915</v>
      </c>
      <c r="G2509" s="70" t="s">
        <v>370</v>
      </c>
      <c r="H2509" s="9"/>
      <c r="I2509" s="8"/>
      <c r="J2509" s="8"/>
      <c r="K2509" s="8"/>
      <c r="L2509" s="9" t="s">
        <v>490</v>
      </c>
      <c r="M2509" s="8"/>
    </row>
    <row r="2510" spans="1:13" x14ac:dyDescent="0.25">
      <c r="A2510" s="71" t="s">
        <v>3920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370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3921</v>
      </c>
      <c r="B2511" s="67">
        <v>46962268831</v>
      </c>
      <c r="C2511" s="72" t="s">
        <v>3922</v>
      </c>
      <c r="D2511" s="69">
        <v>40564058831</v>
      </c>
      <c r="E2511" s="9">
        <v>1752</v>
      </c>
      <c r="F2511" s="25">
        <v>43051</v>
      </c>
      <c r="G2511" s="70" t="s">
        <v>385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3923</v>
      </c>
      <c r="B2512" s="67">
        <v>33337344860</v>
      </c>
      <c r="C2512" s="72" t="s">
        <v>3924</v>
      </c>
      <c r="D2512" s="69">
        <v>33436663867</v>
      </c>
      <c r="E2512" s="9">
        <v>810</v>
      </c>
      <c r="F2512" s="25">
        <v>42915</v>
      </c>
      <c r="G2512" s="70" t="s">
        <v>370</v>
      </c>
      <c r="H2512" s="9"/>
      <c r="I2512" s="8"/>
      <c r="J2512" s="8"/>
      <c r="K2512" s="8"/>
      <c r="L2512" s="9" t="s">
        <v>490</v>
      </c>
      <c r="M2512" s="8"/>
    </row>
    <row r="2513" spans="1:13" x14ac:dyDescent="0.25">
      <c r="A2513" s="14" t="s">
        <v>3925</v>
      </c>
      <c r="B2513" s="67">
        <v>11587518694</v>
      </c>
      <c r="C2513" s="72" t="s">
        <v>3926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3927</v>
      </c>
      <c r="B2514" s="67">
        <v>37957151809</v>
      </c>
      <c r="C2514" s="72" t="s">
        <v>3928</v>
      </c>
      <c r="D2514" s="69">
        <v>28342788814</v>
      </c>
      <c r="E2514" s="9">
        <v>1570</v>
      </c>
      <c r="F2514" s="25">
        <v>43077</v>
      </c>
      <c r="G2514" s="70" t="s">
        <v>370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3929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651</v>
      </c>
      <c r="M2515" s="8"/>
    </row>
    <row r="2516" spans="1:13" x14ac:dyDescent="0.25">
      <c r="A2516" s="29" t="s">
        <v>3930</v>
      </c>
      <c r="B2516" s="67">
        <v>35434226852</v>
      </c>
      <c r="C2516" s="29" t="s">
        <v>3931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3932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370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3933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370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3934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370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3935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3936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3937</v>
      </c>
      <c r="B2522" s="67">
        <v>31989585809</v>
      </c>
      <c r="C2522" s="72" t="s">
        <v>3938</v>
      </c>
      <c r="D2522" s="69">
        <v>4312861919</v>
      </c>
      <c r="E2522" s="9">
        <v>1824</v>
      </c>
      <c r="F2522" s="25">
        <v>43091</v>
      </c>
      <c r="G2522" s="70" t="s">
        <v>385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3939</v>
      </c>
      <c r="B2523" s="67">
        <v>30264611802</v>
      </c>
      <c r="C2523" s="29" t="s">
        <v>3940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3941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370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3942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370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3943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370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3944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370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3945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3946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3947</v>
      </c>
      <c r="B2530" s="67">
        <v>31117169880</v>
      </c>
      <c r="C2530" s="72" t="s">
        <v>3948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3949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370</v>
      </c>
      <c r="H2531" s="9"/>
      <c r="I2531" s="8"/>
      <c r="J2531" s="8"/>
      <c r="K2531" s="8"/>
      <c r="L2531" s="9" t="s">
        <v>522</v>
      </c>
      <c r="M2531" s="8"/>
    </row>
    <row r="2532" spans="1:13" x14ac:dyDescent="0.25">
      <c r="A2532" s="29" t="s">
        <v>3950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3951</v>
      </c>
      <c r="B2533" s="67">
        <v>34800386896</v>
      </c>
      <c r="C2533" s="72" t="s">
        <v>3952</v>
      </c>
      <c r="D2533" s="69">
        <v>33748068808</v>
      </c>
      <c r="E2533" s="9">
        <v>810</v>
      </c>
      <c r="F2533" s="25">
        <v>42915</v>
      </c>
      <c r="G2533" s="70" t="s">
        <v>370</v>
      </c>
      <c r="H2533" s="9"/>
      <c r="I2533" s="8"/>
      <c r="J2533" s="8"/>
      <c r="K2533" s="8"/>
      <c r="L2533" s="9" t="s">
        <v>490</v>
      </c>
      <c r="M2533" s="8"/>
    </row>
    <row r="2534" spans="1:13" x14ac:dyDescent="0.25">
      <c r="A2534" s="72" t="s">
        <v>3953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3954</v>
      </c>
      <c r="B2535" s="67">
        <v>38858760867</v>
      </c>
      <c r="C2535" s="68" t="s">
        <v>3955</v>
      </c>
      <c r="D2535" s="69">
        <v>37279553842</v>
      </c>
      <c r="E2535" s="9">
        <v>1128</v>
      </c>
      <c r="F2535" s="25">
        <v>42972</v>
      </c>
      <c r="G2535" s="70" t="s">
        <v>370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3956</v>
      </c>
      <c r="B2536" s="67">
        <v>43621579800</v>
      </c>
      <c r="C2536" s="29" t="s">
        <v>481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3957</v>
      </c>
      <c r="B2537" s="67">
        <v>37412192825</v>
      </c>
      <c r="C2537" s="72" t="s">
        <v>3958</v>
      </c>
      <c r="D2537" s="69">
        <v>27576214830</v>
      </c>
      <c r="E2537" s="9">
        <v>1489</v>
      </c>
      <c r="F2537" s="25">
        <v>43038</v>
      </c>
      <c r="G2537" s="70" t="s">
        <v>370</v>
      </c>
      <c r="H2537" s="9"/>
      <c r="I2537" s="8"/>
      <c r="J2537" s="8"/>
      <c r="K2537" s="8"/>
      <c r="L2537" s="9" t="s">
        <v>512</v>
      </c>
      <c r="M2537" s="8"/>
    </row>
    <row r="2538" spans="1:13" x14ac:dyDescent="0.25">
      <c r="A2538" s="71" t="s">
        <v>3959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370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3960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370</v>
      </c>
      <c r="H2539" s="9"/>
      <c r="I2539" s="8"/>
      <c r="J2539" s="8"/>
      <c r="K2539" s="8"/>
      <c r="L2539" s="9" t="s">
        <v>490</v>
      </c>
      <c r="M2539" s="8"/>
    </row>
    <row r="2540" spans="1:13" x14ac:dyDescent="0.25">
      <c r="A2540" s="71" t="s">
        <v>3961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3962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3963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3964</v>
      </c>
      <c r="B2543" s="67">
        <v>36613563803</v>
      </c>
      <c r="C2543" s="72" t="s">
        <v>3965</v>
      </c>
      <c r="D2543" s="69">
        <v>27798369899</v>
      </c>
      <c r="E2543" s="9">
        <v>292</v>
      </c>
      <c r="F2543" s="25">
        <v>43168</v>
      </c>
      <c r="G2543" s="70" t="s">
        <v>370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3966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3967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370</v>
      </c>
      <c r="H2545" s="9"/>
      <c r="I2545" s="8"/>
      <c r="J2545" s="8"/>
      <c r="K2545" s="8"/>
      <c r="L2545" s="9" t="s">
        <v>490</v>
      </c>
      <c r="M2545" s="8"/>
    </row>
    <row r="2546" spans="1:13" ht="30" x14ac:dyDescent="0.25">
      <c r="A2546" s="91" t="s">
        <v>3968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370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3969</v>
      </c>
      <c r="B2547" s="67">
        <v>2950068545</v>
      </c>
      <c r="C2547" s="15" t="s">
        <v>3970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3971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370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3972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377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3973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3974</v>
      </c>
      <c r="B2551" s="67">
        <v>44618522453</v>
      </c>
      <c r="C2551" s="68" t="s">
        <v>3975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3976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370</v>
      </c>
      <c r="H2552" s="9"/>
      <c r="I2552" s="8"/>
      <c r="J2552" s="8"/>
      <c r="K2552" s="8"/>
      <c r="L2552" s="9" t="s">
        <v>522</v>
      </c>
      <c r="M2552" s="8"/>
    </row>
    <row r="2553" spans="1:13" x14ac:dyDescent="0.25">
      <c r="A2553" s="71" t="s">
        <v>3977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370</v>
      </c>
      <c r="H2553" s="9"/>
      <c r="I2553" s="8"/>
      <c r="J2553" s="8"/>
      <c r="K2553" s="8"/>
      <c r="L2553" s="9" t="s">
        <v>605</v>
      </c>
      <c r="M2553" s="8"/>
    </row>
    <row r="2554" spans="1:13" x14ac:dyDescent="0.25">
      <c r="A2554" s="71" t="s">
        <v>3978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3979</v>
      </c>
      <c r="B2555" s="67">
        <v>26333731862</v>
      </c>
      <c r="C2555" s="72" t="s">
        <v>3980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3981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651</v>
      </c>
      <c r="M2556" s="8"/>
    </row>
    <row r="2557" spans="1:13" x14ac:dyDescent="0.25">
      <c r="A2557" s="71" t="s">
        <v>3982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370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3983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370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3984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370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3985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370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3986</v>
      </c>
      <c r="B2561" s="67">
        <v>2035513545</v>
      </c>
      <c r="C2561" s="77" t="s">
        <v>3987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3988</v>
      </c>
      <c r="B2562" s="67">
        <v>32375610881</v>
      </c>
      <c r="C2562" s="72" t="s">
        <v>3989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3990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370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3991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370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3992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3993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370</v>
      </c>
      <c r="H2566" s="9"/>
      <c r="I2566" s="8"/>
      <c r="J2566" s="8"/>
      <c r="K2566" s="8"/>
      <c r="L2566" s="9" t="s">
        <v>512</v>
      </c>
      <c r="M2566" s="8"/>
    </row>
    <row r="2567" spans="1:13" x14ac:dyDescent="0.25">
      <c r="A2567" s="71" t="s">
        <v>3994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370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3995</v>
      </c>
      <c r="B2568" s="67">
        <v>28040254892</v>
      </c>
      <c r="C2568" s="72" t="s">
        <v>3996</v>
      </c>
      <c r="D2568" s="69">
        <v>27414145808</v>
      </c>
      <c r="E2568" s="9">
        <v>810</v>
      </c>
      <c r="F2568" s="25">
        <v>42915</v>
      </c>
      <c r="G2568" s="70" t="s">
        <v>370</v>
      </c>
      <c r="H2568" s="25">
        <v>42921</v>
      </c>
      <c r="I2568" s="8"/>
      <c r="J2568" s="8"/>
      <c r="K2568" s="8"/>
      <c r="L2568" s="9" t="s">
        <v>490</v>
      </c>
      <c r="M2568" s="8"/>
    </row>
    <row r="2569" spans="1:13" x14ac:dyDescent="0.25">
      <c r="A2569" s="71" t="s">
        <v>3997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370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3998</v>
      </c>
      <c r="B2570" s="67">
        <v>19585439859</v>
      </c>
      <c r="C2570" s="72" t="s">
        <v>3999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4000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370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4001</v>
      </c>
      <c r="B2572" s="67">
        <v>33167057831</v>
      </c>
      <c r="C2572" s="18" t="s">
        <v>481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4002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370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4003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370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4004</v>
      </c>
      <c r="B2575" s="67">
        <v>41360953841</v>
      </c>
      <c r="C2575" s="72" t="s">
        <v>4005</v>
      </c>
      <c r="D2575" s="69">
        <v>39212484859</v>
      </c>
      <c r="E2575" s="9">
        <v>117</v>
      </c>
      <c r="F2575" s="25">
        <v>43117</v>
      </c>
      <c r="G2575" s="70" t="s">
        <v>370</v>
      </c>
      <c r="H2575" s="25">
        <v>43151</v>
      </c>
      <c r="I2575" s="8"/>
      <c r="J2575" s="8"/>
      <c r="K2575" s="8"/>
      <c r="L2575" s="9" t="s">
        <v>522</v>
      </c>
      <c r="M2575" s="8"/>
    </row>
    <row r="2576" spans="1:13" x14ac:dyDescent="0.25">
      <c r="A2576" s="15" t="s">
        <v>4006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370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4007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370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4008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370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4009</v>
      </c>
      <c r="B2579" s="67"/>
      <c r="C2579" s="29" t="s">
        <v>481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4010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4011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370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4012</v>
      </c>
      <c r="B2582" s="67">
        <v>39407601889</v>
      </c>
      <c r="C2582" s="72" t="s">
        <v>4013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4014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370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4015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4016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370</v>
      </c>
      <c r="H2585" s="25">
        <v>42921</v>
      </c>
      <c r="I2585" s="8"/>
      <c r="J2585" s="8"/>
      <c r="K2585" s="8"/>
      <c r="L2585" s="9" t="s">
        <v>490</v>
      </c>
      <c r="M2585" s="8"/>
    </row>
    <row r="2586" spans="1:13" x14ac:dyDescent="0.25">
      <c r="A2586" s="71" t="s">
        <v>4017</v>
      </c>
      <c r="B2586" s="67">
        <v>40831453826</v>
      </c>
      <c r="C2586" s="72" t="s">
        <v>4018</v>
      </c>
      <c r="D2586" s="69">
        <v>41787837858</v>
      </c>
      <c r="E2586" s="9">
        <v>1214</v>
      </c>
      <c r="F2586" s="25">
        <v>42989</v>
      </c>
      <c r="G2586" s="70" t="s">
        <v>370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4019</v>
      </c>
      <c r="B2587" s="67">
        <v>23043868811</v>
      </c>
      <c r="C2587" s="18" t="s">
        <v>4020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4021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370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4022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370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4023</v>
      </c>
      <c r="B2590" s="67">
        <v>11739082850</v>
      </c>
      <c r="C2590" s="72" t="s">
        <v>4024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4025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370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4026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370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4027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370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4028</v>
      </c>
      <c r="B2594" s="67">
        <v>36782552809</v>
      </c>
      <c r="C2594" s="72" t="s">
        <v>4029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4030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4031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370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4032</v>
      </c>
      <c r="B2597" s="67">
        <v>28249902874</v>
      </c>
      <c r="C2597" s="29" t="s">
        <v>4033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4034</v>
      </c>
      <c r="B2598" s="67">
        <v>36169238836</v>
      </c>
      <c r="C2598" s="77" t="s">
        <v>4035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4036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370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4037</v>
      </c>
      <c r="B2600" s="67">
        <v>30886267870</v>
      </c>
      <c r="C2600" s="29" t="s">
        <v>4038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4039</v>
      </c>
      <c r="B2601" s="67"/>
      <c r="C2601" s="29" t="s">
        <v>4040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4041</v>
      </c>
      <c r="B2602" s="67">
        <v>26107569847</v>
      </c>
      <c r="C2602" s="77" t="s">
        <v>4042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4043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370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4044</v>
      </c>
      <c r="B2604" s="67">
        <v>13516251875</v>
      </c>
      <c r="C2604" s="68" t="s">
        <v>4045</v>
      </c>
      <c r="D2604" s="69">
        <v>10146756851</v>
      </c>
      <c r="E2604" s="9">
        <v>1214</v>
      </c>
      <c r="F2604" s="25">
        <v>42989</v>
      </c>
      <c r="G2604" s="70" t="s">
        <v>370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4046</v>
      </c>
      <c r="B2605" s="67">
        <v>3597715486</v>
      </c>
      <c r="C2605" s="72" t="s">
        <v>4047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4048</v>
      </c>
      <c r="B2606" s="67">
        <v>1563161532</v>
      </c>
      <c r="C2606" s="68" t="s">
        <v>4049</v>
      </c>
      <c r="D2606" s="69">
        <v>92557732591</v>
      </c>
      <c r="E2606" s="9">
        <v>1128</v>
      </c>
      <c r="F2606" s="25">
        <v>42972</v>
      </c>
      <c r="G2606" s="70" t="s">
        <v>370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4050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4051</v>
      </c>
      <c r="B2608" s="67">
        <v>31914362861</v>
      </c>
      <c r="C2608" s="72" t="s">
        <v>4052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651</v>
      </c>
      <c r="M2608" s="8"/>
    </row>
    <row r="2609" spans="1:13" x14ac:dyDescent="0.25">
      <c r="A2609" s="18" t="s">
        <v>4053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4054</v>
      </c>
      <c r="B2610" s="67">
        <v>35218693855</v>
      </c>
      <c r="C2610" s="72" t="s">
        <v>4055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4056</v>
      </c>
      <c r="B2611" s="67">
        <v>30947166874</v>
      </c>
      <c r="C2611" s="72" t="s">
        <v>4057</v>
      </c>
      <c r="D2611" s="69">
        <v>1304805506</v>
      </c>
      <c r="E2611" s="9">
        <v>1241</v>
      </c>
      <c r="F2611" s="25">
        <v>42992</v>
      </c>
      <c r="G2611" s="70" t="s">
        <v>370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4058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4059</v>
      </c>
      <c r="B2613" s="67">
        <v>3632265593</v>
      </c>
      <c r="C2613" s="72" t="s">
        <v>4060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4061</v>
      </c>
      <c r="B2614" s="67">
        <v>9500687801</v>
      </c>
      <c r="C2614" s="77" t="s">
        <v>4062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651</v>
      </c>
      <c r="M2614" s="8"/>
    </row>
    <row r="2615" spans="1:13" x14ac:dyDescent="0.25">
      <c r="A2615" s="71" t="s">
        <v>4063</v>
      </c>
      <c r="B2615" s="67">
        <v>78808405400</v>
      </c>
      <c r="C2615" s="72" t="s">
        <v>4064</v>
      </c>
      <c r="D2615" s="69">
        <v>6840084400</v>
      </c>
      <c r="E2615" s="9">
        <v>1824</v>
      </c>
      <c r="F2615" s="25">
        <v>43091</v>
      </c>
      <c r="G2615" s="70" t="s">
        <v>370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4065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370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4066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4067</v>
      </c>
      <c r="B2618" s="67">
        <v>37500289820</v>
      </c>
      <c r="C2618" s="68" t="s">
        <v>4068</v>
      </c>
      <c r="D2618" s="69">
        <v>26607571867</v>
      </c>
      <c r="E2618" s="9">
        <v>1350</v>
      </c>
      <c r="F2618" s="25">
        <v>43006</v>
      </c>
      <c r="G2618" s="70" t="s">
        <v>370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4069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4070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370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4071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4072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370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4073</v>
      </c>
      <c r="B2623" s="67">
        <v>8192130800</v>
      </c>
      <c r="C2623" s="72" t="s">
        <v>4074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4075</v>
      </c>
      <c r="B2624" s="67">
        <v>26853070879</v>
      </c>
      <c r="C2624" s="18" t="s">
        <v>4076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4077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370</v>
      </c>
      <c r="H2625" s="25">
        <v>43027</v>
      </c>
      <c r="I2625" s="8"/>
      <c r="J2625" s="8"/>
      <c r="K2625" s="8"/>
      <c r="L2625" s="9" t="s">
        <v>605</v>
      </c>
      <c r="M2625" s="8"/>
    </row>
    <row r="2626" spans="1:13" x14ac:dyDescent="0.25">
      <c r="A2626" s="13" t="s">
        <v>4078</v>
      </c>
      <c r="B2626" s="67">
        <v>27440063864</v>
      </c>
      <c r="C2626" s="68" t="s">
        <v>4079</v>
      </c>
      <c r="D2626" s="69">
        <v>66533287400</v>
      </c>
      <c r="E2626" s="9">
        <v>1241</v>
      </c>
      <c r="F2626" s="25">
        <v>42992</v>
      </c>
      <c r="G2626" s="70" t="s">
        <v>370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4080</v>
      </c>
      <c r="B2627" s="67">
        <v>32362879852</v>
      </c>
      <c r="C2627" s="72" t="s">
        <v>4081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651</v>
      </c>
      <c r="M2627" s="8"/>
    </row>
    <row r="2628" spans="1:13" x14ac:dyDescent="0.25">
      <c r="A2628" s="15" t="s">
        <v>4082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370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4083</v>
      </c>
      <c r="B2629" s="67">
        <v>37904123843</v>
      </c>
      <c r="C2629" s="72" t="s">
        <v>4084</v>
      </c>
      <c r="D2629" s="69">
        <v>16565739897</v>
      </c>
      <c r="E2629" s="9">
        <v>292</v>
      </c>
      <c r="F2629" s="25">
        <v>43168</v>
      </c>
      <c r="G2629" s="70" t="s">
        <v>370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4085</v>
      </c>
      <c r="B2630" s="67">
        <v>30775860883</v>
      </c>
      <c r="C2630" s="72" t="s">
        <v>4086</v>
      </c>
      <c r="D2630" s="69">
        <v>34227894808</v>
      </c>
      <c r="E2630" s="9">
        <v>1359</v>
      </c>
      <c r="F2630" s="25">
        <v>43006</v>
      </c>
      <c r="G2630" s="70" t="s">
        <v>370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4087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370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4088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370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4089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370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4090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370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4091</v>
      </c>
      <c r="B2635" s="67">
        <v>29287401802</v>
      </c>
      <c r="C2635" s="72" t="s">
        <v>4092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3970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370</v>
      </c>
      <c r="H2636" s="25">
        <v>43151</v>
      </c>
      <c r="I2636" s="8"/>
      <c r="J2636" s="8"/>
      <c r="K2636" s="8"/>
      <c r="L2636" s="9" t="s">
        <v>522</v>
      </c>
      <c r="M2636" s="8"/>
    </row>
    <row r="2637" spans="1:13" x14ac:dyDescent="0.25">
      <c r="A2637" s="71" t="s">
        <v>4093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4094</v>
      </c>
      <c r="B2638" s="67">
        <v>36051425837</v>
      </c>
      <c r="C2638" s="77" t="s">
        <v>4095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4096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370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4097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651</v>
      </c>
      <c r="M2640" s="8"/>
    </row>
    <row r="2641" spans="1:13" x14ac:dyDescent="0.25">
      <c r="A2641" s="72" t="s">
        <v>4098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4099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370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4100</v>
      </c>
      <c r="B2643" s="67">
        <v>3212055375</v>
      </c>
      <c r="C2643" s="77" t="s">
        <v>4101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4102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370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4103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370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4104</v>
      </c>
      <c r="B2646" s="67">
        <v>11452168890</v>
      </c>
      <c r="C2646" s="72" t="s">
        <v>4105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4106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4107</v>
      </c>
      <c r="B2648" s="67">
        <v>31856157865</v>
      </c>
      <c r="C2648" s="72" t="s">
        <v>4108</v>
      </c>
      <c r="D2648" s="69">
        <v>94552967568</v>
      </c>
      <c r="E2648" s="9">
        <v>810</v>
      </c>
      <c r="F2648" s="25">
        <v>42915</v>
      </c>
      <c r="G2648" s="70" t="s">
        <v>370</v>
      </c>
      <c r="H2648" s="25">
        <v>42921</v>
      </c>
      <c r="I2648" s="8"/>
      <c r="J2648" s="8"/>
      <c r="K2648" s="8"/>
      <c r="L2648" s="9" t="s">
        <v>490</v>
      </c>
      <c r="M2648" s="8"/>
    </row>
    <row r="2649" spans="1:13" x14ac:dyDescent="0.25">
      <c r="A2649" s="71" t="s">
        <v>4109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370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4110</v>
      </c>
      <c r="B2650" s="67">
        <v>37478827810</v>
      </c>
      <c r="C2650" s="72" t="s">
        <v>4111</v>
      </c>
      <c r="D2650" s="69">
        <v>37591131842</v>
      </c>
      <c r="E2650" s="9">
        <v>292</v>
      </c>
      <c r="F2650" s="25">
        <v>43168</v>
      </c>
      <c r="G2650" s="70" t="s">
        <v>370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4112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370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4113</v>
      </c>
      <c r="B2652" s="67">
        <v>23465596870</v>
      </c>
      <c r="C2652" s="72" t="s">
        <v>4114</v>
      </c>
      <c r="D2652" s="69">
        <v>23522451848</v>
      </c>
      <c r="E2652" s="9">
        <v>292</v>
      </c>
      <c r="F2652" s="25">
        <v>43168</v>
      </c>
      <c r="G2652" s="70" t="s">
        <v>370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4115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651</v>
      </c>
      <c r="M2653" s="8"/>
    </row>
    <row r="2654" spans="1:13" x14ac:dyDescent="0.25">
      <c r="A2654" s="73" t="s">
        <v>4116</v>
      </c>
      <c r="B2654" s="67">
        <v>34274784835</v>
      </c>
      <c r="C2654" s="72" t="s">
        <v>4117</v>
      </c>
      <c r="D2654" s="69">
        <v>19379885890</v>
      </c>
      <c r="E2654" s="9">
        <v>810</v>
      </c>
      <c r="F2654" s="25">
        <v>42915</v>
      </c>
      <c r="G2654" s="70" t="s">
        <v>370</v>
      </c>
      <c r="H2654" s="25">
        <v>42921</v>
      </c>
      <c r="I2654" s="8"/>
      <c r="J2654" s="8"/>
      <c r="K2654" s="8"/>
      <c r="L2654" s="9" t="s">
        <v>490</v>
      </c>
      <c r="M2654" s="8"/>
    </row>
    <row r="2655" spans="1:13" x14ac:dyDescent="0.25">
      <c r="A2655" s="71" t="s">
        <v>4118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370</v>
      </c>
      <c r="H2655" s="25">
        <v>42921</v>
      </c>
      <c r="I2655" s="8"/>
      <c r="J2655" s="8"/>
      <c r="K2655" s="8"/>
      <c r="L2655" s="9" t="s">
        <v>490</v>
      </c>
      <c r="M2655" s="8"/>
    </row>
    <row r="2656" spans="1:13" x14ac:dyDescent="0.25">
      <c r="A2656" s="71" t="s">
        <v>4119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370</v>
      </c>
      <c r="H2656" s="25">
        <v>42921</v>
      </c>
      <c r="I2656" s="8"/>
      <c r="J2656" s="8"/>
      <c r="K2656" s="8"/>
      <c r="L2656" s="9" t="s">
        <v>490</v>
      </c>
      <c r="M2656" s="8"/>
    </row>
    <row r="2657" spans="1:13" x14ac:dyDescent="0.25">
      <c r="A2657" s="71" t="s">
        <v>4120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370</v>
      </c>
      <c r="H2657" s="25">
        <v>43151</v>
      </c>
      <c r="I2657" s="8"/>
      <c r="J2657" s="8"/>
      <c r="K2657" s="8"/>
      <c r="L2657" s="9" t="s">
        <v>522</v>
      </c>
      <c r="M2657" s="8"/>
    </row>
    <row r="2658" spans="1:13" x14ac:dyDescent="0.25">
      <c r="A2658" s="71" t="s">
        <v>4121</v>
      </c>
      <c r="B2658" s="67">
        <v>41491764856</v>
      </c>
      <c r="C2658" s="72" t="s">
        <v>4122</v>
      </c>
      <c r="D2658" s="69">
        <v>91076447520</v>
      </c>
      <c r="E2658" s="9">
        <v>292</v>
      </c>
      <c r="F2658" s="25">
        <v>43168</v>
      </c>
      <c r="G2658" s="70" t="s">
        <v>370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4123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370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4124</v>
      </c>
      <c r="B2660" s="67">
        <v>32962624820</v>
      </c>
      <c r="C2660" s="72" t="s">
        <v>4125</v>
      </c>
      <c r="D2660" s="69">
        <v>3430918871</v>
      </c>
      <c r="E2660" s="9"/>
      <c r="F2660" s="25"/>
      <c r="G2660" s="70" t="s">
        <v>370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4126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377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4127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4128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4129</v>
      </c>
      <c r="B2664" s="67" t="s">
        <v>4130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4131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370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4132</v>
      </c>
      <c r="B2666" s="67">
        <v>99048957753</v>
      </c>
      <c r="C2666" s="29" t="s">
        <v>4133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4134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4135</v>
      </c>
      <c r="B2668" s="67">
        <v>11234152851</v>
      </c>
      <c r="C2668" s="72" t="s">
        <v>4136</v>
      </c>
      <c r="D2668" s="69">
        <v>11353668886</v>
      </c>
      <c r="E2668" s="9">
        <v>117</v>
      </c>
      <c r="F2668" s="25">
        <v>43117</v>
      </c>
      <c r="G2668" s="70" t="s">
        <v>370</v>
      </c>
      <c r="H2668" s="25">
        <v>43151</v>
      </c>
      <c r="I2668" s="8"/>
      <c r="J2668" s="8"/>
      <c r="K2668" s="8"/>
      <c r="L2668" s="9" t="s">
        <v>522</v>
      </c>
      <c r="M2668" s="8"/>
    </row>
    <row r="2669" spans="1:13" x14ac:dyDescent="0.25">
      <c r="A2669" s="14" t="s">
        <v>4137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4138</v>
      </c>
      <c r="B2670" s="67">
        <v>39109326812</v>
      </c>
      <c r="C2670" s="29" t="s">
        <v>4139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4140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370</v>
      </c>
      <c r="H2671" s="25">
        <v>42921</v>
      </c>
      <c r="I2671" s="8"/>
      <c r="J2671" s="8"/>
      <c r="K2671" s="8"/>
      <c r="L2671" s="9" t="s">
        <v>490</v>
      </c>
      <c r="M2671" s="8"/>
    </row>
    <row r="2672" spans="1:13" x14ac:dyDescent="0.25">
      <c r="A2672" s="71" t="s">
        <v>4141</v>
      </c>
      <c r="B2672" s="67">
        <v>33211970819</v>
      </c>
      <c r="C2672" s="72" t="s">
        <v>4142</v>
      </c>
      <c r="D2672" s="69">
        <v>22546816802</v>
      </c>
      <c r="E2672" s="9">
        <v>810</v>
      </c>
      <c r="F2672" s="25">
        <v>42915</v>
      </c>
      <c r="G2672" s="70" t="s">
        <v>370</v>
      </c>
      <c r="H2672" s="25">
        <v>42921</v>
      </c>
      <c r="I2672" s="8"/>
      <c r="J2672" s="8"/>
      <c r="K2672" s="8"/>
      <c r="L2672" s="9" t="s">
        <v>490</v>
      </c>
      <c r="M2672" s="8"/>
    </row>
    <row r="2673" spans="1:13" x14ac:dyDescent="0.25">
      <c r="A2673" s="71" t="s">
        <v>4143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370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4144</v>
      </c>
      <c r="B2674" s="67">
        <v>45170442890</v>
      </c>
      <c r="C2674" s="18" t="s">
        <v>481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4145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370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4146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370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4147</v>
      </c>
      <c r="B2677" s="67"/>
      <c r="C2677" s="71" t="s">
        <v>4148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4149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4150</v>
      </c>
      <c r="B2679" s="67"/>
      <c r="C2679" s="29" t="s">
        <v>481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4151</v>
      </c>
      <c r="B2680" s="67">
        <v>1846996490</v>
      </c>
      <c r="C2680" s="72" t="s">
        <v>4152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4153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370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4154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370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4155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370</v>
      </c>
      <c r="H2683" s="25">
        <v>43027</v>
      </c>
      <c r="I2683" s="8"/>
      <c r="J2683" s="8"/>
      <c r="K2683" s="8"/>
      <c r="L2683" s="9" t="s">
        <v>605</v>
      </c>
      <c r="M2683" s="8"/>
    </row>
    <row r="2684" spans="1:13" x14ac:dyDescent="0.25">
      <c r="A2684" s="13" t="s">
        <v>4156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370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4157</v>
      </c>
      <c r="B2685" s="67"/>
      <c r="C2685" s="29" t="s">
        <v>481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4158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370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4159</v>
      </c>
      <c r="B2687" s="67">
        <v>18033634871</v>
      </c>
      <c r="C2687" s="72" t="s">
        <v>4160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4161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4162</v>
      </c>
      <c r="B2689" s="67">
        <v>16155105839</v>
      </c>
      <c r="C2689" s="72" t="s">
        <v>4163</v>
      </c>
      <c r="D2689" s="69">
        <v>53581717468</v>
      </c>
      <c r="E2689" s="9">
        <v>1359</v>
      </c>
      <c r="F2689" s="25">
        <v>43006</v>
      </c>
      <c r="G2689" s="70" t="s">
        <v>370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4164</v>
      </c>
      <c r="B2690" s="67">
        <v>33244692877</v>
      </c>
      <c r="C2690" s="72" t="s">
        <v>4165</v>
      </c>
      <c r="D2690" s="69">
        <v>7582246802</v>
      </c>
      <c r="E2690" s="9">
        <v>1417</v>
      </c>
      <c r="F2690" s="25">
        <v>43017</v>
      </c>
      <c r="G2690" s="70" t="s">
        <v>370</v>
      </c>
      <c r="H2690" s="25">
        <v>43027</v>
      </c>
      <c r="I2690" s="8"/>
      <c r="J2690" s="8"/>
      <c r="K2690" s="8"/>
      <c r="L2690" s="9" t="s">
        <v>605</v>
      </c>
      <c r="M2690" s="8"/>
    </row>
    <row r="2691" spans="1:13" x14ac:dyDescent="0.25">
      <c r="A2691" s="71" t="s">
        <v>4166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4167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4168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4169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4170</v>
      </c>
      <c r="B2695" s="67">
        <v>8715634795</v>
      </c>
      <c r="C2695" s="72" t="s">
        <v>4171</v>
      </c>
      <c r="D2695" s="69">
        <v>30386378827</v>
      </c>
      <c r="E2695" s="9">
        <v>1106</v>
      </c>
      <c r="F2695" s="25">
        <v>42965</v>
      </c>
      <c r="G2695" s="70" t="s">
        <v>370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4172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370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4173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370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4174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4175</v>
      </c>
      <c r="B2699" s="67">
        <v>85941933517</v>
      </c>
      <c r="C2699" s="72" t="s">
        <v>4176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4177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4178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4179</v>
      </c>
      <c r="B2702" s="67"/>
      <c r="C2702" s="18" t="s">
        <v>481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4180</v>
      </c>
      <c r="B2703" s="67">
        <v>39766945845</v>
      </c>
      <c r="C2703" s="72" t="s">
        <v>4181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4182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370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4183</v>
      </c>
      <c r="B2705" s="67">
        <v>16374846826</v>
      </c>
      <c r="C2705" s="72" t="s">
        <v>4184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4185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4186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370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4187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370</v>
      </c>
      <c r="H2708" s="9"/>
      <c r="I2708" s="8"/>
      <c r="J2708" s="8"/>
      <c r="K2708" s="8"/>
      <c r="L2708" s="9" t="s">
        <v>749</v>
      </c>
      <c r="M2708" s="8"/>
    </row>
    <row r="2709" spans="1:13" x14ac:dyDescent="0.25">
      <c r="A2709" s="71" t="s">
        <v>4188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370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4189</v>
      </c>
      <c r="B2710" s="67">
        <v>14337129898</v>
      </c>
      <c r="C2710" s="77" t="s">
        <v>4190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4191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370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4192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370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4193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4194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4195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370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4196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4197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4198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385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4199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370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4200</v>
      </c>
      <c r="B2720" s="67">
        <v>38482003844</v>
      </c>
      <c r="C2720" s="72" t="s">
        <v>4201</v>
      </c>
      <c r="D2720" s="69">
        <v>34337869840</v>
      </c>
      <c r="E2720" s="9">
        <v>117</v>
      </c>
      <c r="F2720" s="25">
        <v>43117</v>
      </c>
      <c r="G2720" s="70" t="s">
        <v>370</v>
      </c>
      <c r="H2720" s="25">
        <v>43151</v>
      </c>
      <c r="I2720" s="8"/>
      <c r="J2720" s="8"/>
      <c r="K2720" s="8"/>
      <c r="L2720" s="9" t="s">
        <v>522</v>
      </c>
      <c r="M2720" s="8"/>
    </row>
    <row r="2721" spans="1:13" x14ac:dyDescent="0.25">
      <c r="A2721" s="71" t="s">
        <v>4202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4203</v>
      </c>
      <c r="B2722" s="67">
        <v>33079736818</v>
      </c>
      <c r="C2722" s="72" t="s">
        <v>4204</v>
      </c>
      <c r="D2722" s="69">
        <v>35642667807</v>
      </c>
      <c r="E2722" s="9">
        <v>262</v>
      </c>
      <c r="F2722" s="25">
        <v>43160</v>
      </c>
      <c r="G2722" s="70" t="s">
        <v>370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4205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4206</v>
      </c>
      <c r="B2724" s="67">
        <v>31620090813</v>
      </c>
      <c r="C2724" s="72" t="s">
        <v>4207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4208</v>
      </c>
      <c r="B2725" s="67">
        <v>39621579805</v>
      </c>
      <c r="C2725" s="77" t="s">
        <v>4209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4210</v>
      </c>
      <c r="B2726" s="67">
        <v>221267328</v>
      </c>
      <c r="C2726" s="72" t="s">
        <v>4211</v>
      </c>
      <c r="D2726" s="69">
        <v>98610830306</v>
      </c>
      <c r="E2726" s="9">
        <v>85</v>
      </c>
      <c r="F2726" s="25">
        <v>43109</v>
      </c>
      <c r="G2726" s="70" t="s">
        <v>370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4212</v>
      </c>
      <c r="B2727" s="67">
        <v>35706262888</v>
      </c>
      <c r="C2727" s="71" t="s">
        <v>4213</v>
      </c>
      <c r="D2727" s="69">
        <v>28992397836</v>
      </c>
      <c r="E2727" s="9">
        <v>292</v>
      </c>
      <c r="F2727" s="25">
        <v>43168</v>
      </c>
      <c r="G2727" s="9" t="s">
        <v>370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4214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370</v>
      </c>
      <c r="H2728" s="25">
        <v>42921</v>
      </c>
      <c r="I2728" s="8"/>
      <c r="J2728" s="8"/>
      <c r="K2728" s="8"/>
      <c r="L2728" s="9" t="s">
        <v>490</v>
      </c>
      <c r="M2728" s="8"/>
    </row>
    <row r="2729" spans="1:13" x14ac:dyDescent="0.25">
      <c r="A2729" s="71" t="s">
        <v>4215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370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4216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4217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370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4218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4219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4220</v>
      </c>
      <c r="B2734" s="67">
        <v>34393827880</v>
      </c>
      <c r="C2734" s="72" t="s">
        <v>4221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4222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4223</v>
      </c>
      <c r="B2736" s="67">
        <v>35679630826</v>
      </c>
      <c r="C2736" s="72" t="s">
        <v>4224</v>
      </c>
      <c r="D2736" s="69">
        <v>34083542861</v>
      </c>
      <c r="E2736" s="9">
        <v>1752</v>
      </c>
      <c r="F2736" s="25">
        <v>43051</v>
      </c>
      <c r="G2736" s="70" t="s">
        <v>370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4225</v>
      </c>
      <c r="B2737" s="67">
        <v>34949006800</v>
      </c>
      <c r="C2737" s="18" t="s">
        <v>4226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4227</v>
      </c>
      <c r="B2738" s="67">
        <v>1157524559</v>
      </c>
      <c r="C2738" s="72" t="s">
        <v>4228</v>
      </c>
      <c r="D2738" s="69">
        <v>1436524512</v>
      </c>
      <c r="E2738" s="9">
        <v>117</v>
      </c>
      <c r="F2738" s="25">
        <v>43117</v>
      </c>
      <c r="G2738" s="70" t="s">
        <v>377</v>
      </c>
      <c r="H2738" s="25">
        <v>43151</v>
      </c>
      <c r="I2738" s="8"/>
      <c r="J2738" s="8"/>
      <c r="K2738" s="8"/>
      <c r="L2738" s="9" t="s">
        <v>522</v>
      </c>
      <c r="M2738" s="8"/>
    </row>
    <row r="2739" spans="1:13" x14ac:dyDescent="0.25">
      <c r="A2739" s="71" t="s">
        <v>4229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370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4230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370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4231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370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4232</v>
      </c>
      <c r="B2742" s="67">
        <v>21686263830</v>
      </c>
      <c r="C2742" s="29" t="s">
        <v>4233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4234</v>
      </c>
      <c r="B2743" s="67">
        <v>22497995800</v>
      </c>
      <c r="C2743" s="18" t="s">
        <v>4235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4236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370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4237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4238</v>
      </c>
      <c r="B2746" s="67">
        <v>40291692877</v>
      </c>
      <c r="C2746" s="72" t="s">
        <v>4239</v>
      </c>
      <c r="D2746" s="69">
        <v>1566073367</v>
      </c>
      <c r="E2746" s="9">
        <v>810</v>
      </c>
      <c r="F2746" s="25">
        <v>42915</v>
      </c>
      <c r="G2746" s="70" t="s">
        <v>370</v>
      </c>
      <c r="H2746" s="25">
        <v>42921</v>
      </c>
      <c r="I2746" s="8"/>
      <c r="J2746" s="8"/>
      <c r="K2746" s="8"/>
      <c r="L2746" s="9" t="s">
        <v>490</v>
      </c>
      <c r="M2746" s="8"/>
    </row>
    <row r="2747" spans="1:13" x14ac:dyDescent="0.25">
      <c r="A2747" s="72" t="s">
        <v>4240</v>
      </c>
      <c r="B2747" s="67">
        <v>11767064896</v>
      </c>
      <c r="C2747" s="72" t="s">
        <v>4241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4242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370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4243</v>
      </c>
      <c r="B2749" s="67">
        <v>49009893391</v>
      </c>
      <c r="C2749" s="72" t="s">
        <v>4244</v>
      </c>
      <c r="D2749" s="69">
        <v>37349813368</v>
      </c>
      <c r="E2749" s="9">
        <v>292</v>
      </c>
      <c r="F2749" s="25">
        <v>43168</v>
      </c>
      <c r="G2749" s="70" t="s">
        <v>370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4245</v>
      </c>
      <c r="B2750" s="67">
        <v>92361587572</v>
      </c>
      <c r="C2750" s="72" t="s">
        <v>4246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4247</v>
      </c>
      <c r="B2751" s="67">
        <v>17487435890</v>
      </c>
      <c r="C2751" s="72" t="s">
        <v>4248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4249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370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4250</v>
      </c>
      <c r="B2753" s="67">
        <v>86815121615</v>
      </c>
      <c r="C2753" s="72" t="s">
        <v>4251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4252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4253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4254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370</v>
      </c>
      <c r="H2756" s="25">
        <v>42921</v>
      </c>
      <c r="I2756" s="8"/>
      <c r="J2756" s="8"/>
      <c r="K2756" s="8"/>
      <c r="L2756" s="9" t="s">
        <v>490</v>
      </c>
      <c r="M2756" s="8"/>
    </row>
    <row r="2757" spans="1:13" x14ac:dyDescent="0.25">
      <c r="A2757" s="72" t="s">
        <v>4255</v>
      </c>
      <c r="B2757" s="67">
        <v>25261161800</v>
      </c>
      <c r="C2757" s="72" t="s">
        <v>4256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4257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370</v>
      </c>
      <c r="H2758" s="25">
        <v>43151</v>
      </c>
      <c r="I2758" s="8"/>
      <c r="J2758" s="8"/>
      <c r="K2758" s="8"/>
      <c r="L2758" s="9" t="s">
        <v>522</v>
      </c>
      <c r="M2758" s="8"/>
    </row>
    <row r="2759" spans="1:13" x14ac:dyDescent="0.25">
      <c r="A2759" s="71" t="s">
        <v>4258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370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4259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4260</v>
      </c>
      <c r="B2761" s="67">
        <v>22638604879</v>
      </c>
      <c r="C2761" s="72" t="s">
        <v>4261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4262</v>
      </c>
      <c r="B2762" s="67" t="s">
        <v>4263</v>
      </c>
      <c r="C2762" s="18" t="s">
        <v>4264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4265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4266</v>
      </c>
      <c r="B2764" s="67">
        <v>32880462886</v>
      </c>
      <c r="C2764" s="72" t="s">
        <v>4267</v>
      </c>
      <c r="D2764" s="69">
        <v>30845711806</v>
      </c>
      <c r="E2764" s="9">
        <v>810</v>
      </c>
      <c r="F2764" s="25">
        <v>42915</v>
      </c>
      <c r="G2764" s="70" t="s">
        <v>370</v>
      </c>
      <c r="H2764" s="25">
        <v>42921</v>
      </c>
      <c r="I2764" s="8"/>
      <c r="J2764" s="8"/>
      <c r="K2764" s="8"/>
      <c r="L2764" s="9" t="s">
        <v>490</v>
      </c>
      <c r="M2764" s="8"/>
    </row>
    <row r="2765" spans="1:13" x14ac:dyDescent="0.25">
      <c r="A2765" s="29" t="s">
        <v>4268</v>
      </c>
      <c r="B2765" s="67">
        <v>31228758883</v>
      </c>
      <c r="C2765" s="29" t="s">
        <v>4269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4270</v>
      </c>
      <c r="B2766" s="67">
        <v>40443218846</v>
      </c>
      <c r="C2766" s="88" t="s">
        <v>4271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4272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370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4273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377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4274</v>
      </c>
      <c r="B2769" s="67"/>
      <c r="C2769" s="29" t="s">
        <v>4275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4276</v>
      </c>
      <c r="B2770" s="67">
        <v>34462426860</v>
      </c>
      <c r="C2770" s="72" t="s">
        <v>4277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651</v>
      </c>
      <c r="M2770" s="8"/>
    </row>
    <row r="2771" spans="1:13" x14ac:dyDescent="0.25">
      <c r="A2771" s="15" t="s">
        <v>4278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370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4279</v>
      </c>
      <c r="B2772" s="67">
        <v>39600488827</v>
      </c>
      <c r="C2772" s="72" t="s">
        <v>4280</v>
      </c>
      <c r="D2772" s="69">
        <v>34795746885</v>
      </c>
      <c r="E2772" s="9">
        <v>292</v>
      </c>
      <c r="F2772" s="25">
        <v>43168</v>
      </c>
      <c r="G2772" s="70" t="s">
        <v>370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4281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4282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385</v>
      </c>
      <c r="H2774" s="25">
        <v>42921</v>
      </c>
      <c r="I2774" s="8"/>
      <c r="J2774" s="8"/>
      <c r="K2774" s="8"/>
      <c r="L2774" s="9" t="s">
        <v>490</v>
      </c>
      <c r="M2774" s="8"/>
    </row>
    <row r="2775" spans="1:13" x14ac:dyDescent="0.25">
      <c r="A2775" s="71" t="s">
        <v>4283</v>
      </c>
      <c r="B2775" s="67">
        <v>32768872822</v>
      </c>
      <c r="C2775" s="72" t="s">
        <v>4284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4285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370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4286</v>
      </c>
      <c r="B2777" s="67">
        <v>85942588104</v>
      </c>
      <c r="C2777" s="88" t="s">
        <v>4287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4288</v>
      </c>
      <c r="B2778" s="67"/>
      <c r="C2778" s="29" t="s">
        <v>481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4289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370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4290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370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4291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4292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4293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370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4294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370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4295</v>
      </c>
      <c r="B2785" s="67">
        <v>30834349876</v>
      </c>
      <c r="C2785" s="72" t="s">
        <v>4296</v>
      </c>
      <c r="D2785" s="69">
        <v>58355561520</v>
      </c>
      <c r="E2785" s="9">
        <v>262</v>
      </c>
      <c r="F2785" s="25">
        <v>43160</v>
      </c>
      <c r="G2785" s="70" t="s">
        <v>370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4297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370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4298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377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4299</v>
      </c>
      <c r="B2788" s="67">
        <v>22682142818</v>
      </c>
      <c r="C2788" s="72" t="s">
        <v>3099</v>
      </c>
      <c r="D2788" s="69">
        <v>22853401847</v>
      </c>
      <c r="E2788" s="9">
        <v>117</v>
      </c>
      <c r="F2788" s="25">
        <v>43117</v>
      </c>
      <c r="G2788" s="70" t="s">
        <v>370</v>
      </c>
      <c r="H2788" s="25">
        <v>43151</v>
      </c>
      <c r="I2788" s="8"/>
      <c r="J2788" s="8"/>
      <c r="K2788" s="8"/>
      <c r="L2788" s="9" t="s">
        <v>522</v>
      </c>
      <c r="M2788" s="8"/>
    </row>
    <row r="2789" spans="1:13" x14ac:dyDescent="0.25">
      <c r="A2789" s="71" t="s">
        <v>4300</v>
      </c>
      <c r="B2789" s="67">
        <v>32700235886</v>
      </c>
      <c r="C2789" s="72" t="s">
        <v>4301</v>
      </c>
      <c r="D2789" s="69">
        <v>30542314886</v>
      </c>
      <c r="E2789" s="9">
        <v>292</v>
      </c>
      <c r="F2789" s="25">
        <v>43168</v>
      </c>
      <c r="G2789" s="70" t="s">
        <v>370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4302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4303</v>
      </c>
      <c r="B2791" s="67">
        <v>12487731877</v>
      </c>
      <c r="C2791" s="72" t="s">
        <v>4304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4305</v>
      </c>
      <c r="B2792" s="67" t="s">
        <v>4306</v>
      </c>
      <c r="C2792" s="88" t="s">
        <v>4307</v>
      </c>
      <c r="D2792" s="69" t="s">
        <v>4308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4309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370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4310</v>
      </c>
      <c r="B2794" s="67">
        <v>35705436840</v>
      </c>
      <c r="C2794" s="88" t="s">
        <v>4311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4312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385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4313</v>
      </c>
      <c r="B2796" s="67">
        <v>34086913801</v>
      </c>
      <c r="C2796" s="72" t="s">
        <v>4314</v>
      </c>
      <c r="D2796" s="69">
        <v>31013050800</v>
      </c>
      <c r="E2796" s="9">
        <v>229</v>
      </c>
      <c r="F2796" s="25">
        <v>43151</v>
      </c>
      <c r="G2796" s="70" t="s">
        <v>370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4315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370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4316</v>
      </c>
      <c r="B2798" s="67">
        <v>24648996828</v>
      </c>
      <c r="C2798" s="72" t="s">
        <v>4317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4318</v>
      </c>
      <c r="B2799" s="67">
        <v>87445824472</v>
      </c>
      <c r="C2799" s="72" t="s">
        <v>4319</v>
      </c>
      <c r="D2799" s="69">
        <v>30439764874</v>
      </c>
      <c r="E2799" s="9">
        <v>1417</v>
      </c>
      <c r="F2799" s="25">
        <v>43017</v>
      </c>
      <c r="G2799" s="70" t="s">
        <v>370</v>
      </c>
      <c r="H2799" s="25">
        <v>43027</v>
      </c>
      <c r="I2799" s="8"/>
      <c r="J2799" s="8"/>
      <c r="K2799" s="8"/>
      <c r="L2799" s="9" t="s">
        <v>605</v>
      </c>
      <c r="M2799" s="8"/>
    </row>
    <row r="2800" spans="1:13" x14ac:dyDescent="0.25">
      <c r="A2800" s="71" t="s">
        <v>4320</v>
      </c>
      <c r="B2800" s="67">
        <v>25630230840</v>
      </c>
      <c r="C2800" s="77" t="s">
        <v>4321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651</v>
      </c>
      <c r="M2800" s="8"/>
    </row>
    <row r="2801" spans="1:13" x14ac:dyDescent="0.25">
      <c r="A2801" s="71" t="s">
        <v>4322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370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4323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370</v>
      </c>
      <c r="H2802" s="25">
        <v>43027</v>
      </c>
      <c r="I2802" s="8"/>
      <c r="J2802" s="8"/>
      <c r="K2802" s="8"/>
      <c r="L2802" s="9" t="s">
        <v>605</v>
      </c>
      <c r="M2802" s="8"/>
    </row>
    <row r="2803" spans="1:13" x14ac:dyDescent="0.25">
      <c r="A2803" s="71" t="s">
        <v>4324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4325</v>
      </c>
      <c r="B2804" s="67">
        <v>17128618830</v>
      </c>
      <c r="C2804" s="72" t="s">
        <v>4326</v>
      </c>
      <c r="D2804" s="69">
        <v>69305315534</v>
      </c>
      <c r="E2804" s="9">
        <v>810</v>
      </c>
      <c r="F2804" s="25">
        <v>42915</v>
      </c>
      <c r="G2804" s="70" t="s">
        <v>377</v>
      </c>
      <c r="H2804" s="25">
        <v>42921</v>
      </c>
      <c r="I2804" s="8"/>
      <c r="J2804" s="8"/>
      <c r="K2804" s="8"/>
      <c r="L2804" s="9" t="s">
        <v>490</v>
      </c>
      <c r="M2804" s="8"/>
    </row>
    <row r="2805" spans="1:13" x14ac:dyDescent="0.25">
      <c r="A2805" s="71" t="s">
        <v>4327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4328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4329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4330</v>
      </c>
      <c r="B2808" s="67">
        <v>79572421468</v>
      </c>
      <c r="C2808" s="29" t="s">
        <v>4331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4332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370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4333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4334</v>
      </c>
      <c r="B2811" s="67">
        <v>44518427866</v>
      </c>
      <c r="C2811" s="72" t="s">
        <v>4335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4336</v>
      </c>
      <c r="B2812" s="67">
        <v>35625515840</v>
      </c>
      <c r="C2812" s="72" t="s">
        <v>4337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4338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4339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651</v>
      </c>
      <c r="M2814" s="8"/>
    </row>
    <row r="2815" spans="1:13" x14ac:dyDescent="0.25">
      <c r="A2815" s="18" t="s">
        <v>4340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4341</v>
      </c>
      <c r="B2816" s="67">
        <v>40663707803</v>
      </c>
      <c r="C2816" s="72" t="s">
        <v>4342</v>
      </c>
      <c r="D2816" s="69">
        <v>35138540807</v>
      </c>
      <c r="E2816" s="9">
        <v>262</v>
      </c>
      <c r="F2816" s="25">
        <v>43160</v>
      </c>
      <c r="G2816" s="70" t="s">
        <v>370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4343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4344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4345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370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4346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370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4347</v>
      </c>
      <c r="B2821" s="67"/>
      <c r="C2821" s="29" t="s">
        <v>4348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4349</v>
      </c>
      <c r="B2822" s="67">
        <v>40874659850</v>
      </c>
      <c r="C2822" s="77" t="s">
        <v>4350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651</v>
      </c>
      <c r="M2822" s="8"/>
    </row>
    <row r="2823" spans="1:13" x14ac:dyDescent="0.25">
      <c r="A2823" s="29" t="s">
        <v>4351</v>
      </c>
      <c r="B2823" s="67"/>
      <c r="C2823" s="29" t="s">
        <v>4352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4353</v>
      </c>
      <c r="B2824" s="67">
        <v>37028047814</v>
      </c>
      <c r="C2824" s="72" t="s">
        <v>4354</v>
      </c>
      <c r="D2824" s="69">
        <v>34812554896</v>
      </c>
      <c r="E2824" s="9">
        <v>1824</v>
      </c>
      <c r="F2824" s="25">
        <v>43091</v>
      </c>
      <c r="G2824" s="70" t="s">
        <v>370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4355</v>
      </c>
      <c r="B2825" s="67">
        <v>10774591650</v>
      </c>
      <c r="C2825" s="72" t="s">
        <v>4356</v>
      </c>
      <c r="D2825" s="69">
        <v>33230795822</v>
      </c>
      <c r="E2825" s="9">
        <v>292</v>
      </c>
      <c r="F2825" s="25">
        <v>43168</v>
      </c>
      <c r="G2825" s="70" t="s">
        <v>370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4357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370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4358</v>
      </c>
      <c r="B2827" s="67">
        <v>42779099810</v>
      </c>
      <c r="C2827" s="18" t="s">
        <v>4359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4360</v>
      </c>
      <c r="B2828" s="67">
        <v>50748310835</v>
      </c>
      <c r="C2828" s="18" t="s">
        <v>4361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4362</v>
      </c>
      <c r="B2829" s="67">
        <v>42651266850</v>
      </c>
      <c r="C2829" s="72" t="s">
        <v>4363</v>
      </c>
      <c r="D2829" s="69">
        <v>3580715429</v>
      </c>
      <c r="E2829" s="9">
        <v>1350</v>
      </c>
      <c r="F2829" s="25">
        <v>43006</v>
      </c>
      <c r="G2829" s="70" t="s">
        <v>370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4364</v>
      </c>
      <c r="B2830" s="67">
        <v>36474824808</v>
      </c>
      <c r="C2830" s="72" t="s">
        <v>4365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4366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4367</v>
      </c>
      <c r="B2832" s="67">
        <v>22034628845</v>
      </c>
      <c r="C2832" s="72" t="s">
        <v>4368</v>
      </c>
      <c r="D2832" s="69">
        <v>26990288515</v>
      </c>
      <c r="E2832" s="9">
        <v>1555</v>
      </c>
      <c r="F2832" s="25">
        <v>43049</v>
      </c>
      <c r="G2832" s="70" t="s">
        <v>370</v>
      </c>
      <c r="H2832" s="9"/>
      <c r="I2832" s="8"/>
      <c r="J2832" s="8"/>
      <c r="K2832" s="8"/>
      <c r="L2832" s="9" t="s">
        <v>749</v>
      </c>
      <c r="M2832" s="8"/>
    </row>
    <row r="2833" spans="1:13" x14ac:dyDescent="0.25">
      <c r="A2833" s="71" t="s">
        <v>4369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4370</v>
      </c>
      <c r="B2834" s="67">
        <v>10782475876</v>
      </c>
      <c r="C2834" s="72" t="s">
        <v>4371</v>
      </c>
      <c r="D2834" s="69">
        <v>616947895</v>
      </c>
      <c r="E2834" s="9">
        <v>1214</v>
      </c>
      <c r="F2834" s="25">
        <v>42989</v>
      </c>
      <c r="G2834" s="70" t="s">
        <v>370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4372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370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4373</v>
      </c>
      <c r="B2836" s="67"/>
      <c r="C2836" s="18" t="s">
        <v>481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4374</v>
      </c>
      <c r="B2837" s="67">
        <v>42151049809</v>
      </c>
      <c r="C2837" s="68" t="s">
        <v>4375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4376</v>
      </c>
      <c r="B2838" s="67">
        <v>38785656828</v>
      </c>
      <c r="C2838" s="18" t="s">
        <v>4377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4378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4379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370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4380</v>
      </c>
      <c r="B2841" s="67">
        <v>22815009854</v>
      </c>
      <c r="C2841" s="77" t="s">
        <v>4381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4382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377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4383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4384</v>
      </c>
      <c r="B2844" s="67">
        <v>40506629813</v>
      </c>
      <c r="C2844" s="72" t="s">
        <v>4385</v>
      </c>
      <c r="D2844" s="69">
        <v>32485329800</v>
      </c>
      <c r="E2844" s="9">
        <v>262</v>
      </c>
      <c r="F2844" s="25">
        <v>43160</v>
      </c>
      <c r="G2844" s="70" t="s">
        <v>370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4386</v>
      </c>
      <c r="B2845" s="67">
        <v>31504729897</v>
      </c>
      <c r="C2845" s="68" t="s">
        <v>4387</v>
      </c>
      <c r="D2845" s="69">
        <v>24816878840</v>
      </c>
      <c r="E2845" s="9">
        <v>1214</v>
      </c>
      <c r="F2845" s="25">
        <v>42989</v>
      </c>
      <c r="G2845" s="70" t="s">
        <v>370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4388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370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4389</v>
      </c>
      <c r="B2847" s="67">
        <v>12925287700</v>
      </c>
      <c r="C2847" s="72" t="s">
        <v>4390</v>
      </c>
      <c r="D2847" s="69">
        <v>37253983807</v>
      </c>
      <c r="E2847" s="9">
        <v>1752</v>
      </c>
      <c r="F2847" s="25">
        <v>43051</v>
      </c>
      <c r="G2847" s="70" t="s">
        <v>370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4391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651</v>
      </c>
      <c r="M2848" s="8"/>
    </row>
    <row r="2849" spans="1:13" x14ac:dyDescent="0.25">
      <c r="A2849" s="71" t="s">
        <v>4392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370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4393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370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4394</v>
      </c>
      <c r="B2851" s="67">
        <v>26735743873</v>
      </c>
      <c r="C2851" s="72" t="s">
        <v>4395</v>
      </c>
      <c r="D2851" s="69">
        <v>14913845810</v>
      </c>
      <c r="E2851" s="9">
        <v>1214</v>
      </c>
      <c r="F2851" s="25">
        <v>42989</v>
      </c>
      <c r="G2851" s="70" t="s">
        <v>377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4396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370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4397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370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4398</v>
      </c>
      <c r="B2854" s="67">
        <v>26193222863</v>
      </c>
      <c r="C2854" s="18" t="s">
        <v>4399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4400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4401</v>
      </c>
      <c r="B2856" s="67">
        <v>3381508890</v>
      </c>
      <c r="C2856" s="72" t="s">
        <v>4402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651</v>
      </c>
      <c r="M2856" s="8"/>
    </row>
    <row r="2857" spans="1:13" x14ac:dyDescent="0.25">
      <c r="A2857" s="15" t="s">
        <v>4403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370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4404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4405</v>
      </c>
      <c r="B2859" s="67">
        <v>11507771843</v>
      </c>
      <c r="C2859" s="72" t="s">
        <v>4406</v>
      </c>
      <c r="D2859" s="69">
        <v>6898979876</v>
      </c>
      <c r="E2859" s="9">
        <v>292</v>
      </c>
      <c r="F2859" s="25">
        <v>43168</v>
      </c>
      <c r="G2859" s="70" t="s">
        <v>370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4407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370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4408</v>
      </c>
      <c r="B2861" s="67">
        <v>42597970850</v>
      </c>
      <c r="C2861" s="72" t="s">
        <v>4409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4410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4411</v>
      </c>
      <c r="B2863" s="67"/>
      <c r="C2863" s="29" t="s">
        <v>4412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4413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370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4414</v>
      </c>
      <c r="B2865" s="67">
        <v>48081983805</v>
      </c>
      <c r="C2865" s="77" t="s">
        <v>4415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4416</v>
      </c>
      <c r="B2866" s="67">
        <v>43249836826</v>
      </c>
      <c r="C2866" s="72" t="s">
        <v>4417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4418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370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4419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4420</v>
      </c>
      <c r="B2869" s="67">
        <v>11894872681</v>
      </c>
      <c r="C2869" s="72" t="s">
        <v>4421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4422</v>
      </c>
      <c r="B2870" s="67">
        <v>40155044885</v>
      </c>
      <c r="C2870" s="72" t="s">
        <v>4423</v>
      </c>
      <c r="D2870" s="69">
        <v>34935837888</v>
      </c>
      <c r="E2870" s="9">
        <v>292</v>
      </c>
      <c r="F2870" s="25">
        <v>43168</v>
      </c>
      <c r="G2870" s="9" t="s">
        <v>370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4424</v>
      </c>
      <c r="B2871" s="67">
        <v>35165262898</v>
      </c>
      <c r="C2871" s="68" t="s">
        <v>4425</v>
      </c>
      <c r="D2871" s="69">
        <v>34112749805</v>
      </c>
      <c r="E2871" s="9">
        <v>1241</v>
      </c>
      <c r="F2871" s="25">
        <v>42992</v>
      </c>
      <c r="G2871" s="70" t="s">
        <v>370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4426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370</v>
      </c>
      <c r="H2872" s="25">
        <v>43151</v>
      </c>
      <c r="I2872" s="8"/>
      <c r="J2872" s="8"/>
      <c r="K2872" s="8"/>
      <c r="L2872" s="9" t="s">
        <v>522</v>
      </c>
      <c r="M2872" s="8"/>
    </row>
    <row r="2873" spans="1:13" x14ac:dyDescent="0.25">
      <c r="A2873" s="72" t="s">
        <v>4427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4428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370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4429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370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4430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370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4431</v>
      </c>
      <c r="B2877" s="67">
        <v>40770970885</v>
      </c>
      <c r="C2877" s="72" t="s">
        <v>4432</v>
      </c>
      <c r="D2877" s="69">
        <v>43652847890</v>
      </c>
      <c r="E2877" s="9">
        <v>117</v>
      </c>
      <c r="F2877" s="25">
        <v>43117</v>
      </c>
      <c r="G2877" s="70" t="s">
        <v>370</v>
      </c>
      <c r="H2877" s="25">
        <v>43151</v>
      </c>
      <c r="I2877" s="8"/>
      <c r="J2877" s="8"/>
      <c r="K2877" s="8"/>
      <c r="L2877" s="9" t="s">
        <v>522</v>
      </c>
      <c r="M2877" s="8"/>
    </row>
    <row r="2878" spans="1:13" x14ac:dyDescent="0.25">
      <c r="A2878" s="29" t="s">
        <v>4433</v>
      </c>
      <c r="B2878" s="67"/>
      <c r="C2878" s="18" t="s">
        <v>481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4434</v>
      </c>
      <c r="B2879" s="67">
        <v>38462624800</v>
      </c>
      <c r="C2879" s="18" t="s">
        <v>481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4435</v>
      </c>
      <c r="B2880" s="67">
        <v>30942876890</v>
      </c>
      <c r="C2880" s="72" t="s">
        <v>4436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4437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370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4438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370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4439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370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4440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4441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370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4442</v>
      </c>
      <c r="B2886" s="67">
        <v>28965520819</v>
      </c>
      <c r="C2886" s="72" t="s">
        <v>4443</v>
      </c>
      <c r="D2886" s="69">
        <v>8432372447</v>
      </c>
      <c r="E2886" s="9">
        <v>1824</v>
      </c>
      <c r="F2886" s="25">
        <v>43091</v>
      </c>
      <c r="G2886" s="70" t="s">
        <v>377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4444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4445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651</v>
      </c>
      <c r="M2888" s="8"/>
    </row>
    <row r="2889" spans="1:13" x14ac:dyDescent="0.25">
      <c r="A2889" s="71" t="s">
        <v>4446</v>
      </c>
      <c r="B2889" s="67">
        <v>31336065818</v>
      </c>
      <c r="C2889" s="72" t="s">
        <v>4447</v>
      </c>
      <c r="D2889" s="69">
        <v>43264481804</v>
      </c>
      <c r="E2889" s="9">
        <v>1214</v>
      </c>
      <c r="F2889" s="25">
        <v>42989</v>
      </c>
      <c r="G2889" s="70" t="s">
        <v>370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4448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4449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370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4450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370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4451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370</v>
      </c>
      <c r="H2893" s="25">
        <v>43027</v>
      </c>
      <c r="I2893" s="8"/>
      <c r="J2893" s="8"/>
      <c r="K2893" s="8"/>
      <c r="L2893" s="9" t="s">
        <v>853</v>
      </c>
      <c r="M2893" s="8"/>
    </row>
    <row r="2894" spans="1:13" x14ac:dyDescent="0.25">
      <c r="A2894" s="15" t="s">
        <v>4452</v>
      </c>
      <c r="B2894" s="67">
        <v>2655794494</v>
      </c>
      <c r="C2894" s="72" t="s">
        <v>4453</v>
      </c>
      <c r="D2894" s="69">
        <v>96385081591</v>
      </c>
      <c r="E2894" s="9">
        <v>117</v>
      </c>
      <c r="F2894" s="25">
        <v>43117</v>
      </c>
      <c r="G2894" s="70" t="s">
        <v>370</v>
      </c>
      <c r="H2894" s="25">
        <v>43151</v>
      </c>
      <c r="I2894" s="8"/>
      <c r="J2894" s="8"/>
      <c r="K2894" s="8"/>
      <c r="L2894" s="9" t="s">
        <v>522</v>
      </c>
      <c r="M2894" s="8"/>
    </row>
    <row r="2895" spans="1:13" x14ac:dyDescent="0.25">
      <c r="A2895" s="71" t="s">
        <v>4454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370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4455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370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4456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370</v>
      </c>
      <c r="H2897" s="9"/>
      <c r="I2897" s="9">
        <v>229</v>
      </c>
      <c r="J2897" s="25">
        <v>43151</v>
      </c>
      <c r="K2897" s="25">
        <v>43158</v>
      </c>
      <c r="L2897" s="9" t="s">
        <v>512</v>
      </c>
      <c r="M2897" s="25"/>
    </row>
    <row r="2898" spans="1:13" x14ac:dyDescent="0.25">
      <c r="A2898" s="71" t="s">
        <v>4457</v>
      </c>
      <c r="B2898" s="67">
        <v>38085002809</v>
      </c>
      <c r="C2898" s="72" t="s">
        <v>4458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4459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370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4460</v>
      </c>
      <c r="B2900" s="67">
        <v>23357346877</v>
      </c>
      <c r="C2900" s="72" t="s">
        <v>4461</v>
      </c>
      <c r="D2900" s="69">
        <v>39917830880</v>
      </c>
      <c r="E2900" s="9">
        <v>1555</v>
      </c>
      <c r="F2900" s="25">
        <v>43049</v>
      </c>
      <c r="G2900" s="70" t="s">
        <v>370</v>
      </c>
      <c r="H2900" s="9"/>
      <c r="I2900" s="8"/>
      <c r="J2900" s="8"/>
      <c r="K2900" s="8"/>
      <c r="L2900" s="9" t="s">
        <v>749</v>
      </c>
      <c r="M2900" s="8"/>
    </row>
    <row r="2901" spans="1:13" x14ac:dyDescent="0.25">
      <c r="A2901" s="71" t="s">
        <v>4462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4463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370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4464</v>
      </c>
      <c r="B2903" s="67">
        <v>33733642805</v>
      </c>
      <c r="C2903" s="72" t="s">
        <v>4465</v>
      </c>
      <c r="D2903" s="69">
        <v>1860087590</v>
      </c>
      <c r="E2903" s="9">
        <v>85</v>
      </c>
      <c r="F2903" s="25">
        <v>43109</v>
      </c>
      <c r="G2903" s="70" t="s">
        <v>370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4466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370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4467</v>
      </c>
      <c r="B2905" s="67">
        <v>5387678802</v>
      </c>
      <c r="C2905" s="72" t="s">
        <v>4468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4469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370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4470</v>
      </c>
      <c r="B2907" s="67">
        <v>41173451846</v>
      </c>
      <c r="C2907" s="72" t="s">
        <v>4471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4472</v>
      </c>
      <c r="B2908" s="67">
        <v>36432395801</v>
      </c>
      <c r="C2908" s="77" t="s">
        <v>4473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4474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4475</v>
      </c>
      <c r="B2910" s="67">
        <v>28196011890</v>
      </c>
      <c r="C2910" s="72" t="s">
        <v>4476</v>
      </c>
      <c r="D2910" s="69">
        <v>73582980553</v>
      </c>
      <c r="E2910" s="9">
        <v>1262</v>
      </c>
      <c r="F2910" s="25">
        <v>42997</v>
      </c>
      <c r="G2910" s="70" t="s">
        <v>370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4477</v>
      </c>
      <c r="B2911" s="67">
        <v>8710545409</v>
      </c>
      <c r="C2911" s="72" t="s">
        <v>4478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4479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4480</v>
      </c>
      <c r="B2913" s="67">
        <v>27279265880</v>
      </c>
      <c r="C2913" s="77" t="s">
        <v>4481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4482</v>
      </c>
      <c r="B2914" s="67">
        <v>2973007844</v>
      </c>
      <c r="C2914" s="18" t="s">
        <v>481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4483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4484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370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4485</v>
      </c>
      <c r="B2917" s="67">
        <v>97080756391</v>
      </c>
      <c r="C2917" s="68" t="s">
        <v>4486</v>
      </c>
      <c r="D2917" s="69">
        <v>78464463391</v>
      </c>
      <c r="E2917" s="9">
        <v>1343</v>
      </c>
      <c r="F2917" s="25">
        <v>43004</v>
      </c>
      <c r="G2917" s="70" t="s">
        <v>370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4487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4488</v>
      </c>
      <c r="B2919" s="67">
        <v>542688778</v>
      </c>
      <c r="C2919" s="18" t="s">
        <v>481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4489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4490</v>
      </c>
      <c r="B2921" s="67">
        <v>19521938854</v>
      </c>
      <c r="C2921" s="72" t="s">
        <v>4491</v>
      </c>
      <c r="D2921" s="69">
        <v>16398980506</v>
      </c>
      <c r="E2921" s="9">
        <v>1214</v>
      </c>
      <c r="F2921" s="25">
        <v>42989</v>
      </c>
      <c r="G2921" s="70" t="s">
        <v>370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4492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4493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370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4494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370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4495</v>
      </c>
      <c r="B2925" s="67">
        <v>81710763272</v>
      </c>
      <c r="C2925" s="77" t="s">
        <v>4496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4497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370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4498</v>
      </c>
      <c r="B2927" s="67">
        <v>35453812850</v>
      </c>
      <c r="C2927" s="18" t="s">
        <v>4499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4500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4501</v>
      </c>
      <c r="B2929" s="67">
        <v>22665008807</v>
      </c>
      <c r="C2929" s="72" t="s">
        <v>4502</v>
      </c>
      <c r="D2929" s="69">
        <v>35575903800</v>
      </c>
      <c r="E2929" s="9">
        <v>262</v>
      </c>
      <c r="F2929" s="25">
        <v>43160</v>
      </c>
      <c r="G2929" s="9" t="s">
        <v>370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4503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370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4504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4505</v>
      </c>
      <c r="B2932" s="67">
        <v>60615920357</v>
      </c>
      <c r="C2932" s="72" t="s">
        <v>4506</v>
      </c>
      <c r="D2932" s="69">
        <v>4818511358</v>
      </c>
      <c r="E2932" s="9">
        <v>292</v>
      </c>
      <c r="F2932" s="25">
        <v>43168</v>
      </c>
      <c r="G2932" s="9" t="s">
        <v>370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4507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370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4508</v>
      </c>
      <c r="B2934" s="67">
        <v>31633338851</v>
      </c>
      <c r="C2934" s="72" t="s">
        <v>4509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651</v>
      </c>
      <c r="M2934" s="8"/>
    </row>
    <row r="2935" spans="1:13" x14ac:dyDescent="0.25">
      <c r="A2935" s="71" t="s">
        <v>4510</v>
      </c>
      <c r="B2935" s="67">
        <v>42518509801</v>
      </c>
      <c r="C2935" s="72" t="s">
        <v>4511</v>
      </c>
      <c r="D2935" s="69">
        <v>36320707844</v>
      </c>
      <c r="E2935" s="9">
        <v>1752</v>
      </c>
      <c r="F2935" s="25">
        <v>43051</v>
      </c>
      <c r="G2935" s="70" t="s">
        <v>385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4512</v>
      </c>
      <c r="B2936" s="67">
        <v>22958464806</v>
      </c>
      <c r="C2936" s="72" t="s">
        <v>4513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4514</v>
      </c>
      <c r="B2937" s="67">
        <v>31152044850</v>
      </c>
      <c r="C2937" s="72" t="s">
        <v>4515</v>
      </c>
      <c r="D2937" s="69">
        <v>31152043889</v>
      </c>
      <c r="E2937" s="9">
        <v>1128</v>
      </c>
      <c r="F2937" s="25">
        <v>42972</v>
      </c>
      <c r="G2937" s="70" t="s">
        <v>370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4516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370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4517</v>
      </c>
      <c r="B2939" s="80">
        <v>35805723859</v>
      </c>
      <c r="C2939" s="81" t="s">
        <v>4518</v>
      </c>
      <c r="D2939" s="82">
        <v>12726161855</v>
      </c>
      <c r="E2939" s="47">
        <v>1824</v>
      </c>
      <c r="F2939" s="48">
        <v>43091</v>
      </c>
      <c r="G2939" s="83" t="s">
        <v>377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4519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370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4520</v>
      </c>
      <c r="B2941" s="67">
        <v>7358002431</v>
      </c>
      <c r="C2941" s="72" t="s">
        <v>4521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4522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370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4523</v>
      </c>
      <c r="B2943" s="67">
        <v>43354497807</v>
      </c>
      <c r="C2943" s="72" t="s">
        <v>4524</v>
      </c>
      <c r="D2943" s="69">
        <v>40802896855</v>
      </c>
      <c r="E2943" s="9">
        <v>1214</v>
      </c>
      <c r="F2943" s="25">
        <v>42989</v>
      </c>
      <c r="G2943" s="70" t="s">
        <v>370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4525</v>
      </c>
      <c r="B2944" s="67">
        <v>43586522800</v>
      </c>
      <c r="C2944" s="68" t="s">
        <v>4526</v>
      </c>
      <c r="D2944" s="69">
        <v>43586522800</v>
      </c>
      <c r="E2944" s="9">
        <v>1128</v>
      </c>
      <c r="F2944" s="25">
        <v>42972</v>
      </c>
      <c r="G2944" s="70" t="s">
        <v>370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4527</v>
      </c>
      <c r="B2945" s="67">
        <v>17447067865</v>
      </c>
      <c r="C2945" s="72" t="s">
        <v>4528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4529</v>
      </c>
      <c r="B2946" s="67">
        <v>3568560542</v>
      </c>
      <c r="C2946" s="72" t="s">
        <v>4530</v>
      </c>
      <c r="D2946" s="69">
        <v>4078587500</v>
      </c>
      <c r="E2946" s="9">
        <v>1106</v>
      </c>
      <c r="F2946" s="25">
        <v>42965</v>
      </c>
      <c r="G2946" s="70" t="s">
        <v>370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4531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4532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4533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522</v>
      </c>
      <c r="M2949" s="8"/>
    </row>
    <row r="2950" spans="1:13" x14ac:dyDescent="0.25">
      <c r="A2950" s="71" t="s">
        <v>4534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370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4535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370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4536</v>
      </c>
      <c r="B2952" s="67"/>
      <c r="C2952" s="29" t="s">
        <v>4537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4538</v>
      </c>
      <c r="B2953" s="67">
        <v>1326462857</v>
      </c>
      <c r="C2953" s="72" t="s">
        <v>4539</v>
      </c>
      <c r="D2953" s="69">
        <v>4906141838</v>
      </c>
      <c r="E2953" s="9">
        <v>229</v>
      </c>
      <c r="F2953" s="25">
        <v>43151</v>
      </c>
      <c r="G2953" s="70" t="s">
        <v>370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4540</v>
      </c>
      <c r="B2954" s="67">
        <v>7722903428</v>
      </c>
      <c r="C2954" s="29" t="s">
        <v>4541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4542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4543</v>
      </c>
      <c r="B2956" s="67">
        <v>37794411874</v>
      </c>
      <c r="C2956" s="72" t="s">
        <v>4544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4545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4546</v>
      </c>
      <c r="B2958" s="67">
        <v>34093287856</v>
      </c>
      <c r="C2958" s="68" t="s">
        <v>4547</v>
      </c>
      <c r="D2958" s="69">
        <v>1517221536</v>
      </c>
      <c r="E2958" s="9">
        <v>1489</v>
      </c>
      <c r="F2958" s="25"/>
      <c r="G2958" s="70" t="s">
        <v>370</v>
      </c>
      <c r="H2958" s="9"/>
      <c r="I2958" s="8"/>
      <c r="J2958" s="8"/>
      <c r="K2958" s="8"/>
      <c r="L2958" s="9" t="s">
        <v>512</v>
      </c>
      <c r="M2958" s="8"/>
    </row>
    <row r="2959" spans="1:13" x14ac:dyDescent="0.25">
      <c r="A2959" s="71" t="s">
        <v>4548</v>
      </c>
      <c r="B2959" s="67">
        <v>29289559845</v>
      </c>
      <c r="C2959" s="72" t="s">
        <v>4549</v>
      </c>
      <c r="D2959" s="69">
        <v>25585724827</v>
      </c>
      <c r="E2959" s="9">
        <v>1752</v>
      </c>
      <c r="F2959" s="25">
        <v>43051</v>
      </c>
      <c r="G2959" s="70" t="s">
        <v>370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4550</v>
      </c>
      <c r="B2960" s="67"/>
      <c r="C2960" s="29" t="s">
        <v>4551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4552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4553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4554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4555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4556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370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4557</v>
      </c>
      <c r="B2966" s="67">
        <v>32368859802</v>
      </c>
      <c r="C2966" s="68" t="s">
        <v>4558</v>
      </c>
      <c r="D2966" s="69">
        <v>28517056876</v>
      </c>
      <c r="E2966" s="9">
        <v>1343</v>
      </c>
      <c r="F2966" s="25">
        <v>43004</v>
      </c>
      <c r="G2966" s="70" t="s">
        <v>370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4559</v>
      </c>
      <c r="B2967" s="67">
        <v>35104711803</v>
      </c>
      <c r="C2967" s="72" t="s">
        <v>4560</v>
      </c>
      <c r="D2967" s="69">
        <v>34881906844</v>
      </c>
      <c r="E2967" s="9">
        <v>292</v>
      </c>
      <c r="F2967" s="25">
        <v>43168</v>
      </c>
      <c r="G2967" s="9" t="s">
        <v>370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4561</v>
      </c>
      <c r="B2968" s="67">
        <v>23093033802</v>
      </c>
      <c r="C2968" s="29" t="s">
        <v>4562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4563</v>
      </c>
      <c r="B2969" s="67">
        <v>92605494420</v>
      </c>
      <c r="C2969" s="72" t="s">
        <v>4564</v>
      </c>
      <c r="D2969" s="69">
        <v>37622834866</v>
      </c>
      <c r="E2969" s="9">
        <v>608</v>
      </c>
      <c r="F2969" s="25">
        <v>43012</v>
      </c>
      <c r="G2969" s="70" t="s">
        <v>370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4565</v>
      </c>
      <c r="B2970" s="67">
        <v>27646989843</v>
      </c>
      <c r="C2970" s="72" t="s">
        <v>4566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4567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370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4568</v>
      </c>
      <c r="B2972" s="67">
        <v>29312608860</v>
      </c>
      <c r="C2972" s="29" t="s">
        <v>4569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4570</v>
      </c>
      <c r="B2973" s="67"/>
      <c r="C2973" s="29" t="s">
        <v>4571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4572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370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4573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4574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4575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4576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4577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4578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370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4579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370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4580</v>
      </c>
      <c r="B2982" s="67">
        <v>13562151810</v>
      </c>
      <c r="C2982" s="72" t="s">
        <v>4581</v>
      </c>
      <c r="D2982" s="69">
        <v>47393076772</v>
      </c>
      <c r="E2982" s="9">
        <v>292</v>
      </c>
      <c r="F2982" s="25">
        <v>43168</v>
      </c>
      <c r="G2982" s="70" t="s">
        <v>377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4582</v>
      </c>
      <c r="B2983" s="67">
        <v>10488541832</v>
      </c>
      <c r="C2983" s="72" t="s">
        <v>4583</v>
      </c>
      <c r="D2983" s="69">
        <v>8437233860</v>
      </c>
      <c r="E2983" s="9">
        <v>229</v>
      </c>
      <c r="F2983" s="25">
        <v>43151</v>
      </c>
      <c r="G2983" s="70" t="s">
        <v>370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4584</v>
      </c>
      <c r="B2984" s="67">
        <v>52291168894</v>
      </c>
      <c r="C2984" s="29" t="s">
        <v>481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4585</v>
      </c>
      <c r="B2985" s="67">
        <v>32455945855</v>
      </c>
      <c r="C2985" s="77" t="s">
        <v>4586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4587</v>
      </c>
      <c r="B2986" s="67">
        <v>7127228663</v>
      </c>
      <c r="C2986" s="72" t="s">
        <v>4588</v>
      </c>
      <c r="D2986" s="69">
        <v>18053058833</v>
      </c>
      <c r="E2986" s="9">
        <v>1628</v>
      </c>
      <c r="F2986" s="25">
        <v>43077</v>
      </c>
      <c r="G2986" s="70" t="s">
        <v>370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4589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370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4590</v>
      </c>
      <c r="B2988" s="67">
        <v>32318059888</v>
      </c>
      <c r="C2988" s="68" t="s">
        <v>4591</v>
      </c>
      <c r="D2988" s="69">
        <v>38564888807</v>
      </c>
      <c r="E2988" s="9">
        <v>1128</v>
      </c>
      <c r="F2988" s="25">
        <v>42972</v>
      </c>
      <c r="G2988" s="70" t="s">
        <v>370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4592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4593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370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4594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370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4595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370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4596</v>
      </c>
      <c r="B2993" s="67">
        <v>45255799866</v>
      </c>
      <c r="C2993" s="72" t="s">
        <v>4597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4598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370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4599</v>
      </c>
      <c r="B2995" s="67">
        <v>37570860829</v>
      </c>
      <c r="C2995" s="72" t="s">
        <v>4600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4601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370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4602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4603</v>
      </c>
      <c r="B2998" s="67">
        <v>25712620847</v>
      </c>
      <c r="C2998" s="18" t="s">
        <v>4604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4605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651</v>
      </c>
      <c r="M2999" s="8"/>
    </row>
    <row r="3000" spans="1:13" x14ac:dyDescent="0.25">
      <c r="A3000" s="72" t="s">
        <v>4606</v>
      </c>
      <c r="B3000" s="67">
        <v>40000949809</v>
      </c>
      <c r="C3000" s="72" t="s">
        <v>4607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651</v>
      </c>
      <c r="M3000" s="8"/>
    </row>
    <row r="3001" spans="1:13" x14ac:dyDescent="0.25">
      <c r="A3001" s="71" t="s">
        <v>4608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4609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4610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4611</v>
      </c>
      <c r="B3004" s="67"/>
      <c r="C3004" s="29" t="s">
        <v>481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4612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370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4613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4614</v>
      </c>
      <c r="B3007" s="67">
        <v>13517396893</v>
      </c>
      <c r="C3007" s="72" t="s">
        <v>4615</v>
      </c>
      <c r="D3007" s="69">
        <v>61574252453</v>
      </c>
      <c r="E3007" s="9">
        <v>262</v>
      </c>
      <c r="F3007" s="25">
        <v>43160</v>
      </c>
      <c r="G3007" s="70" t="s">
        <v>377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4616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370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4617</v>
      </c>
      <c r="B3009" s="67"/>
      <c r="C3009" s="29" t="s">
        <v>4618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4619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370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4620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370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4621</v>
      </c>
      <c r="B3012" s="67">
        <v>4609966654</v>
      </c>
      <c r="C3012" s="72" t="s">
        <v>4622</v>
      </c>
      <c r="D3012" s="69">
        <v>28402756867</v>
      </c>
      <c r="E3012" s="9">
        <v>292</v>
      </c>
      <c r="F3012" s="25">
        <v>43168</v>
      </c>
      <c r="G3012" s="70" t="s">
        <v>370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4623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370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4624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370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4625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4626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370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4627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4627</v>
      </c>
      <c r="B3018" s="67"/>
      <c r="C3018" s="18" t="s">
        <v>481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4628</v>
      </c>
      <c r="B3019" s="67"/>
      <c r="C3019" s="29" t="s">
        <v>481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4629</v>
      </c>
      <c r="B3020" s="67">
        <v>40882575880</v>
      </c>
      <c r="C3020" s="72" t="s">
        <v>4630</v>
      </c>
      <c r="D3020" s="69">
        <v>39163987848</v>
      </c>
      <c r="E3020" s="9">
        <v>292</v>
      </c>
      <c r="F3020" s="25">
        <v>43168</v>
      </c>
      <c r="G3020" s="70" t="s">
        <v>370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4631</v>
      </c>
      <c r="B3021" s="67"/>
      <c r="C3021" s="29" t="s">
        <v>481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4632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4633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370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4634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4635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4636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4637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370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4638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4639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4640</v>
      </c>
      <c r="B3030" s="67"/>
      <c r="C3030" s="29" t="s">
        <v>481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4641</v>
      </c>
      <c r="B3031" s="67">
        <v>44374068856</v>
      </c>
      <c r="C3031" s="72" t="s">
        <v>4642</v>
      </c>
      <c r="D3031" s="69">
        <v>34698741823</v>
      </c>
      <c r="E3031" s="9">
        <v>1489</v>
      </c>
      <c r="F3031" s="25">
        <v>43038</v>
      </c>
      <c r="G3031" s="70" t="s">
        <v>370</v>
      </c>
      <c r="H3031" s="9"/>
      <c r="I3031" s="8"/>
      <c r="J3031" s="8"/>
      <c r="K3031" s="8"/>
      <c r="L3031" s="9" t="s">
        <v>512</v>
      </c>
      <c r="M3031" s="8"/>
    </row>
    <row r="3032" spans="1:13" x14ac:dyDescent="0.25">
      <c r="A3032" s="71" t="s">
        <v>4643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4644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651</v>
      </c>
      <c r="M3033" s="8"/>
    </row>
    <row r="3034" spans="1:13" x14ac:dyDescent="0.25">
      <c r="A3034" s="71" t="s">
        <v>4645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4646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370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4647</v>
      </c>
      <c r="B3036" s="67">
        <v>46812344869</v>
      </c>
      <c r="C3036" s="72" t="s">
        <v>4648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4649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370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4650</v>
      </c>
      <c r="B3038" s="67">
        <v>70659834634</v>
      </c>
      <c r="C3038" s="68" t="s">
        <v>4651</v>
      </c>
      <c r="D3038" s="69">
        <v>70558795404</v>
      </c>
      <c r="E3038" s="9">
        <v>1267</v>
      </c>
      <c r="F3038" s="25">
        <v>42998</v>
      </c>
      <c r="G3038" s="70" t="s">
        <v>370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4652</v>
      </c>
      <c r="B3039" s="67"/>
      <c r="C3039" s="72" t="s">
        <v>4653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4654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370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4655</v>
      </c>
      <c r="B3041" s="67">
        <v>3867219630</v>
      </c>
      <c r="C3041" s="72" t="s">
        <v>4656</v>
      </c>
      <c r="D3041" s="69">
        <v>4268294503</v>
      </c>
      <c r="E3041" s="9">
        <v>1824</v>
      </c>
      <c r="F3041" s="25">
        <v>43091</v>
      </c>
      <c r="G3041" s="70" t="s">
        <v>370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4657</v>
      </c>
      <c r="B3042" s="67">
        <v>27084341870</v>
      </c>
      <c r="C3042" s="72" t="s">
        <v>675</v>
      </c>
      <c r="D3042" s="69">
        <v>70639957315</v>
      </c>
      <c r="E3042" s="9">
        <v>1214</v>
      </c>
      <c r="F3042" s="25">
        <v>42989</v>
      </c>
      <c r="G3042" s="70" t="s">
        <v>377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4658</v>
      </c>
      <c r="B3043" s="67">
        <v>29697189870</v>
      </c>
      <c r="C3043" s="72" t="s">
        <v>4659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4660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370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4661</v>
      </c>
      <c r="B3045" s="67">
        <v>4055380810</v>
      </c>
      <c r="C3045" s="29" t="s">
        <v>481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4662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370</v>
      </c>
      <c r="H3046" s="25">
        <v>43027</v>
      </c>
      <c r="I3046" s="8"/>
      <c r="J3046" s="8"/>
      <c r="K3046" s="8"/>
      <c r="L3046" s="9" t="s">
        <v>605</v>
      </c>
      <c r="M3046" s="8"/>
    </row>
    <row r="3047" spans="1:13" x14ac:dyDescent="0.25">
      <c r="A3047" s="16" t="s">
        <v>4663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4664</v>
      </c>
      <c r="B3048" s="67">
        <v>99038862504</v>
      </c>
      <c r="C3048" s="72" t="s">
        <v>4665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4666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370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4667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370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4668</v>
      </c>
      <c r="B3051" s="67">
        <v>22505123888</v>
      </c>
      <c r="C3051" s="72" t="s">
        <v>4669</v>
      </c>
      <c r="D3051" s="69">
        <v>39819234808</v>
      </c>
      <c r="E3051" s="9">
        <v>1752</v>
      </c>
      <c r="F3051" s="25">
        <v>43051</v>
      </c>
      <c r="G3051" s="70" t="s">
        <v>370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4670</v>
      </c>
      <c r="B3052" s="67"/>
      <c r="C3052" s="29" t="s">
        <v>481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4671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4672</v>
      </c>
      <c r="B3054" s="67">
        <v>34850143890</v>
      </c>
      <c r="C3054" s="72" t="s">
        <v>4673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4674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370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4675</v>
      </c>
      <c r="B3056" s="67">
        <v>17852199879</v>
      </c>
      <c r="C3056" s="72" t="s">
        <v>4676</v>
      </c>
      <c r="D3056" s="69">
        <v>15255063827</v>
      </c>
      <c r="E3056" s="9">
        <v>1128</v>
      </c>
      <c r="F3056" s="25">
        <v>42972</v>
      </c>
      <c r="G3056" s="70" t="s">
        <v>370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4677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370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4678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4679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370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FF22-E948-450B-B09D-528F4AF45BEC}">
  <dimension ref="B4:F34"/>
  <sheetViews>
    <sheetView workbookViewId="0">
      <selection activeCell="F17" sqref="F17"/>
    </sheetView>
  </sheetViews>
  <sheetFormatPr defaultColWidth="9.140625" defaultRowHeight="20.25" customHeight="1" x14ac:dyDescent="0.25"/>
  <cols>
    <col min="1" max="1" width="9.140625" style="103"/>
    <col min="2" max="2" width="33.5703125" style="103" bestFit="1" customWidth="1"/>
    <col min="3" max="3" width="9.140625" style="103"/>
    <col min="4" max="4" width="8.28515625" style="103" customWidth="1"/>
    <col min="5" max="5" width="9.140625" style="103"/>
    <col min="6" max="6" width="17.140625" style="103" bestFit="1" customWidth="1"/>
    <col min="7" max="16384" width="9.140625" style="103"/>
  </cols>
  <sheetData>
    <row r="4" spans="2:6" ht="20.25" customHeight="1" x14ac:dyDescent="0.25">
      <c r="B4" s="216" t="s">
        <v>4680</v>
      </c>
      <c r="C4" s="216"/>
      <c r="D4" s="216"/>
      <c r="E4" s="216"/>
      <c r="F4" s="216"/>
    </row>
    <row r="5" spans="2:6" ht="20.25" customHeight="1" x14ac:dyDescent="0.25">
      <c r="B5" s="104" t="s">
        <v>4681</v>
      </c>
      <c r="C5" s="104"/>
      <c r="D5" s="104"/>
      <c r="E5" s="104"/>
      <c r="F5" s="108"/>
    </row>
    <row r="6" spans="2:6" ht="20.25" customHeight="1" x14ac:dyDescent="0.25">
      <c r="B6" s="104" t="s">
        <v>4682</v>
      </c>
      <c r="C6" s="104"/>
      <c r="D6" s="104"/>
      <c r="E6" s="104"/>
      <c r="F6" s="108"/>
    </row>
    <row r="7" spans="2:6" ht="20.25" customHeight="1" x14ac:dyDescent="0.25">
      <c r="B7" s="104" t="s">
        <v>356</v>
      </c>
      <c r="C7" s="104"/>
      <c r="D7" s="104"/>
      <c r="E7" s="104"/>
      <c r="F7" s="108">
        <f>SUM(F5:F6)</f>
        <v>0</v>
      </c>
    </row>
    <row r="8" spans="2:6" ht="20.25" customHeight="1" x14ac:dyDescent="0.25">
      <c r="B8" s="99"/>
      <c r="C8" s="100"/>
      <c r="D8" s="100"/>
      <c r="E8" s="100"/>
      <c r="F8" s="100"/>
    </row>
    <row r="9" spans="2:6" ht="20.25" customHeight="1" x14ac:dyDescent="0.25">
      <c r="B9" s="216" t="s">
        <v>4683</v>
      </c>
      <c r="C9" s="216"/>
      <c r="D9" s="216"/>
      <c r="E9" s="216"/>
      <c r="F9" s="216"/>
    </row>
    <row r="10" spans="2:6" ht="20.25" customHeight="1" x14ac:dyDescent="0.25">
      <c r="B10" s="104" t="s">
        <v>4681</v>
      </c>
      <c r="C10" s="106"/>
      <c r="D10" s="106"/>
      <c r="E10" s="106"/>
      <c r="F10" s="108">
        <v>0</v>
      </c>
    </row>
    <row r="11" spans="2:6" ht="20.25" customHeight="1" x14ac:dyDescent="0.25">
      <c r="B11" s="104" t="s">
        <v>4682</v>
      </c>
      <c r="C11" s="106"/>
      <c r="D11" s="106"/>
      <c r="E11" s="106"/>
      <c r="F11" s="108"/>
    </row>
    <row r="12" spans="2:6" ht="20.25" customHeight="1" x14ac:dyDescent="0.25">
      <c r="B12" s="104" t="s">
        <v>356</v>
      </c>
      <c r="C12" s="106"/>
      <c r="D12" s="106"/>
      <c r="E12" s="106"/>
      <c r="F12" s="108">
        <f>SUM(F10:F11)</f>
        <v>0</v>
      </c>
    </row>
    <row r="13" spans="2:6" ht="20.25" customHeight="1" x14ac:dyDescent="0.25">
      <c r="B13" s="99"/>
      <c r="C13" s="100"/>
      <c r="D13" s="100"/>
      <c r="E13" s="100"/>
      <c r="F13" s="109"/>
    </row>
    <row r="14" spans="2:6" ht="20.25" customHeight="1" x14ac:dyDescent="0.25">
      <c r="B14" s="99" t="s">
        <v>4684</v>
      </c>
      <c r="C14" s="100"/>
      <c r="D14" s="100"/>
      <c r="E14" s="100"/>
      <c r="F14" s="109">
        <f>SUM(F7,F12)</f>
        <v>0</v>
      </c>
    </row>
    <row r="15" spans="2:6" ht="20.25" customHeight="1" x14ac:dyDescent="0.25">
      <c r="B15" s="99"/>
      <c r="C15" s="100"/>
      <c r="D15" s="100"/>
      <c r="E15" s="100"/>
      <c r="F15" s="109"/>
    </row>
    <row r="16" spans="2:6" ht="20.25" customHeight="1" x14ac:dyDescent="0.25">
      <c r="B16" s="216" t="s">
        <v>4685</v>
      </c>
      <c r="C16" s="216"/>
      <c r="D16" s="216"/>
      <c r="E16" s="216"/>
      <c r="F16" s="216"/>
    </row>
    <row r="17" spans="2:6" ht="20.25" customHeight="1" x14ac:dyDescent="0.25">
      <c r="B17" s="104" t="s">
        <v>4681</v>
      </c>
      <c r="C17" s="106"/>
      <c r="D17" s="106"/>
      <c r="E17" s="106"/>
      <c r="F17" s="108"/>
    </row>
    <row r="18" spans="2:6" ht="20.25" customHeight="1" x14ac:dyDescent="0.25">
      <c r="B18" s="104" t="s">
        <v>4682</v>
      </c>
      <c r="C18" s="106"/>
      <c r="D18" s="106"/>
      <c r="E18" s="106"/>
      <c r="F18" s="108">
        <v>1324562.98</v>
      </c>
    </row>
    <row r="19" spans="2:6" ht="20.25" customHeight="1" x14ac:dyDescent="0.25">
      <c r="B19" s="104" t="s">
        <v>356</v>
      </c>
      <c r="C19" s="106"/>
      <c r="D19" s="106"/>
      <c r="E19" s="106"/>
      <c r="F19" s="108">
        <f>SUM(F17:F18)</f>
        <v>1324562.98</v>
      </c>
    </row>
    <row r="20" spans="2:6" ht="20.25" customHeight="1" x14ac:dyDescent="0.25">
      <c r="B20" s="99"/>
      <c r="C20" s="100"/>
      <c r="D20" s="100"/>
      <c r="E20" s="100"/>
      <c r="F20" s="109"/>
    </row>
    <row r="21" spans="2:6" ht="20.25" customHeight="1" x14ac:dyDescent="0.25">
      <c r="B21" s="99"/>
      <c r="C21" s="100"/>
      <c r="D21" s="100"/>
      <c r="E21" s="100"/>
      <c r="F21" s="109"/>
    </row>
    <row r="22" spans="2:6" ht="20.25" customHeight="1" x14ac:dyDescent="0.25">
      <c r="B22" s="111" t="s">
        <v>356</v>
      </c>
      <c r="C22" s="112"/>
      <c r="D22" s="112"/>
      <c r="E22" s="112"/>
      <c r="F22" s="110">
        <f>SUM(F14,F19)</f>
        <v>1324562.98</v>
      </c>
    </row>
    <row r="23" spans="2:6" ht="20.25" customHeight="1" x14ac:dyDescent="0.25">
      <c r="D23" s="101"/>
      <c r="F23" s="107"/>
    </row>
    <row r="24" spans="2:6" ht="20.25" customHeight="1" x14ac:dyDescent="0.25">
      <c r="F24" s="107"/>
    </row>
    <row r="25" spans="2:6" ht="20.25" customHeight="1" x14ac:dyDescent="0.25">
      <c r="C25" s="100"/>
      <c r="D25" s="101"/>
      <c r="E25" s="100"/>
      <c r="F25" s="101"/>
    </row>
    <row r="26" spans="2:6" ht="20.25" customHeight="1" x14ac:dyDescent="0.25">
      <c r="B26" s="100"/>
      <c r="C26" s="100"/>
      <c r="D26" s="101"/>
      <c r="E26" s="100"/>
      <c r="F26" s="101"/>
    </row>
    <row r="27" spans="2:6" ht="20.25" customHeight="1" x14ac:dyDescent="0.25">
      <c r="B27" s="99"/>
      <c r="C27" s="100"/>
      <c r="D27" s="101"/>
      <c r="E27" s="100"/>
      <c r="F27" s="101"/>
    </row>
    <row r="28" spans="2:6" ht="20.25" customHeight="1" x14ac:dyDescent="0.25">
      <c r="B28" s="99"/>
      <c r="C28" s="100"/>
      <c r="D28" s="101"/>
      <c r="E28" s="100"/>
      <c r="F28" s="101"/>
    </row>
    <row r="29" spans="2:6" ht="20.25" customHeight="1" x14ac:dyDescent="0.25">
      <c r="B29" s="99"/>
      <c r="C29" s="100"/>
      <c r="D29" s="101"/>
      <c r="E29" s="100"/>
      <c r="F29" s="101"/>
    </row>
    <row r="30" spans="2:6" ht="20.25" customHeight="1" x14ac:dyDescent="0.25">
      <c r="B30" s="99"/>
      <c r="C30" s="100"/>
      <c r="D30" s="101"/>
      <c r="E30" s="100"/>
      <c r="F30" s="101"/>
    </row>
    <row r="31" spans="2:6" ht="20.25" customHeight="1" x14ac:dyDescent="0.25">
      <c r="B31" s="99"/>
      <c r="C31" s="100"/>
      <c r="D31" s="101"/>
      <c r="E31" s="100"/>
      <c r="F31" s="102"/>
    </row>
    <row r="32" spans="2:6" ht="20.25" customHeight="1" x14ac:dyDescent="0.25">
      <c r="B32" s="99"/>
      <c r="C32" s="99"/>
      <c r="D32" s="105"/>
      <c r="E32" s="99"/>
      <c r="F32" s="102"/>
    </row>
    <row r="33" spans="6:6" ht="20.25" customHeight="1" x14ac:dyDescent="0.25">
      <c r="F33" s="107"/>
    </row>
    <row r="34" spans="6:6" ht="20.25" customHeight="1" x14ac:dyDescent="0.25">
      <c r="F34" s="102"/>
    </row>
  </sheetData>
  <mergeCells count="3">
    <mergeCell ref="B4:F4"/>
    <mergeCell ref="B9:F9"/>
    <mergeCell ref="B16:F16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Quantitativo Fora da Demanda</vt:lpstr>
      <vt:lpstr>Listas (não utilizar)</vt:lpstr>
      <vt:lpstr>QUANT COND</vt:lpstr>
      <vt:lpstr>OFÍCIOS</vt:lpstr>
      <vt:lpstr>RESUMO CAI CAI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2026-07-08T12:50:33Z</dcterms:modified>
  <cp:category/>
  <cp:contentStatus/>
</cp:coreProperties>
</file>