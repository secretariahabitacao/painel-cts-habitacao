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Francisco Munhoz Filho/Planilha Controle/"/>
    </mc:Choice>
  </mc:AlternateContent>
  <xr:revisionPtr revIDLastSave="62336" documentId="8_{DAC6C9CA-70D7-4111-A0A7-BC6755E560D9}" xr6:coauthVersionLast="47" xr6:coauthVersionMax="47" xr10:uidLastSave="{E0675137-076C-4272-9277-23B4F74B88E0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RESUMO ANTONICO" sheetId="22" r:id="rId3"/>
    <sheet name="Listas (não utilizar)" sheetId="4" state="hidden" r:id="rId4"/>
    <sheet name="QUANT COND" sheetId="16" state="hidden" r:id="rId5"/>
    <sheet name="OFÍCIOS" sheetId="5" state="hidden" r:id="rId6"/>
    <sheet name="Planilha2" sheetId="23" r:id="rId7"/>
    <sheet name="Planilha3" sheetId="24" r:id="rId8"/>
    <sheet name="Planilha4" sheetId="25" r:id="rId9"/>
    <sheet name="Planilha5" sheetId="26" r:id="rId10"/>
    <sheet name="Quantitativo Fora da Demanda" sheetId="19" r:id="rId11"/>
  </sheets>
  <externalReferences>
    <externalReference r:id="rId12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PRIORIDADES!$B$13:$BM$127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5" i="20" l="1"/>
  <c r="BD15" i="20"/>
  <c r="BC15" i="20"/>
  <c r="BE17" i="20"/>
  <c r="BD17" i="20"/>
  <c r="BC17" i="20"/>
  <c r="BE16" i="20"/>
  <c r="BD16" i="20"/>
  <c r="BC16" i="20"/>
  <c r="BC14" i="20"/>
  <c r="BD14" i="20"/>
  <c r="BE14" i="20"/>
  <c r="BC18" i="20"/>
  <c r="BD18" i="20"/>
  <c r="BE18" i="20"/>
  <c r="BC19" i="20"/>
  <c r="BD19" i="20"/>
  <c r="BE19" i="20"/>
  <c r="BC20" i="20"/>
  <c r="BD20" i="20"/>
  <c r="BE20" i="20"/>
  <c r="BC21" i="20"/>
  <c r="BD21" i="20"/>
  <c r="BE21" i="20"/>
  <c r="BC22" i="20"/>
  <c r="BD22" i="20"/>
  <c r="BE22" i="20"/>
  <c r="BC23" i="20"/>
  <c r="BD23" i="20"/>
  <c r="BE23" i="20"/>
  <c r="BC24" i="20"/>
  <c r="BD24" i="20"/>
  <c r="BE24" i="20"/>
  <c r="BC25" i="20"/>
  <c r="BD25" i="20"/>
  <c r="BE25" i="20"/>
  <c r="BC26" i="20"/>
  <c r="BD26" i="20"/>
  <c r="BE26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C37" i="20"/>
  <c r="BD37" i="20"/>
  <c r="BE37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BC45" i="20"/>
  <c r="BD45" i="20"/>
  <c r="BE45" i="20"/>
  <c r="BC46" i="20"/>
  <c r="BD46" i="20"/>
  <c r="BE46" i="20"/>
  <c r="BC47" i="20"/>
  <c r="BD47" i="20"/>
  <c r="BE47" i="20"/>
  <c r="BC48" i="20"/>
  <c r="BD48" i="20"/>
  <c r="BE48" i="20"/>
  <c r="BC49" i="20"/>
  <c r="BD49" i="20"/>
  <c r="BE49" i="20"/>
  <c r="BC50" i="20"/>
  <c r="BD50" i="20"/>
  <c r="BE50" i="20"/>
  <c r="BC51" i="20"/>
  <c r="BD51" i="20"/>
  <c r="BE51" i="20"/>
  <c r="BC52" i="20"/>
  <c r="BD52" i="20"/>
  <c r="BE52" i="20"/>
  <c r="BC53" i="20"/>
  <c r="BD53" i="20"/>
  <c r="BE53" i="20"/>
  <c r="BC54" i="20"/>
  <c r="BD54" i="20"/>
  <c r="BE54" i="20"/>
  <c r="BC55" i="20"/>
  <c r="BD55" i="20"/>
  <c r="BE55" i="20"/>
  <c r="BC56" i="20"/>
  <c r="BD56" i="20"/>
  <c r="BE56" i="20"/>
  <c r="BC57" i="20"/>
  <c r="BD57" i="20"/>
  <c r="BE57" i="20"/>
  <c r="BC58" i="20"/>
  <c r="BD58" i="20"/>
  <c r="BE58" i="20"/>
  <c r="BC59" i="20"/>
  <c r="BD59" i="20"/>
  <c r="BE59" i="20"/>
  <c r="BC60" i="20"/>
  <c r="BD60" i="20"/>
  <c r="BE60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BC67" i="20"/>
  <c r="BD67" i="20"/>
  <c r="BE67" i="20"/>
  <c r="BC68" i="20"/>
  <c r="BD68" i="20"/>
  <c r="BE68" i="20"/>
  <c r="BC69" i="20"/>
  <c r="BD69" i="20"/>
  <c r="BE69" i="20"/>
  <c r="BC70" i="20"/>
  <c r="BD70" i="20"/>
  <c r="BE70" i="20"/>
  <c r="BC71" i="20"/>
  <c r="BD71" i="20"/>
  <c r="BE71" i="20"/>
  <c r="BC72" i="20"/>
  <c r="BD72" i="20"/>
  <c r="BE72" i="20"/>
  <c r="BC73" i="20"/>
  <c r="BD73" i="20"/>
  <c r="BE73" i="20"/>
  <c r="BC74" i="20"/>
  <c r="BD74" i="20"/>
  <c r="BE74" i="20"/>
  <c r="BC75" i="20"/>
  <c r="BD75" i="20"/>
  <c r="BE75" i="20"/>
  <c r="BC76" i="20"/>
  <c r="BD76" i="20"/>
  <c r="BE76" i="20"/>
  <c r="BC77" i="20"/>
  <c r="BD77" i="20"/>
  <c r="BE77" i="20"/>
  <c r="BC78" i="20"/>
  <c r="BD78" i="20"/>
  <c r="BE78" i="20"/>
  <c r="BC79" i="20"/>
  <c r="BD79" i="20"/>
  <c r="BE79" i="20"/>
  <c r="BC80" i="20"/>
  <c r="BD80" i="20"/>
  <c r="BE80" i="20"/>
  <c r="BC81" i="20"/>
  <c r="BD81" i="20"/>
  <c r="BE81" i="20"/>
  <c r="BC82" i="20"/>
  <c r="BD82" i="20"/>
  <c r="BE82" i="20"/>
  <c r="BC83" i="20"/>
  <c r="BD83" i="20"/>
  <c r="BE83" i="20"/>
  <c r="BC84" i="20"/>
  <c r="BD84" i="20"/>
  <c r="BE84" i="20"/>
  <c r="BC85" i="20"/>
  <c r="BD85" i="20"/>
  <c r="BE85" i="20"/>
  <c r="BC86" i="20"/>
  <c r="BD86" i="20"/>
  <c r="BE86" i="20"/>
  <c r="BC87" i="20"/>
  <c r="BD87" i="20"/>
  <c r="BE87" i="20"/>
  <c r="BC88" i="20"/>
  <c r="BD88" i="20"/>
  <c r="BE88" i="20"/>
  <c r="BC89" i="20"/>
  <c r="BD89" i="20"/>
  <c r="BE89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6" i="20"/>
  <c r="BD96" i="20"/>
  <c r="BE96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05" i="20"/>
  <c r="BD105" i="20"/>
  <c r="BE105" i="20"/>
  <c r="BC106" i="20"/>
  <c r="BD106" i="20"/>
  <c r="BE106" i="20"/>
  <c r="BC107" i="20"/>
  <c r="BD107" i="20"/>
  <c r="BE107" i="20"/>
  <c r="BC108" i="20"/>
  <c r="BD108" i="20"/>
  <c r="BE108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16" i="20"/>
  <c r="BD116" i="20"/>
  <c r="BE116" i="20"/>
  <c r="BC117" i="20"/>
  <c r="BD117" i="20"/>
  <c r="BE117" i="20"/>
  <c r="BC118" i="20"/>
  <c r="BD118" i="20"/>
  <c r="BE118" i="20"/>
  <c r="BC119" i="20"/>
  <c r="BD119" i="20"/>
  <c r="BE119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F98" i="26"/>
  <c r="F19" i="22"/>
  <c r="F12" i="22"/>
  <c r="F7" i="22"/>
  <c r="F14" i="22"/>
  <c r="F22" i="22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<sst xmlns="http://schemas.openxmlformats.org/spreadsheetml/2006/main" count="8723" uniqueCount="5489">
  <si>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</si>
  <si>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</si>
  <si>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</si>
  <si>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</si>
  <si>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</si>
  <si>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</si>
  <si>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</si>
  <si>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</si>
  <si>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</si>
  <si>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</si>
  <si>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</si>
  <si>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</si>
  <si>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</si>
  <si>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</si>
  <si>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</si>
  <si>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</si>
  <si>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</si>
  <si>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</si>
  <si>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</si>
  <si>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</si>
  <si>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</si>
  <si>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</si>
  <si>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</si>
  <si>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</si>
  <si>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</si>
  <si>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</si>
  <si>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</si>
  <si>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</si>
  <si>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</si>
  <si>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</si>
  <si>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</si>
  <si>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</si>
  <si>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</si>
  <si>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</si>
  <si>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</si>
  <si>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</si>
  <si>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</si>
  <si>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</si>
  <si>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</si>
  <si>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</si>
  <si>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</si>
  <si>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</si>
  <si>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</si>
  <si>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</si>
  <si>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</si>
  <si>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</si>
  <si>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</si>
  <si>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</si>
  <si>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</si>
  <si>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</si>
  <si>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</si>
  <si>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</si>
  <si>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 xml:space="preserve">SOLICITAÇÃO AUXÍLIO ALUGUEL                                        ÁREA  </t>
  </si>
  <si>
    <t>No PROCESSO SEI                                          (AUXÍLIO ALUGUEL)</t>
  </si>
  <si>
    <t>ANÁLISE DTS                                                         CADASTRO + CHECAGEM DUPLO</t>
  </si>
  <si>
    <t>INSTRUÇÃO PROCESSO SEI                                                    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</si>
  <si>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</si>
  <si>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</si>
  <si>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</si>
  <si>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</si>
  <si>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</si>
  <si>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</si>
  <si>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</si>
  <si>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</si>
  <si>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</si>
  <si>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</si>
  <si>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</si>
  <si>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</si>
  <si>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</si>
  <si>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</si>
  <si>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</si>
  <si>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</si>
  <si>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</si>
  <si>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</si>
  <si>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</si>
  <si>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</si>
  <si>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</si>
  <si>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</si>
  <si>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</si>
  <si>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</si>
  <si>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</si>
  <si>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</si>
  <si>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</si>
  <si>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</si>
  <si>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</si>
  <si>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</si>
  <si>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</si>
  <si>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</si>
  <si>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</si>
  <si>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</si>
  <si>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</si>
  <si>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BLOQUEIO AA                                             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</si>
  <si>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</si>
  <si>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</si>
  <si>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</si>
  <si>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</si>
  <si>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</si>
  <si>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</si>
  <si>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FRANCISCO MUNHOZ FILHO</t>
  </si>
  <si>
    <t>--</t>
  </si>
  <si>
    <t>002/0001/A</t>
  </si>
  <si>
    <t>EDITE GONÇALVES SOARES</t>
  </si>
  <si>
    <t>134.910.538-46</t>
  </si>
  <si>
    <t>6014.2026/0002078-0</t>
  </si>
  <si>
    <t>FINALIZADO</t>
  </si>
  <si>
    <t>SEM PENDÊNCIA</t>
  </si>
  <si>
    <t>6014.2026/0002710-6</t>
  </si>
  <si>
    <t>AGUARDANDO</t>
  </si>
  <si>
    <t>LIBERADO DEMOLIÇÃO</t>
  </si>
  <si>
    <t>AGUARDANDO ELABORAÇÃO</t>
  </si>
  <si>
    <t>001/0004/A</t>
  </si>
  <si>
    <t xml:space="preserve">FRANCISCA BATISTA VIEIRA </t>
  </si>
  <si>
    <t>21.464.598-8</t>
  </si>
  <si>
    <t>246.637.568-08</t>
  </si>
  <si>
    <t>6014.2026/0002664-9</t>
  </si>
  <si>
    <t>001/0002/A</t>
  </si>
  <si>
    <t>JOSIETE DA SILVA</t>
  </si>
  <si>
    <t>39.861.087-3</t>
  </si>
  <si>
    <t>041.275.814-84</t>
  </si>
  <si>
    <t xml:space="preserve">JOSIETE DA SILVA	</t>
  </si>
  <si>
    <t>6014.2026/0002567-7</t>
  </si>
  <si>
    <t>001/0004/B</t>
  </si>
  <si>
    <t xml:space="preserve">MARIA DO SOCORRO DE LIMA BATISTA </t>
  </si>
  <si>
    <t>15.835.649-4</t>
  </si>
  <si>
    <t>054.508.818-60</t>
  </si>
  <si>
    <t>6014.2026/0002702-5</t>
  </si>
  <si>
    <t>001/0003/A</t>
  </si>
  <si>
    <t>SIMONILDES XAVIER DA SILVA SOARES</t>
  </si>
  <si>
    <t>298.148.258-08</t>
  </si>
  <si>
    <t>AUXÍLIO ALUGUEL</t>
  </si>
  <si>
    <t>6014.2026/0002292-9</t>
  </si>
  <si>
    <t>001/0001/A</t>
  </si>
  <si>
    <t>MARIA DE FÁTIMA FELISMINO MACEDO ALVES</t>
  </si>
  <si>
    <t>39.790.659-6</t>
  </si>
  <si>
    <t>279.081.458-92</t>
  </si>
  <si>
    <t>024/0030/B</t>
  </si>
  <si>
    <t>029/0024/C</t>
  </si>
  <si>
    <t>CONFIRMAÇÃO PAGAMENTO</t>
  </si>
  <si>
    <t>024/0041/A</t>
  </si>
  <si>
    <t>029/0023/E</t>
  </si>
  <si>
    <t>024/0041/B</t>
  </si>
  <si>
    <t>029/0071/B</t>
  </si>
  <si>
    <t>024/0051/A</t>
  </si>
  <si>
    <t>024/0057/A</t>
  </si>
  <si>
    <t>024/0052/A</t>
  </si>
  <si>
    <t>031/0033/Q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</si>
  <si>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</si>
  <si>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</si>
  <si>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</si>
  <si>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</si>
  <si>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</si>
  <si>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</si>
  <si>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</si>
  <si>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</si>
  <si>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</si>
  <si>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</si>
  <si>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</si>
  <si>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</si>
  <si>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</si>
  <si>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</si>
  <si>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</si>
  <si>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</si>
  <si>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</si>
  <si>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</si>
  <si>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</si>
  <si>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</si>
  <si>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</si>
  <si>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</si>
  <si>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</si>
  <si>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PARAISÓPOLIS/ANTONICO</t>
  </si>
  <si>
    <t>025/0005/AT</t>
  </si>
  <si>
    <t>GUSTAVO GOMES DA SILVA</t>
  </si>
  <si>
    <t>029/0069/B</t>
  </si>
  <si>
    <t>025/0005/AU</t>
  </si>
  <si>
    <t>JÉSSICA RAMOS DE SANTANA</t>
  </si>
  <si>
    <t>029/0036/F</t>
  </si>
  <si>
    <t>031/0028/D</t>
  </si>
  <si>
    <t>025/0005/B</t>
  </si>
  <si>
    <t> DENILSON DE SOUZA LOPES</t>
  </si>
  <si>
    <t>029/0039/B</t>
  </si>
  <si>
    <t>029/0067/A</t>
  </si>
  <si>
    <t>025/0005/J</t>
  </si>
  <si>
    <t>JURANDIR RODRIGUES ALMEIDA SOUZA</t>
  </si>
  <si>
    <t>029/0045/A</t>
  </si>
  <si>
    <t>025/0005/K</t>
  </si>
  <si>
    <t>REGINA SANTOS DA SILVA</t>
  </si>
  <si>
    <t>029/0061/A</t>
  </si>
  <si>
    <t>029/0070/C</t>
  </si>
  <si>
    <t>025/0010/H</t>
  </si>
  <si>
    <t xml:space="preserve">LUCIELLY FLORENCIO DE ALMEIDA </t>
  </si>
  <si>
    <t>027/0014/E</t>
  </si>
  <si>
    <t>THAYNAN EVILLY DINIZ SILVA</t>
  </si>
  <si>
    <t>029/0064/F</t>
  </si>
  <si>
    <t>029/0070/B</t>
  </si>
  <si>
    <t>029/0066/A</t>
  </si>
  <si>
    <t>029/0066/B</t>
  </si>
  <si>
    <t>031/0035/A</t>
  </si>
  <si>
    <t>029/0067/F</t>
  </si>
  <si>
    <t>031/0067/B</t>
  </si>
  <si>
    <t>029/0069/C</t>
  </si>
  <si>
    <t>033/0016/C</t>
  </si>
  <si>
    <t>029/0071/D</t>
  </si>
  <si>
    <t>031/0058/A</t>
  </si>
  <si>
    <t>029/0071/E</t>
  </si>
  <si>
    <t>029/0080/E</t>
  </si>
  <si>
    <t>031/0067/A</t>
  </si>
  <si>
    <t>031/0028/L</t>
  </si>
  <si>
    <t>029/0083/A</t>
  </si>
  <si>
    <t>025/0006/L</t>
  </si>
  <si>
    <t>DENISE SILVA COSTA</t>
  </si>
  <si>
    <t>029/0085/G</t>
  </si>
  <si>
    <t>025/0009/A</t>
  </si>
  <si>
    <t>ALEANE DOS SANTOS DE PAULA</t>
  </si>
  <si>
    <t>029/0086/B</t>
  </si>
  <si>
    <t>031/0025/A</t>
  </si>
  <si>
    <t>025/0009/F</t>
  </si>
  <si>
    <t>LARISSA MONIQUE LEITE</t>
  </si>
  <si>
    <t>031/0004/C</t>
  </si>
  <si>
    <t>025/0009/J</t>
  </si>
  <si>
    <t>VANDERLEIA FERREIRA DA CRUZ</t>
  </si>
  <si>
    <t>031/0014/A</t>
  </si>
  <si>
    <t>025/0010/B</t>
  </si>
  <si>
    <t>ANA CLÁUDIA RODRIGUES DE SOUSA</t>
  </si>
  <si>
    <t>031/0015/D</t>
  </si>
  <si>
    <t>025/0010/C</t>
  </si>
  <si>
    <t>VITOR TRINDADE ROCHA</t>
  </si>
  <si>
    <t>031/0020/B</t>
  </si>
  <si>
    <t>025/0013/A</t>
  </si>
  <si>
    <t>MIRIAM CAMILO DE ANDRADE</t>
  </si>
  <si>
    <t>025/0013/C</t>
  </si>
  <si>
    <t>ALEX JESUS DE SOUSA</t>
  </si>
  <si>
    <t>031/0022/B</t>
  </si>
  <si>
    <t>033/0029/B</t>
  </si>
  <si>
    <t>025/0016/E</t>
  </si>
  <si>
    <t>CARLOS SANTOS CASTRO</t>
  </si>
  <si>
    <t>025/0018/F</t>
  </si>
  <si>
    <t>ANA CLAUDIA MARCIANO</t>
  </si>
  <si>
    <t>031/0033/E</t>
  </si>
  <si>
    <t>025/0019/A</t>
  </si>
  <si>
    <t>ANDRÉ LUIS DOS SANTOS</t>
  </si>
  <si>
    <t>025/0019/H</t>
  </si>
  <si>
    <t>GLÓRIA DE FÁTIMA SANTOS MATOS</t>
  </si>
  <si>
    <t>025/0020/E</t>
  </si>
  <si>
    <t>DANIELLA DO NASCIMENTO JESUS</t>
  </si>
  <si>
    <t>025/0020/F</t>
  </si>
  <si>
    <t>GIRLENE PEREIRA DO NASCIMENTO</t>
  </si>
  <si>
    <t>033/0030/A</t>
  </si>
  <si>
    <t>025/0021/D</t>
  </si>
  <si>
    <t>AMANDA MARIA ALVES DA SILVA</t>
  </si>
  <si>
    <t>025/0023/E</t>
  </si>
  <si>
    <t>FRANCISCA GABRIELA DE SOUZA</t>
  </si>
  <si>
    <t>025/0025/M</t>
  </si>
  <si>
    <t>EDUARDA DE SOUSA SILVA</t>
  </si>
  <si>
    <t>031/0035/B</t>
  </si>
  <si>
    <t>025/0031/B</t>
  </si>
  <si>
    <t>FRANCISCO MARCIO VIEIRA DO NASCIMENTO</t>
  </si>
  <si>
    <t>027/0005/A</t>
  </si>
  <si>
    <t>DESIRÉE SANTOS DE MOURA</t>
  </si>
  <si>
    <t>027/0005/F</t>
  </si>
  <si>
    <t>SILVIO IGOR DOS SANTOS COSTA</t>
  </si>
  <si>
    <t>027/0005/G</t>
  </si>
  <si>
    <t>FABIOLA SILVA DE MELO</t>
  </si>
  <si>
    <t>027/0005/H</t>
  </si>
  <si>
    <t>LUIS GUSTAVO COUTINHO DOS SANTOS</t>
  </si>
  <si>
    <t>027/0008/D</t>
  </si>
  <si>
    <t>EDCARLOS BATISTA LIMA</t>
  </si>
  <si>
    <t>027/0010/A</t>
  </si>
  <si>
    <t>LUCILENE DOS SANTOS SILVA</t>
  </si>
  <si>
    <t>027/0014/D</t>
  </si>
  <si>
    <t>JOSILENE MARIA NASCIMENTO DA SILVA</t>
  </si>
  <si>
    <t>MARIA IRENE DA SILVA</t>
  </si>
  <si>
    <t>027/0014/F</t>
  </si>
  <si>
    <t>FRANCISCA DAS CHAGAS SOARES</t>
  </si>
  <si>
    <t>027/0014/G</t>
  </si>
  <si>
    <t>MARIA CÉLIA DA SILVA</t>
  </si>
  <si>
    <t>027/0014/H</t>
  </si>
  <si>
    <t>JOSEFA PEREIRA DE ARAÚJO CRUZ</t>
  </si>
  <si>
    <t>027/0016/B</t>
  </si>
  <si>
    <t>FRANCISCO DAS CHAGAS CASTRO</t>
  </si>
  <si>
    <t>027/0016/C</t>
  </si>
  <si>
    <t>MÁRCIO GOMES DA MOTA</t>
  </si>
  <si>
    <t>029/0018/A</t>
  </si>
  <si>
    <t>DANIELLE PATRICIA ALVES</t>
  </si>
  <si>
    <t>029/0024/D</t>
  </si>
  <si>
    <t>ISAILMA SILVA SOUZA</t>
  </si>
  <si>
    <t>029/0025/A</t>
  </si>
  <si>
    <t>RENATO FERNANDES DA SILVA</t>
  </si>
  <si>
    <t>029/0036/L</t>
  </si>
  <si>
    <t>CLÉIA DAMASCENO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</si>
  <si>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</si>
  <si>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</si>
  <si>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</si>
  <si>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</si>
  <si>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</si>
  <si>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</si>
  <si>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</si>
  <si>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</si>
  <si>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</si>
  <si>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</si>
  <si>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</si>
  <si>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</si>
  <si>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</si>
  <si>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</si>
  <si>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</si>
  <si>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</si>
  <si>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</si>
  <si>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</si>
  <si>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</si>
  <si>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</si>
  <si>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</si>
  <si>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</si>
  <si>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</si>
  <si>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</si>
  <si>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</si>
  <si>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</si>
  <si>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</si>
  <si>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</si>
  <si>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</si>
  <si>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</si>
  <si>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</si>
  <si>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</si>
  <si>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</si>
  <si>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</si>
  <si>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</si>
  <si>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</si>
  <si>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</si>
  <si>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</si>
  <si>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</si>
  <si>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</si>
  <si>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</si>
  <si>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</si>
  <si>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</si>
  <si>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</si>
  <si>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</si>
  <si>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</si>
  <si>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</si>
  <si>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</si>
  <si>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</si>
  <si>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</si>
  <si>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</si>
  <si>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</si>
  <si>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</si>
  <si>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</si>
  <si>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</si>
  <si>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</si>
  <si>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</si>
  <si>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</si>
  <si>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</si>
  <si>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</si>
  <si>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</si>
  <si>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</si>
  <si>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</si>
  <si>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</si>
  <si>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</si>
  <si>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</si>
  <si>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</si>
  <si>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</si>
  <si>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</si>
  <si>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</si>
  <si>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</si>
  <si>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</si>
  <si>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</si>
  <si>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025/0009/B</t>
  </si>
  <si>
    <t>025/0009/C</t>
  </si>
  <si>
    <t>025/0009/D</t>
  </si>
  <si>
    <t>025/0009/E</t>
  </si>
  <si>
    <t>025/0009/G</t>
  </si>
  <si>
    <t>025/0009/H</t>
  </si>
  <si>
    <t>025/0009/I</t>
  </si>
  <si>
    <t>025/0009/K</t>
  </si>
  <si>
    <t>025/0010/A</t>
  </si>
  <si>
    <t>025/0010/D</t>
  </si>
  <si>
    <t>025/0010/E</t>
  </si>
  <si>
    <t>025/0010/F</t>
  </si>
  <si>
    <t>025/0010/G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</si>
  <si>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</si>
  <si>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</si>
  <si>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</si>
  <si>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</si>
  <si>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</si>
  <si>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</si>
  <si>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</si>
  <si>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025/0013/B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</si>
  <si>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</si>
  <si>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</si>
  <si>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</si>
  <si>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</si>
  <si>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</si>
  <si>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</si>
  <si>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</si>
  <si>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</si>
  <si>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</si>
  <si>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</si>
  <si>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</si>
  <si>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</si>
  <si>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</si>
  <si>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</si>
  <si>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</si>
  <si>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</si>
  <si>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</si>
  <si>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025/0018/G</t>
  </si>
  <si>
    <t>025/0018/H</t>
  </si>
  <si>
    <t>025/0018/I</t>
  </si>
  <si>
    <t>025/0018/J</t>
  </si>
  <si>
    <t>025/0019/B</t>
  </si>
  <si>
    <t>025/0019/C</t>
  </si>
  <si>
    <t>025/0019/D</t>
  </si>
  <si>
    <t>025/0019/E</t>
  </si>
  <si>
    <t>025/0019/F</t>
  </si>
  <si>
    <t>025/0019/G</t>
  </si>
  <si>
    <t>025/0019/I</t>
  </si>
  <si>
    <t>025/0019/J</t>
  </si>
  <si>
    <t>025/0020/A</t>
  </si>
  <si>
    <t>025/0020/B</t>
  </si>
  <si>
    <t>025/0020/C</t>
  </si>
  <si>
    <t>025/0020/D</t>
  </si>
  <si>
    <t>025/0021/A</t>
  </si>
  <si>
    <t>025/0021/B</t>
  </si>
  <si>
    <t>025/0021/C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</si>
  <si>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</si>
  <si>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</si>
  <si>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</si>
  <si>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</si>
  <si>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</si>
  <si>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</si>
  <si>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</si>
  <si>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</si>
  <si>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</si>
  <si>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</si>
  <si>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</si>
  <si>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</si>
  <si>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</si>
  <si>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</si>
  <si>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</si>
  <si>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</si>
  <si>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</si>
  <si>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</si>
  <si>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</si>
  <si>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</si>
  <si>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</si>
  <si>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</si>
  <si>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</si>
  <si>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</si>
  <si>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</si>
  <si>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</si>
  <si>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</si>
  <si>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</si>
  <si>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</si>
  <si>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</si>
  <si>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</si>
  <si>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</si>
  <si>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</si>
  <si>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</si>
  <si>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</si>
  <si>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</si>
  <si>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</si>
  <si>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</si>
  <si>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</si>
  <si>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</si>
  <si>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</si>
  <si>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</si>
  <si>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</si>
  <si>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</si>
  <si>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</si>
  <si>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</si>
  <si>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</si>
  <si>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</si>
  <si>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</si>
  <si>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</si>
  <si>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</si>
  <si>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</si>
  <si>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025/0055/A</t>
  </si>
  <si>
    <t>027/0002/E</t>
  </si>
  <si>
    <t>027/0004/A</t>
  </si>
  <si>
    <t>027/0004/B</t>
  </si>
  <si>
    <t>027/0005/B</t>
  </si>
  <si>
    <t>027/0005/C</t>
  </si>
  <si>
    <t>027/0005/D</t>
  </si>
  <si>
    <t>027/0005/E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</si>
  <si>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</si>
  <si>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</si>
  <si>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</si>
  <si>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</si>
  <si>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</si>
  <si>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</si>
  <si>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</si>
  <si>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</si>
  <si>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</si>
  <si>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027/0009/A</t>
  </si>
  <si>
    <t>027/0009/B</t>
  </si>
  <si>
    <t>027/0009/C</t>
  </si>
  <si>
    <t>027/0010/B</t>
  </si>
  <si>
    <t>027/0012/C</t>
  </si>
  <si>
    <t>027/0014/A</t>
  </si>
  <si>
    <t>027/0014/B</t>
  </si>
  <si>
    <t>027/0014/C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</si>
  <si>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</si>
  <si>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</si>
  <si>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</si>
  <si>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</si>
  <si>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</si>
  <si>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</si>
  <si>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</si>
  <si>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</si>
  <si>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</si>
  <si>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</si>
  <si>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</si>
  <si>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</si>
  <si>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</si>
  <si>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</si>
  <si>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</si>
  <si>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</si>
  <si>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</si>
  <si>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</si>
  <si>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</si>
  <si>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</si>
  <si>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</si>
  <si>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</si>
  <si>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</si>
  <si>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</si>
  <si>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</si>
  <si>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</si>
  <si>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</si>
  <si>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</si>
  <si>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</si>
  <si>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</si>
  <si>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</si>
  <si>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</si>
  <si>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</si>
  <si>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</si>
  <si>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</si>
  <si>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</si>
  <si>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</si>
  <si>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</si>
  <si>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</si>
  <si>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</si>
  <si>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</si>
  <si>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</si>
  <si>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</si>
  <si>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</si>
  <si>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</si>
  <si>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</si>
  <si>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</si>
  <si>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</si>
  <si>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</si>
  <si>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</si>
  <si>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</si>
  <si>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029/0023/F</t>
  </si>
  <si>
    <t>029/0023/G</t>
  </si>
  <si>
    <t>029/0024/A</t>
  </si>
  <si>
    <t>029/0024/B</t>
  </si>
  <si>
    <t>029/0024/E</t>
  </si>
  <si>
    <t>029/0024/F</t>
  </si>
  <si>
    <t>029/0024/G</t>
  </si>
  <si>
    <t>029/0024/H</t>
  </si>
  <si>
    <t>029/0024/I</t>
  </si>
  <si>
    <t>029/0024/J</t>
  </si>
  <si>
    <t>029/0025/B</t>
  </si>
  <si>
    <t>029/0026/A</t>
  </si>
  <si>
    <t>029/0026/B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</si>
  <si>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</si>
  <si>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</si>
  <si>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</si>
  <si>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</si>
  <si>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</si>
  <si>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</si>
  <si>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</si>
  <si>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</si>
  <si>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029/0035/C</t>
  </si>
  <si>
    <t>029/0036/A</t>
  </si>
  <si>
    <t>029/0036/B</t>
  </si>
  <si>
    <t>029/0036/C</t>
  </si>
  <si>
    <t>029/0036/D</t>
  </si>
  <si>
    <t>029/0036/E</t>
  </si>
  <si>
    <t>029/0036/G</t>
  </si>
  <si>
    <t>029/0036/H</t>
  </si>
  <si>
    <t>029/0036/I</t>
  </si>
  <si>
    <t>029/0036/J</t>
  </si>
  <si>
    <t>029/0036/K</t>
  </si>
  <si>
    <t>029/0036/P</t>
  </si>
  <si>
    <t>029/0037/A</t>
  </si>
  <si>
    <t>029/0038/A</t>
  </si>
  <si>
    <t>029/0038/B</t>
  </si>
  <si>
    <t>029/0038/C</t>
  </si>
  <si>
    <t>029/0039/A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</si>
  <si>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</si>
  <si>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</si>
  <si>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</si>
  <si>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</si>
  <si>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</si>
  <si>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</si>
  <si>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</si>
  <si>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</si>
  <si>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</si>
  <si>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</si>
  <si>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</si>
  <si>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</si>
  <si>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</si>
  <si>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</si>
  <si>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</si>
  <si>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</si>
  <si>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</si>
  <si>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</si>
  <si>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</si>
  <si>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</si>
  <si>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</si>
  <si>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</si>
  <si>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</si>
  <si>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</si>
  <si>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</si>
  <si>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</si>
  <si>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</si>
  <si>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</si>
  <si>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</si>
  <si>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</si>
  <si>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</si>
  <si>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</si>
  <si>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</si>
  <si>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</si>
  <si>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</si>
  <si>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029/0061/B</t>
  </si>
  <si>
    <t>029/0062/A</t>
  </si>
  <si>
    <t>029/0062/B</t>
  </si>
  <si>
    <t>029/0062/C</t>
  </si>
  <si>
    <t>029/0063/A</t>
  </si>
  <si>
    <t>029/0064/B</t>
  </si>
  <si>
    <t>029/0064/C</t>
  </si>
  <si>
    <t>029/0064/D</t>
  </si>
  <si>
    <t>029/0064/E</t>
  </si>
  <si>
    <t>029/0065/A</t>
  </si>
  <si>
    <t>029/0065/B</t>
  </si>
  <si>
    <t>029/0066/D</t>
  </si>
  <si>
    <t>029/0066/F</t>
  </si>
  <si>
    <t>029/0067/B</t>
  </si>
  <si>
    <t>029/0067/C</t>
  </si>
  <si>
    <t>029/0067/D</t>
  </si>
  <si>
    <t>029/0067/E</t>
  </si>
  <si>
    <t>029/0068/A</t>
  </si>
  <si>
    <t>029/0069/A</t>
  </si>
  <si>
    <t>029/0070/A</t>
  </si>
  <si>
    <t>029/0070/D</t>
  </si>
  <si>
    <t>029/0070/E</t>
  </si>
  <si>
    <t>029/0070/F</t>
  </si>
  <si>
    <t>029/0071/A</t>
  </si>
  <si>
    <t>029/0071/C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</si>
  <si>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</si>
  <si>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</si>
  <si>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</si>
  <si>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</si>
  <si>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</si>
  <si>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</si>
  <si>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</si>
  <si>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</si>
  <si>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</si>
  <si>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</si>
  <si>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</si>
  <si>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</si>
  <si>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</si>
  <si>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</si>
  <si>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</si>
  <si>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</si>
  <si>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</si>
  <si>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</si>
  <si>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</si>
  <si>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</si>
  <si>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</si>
  <si>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</si>
  <si>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</si>
  <si>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</si>
  <si>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</si>
  <si>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</si>
  <si>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</si>
  <si>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</si>
  <si>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</si>
  <si>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029/0081/B</t>
  </si>
  <si>
    <t>029/0082/A</t>
  </si>
  <si>
    <t>029/0082/B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</si>
  <si>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</si>
  <si>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</si>
  <si>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</si>
  <si>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</si>
  <si>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</si>
  <si>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</si>
  <si>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</si>
  <si>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029/0085/H</t>
  </si>
  <si>
    <t>029/0085/I</t>
  </si>
  <si>
    <t>029/0085/J</t>
  </si>
  <si>
    <t>029/0086/A</t>
  </si>
  <si>
    <t>029/0086/C</t>
  </si>
  <si>
    <t>029/0086/D</t>
  </si>
  <si>
    <t>031/0004/A</t>
  </si>
  <si>
    <t>031/0004/B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</si>
  <si>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</si>
  <si>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</si>
  <si>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</si>
  <si>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</si>
  <si>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</si>
  <si>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</si>
  <si>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</si>
  <si>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</si>
  <si>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</si>
  <si>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</si>
  <si>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</si>
  <si>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</si>
  <si>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</si>
  <si>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</si>
  <si>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</si>
  <si>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</si>
  <si>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</si>
  <si>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</si>
  <si>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</si>
  <si>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</si>
  <si>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</si>
  <si>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</si>
  <si>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</si>
  <si>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</si>
  <si>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</si>
  <si>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</si>
  <si>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</si>
  <si>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</si>
  <si>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</si>
  <si>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</si>
  <si>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</si>
  <si>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</si>
  <si>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</si>
  <si>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</si>
  <si>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</si>
  <si>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</si>
  <si>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</si>
  <si>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</si>
  <si>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</si>
  <si>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</si>
  <si>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</si>
  <si>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</si>
  <si>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</si>
  <si>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</si>
  <si>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</si>
  <si>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</si>
  <si>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</si>
  <si>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</si>
  <si>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031/0020/D</t>
  </si>
  <si>
    <t>031/0021/A</t>
  </si>
  <si>
    <t>031/0022/A</t>
  </si>
  <si>
    <t>031/0022/C</t>
  </si>
  <si>
    <t>031/0022/D</t>
  </si>
  <si>
    <t>031/0023/A</t>
  </si>
  <si>
    <t>031/0023/D</t>
  </si>
  <si>
    <t>031/0024/A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</si>
  <si>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</si>
  <si>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</si>
  <si>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</si>
  <si>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</si>
  <si>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</si>
  <si>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</si>
  <si>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</si>
  <si>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</si>
  <si>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</si>
  <si>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</si>
  <si>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</si>
  <si>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</si>
  <si>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</si>
  <si>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</si>
  <si>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</si>
  <si>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</si>
  <si>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</si>
  <si>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</si>
  <si>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</si>
  <si>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</si>
  <si>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</si>
  <si>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</si>
  <si>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</si>
  <si>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</si>
  <si>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</si>
  <si>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</si>
  <si>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</si>
  <si>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</si>
  <si>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</si>
  <si>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</si>
  <si>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</si>
  <si>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</si>
  <si>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</si>
  <si>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</si>
  <si>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</si>
  <si>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</si>
  <si>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</si>
  <si>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</si>
  <si>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</si>
  <si>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</si>
  <si>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</si>
  <si>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</si>
  <si>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</si>
  <si>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031/0033/F</t>
  </si>
  <si>
    <t>031/0033/G</t>
  </si>
  <si>
    <t>031/0033/H</t>
  </si>
  <si>
    <t>031/0033/I</t>
  </si>
  <si>
    <t>031/0033/J</t>
  </si>
  <si>
    <t>031/0033/L</t>
  </si>
  <si>
    <t>031/0033/M</t>
  </si>
  <si>
    <t>031/0033/N</t>
  </si>
  <si>
    <t>031/0033/O</t>
  </si>
  <si>
    <t>031/0033/P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</si>
  <si>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</si>
  <si>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</si>
  <si>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</si>
  <si>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</si>
  <si>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</si>
  <si>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</si>
  <si>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</si>
  <si>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</si>
  <si>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</si>
  <si>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</si>
  <si>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</si>
  <si>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</si>
  <si>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</si>
  <si>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</si>
  <si>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</si>
  <si>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</si>
  <si>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</si>
  <si>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</si>
  <si>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</si>
  <si>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</si>
  <si>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</si>
  <si>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</si>
  <si>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</si>
  <si>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</si>
  <si>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</si>
  <si>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</si>
  <si>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</si>
  <si>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</si>
  <si>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</si>
  <si>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</si>
  <si>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</si>
  <si>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</si>
  <si>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</si>
  <si>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</si>
  <si>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</si>
  <si>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</si>
  <si>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</si>
  <si>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</si>
  <si>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</si>
  <si>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</si>
  <si>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</si>
  <si>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</si>
  <si>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</si>
  <si>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</si>
  <si>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</si>
  <si>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</si>
  <si>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</si>
  <si>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</si>
  <si>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</si>
  <si>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</si>
  <si>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</si>
  <si>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</si>
  <si>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</si>
  <si>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</si>
  <si>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</si>
  <si>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</si>
  <si>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</si>
  <si>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</si>
  <si>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</si>
  <si>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</si>
  <si>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</si>
  <si>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</si>
  <si>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</si>
  <si>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</si>
  <si>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</si>
  <si>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</si>
  <si>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</si>
  <si>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</si>
  <si>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</si>
  <si>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</si>
  <si>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</si>
  <si>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</si>
  <si>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</si>
  <si>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</si>
  <si>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</si>
  <si>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</si>
  <si>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</si>
  <si>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</si>
  <si>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</si>
  <si>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</si>
  <si>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</si>
  <si>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</si>
  <si>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</si>
  <si>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</si>
  <si>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</si>
  <si>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</si>
  <si>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</si>
  <si>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</si>
  <si>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</si>
  <si>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</si>
  <si>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</si>
  <si>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</si>
  <si>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</si>
  <si>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</si>
  <si>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</si>
  <si>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</si>
  <si>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</si>
  <si>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</si>
  <si>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</si>
  <si>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</si>
  <si>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</si>
  <si>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</si>
  <si>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</si>
  <si>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</si>
  <si>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</si>
  <si>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</si>
  <si>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</si>
  <si>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</si>
  <si>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</si>
  <si>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</si>
  <si>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</si>
  <si>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</si>
  <si>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</si>
  <si>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</si>
  <si>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</si>
  <si>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</si>
  <si>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</si>
  <si>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</si>
  <si>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</si>
  <si>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</si>
  <si>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</si>
  <si>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</si>
  <si>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</si>
  <si>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</si>
  <si>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</si>
  <si>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</si>
  <si>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</si>
  <si>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</si>
  <si>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</si>
  <si>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</si>
  <si>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</si>
  <si>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</si>
  <si>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</si>
  <si>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</si>
  <si>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</si>
  <si>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</si>
  <si>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</si>
  <si>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</si>
  <si>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</si>
  <si>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</si>
  <si>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</si>
  <si>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</si>
  <si>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</si>
  <si>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</si>
  <si>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</si>
  <si>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</si>
  <si>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</si>
  <si>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</si>
  <si>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</si>
  <si>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</si>
  <si>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</si>
  <si>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</si>
  <si>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</si>
  <si>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</si>
  <si>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</si>
  <si>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</si>
  <si>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</si>
  <si>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</si>
  <si>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</si>
  <si>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</si>
  <si>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</si>
  <si>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</si>
  <si>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</si>
  <si>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</si>
  <si>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</si>
  <si>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</si>
  <si>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</si>
  <si>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</si>
  <si>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</si>
  <si>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</si>
  <si>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</si>
  <si>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</si>
  <si>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</si>
  <si>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</si>
  <si>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</si>
  <si>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</si>
  <si>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</si>
  <si>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</si>
  <si>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</si>
  <si>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033/0029/D</t>
  </si>
  <si>
    <t>033/0029/E</t>
  </si>
  <si>
    <t>033/0030/C</t>
  </si>
  <si>
    <t>033/0030/D</t>
  </si>
  <si>
    <t>CONTROLE INDENIZAÇÃO FASE 2</t>
  </si>
  <si>
    <t>PROCESSOS FINALIZADOS</t>
  </si>
  <si>
    <t>PROCESSOS EM ANDAMENTO</t>
  </si>
  <si>
    <t>TOTAL</t>
  </si>
  <si>
    <t>CONTROLE INDENIZAÇÃO FASE 4</t>
  </si>
  <si>
    <t>TOTAL ANTONICO</t>
  </si>
  <si>
    <t>CONTROLE INDENIZAÇÃO COLOMBO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</si>
  <si>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</si>
  <si>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</si>
  <si>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</si>
  <si>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</si>
  <si>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</si>
  <si>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</si>
  <si>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</si>
  <si>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</si>
  <si>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</si>
  <si>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</si>
  <si>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</si>
  <si>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</si>
  <si>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</si>
  <si>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</si>
  <si>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</si>
  <si>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</si>
  <si>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</si>
  <si>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</si>
  <si>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</si>
  <si>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</si>
  <si>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</si>
  <si>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</si>
  <si>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</si>
  <si>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</si>
  <si>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</si>
  <si>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</si>
  <si>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</si>
  <si>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</si>
  <si>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</si>
  <si>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</si>
  <si>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</si>
  <si>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</si>
  <si>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</si>
  <si>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</si>
  <si>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</si>
  <si>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</si>
  <si>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</si>
  <si>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</si>
  <si>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</si>
  <si>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</si>
  <si>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</si>
  <si>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</si>
  <si>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</si>
  <si>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</si>
  <si>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</si>
  <si>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</si>
  <si>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</si>
  <si>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</si>
  <si>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</si>
  <si>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</si>
  <si>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</si>
  <si>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</si>
  <si>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</si>
  <si>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</si>
  <si>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</si>
  <si>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</si>
  <si>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</si>
  <si>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</si>
  <si>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</si>
  <si>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</si>
  <si>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</si>
  <si>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</si>
  <si>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</si>
  <si>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</si>
  <si>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</si>
  <si>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</si>
  <si>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</si>
  <si>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</si>
  <si>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</si>
  <si>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</si>
  <si>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</si>
  <si>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</si>
  <si>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</si>
  <si>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</si>
  <si>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</si>
  <si>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</si>
  <si>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</si>
  <si>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</si>
  <si>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</si>
  <si>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</si>
  <si>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</si>
  <si>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</si>
  <si>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</si>
  <si>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</si>
  <si>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</si>
  <si>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</si>
  <si>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</si>
  <si>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</si>
  <si>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</si>
  <si>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</si>
  <si>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</si>
  <si>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</si>
  <si>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</si>
  <si>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</si>
  <si>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</si>
  <si>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</si>
  <si>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</si>
  <si>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</si>
  <si>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</si>
  <si>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</si>
  <si>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</si>
  <si>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</si>
  <si>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</si>
  <si>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</si>
  <si>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</si>
  <si>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</si>
  <si>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</si>
  <si>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</si>
  <si>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</si>
  <si>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</si>
  <si>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</si>
  <si>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</si>
  <si>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</si>
  <si>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</si>
  <si>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</si>
  <si>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</si>
  <si>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</si>
  <si>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</si>
  <si>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</si>
  <si>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</si>
  <si>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</si>
  <si>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</si>
  <si>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</si>
  <si>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</si>
  <si>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</si>
  <si>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</si>
  <si>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</si>
  <si>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</si>
  <si>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</si>
  <si>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</si>
  <si>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</si>
  <si>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</si>
  <si>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</si>
  <si>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</si>
  <si>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</si>
  <si>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</si>
  <si>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</si>
  <si>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</si>
  <si>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</si>
  <si>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</si>
  <si>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</si>
  <si>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</si>
  <si>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</si>
  <si>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</si>
  <si>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</si>
  <si>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</si>
  <si>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</si>
  <si>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</si>
  <si>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</si>
  <si>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</si>
  <si>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</si>
  <si>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</si>
  <si>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</si>
  <si>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</si>
  <si>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</si>
  <si>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</si>
  <si>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</si>
  <si>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</si>
  <si>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</si>
  <si>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</si>
  <si>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</si>
  <si>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</si>
  <si>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</si>
  <si>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</si>
  <si>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</si>
  <si>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</si>
  <si>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</si>
  <si>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</si>
  <si>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</si>
  <si>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</si>
  <si>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</si>
  <si>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</si>
  <si>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</si>
  <si>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</si>
  <si>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</si>
  <si>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</si>
  <si>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</si>
  <si>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</si>
  <si>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</si>
  <si>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</si>
  <si>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</si>
  <si>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</si>
  <si>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</si>
  <si>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</si>
  <si>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</si>
  <si>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</si>
  <si>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</si>
  <si>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</si>
  <si>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</si>
  <si>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</si>
  <si>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</si>
  <si>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</si>
  <si>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</si>
  <si>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</si>
  <si>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</si>
  <si>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</si>
  <si>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</si>
  <si>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</si>
  <si>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</si>
  <si>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</si>
  <si>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</si>
  <si>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</si>
  <si>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</si>
  <si>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</si>
  <si>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</si>
  <si>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</si>
  <si>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</si>
  <si>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</si>
  <si>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</si>
  <si>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</si>
  <si>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</si>
  <si>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</si>
  <si>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</si>
  <si>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</si>
  <si>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</si>
  <si>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</si>
  <si>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</si>
  <si>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</si>
  <si>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</si>
  <si>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</si>
  <si>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</si>
  <si>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</si>
  <si>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</si>
  <si>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</si>
  <si>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</si>
  <si>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</si>
  <si>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</si>
  <si>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</si>
  <si>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</si>
  <si>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</si>
  <si>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</si>
  <si>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</si>
  <si>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</si>
  <si>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</si>
  <si>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</si>
  <si>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</si>
  <si>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</si>
  <si>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</si>
  <si>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</si>
  <si>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</si>
  <si>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</si>
  <si>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</si>
  <si>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</si>
  <si>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</si>
  <si>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</si>
  <si>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</si>
  <si>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</si>
  <si>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</si>
  <si>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</si>
  <si>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</si>
  <si>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</si>
  <si>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</si>
  <si>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</si>
  <si>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</si>
  <si>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</si>
  <si>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</si>
  <si>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</si>
  <si>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</si>
  <si>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</si>
  <si>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</si>
  <si>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</si>
  <si>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</si>
  <si>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</si>
  <si>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</si>
  <si>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</si>
  <si>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</si>
  <si>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</si>
  <si>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</si>
  <si>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</si>
  <si>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</si>
  <si>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</si>
  <si>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</si>
  <si>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</si>
  <si>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</si>
  <si>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</si>
  <si>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</si>
  <si>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</si>
  <si>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</si>
  <si>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</si>
  <si>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</si>
  <si>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</si>
  <si>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</si>
  <si>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</si>
  <si>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</si>
  <si>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</si>
  <si>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</si>
  <si>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</si>
  <si>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</si>
  <si>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</si>
  <si>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</si>
  <si>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</si>
  <si>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</si>
  <si>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</si>
  <si>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</si>
  <si>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</si>
  <si>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</si>
  <si>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</si>
  <si>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</si>
  <si>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</si>
  <si>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</si>
  <si>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</si>
  <si>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</si>
  <si>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</si>
  <si>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</si>
  <si>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</si>
  <si>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</si>
  <si>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</si>
  <si>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</si>
  <si>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</si>
  <si>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</si>
  <si>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</si>
  <si>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</si>
  <si>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</si>
  <si>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</si>
  <si>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</si>
  <si>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</si>
  <si>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</si>
  <si>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</si>
  <si>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</si>
  <si>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</si>
  <si>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</si>
  <si>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</si>
  <si>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</si>
  <si>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</si>
  <si>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</si>
  <si>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</si>
  <si>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</si>
  <si>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</si>
  <si>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</si>
  <si>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</si>
  <si>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</si>
  <si>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</si>
  <si>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</si>
  <si>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</si>
  <si>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</si>
  <si>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</si>
  <si>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</si>
  <si>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</si>
  <si>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</si>
  <si>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</si>
  <si>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</si>
  <si>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</si>
  <si>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</si>
  <si>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</si>
  <si>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</si>
  <si>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</si>
  <si>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</si>
  <si>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</si>
  <si>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</si>
  <si>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</si>
  <si>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</si>
  <si>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</si>
  <si>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</si>
  <si>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</si>
  <si>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</si>
  <si>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</si>
  <si>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</si>
  <si>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</si>
  <si>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</si>
  <si>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</si>
  <si>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</si>
  <si>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</si>
  <si>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</si>
  <si>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</si>
  <si>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</si>
  <si>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</si>
  <si>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</si>
  <si>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</si>
  <si>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</si>
  <si>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</si>
  <si>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</si>
  <si>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</si>
  <si>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</si>
  <si>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</si>
  <si>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</si>
  <si>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</si>
  <si>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</si>
  <si>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</si>
  <si>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</si>
  <si>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</si>
  <si>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</si>
  <si>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</si>
  <si>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</si>
  <si>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</si>
  <si>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</si>
  <si>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</si>
  <si>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</si>
  <si>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</si>
  <si>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</si>
  <si>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</si>
  <si>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</si>
  <si>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</si>
  <si>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</si>
  <si>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</si>
  <si>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</si>
  <si>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</si>
  <si>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</si>
  <si>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</si>
  <si>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</si>
  <si>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</si>
  <si>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</si>
  <si>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</si>
  <si>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</si>
  <si>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</si>
  <si>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</si>
  <si>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</si>
  <si>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</si>
  <si>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</si>
  <si>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</si>
  <si>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</si>
  <si>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</si>
  <si>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</si>
  <si>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</si>
  <si>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</si>
  <si>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</si>
  <si>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</si>
  <si>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</si>
  <si>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</si>
  <si>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</si>
  <si>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</si>
  <si>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</si>
  <si>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</si>
  <si>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</si>
  <si>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</si>
  <si>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</si>
  <si>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</si>
  <si>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</si>
  <si>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</si>
  <si>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</si>
  <si>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</si>
  <si>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</si>
  <si>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</si>
  <si>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</si>
  <si>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</si>
  <si>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</si>
  <si>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</si>
  <si>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</si>
  <si>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</si>
  <si>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</si>
  <si>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</si>
  <si>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</si>
  <si>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</si>
  <si>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</si>
  <si>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</si>
  <si>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</si>
  <si>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</si>
  <si>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</si>
  <si>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</si>
  <si>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</si>
  <si>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</si>
  <si>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</si>
  <si>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</si>
  <si>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</si>
  <si>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</si>
  <si>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</si>
  <si>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</si>
  <si>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</si>
  <si>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</si>
  <si>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</si>
  <si>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</si>
  <si>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</si>
  <si>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</si>
  <si>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</si>
  <si>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</si>
  <si>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</si>
  <si>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</si>
  <si>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</si>
  <si>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</si>
  <si>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</si>
  <si>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</si>
  <si>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</si>
  <si>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</si>
  <si>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</si>
  <si>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</si>
  <si>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</si>
  <si>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</si>
  <si>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</si>
  <si>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</si>
  <si>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</si>
  <si>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</si>
  <si>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</si>
  <si>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</si>
  <si>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</si>
  <si>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</si>
  <si>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</si>
  <si>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</si>
  <si>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</si>
  <si>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</si>
  <si>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</si>
  <si>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</si>
  <si>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</si>
  <si>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</si>
  <si>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</si>
  <si>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</si>
  <si>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</si>
  <si>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</si>
  <si>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</si>
  <si>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</si>
  <si>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</si>
  <si>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</si>
  <si>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</si>
  <si>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</si>
  <si>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</si>
  <si>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</si>
  <si>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</si>
  <si>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</si>
  <si>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</si>
  <si>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</si>
  <si>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</si>
  <si>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</si>
  <si>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</si>
  <si>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</si>
  <si>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</si>
  <si>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</si>
  <si>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</si>
  <si>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</si>
  <si>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</si>
  <si>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</si>
  <si>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</si>
  <si>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</si>
  <si>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</si>
  <si>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</si>
  <si>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</si>
  <si>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</si>
  <si>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</si>
  <si>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</si>
  <si>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</si>
  <si>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</si>
  <si>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</si>
  <si>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</si>
  <si>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</si>
  <si>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</si>
  <si>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</si>
  <si>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</si>
  <si>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</si>
  <si>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</si>
  <si>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</si>
  <si>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</si>
  <si>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</si>
  <si>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</si>
  <si>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</si>
  <si>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</si>
  <si>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</si>
  <si>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</si>
  <si>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</si>
  <si>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</si>
  <si>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</si>
  <si>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</si>
  <si>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</si>
  <si>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</si>
  <si>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</si>
  <si>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</si>
  <si>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</si>
  <si>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</si>
  <si>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</si>
  <si>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</si>
  <si>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</si>
  <si>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</si>
  <si>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</si>
  <si>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</si>
  <si>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</si>
  <si>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</si>
  <si>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</si>
  <si>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</si>
  <si>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</si>
  <si>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</si>
  <si>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</si>
  <si>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</si>
  <si>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</si>
  <si>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</si>
  <si>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</si>
  <si>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</si>
  <si>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</si>
  <si>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</si>
  <si>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</si>
  <si>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</si>
  <si>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</si>
  <si>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</si>
  <si>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</si>
  <si>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</si>
  <si>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</si>
  <si>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</si>
  <si>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</si>
  <si>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</si>
  <si>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</si>
  <si>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</si>
  <si>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</si>
  <si>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</si>
  <si>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</si>
  <si>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</si>
  <si>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</si>
  <si>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</si>
  <si>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</si>
  <si>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</si>
  <si>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</si>
  <si>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</si>
  <si>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</si>
  <si>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</si>
  <si>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</si>
  <si>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</si>
  <si>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</si>
  <si>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</si>
  <si>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</si>
  <si>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</si>
  <si>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</si>
  <si>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</si>
  <si>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</si>
  <si>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</si>
  <si>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</si>
  <si>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</si>
  <si>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</si>
  <si>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</si>
  <si>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</si>
  <si>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</si>
  <si>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</si>
  <si>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</si>
  <si>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</si>
  <si>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</si>
  <si>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</si>
  <si>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</si>
  <si>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</si>
  <si>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</si>
  <si>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</si>
  <si>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</si>
  <si>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</si>
  <si>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</si>
  <si>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</si>
  <si>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</si>
  <si>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</si>
  <si>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</si>
  <si>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</si>
  <si>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</si>
  <si>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</si>
  <si>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</si>
  <si>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</si>
  <si>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</si>
  <si>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</si>
  <si>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</si>
  <si>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</si>
  <si>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</si>
  <si>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</si>
  <si>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</si>
  <si>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</si>
  <si>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</si>
  <si>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</si>
  <si>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</si>
  <si>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</si>
  <si>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</si>
  <si>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</si>
  <si>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</si>
  <si>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</si>
  <si>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</si>
  <si>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</si>
  <si>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</si>
  <si>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</si>
  <si>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</si>
  <si>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</si>
  <si>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</si>
  <si>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</si>
  <si>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</si>
  <si>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</si>
  <si>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</si>
  <si>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</si>
  <si>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</si>
  <si>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</si>
  <si>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</si>
  <si>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</si>
  <si>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</si>
  <si>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</si>
  <si>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</si>
  <si>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</si>
  <si>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</si>
  <si>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</si>
  <si>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</si>
  <si>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</si>
  <si>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</si>
  <si>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</si>
  <si>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</si>
  <si>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</si>
  <si>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</si>
  <si>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</si>
  <si>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</si>
  <si>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</si>
  <si>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</si>
  <si>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</si>
  <si>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</si>
  <si>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</si>
  <si>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</si>
  <si>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</si>
  <si>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</si>
  <si>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</si>
  <si>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</si>
  <si>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</si>
  <si>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</si>
  <si>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</si>
  <si>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</si>
  <si>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</si>
  <si>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</si>
  <si>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</si>
  <si>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</si>
  <si>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</si>
  <si>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</si>
  <si>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</si>
  <si>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</si>
  <si>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</si>
  <si>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</si>
  <si>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</si>
  <si>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</si>
  <si>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</si>
  <si>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</si>
  <si>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</si>
  <si>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</si>
  <si>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</si>
  <si>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</si>
  <si>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</si>
  <si>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</si>
  <si>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</si>
  <si>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</si>
  <si>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</si>
  <si>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</si>
  <si>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</si>
  <si>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</si>
  <si>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</si>
  <si>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</si>
  <si>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</si>
  <si>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</si>
  <si>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</si>
  <si>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</si>
  <si>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</si>
  <si>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</si>
  <si>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</si>
  <si>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</si>
  <si>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</si>
  <si>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</si>
  <si>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</si>
  <si>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</si>
  <si>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</si>
  <si>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</si>
  <si>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</si>
  <si>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</si>
  <si>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</si>
  <si>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</si>
  <si>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</si>
  <si>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</si>
  <si>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</si>
  <si>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</si>
  <si>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</si>
  <si>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</si>
  <si>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</si>
  <si>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</si>
  <si>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</si>
  <si>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</si>
  <si>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</si>
  <si>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</si>
  <si>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</si>
  <si>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</si>
  <si>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</si>
  <si>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</si>
  <si>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</si>
  <si>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</si>
  <si>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</si>
  <si>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</si>
  <si>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</si>
  <si>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</si>
  <si>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</si>
  <si>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</si>
  <si>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</si>
  <si>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</si>
  <si>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</si>
  <si>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</si>
  <si>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</si>
  <si>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</si>
  <si>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</si>
  <si>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</si>
  <si>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</si>
  <si>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</si>
  <si>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</si>
  <si>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</si>
  <si>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</si>
  <si>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</si>
  <si>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</si>
  <si>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</si>
  <si>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</si>
  <si>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</si>
  <si>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</si>
  <si>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</si>
  <si>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</si>
  <si>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</si>
  <si>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</si>
  <si>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</si>
  <si>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</si>
  <si>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</si>
  <si>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</si>
  <si>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</si>
  <si>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</si>
  <si>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</si>
  <si>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</si>
  <si>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</si>
  <si>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</si>
  <si>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</si>
  <si>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</si>
  <si>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</si>
  <si>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</si>
  <si>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</si>
  <si>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</si>
  <si>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</si>
  <si>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</si>
  <si>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</si>
  <si>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</si>
  <si>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</si>
  <si>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</si>
  <si>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</si>
  <si>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</si>
  <si>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</si>
  <si>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</si>
  <si>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</si>
  <si>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</si>
  <si>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</si>
  <si>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</si>
  <si>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</si>
  <si>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</si>
  <si>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</si>
  <si>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</si>
  <si>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</si>
  <si>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</si>
  <si>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</si>
  <si>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</si>
  <si>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</si>
  <si>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</si>
  <si>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</si>
  <si>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</si>
  <si>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</si>
  <si>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</si>
  <si>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</si>
  <si>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</si>
  <si>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</si>
  <si>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</si>
  <si>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</si>
  <si>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</si>
  <si>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</si>
  <si>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</si>
  <si>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</si>
  <si>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</si>
  <si>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</si>
  <si>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</si>
  <si>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</si>
  <si>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</si>
  <si>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</si>
  <si>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</si>
  <si>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</si>
  <si>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</si>
  <si>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</si>
  <si>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</si>
  <si>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</si>
  <si>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</si>
  <si>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</si>
  <si>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</si>
  <si>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</si>
  <si>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</si>
  <si>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</si>
  <si>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</si>
  <si>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</si>
  <si>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</si>
  <si>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</si>
  <si>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</si>
  <si>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</si>
  <si>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</si>
  <si>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</si>
  <si>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</si>
  <si>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</si>
  <si>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</si>
  <si>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</si>
  <si>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</si>
  <si>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</si>
  <si>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</si>
  <si>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</si>
  <si>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</si>
  <si>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</si>
  <si>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</si>
  <si>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</si>
  <si>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</si>
  <si>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</si>
  <si>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</si>
  <si>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</si>
  <si>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</si>
  <si>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</si>
  <si>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</si>
  <si>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</si>
  <si>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</si>
  <si>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</si>
  <si>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</si>
  <si>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</si>
  <si>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</si>
  <si>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</si>
  <si>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</si>
  <si>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</si>
  <si>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</si>
  <si>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</si>
  <si>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</si>
  <si>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</si>
  <si>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</si>
  <si>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</si>
  <si>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</si>
  <si>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</si>
  <si>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</si>
  <si>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</si>
  <si>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</si>
  <si>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</si>
  <si>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</si>
  <si>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</si>
  <si>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</si>
  <si>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</si>
  <si>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</si>
  <si>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</si>
  <si>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</si>
  <si>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</si>
  <si>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</si>
  <si>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</si>
  <si>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</si>
  <si>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</si>
  <si>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</si>
  <si>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</si>
  <si>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</si>
  <si>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</si>
  <si>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</si>
  <si>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</si>
  <si>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</si>
  <si>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</si>
  <si>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</si>
  <si>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</si>
  <si>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</si>
  <si>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</si>
  <si>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</si>
  <si>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</si>
  <si>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</si>
  <si>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</si>
  <si>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</si>
  <si>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</si>
  <si>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</si>
  <si>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</si>
  <si>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</si>
  <si>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</si>
  <si>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</si>
  <si>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</si>
  <si>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</si>
  <si>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</si>
  <si>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</si>
  <si>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</si>
  <si>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</si>
  <si>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</si>
  <si>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</si>
  <si>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</si>
  <si>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</si>
  <si>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</si>
  <si>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</si>
  <si>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</si>
  <si>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</si>
  <si>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</si>
  <si>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</si>
  <si>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</si>
  <si>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</si>
  <si>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</si>
  <si>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</si>
  <si>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</si>
  <si>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</si>
  <si>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</si>
  <si>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</si>
  <si>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</si>
  <si>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</si>
  <si>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</si>
  <si>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</si>
  <si>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</si>
  <si>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</si>
  <si>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</si>
  <si>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</si>
  <si>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</si>
  <si>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</si>
  <si>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</si>
  <si>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</si>
  <si>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</si>
  <si>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</si>
  <si>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</si>
  <si>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</si>
  <si>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</si>
  <si>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</si>
  <si>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</si>
  <si>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</si>
  <si>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</si>
  <si>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</si>
  <si>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</si>
  <si>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</si>
  <si>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</si>
  <si>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</si>
  <si>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</si>
  <si>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</si>
  <si>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</si>
  <si>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</si>
  <si>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</si>
  <si>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</si>
  <si>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</si>
  <si>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</si>
  <si>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</si>
  <si>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</si>
  <si>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</si>
  <si>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</si>
  <si>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</si>
  <si>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</si>
  <si>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</si>
  <si>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</si>
  <si>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</si>
  <si>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</si>
  <si>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</si>
  <si>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</si>
  <si>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</si>
  <si>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</si>
  <si>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</si>
  <si>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</si>
  <si>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</si>
  <si>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</si>
  <si>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</si>
  <si>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</si>
  <si>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</si>
  <si>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</si>
  <si>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</si>
  <si>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</si>
  <si>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</si>
  <si>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</si>
  <si>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</si>
  <si>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</si>
  <si>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</si>
  <si>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</si>
  <si>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</si>
  <si>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</si>
  <si>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</si>
  <si>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</si>
  <si>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</si>
  <si>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</si>
  <si>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</si>
  <si>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</si>
  <si>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</si>
  <si>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</si>
  <si>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</si>
  <si>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</si>
  <si>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</si>
  <si>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</si>
  <si>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</si>
  <si>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</si>
  <si>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</si>
  <si>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</si>
  <si>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</si>
  <si>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</si>
  <si>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</si>
  <si>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</si>
  <si>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</si>
  <si>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</si>
  <si>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</si>
  <si>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</si>
  <si>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</si>
  <si>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</si>
  <si>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</si>
  <si>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</si>
  <si>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</si>
  <si>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</si>
  <si>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</si>
  <si>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</si>
  <si>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</si>
  <si>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</si>
  <si>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</si>
  <si>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</si>
  <si>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</si>
  <si>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</si>
  <si>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</si>
  <si>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</si>
  <si>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</si>
  <si>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</si>
  <si>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</si>
  <si>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</si>
  <si>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</si>
  <si>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</si>
  <si>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</si>
  <si>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</si>
  <si>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</si>
  <si>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</si>
  <si>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</si>
  <si>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</si>
  <si>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</si>
  <si>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</si>
  <si>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</si>
  <si>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</si>
  <si>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</si>
  <si>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</si>
  <si>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</si>
  <si>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</si>
  <si>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</si>
  <si>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</si>
  <si>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</si>
  <si>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</si>
  <si>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</si>
  <si>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</si>
  <si>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</si>
  <si>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</si>
  <si>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</si>
  <si>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</si>
  <si>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</si>
  <si>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</si>
  <si>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</si>
  <si>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</si>
  <si>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</si>
  <si>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</si>
  <si>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</si>
  <si>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</si>
  <si>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</si>
  <si>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</si>
  <si>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</si>
  <si>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</si>
  <si>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</si>
  <si>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</si>
  <si>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</si>
  <si>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</si>
  <si>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</si>
  <si>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</si>
  <si>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</si>
  <si>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</si>
  <si>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</si>
  <si>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</si>
  <si>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</si>
  <si>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</si>
  <si>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</si>
  <si>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</si>
  <si>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</si>
  <si>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</si>
  <si>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</si>
  <si>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</si>
  <si>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</si>
  <si>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</si>
  <si>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</si>
  <si>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</si>
  <si>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</si>
  <si>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</si>
  <si>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</si>
  <si>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</si>
  <si>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</si>
  <si>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</si>
  <si>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</si>
  <si>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</si>
  <si>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</si>
  <si>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</si>
  <si>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</si>
  <si>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</si>
  <si>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</si>
  <si>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</si>
  <si>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</si>
  <si>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</si>
  <si>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</si>
  <si>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</si>
  <si>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</si>
  <si>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</si>
  <si>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</si>
  <si>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</si>
  <si>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</si>
  <si>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</si>
  <si>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</si>
  <si>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</si>
  <si>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</si>
  <si>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</si>
  <si>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</si>
  <si>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</si>
  <si>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</si>
  <si>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</si>
  <si>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</si>
  <si>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</si>
  <si>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</si>
  <si>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</si>
  <si>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</si>
  <si>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</si>
  <si>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</si>
  <si>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</si>
  <si>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</si>
  <si>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</si>
  <si>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</si>
  <si>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</si>
  <si>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</si>
  <si>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</si>
  <si>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</si>
  <si>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</si>
  <si>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</si>
  <si>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</si>
  <si>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</si>
  <si>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</si>
  <si>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</si>
  <si>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</si>
  <si>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</si>
  <si>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</si>
  <si>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</si>
  <si>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</si>
  <si>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</si>
  <si>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</si>
  <si>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</si>
  <si>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</si>
  <si>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</si>
  <si>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</si>
  <si>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</si>
  <si>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</si>
  <si>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</si>
  <si>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</si>
  <si>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</si>
  <si>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</si>
  <si>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</si>
  <si>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</si>
  <si>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</si>
  <si>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</si>
  <si>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</si>
  <si>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</si>
  <si>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</si>
  <si>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</si>
  <si>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</si>
  <si>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</si>
  <si>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</si>
  <si>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</si>
  <si>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</si>
  <si>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</si>
  <si>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</si>
  <si>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</si>
  <si>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</si>
  <si>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</si>
  <si>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</si>
  <si>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</si>
  <si>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</si>
  <si>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</si>
  <si>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</si>
  <si>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</si>
  <si>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</si>
  <si>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</si>
  <si>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</si>
  <si>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</si>
  <si>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</si>
  <si>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</si>
  <si>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</si>
  <si>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</si>
  <si>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</si>
  <si>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</si>
  <si>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</si>
  <si>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</si>
  <si>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</si>
  <si>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</si>
  <si>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</si>
  <si>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</si>
  <si>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</si>
  <si>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</si>
  <si>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</si>
  <si>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</si>
  <si>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</si>
  <si>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</si>
  <si>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</si>
  <si>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</si>
  <si>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</si>
  <si>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</si>
  <si>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</si>
  <si>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</si>
  <si>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</si>
  <si>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</si>
  <si>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</si>
  <si>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</si>
  <si>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</si>
  <si>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</si>
  <si>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</si>
  <si>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</si>
  <si>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</si>
  <si>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</si>
  <si>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</si>
  <si>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</si>
  <si>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</si>
  <si>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</si>
  <si>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</si>
  <si>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</si>
  <si>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</si>
  <si>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</si>
  <si>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</si>
  <si>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</si>
  <si>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</si>
  <si>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</si>
  <si>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</si>
  <si>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</si>
  <si>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</si>
  <si>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</si>
  <si>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</si>
  <si>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</si>
  <si>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</si>
  <si>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</si>
  <si>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</si>
  <si>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</si>
  <si>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</si>
  <si>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</si>
  <si>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</si>
  <si>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</si>
  <si>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</si>
  <si>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</si>
  <si>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</si>
  <si>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</si>
  <si>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</si>
  <si>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</si>
  <si>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</si>
  <si>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</si>
  <si>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</si>
  <si>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</si>
  <si>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</si>
  <si>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</si>
  <si>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</si>
  <si>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</si>
  <si>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</si>
  <si>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</si>
  <si>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</si>
  <si>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</si>
  <si>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</si>
  <si>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</si>
  <si>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</si>
  <si>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</si>
  <si>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</si>
  <si>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</si>
  <si>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</si>
  <si>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</si>
  <si>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</si>
  <si>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</si>
  <si>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</si>
  <si>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</si>
  <si>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</si>
  <si>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</si>
  <si>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</si>
  <si>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</si>
  <si>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</si>
  <si>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</si>
  <si>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</si>
  <si>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</si>
  <si>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</si>
  <si>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</si>
  <si>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</si>
  <si>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</si>
  <si>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</si>
  <si>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</si>
  <si>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</si>
  <si>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</si>
  <si>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</si>
  <si>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</si>
  <si>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</si>
  <si>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</si>
  <si>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</si>
  <si>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</si>
  <si>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</si>
  <si>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</si>
  <si>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</si>
  <si>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</si>
  <si>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</si>
  <si>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</si>
  <si>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</si>
  <si>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</si>
  <si>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</si>
  <si>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</si>
  <si>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</si>
  <si>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</si>
  <si>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</si>
  <si>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</si>
  <si>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</si>
  <si>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</si>
  <si>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</si>
  <si>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</si>
  <si>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</si>
  <si>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</si>
  <si>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</si>
  <si>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</si>
  <si>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</si>
  <si>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</si>
  <si>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</si>
  <si>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</si>
  <si>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</si>
  <si>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</si>
  <si>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</si>
  <si>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</si>
  <si>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</si>
  <si>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</si>
  <si>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</si>
  <si>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</si>
  <si>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</si>
  <si>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</si>
  <si>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</si>
  <si>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</si>
  <si>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</si>
  <si>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</si>
  <si>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</si>
  <si>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</si>
  <si>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</si>
  <si>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</si>
  <si>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</si>
  <si>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</si>
  <si>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</si>
  <si>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</si>
  <si>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</si>
  <si>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</si>
  <si>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</si>
  <si>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</si>
  <si>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</si>
  <si>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</si>
  <si>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</si>
  <si>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</si>
  <si>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</si>
  <si>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</si>
  <si>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</si>
  <si>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</si>
  <si>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</si>
  <si>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</si>
  <si>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</si>
  <si>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</si>
  <si>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</si>
  <si>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</si>
  <si>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</si>
  <si>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</si>
  <si>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</si>
  <si>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</si>
  <si>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</si>
  <si>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</si>
  <si>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</si>
  <si>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</si>
  <si>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</si>
  <si>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</si>
  <si>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</si>
  <si>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</si>
  <si>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</si>
  <si>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</si>
  <si>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</si>
  <si>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</si>
  <si>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</si>
  <si>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</si>
  <si>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</si>
  <si>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</si>
  <si>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</si>
  <si>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</si>
  <si>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</si>
  <si>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</si>
  <si>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</si>
  <si>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</si>
  <si>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</si>
  <si>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</si>
  <si>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</si>
  <si>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</si>
  <si>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</si>
  <si>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</si>
  <si>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</si>
  <si>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</si>
  <si>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</si>
  <si>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</si>
  <si>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</si>
  <si>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</si>
  <si>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</si>
  <si>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</si>
  <si>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</si>
  <si>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</si>
  <si>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</si>
  <si>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</si>
  <si>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</si>
  <si>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</si>
  <si>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</si>
  <si>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</si>
  <si>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</si>
  <si>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</si>
  <si>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</si>
  <si>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</si>
  <si>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</si>
  <si>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</si>
  <si>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</si>
  <si>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</si>
  <si>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</si>
  <si>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</si>
  <si>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</si>
  <si>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</si>
  <si>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</si>
  <si>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</si>
  <si>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</si>
  <si>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</si>
  <si>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</si>
  <si>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</si>
  <si>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</si>
  <si>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</si>
  <si>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</si>
  <si>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</si>
  <si>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</si>
  <si>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</si>
  <si>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</si>
  <si>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</si>
  <si>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</si>
  <si>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</si>
  <si>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</si>
  <si>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</si>
  <si>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</si>
  <si>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</si>
  <si>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</si>
  <si>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</si>
  <si>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</si>
  <si>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</si>
  <si>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</si>
  <si>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</si>
  <si>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</si>
  <si>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</si>
  <si>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</si>
  <si>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</si>
  <si>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</si>
  <si>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</si>
  <si>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</si>
  <si>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</si>
  <si>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</si>
  <si>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</si>
  <si>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</si>
  <si>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</si>
  <si>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</si>
  <si>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</si>
  <si>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</si>
  <si>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</si>
  <si>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</si>
  <si>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</si>
  <si>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</si>
  <si>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</si>
  <si>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</si>
  <si>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</si>
  <si>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</si>
  <si>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</si>
  <si>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</si>
  <si>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</si>
  <si>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</si>
  <si>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</si>
  <si>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</si>
  <si>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</si>
  <si>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</si>
  <si>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</si>
  <si>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</si>
  <si>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</si>
  <si>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</si>
  <si>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</si>
  <si>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</si>
  <si>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</si>
  <si>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</si>
  <si>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</si>
  <si>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</si>
  <si>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</si>
  <si>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</si>
  <si>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</si>
  <si>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</si>
  <si>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</si>
  <si>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</si>
  <si>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</si>
  <si>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</si>
  <si>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</si>
  <si>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</si>
  <si>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</si>
  <si>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</si>
  <si>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</si>
  <si>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</si>
  <si>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</si>
  <si>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</si>
  <si>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</si>
  <si>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</si>
  <si>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</si>
  <si>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</si>
  <si>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</si>
  <si>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</si>
  <si>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</si>
  <si>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</si>
  <si>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</si>
  <si>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</si>
  <si>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</si>
  <si>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</si>
  <si>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</si>
  <si>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</si>
  <si>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</si>
  <si>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</si>
  <si>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</si>
  <si>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</si>
  <si>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</si>
  <si>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</si>
  <si>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</si>
  <si>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</si>
  <si>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</si>
  <si>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</si>
  <si>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</si>
  <si>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</si>
  <si>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</si>
  <si>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</si>
  <si>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</si>
  <si>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</si>
  <si>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</si>
  <si>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</si>
  <si>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</si>
  <si>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</si>
  <si>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</si>
  <si>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</si>
  <si>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</si>
  <si>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</si>
  <si>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</si>
  <si>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</si>
  <si>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</si>
  <si>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</si>
  <si>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</si>
  <si>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</si>
  <si>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</si>
  <si>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</si>
  <si>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</si>
  <si>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</si>
  <si>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</si>
  <si>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</si>
  <si>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</si>
  <si>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</si>
  <si>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</si>
  <si>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</si>
  <si>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</si>
  <si>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</si>
  <si>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</si>
  <si>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</si>
  <si>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</si>
  <si>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</si>
  <si>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</si>
  <si>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</si>
  <si>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</si>
  <si>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</si>
  <si>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</si>
  <si>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</si>
  <si>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</si>
  <si>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</si>
  <si>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</si>
  <si>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</si>
  <si>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</si>
  <si>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</si>
  <si>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</si>
  <si>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</si>
  <si>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</si>
  <si>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</si>
  <si>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</si>
  <si>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</si>
  <si>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</si>
  <si>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</si>
  <si>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</si>
  <si>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</si>
  <si>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</si>
  <si>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</si>
  <si>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</si>
  <si>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</si>
  <si>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</si>
  <si>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</si>
  <si>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</si>
  <si>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</si>
  <si>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</si>
  <si>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</si>
  <si>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</si>
  <si>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</si>
  <si>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</si>
  <si>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</si>
  <si>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</si>
  <si>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</si>
  <si>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</si>
  <si>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</si>
  <si>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</si>
  <si>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</si>
  <si>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</si>
  <si>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</si>
  <si>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</si>
  <si>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</si>
  <si>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</si>
  <si>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</si>
  <si>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</si>
  <si>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</si>
  <si>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</si>
  <si>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</si>
  <si>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</si>
  <si>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</si>
  <si>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</si>
  <si>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</si>
  <si>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</si>
  <si>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</si>
  <si>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</si>
  <si>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</si>
  <si>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</si>
  <si>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</si>
  <si>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</si>
  <si>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</si>
  <si>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</si>
  <si>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</si>
  <si>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</si>
  <si>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</si>
  <si>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</si>
  <si>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</si>
  <si>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</si>
  <si>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</si>
  <si>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</si>
  <si>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</si>
  <si>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</si>
  <si>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</si>
  <si>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</si>
  <si>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</si>
  <si>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</si>
  <si>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</si>
  <si>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</si>
  <si>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</si>
  <si>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</si>
  <si>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</si>
  <si>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</si>
  <si>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</si>
  <si>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</si>
  <si>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</si>
  <si>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</si>
  <si>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</si>
  <si>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</si>
  <si>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</si>
  <si>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</si>
  <si>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</si>
  <si>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</si>
  <si>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</si>
  <si>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</si>
  <si>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</si>
  <si>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</si>
  <si>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</si>
  <si>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</si>
  <si>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</si>
  <si>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</si>
  <si>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</si>
  <si>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</si>
  <si>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</si>
  <si>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</si>
  <si>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</si>
  <si>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</si>
  <si>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</si>
  <si>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</si>
  <si>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</si>
  <si>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</si>
  <si>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</si>
  <si>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</si>
  <si>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</si>
  <si>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</si>
  <si>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</si>
  <si>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</si>
  <si>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</si>
  <si>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</si>
  <si>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</si>
  <si>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</si>
  <si>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</si>
  <si>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</si>
  <si>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</si>
  <si>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</si>
  <si>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</si>
  <si>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</si>
  <si>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</si>
  <si>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</si>
  <si>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</si>
  <si>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</si>
  <si>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</si>
  <si>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</si>
  <si>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</si>
  <si>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</si>
  <si>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</si>
  <si>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</si>
  <si>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</si>
  <si>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</si>
  <si>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</si>
  <si>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</si>
  <si>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</si>
  <si>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</si>
  <si>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</si>
  <si>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</si>
  <si>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</si>
  <si>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</si>
  <si>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</si>
  <si>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</si>
  <si>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</si>
  <si>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</si>
  <si>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</si>
  <si>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</si>
  <si>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</si>
  <si>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</si>
  <si>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</si>
  <si>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</si>
  <si>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</si>
  <si>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</si>
  <si>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</si>
  <si>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</si>
  <si>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</si>
  <si>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</si>
  <si>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</si>
  <si>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</si>
  <si>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</si>
  <si>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</si>
  <si>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</si>
  <si>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</si>
  <si>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</si>
  <si>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</si>
  <si>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</si>
  <si>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</si>
  <si>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</si>
  <si>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</si>
  <si>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</si>
  <si>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</si>
  <si>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</si>
  <si>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</si>
  <si>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</si>
  <si>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</si>
  <si>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</si>
  <si>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</si>
  <si>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</si>
  <si>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</si>
  <si>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</si>
  <si>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</si>
  <si>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</si>
  <si>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</si>
  <si>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</si>
  <si>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</si>
  <si>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</si>
  <si>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</si>
  <si>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</si>
  <si>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</si>
  <si>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</si>
  <si>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</si>
  <si>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</si>
  <si>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</si>
  <si>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</si>
  <si>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</si>
  <si>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</si>
  <si>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</si>
  <si>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</si>
  <si>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</si>
  <si>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</si>
  <si>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</si>
  <si>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</si>
  <si>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</si>
  <si>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</si>
  <si>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</si>
  <si>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</si>
  <si>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</si>
  <si>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</si>
  <si>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</si>
  <si>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</si>
  <si>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</si>
  <si>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</si>
  <si>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</si>
  <si>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</si>
  <si>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</si>
  <si>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</si>
  <si>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</si>
  <si>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</si>
  <si>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</si>
  <si>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</si>
  <si>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</si>
  <si>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</si>
  <si>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</si>
  <si>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</si>
  <si>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</si>
  <si>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</si>
  <si>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</si>
  <si>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</si>
  <si>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</si>
  <si>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</si>
  <si>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</si>
  <si>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</si>
  <si>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</si>
  <si>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</si>
  <si>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</si>
  <si>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</si>
  <si>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</si>
  <si>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</si>
  <si>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</si>
  <si>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</si>
  <si>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</si>
  <si>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</si>
  <si>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</si>
  <si>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</si>
  <si>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</si>
  <si>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</si>
  <si>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</si>
  <si>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</si>
  <si>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</si>
  <si>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</si>
  <si>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</si>
  <si>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</si>
  <si>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</si>
  <si>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</si>
  <si>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</si>
  <si>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</si>
  <si>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</si>
  <si>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</si>
  <si>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</si>
  <si>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</si>
  <si>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</si>
  <si>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</si>
  <si>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</si>
  <si>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</si>
  <si>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</si>
  <si>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</si>
  <si>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</si>
  <si>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</si>
  <si>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</si>
  <si>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</si>
  <si>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</si>
  <si>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</si>
  <si>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</si>
  <si>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</si>
  <si>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</si>
  <si>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</si>
  <si>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</si>
  <si>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</si>
  <si>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</si>
  <si>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</si>
  <si>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</si>
  <si>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</si>
  <si>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</si>
  <si>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</si>
  <si>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</si>
  <si>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</si>
  <si>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</si>
  <si>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</si>
  <si>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</si>
  <si>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</si>
  <si>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</si>
  <si>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</si>
  <si>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</si>
  <si>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</si>
  <si>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</si>
  <si>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</si>
  <si>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</si>
  <si>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</si>
  <si>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</si>
  <si>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</si>
  <si>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</si>
  <si>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</si>
  <si>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</si>
  <si>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</si>
  <si>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</si>
  <si>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</si>
  <si>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</si>
  <si>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</si>
  <si>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</si>
  <si>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</si>
  <si>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</si>
  <si>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</si>
  <si>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</si>
  <si>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</si>
  <si>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</si>
  <si>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</si>
  <si>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</si>
  <si>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</si>
  <si>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</si>
  <si>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</si>
  <si>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</si>
  <si>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</si>
  <si>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</si>
  <si>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</si>
  <si>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</si>
  <si>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</si>
  <si>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</si>
  <si>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</si>
  <si>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</si>
  <si>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</si>
  <si>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</si>
  <si>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</si>
  <si>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</si>
  <si>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</si>
  <si>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</si>
  <si>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</si>
  <si>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</si>
  <si>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</si>
  <si>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</si>
  <si>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</si>
  <si>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</si>
  <si>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</si>
  <si>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</si>
  <si>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</si>
  <si>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</si>
  <si>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</si>
  <si>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</si>
  <si>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</si>
  <si>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</si>
  <si>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</si>
  <si>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</si>
  <si>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</si>
  <si>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</si>
  <si>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</si>
  <si>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</si>
  <si>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</si>
  <si>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</si>
  <si>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</si>
  <si>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</si>
  <si>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</si>
  <si>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</si>
  <si>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</si>
  <si>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</si>
  <si>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</si>
  <si>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</si>
  <si>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</si>
  <si>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</si>
  <si>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</si>
  <si>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</si>
  <si>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</si>
  <si>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</si>
  <si>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</si>
  <si>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</si>
  <si>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</si>
  <si>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</si>
  <si>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</si>
  <si>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</si>
  <si>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</si>
  <si>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</si>
  <si>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</si>
  <si>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</si>
  <si>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</si>
  <si>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</si>
  <si>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</si>
  <si>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</si>
  <si>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</si>
  <si>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</si>
  <si>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</si>
  <si>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</si>
  <si>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</si>
  <si>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</si>
  <si>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</si>
  <si>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</si>
  <si>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</si>
  <si>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</si>
  <si>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</si>
  <si>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</si>
  <si>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</si>
  <si>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</si>
  <si>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</si>
  <si>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</si>
  <si>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</si>
  <si>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</si>
  <si>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</si>
  <si>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</si>
  <si>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</si>
  <si>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</si>
  <si>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</si>
  <si>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</si>
  <si>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</si>
  <si>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</si>
  <si>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</si>
  <si>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</si>
  <si>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</si>
  <si>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</si>
  <si>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</si>
  <si>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</si>
  <si>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</si>
  <si>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</si>
  <si>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</si>
  <si>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</si>
  <si>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</si>
  <si>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</si>
  <si>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</si>
  <si>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</si>
  <si>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</si>
  <si>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</si>
  <si>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</si>
  <si>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</si>
  <si>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</si>
  <si>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</si>
  <si>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</si>
  <si>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</si>
  <si>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</si>
  <si>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</si>
  <si>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</si>
  <si>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</si>
  <si>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</si>
  <si>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</si>
  <si>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</si>
  <si>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</si>
  <si>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</si>
  <si>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</si>
  <si>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</si>
  <si>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</si>
  <si>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</si>
  <si>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</si>
  <si>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</si>
  <si>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</si>
  <si>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</si>
  <si>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</si>
  <si>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</si>
  <si>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</si>
  <si>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</si>
  <si>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</si>
  <si>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</si>
  <si>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</si>
  <si>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</si>
  <si>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</si>
  <si>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</si>
  <si>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</si>
  <si>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</si>
  <si>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</si>
  <si>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</si>
  <si>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</si>
  <si>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</si>
  <si>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</si>
  <si>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</si>
  <si>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</si>
  <si>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</si>
  <si>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</si>
  <si>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</si>
  <si>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</si>
  <si>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</si>
  <si>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</si>
  <si>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</si>
  <si>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</si>
  <si>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</si>
  <si>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</si>
  <si>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</si>
  <si>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</si>
  <si>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</si>
  <si>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</si>
  <si>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</si>
  <si>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</si>
  <si>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</si>
  <si>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</si>
  <si>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</si>
  <si>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</si>
  <si>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</si>
  <si>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</si>
  <si>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</si>
  <si>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</si>
  <si>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</si>
  <si>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</si>
  <si>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</si>
  <si>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</si>
  <si>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</si>
  <si>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</si>
  <si>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</si>
  <si>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</si>
  <si>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</si>
  <si>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</si>
  <si>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</si>
  <si>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</si>
  <si>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</si>
  <si>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</si>
  <si>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</si>
  <si>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</si>
  <si>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</si>
  <si>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</si>
  <si>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</si>
  <si>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</si>
  <si>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</si>
  <si>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</si>
  <si>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</si>
  <si>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</si>
  <si>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</si>
  <si>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</si>
  <si>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</si>
  <si>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</si>
  <si>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</si>
  <si>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</si>
  <si>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</si>
  <si>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</si>
  <si>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</si>
  <si>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</si>
  <si>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</si>
  <si>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</si>
  <si>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</si>
  <si>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</si>
  <si>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</si>
  <si>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</si>
  <si>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</si>
  <si>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</si>
  <si>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</si>
  <si>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</si>
  <si>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</si>
  <si>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</si>
  <si>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</si>
  <si>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</si>
  <si>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</si>
  <si>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</si>
  <si>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</si>
  <si>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</si>
  <si>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</si>
  <si>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</si>
  <si>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</si>
  <si>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</si>
  <si>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</si>
  <si>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</si>
  <si>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</si>
  <si>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</si>
  <si>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</si>
  <si>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</si>
  <si>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</si>
  <si>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</si>
  <si>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</si>
  <si>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</si>
  <si>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</si>
  <si>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</si>
  <si>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</si>
  <si>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</si>
  <si>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</si>
  <si>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</si>
  <si>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</si>
  <si>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</si>
  <si>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</si>
  <si>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</si>
  <si>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</si>
  <si>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</si>
  <si>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</si>
  <si>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</si>
  <si>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</si>
  <si>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</si>
  <si>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</si>
  <si>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</si>
  <si>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</si>
  <si>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</si>
  <si>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</si>
  <si>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</si>
  <si>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</si>
  <si>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</si>
  <si>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</si>
  <si>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</si>
  <si>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</si>
  <si>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</si>
  <si>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</si>
  <si>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</si>
  <si>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</si>
  <si>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</si>
  <si>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</si>
  <si>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</si>
  <si>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</si>
  <si>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</si>
  <si>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</si>
  <si>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</si>
  <si>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</si>
  <si>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</si>
  <si>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</si>
  <si>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</si>
  <si>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</si>
  <si>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</si>
  <si>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</si>
  <si>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</si>
  <si>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</si>
  <si>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</si>
  <si>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</si>
  <si>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</si>
  <si>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</si>
  <si>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</si>
  <si>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</si>
  <si>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</si>
  <si>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</si>
  <si>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</si>
  <si>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</si>
  <si>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</si>
  <si>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</si>
  <si>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</si>
  <si>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</si>
  <si>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</si>
  <si>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</si>
  <si>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</si>
  <si>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</si>
  <si>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</si>
  <si>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</si>
  <si>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</si>
  <si>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</si>
  <si>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</si>
  <si>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</si>
  <si>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</si>
  <si>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</si>
  <si>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</si>
  <si>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</si>
  <si>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</si>
  <si>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</si>
  <si>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</si>
  <si>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</si>
  <si>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</si>
  <si>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</si>
  <si>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</si>
  <si>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</si>
  <si>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</si>
  <si>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</si>
  <si>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</si>
  <si>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</si>
  <si>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</si>
  <si>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</si>
  <si>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</si>
  <si>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</si>
  <si>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</si>
  <si>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</si>
  <si>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</si>
  <si>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</si>
  <si>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</si>
  <si>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</si>
  <si>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</si>
  <si>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</si>
  <si>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</si>
  <si>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</si>
  <si>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</si>
  <si>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</si>
  <si>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</si>
  <si>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</si>
  <si>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</si>
  <si>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</si>
  <si>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</si>
  <si>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</si>
  <si>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</si>
  <si>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</si>
  <si>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</si>
  <si>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</si>
  <si>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</si>
  <si>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</si>
  <si>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</si>
  <si>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</si>
  <si>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</si>
  <si>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</si>
  <si>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</si>
  <si>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</si>
  <si>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</si>
  <si>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</si>
  <si>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</si>
  <si>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</si>
  <si>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</si>
  <si>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</si>
  <si>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</si>
  <si>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</si>
  <si>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</si>
  <si>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</si>
  <si>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</si>
  <si>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</si>
  <si>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</si>
  <si>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</si>
  <si>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</si>
  <si>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</si>
  <si>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</si>
  <si>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</si>
  <si>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</si>
  <si>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</si>
  <si>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</si>
  <si>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</si>
  <si>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</si>
  <si>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</si>
  <si>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</si>
  <si>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</si>
  <si>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</si>
  <si>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</si>
  <si>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</si>
  <si>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</si>
  <si>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</si>
  <si>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</si>
  <si>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</si>
  <si>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</si>
  <si>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</si>
  <si>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</si>
  <si>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</si>
  <si>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</si>
  <si>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</si>
  <si>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</si>
  <si>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</si>
  <si>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</si>
  <si>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</si>
  <si>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</si>
  <si>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</si>
  <si>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</si>
  <si>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</si>
  <si>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</si>
  <si>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</si>
  <si>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</si>
  <si>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</si>
  <si>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</si>
  <si>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</si>
  <si>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</si>
  <si>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</si>
  <si>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</si>
  <si>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</si>
  <si>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</si>
  <si>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</si>
  <si>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</si>
  <si>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</si>
  <si>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</si>
  <si>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</si>
  <si>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</si>
  <si>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</si>
  <si>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</si>
  <si>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</si>
  <si>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</si>
  <si>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</si>
  <si>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</si>
  <si>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</si>
  <si>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</si>
  <si>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</si>
  <si>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</si>
  <si>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</si>
  <si>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</si>
  <si>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</si>
  <si>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</si>
  <si>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</si>
  <si>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</si>
  <si>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</si>
  <si>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</si>
  <si>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</si>
  <si>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</si>
  <si>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</si>
  <si>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</si>
  <si>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</si>
  <si>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</si>
  <si>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</si>
  <si>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</si>
  <si>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</si>
  <si>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</si>
  <si>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</si>
  <si>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</si>
  <si>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</si>
  <si>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</si>
  <si>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</si>
  <si>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</si>
  <si>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</si>
  <si>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</si>
  <si>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</si>
  <si>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</si>
  <si>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</si>
  <si>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</si>
  <si>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</si>
  <si>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</si>
  <si>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</si>
  <si>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</si>
  <si>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</si>
  <si>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</si>
  <si>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</si>
  <si>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</si>
  <si>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</si>
  <si>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</si>
  <si>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</si>
  <si>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</si>
  <si>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</si>
  <si>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</si>
  <si>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</si>
  <si>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</si>
  <si>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</si>
  <si>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</si>
  <si>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</si>
  <si>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</si>
  <si>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</si>
  <si>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</si>
  <si>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</si>
  <si>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</si>
  <si>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</si>
  <si>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</si>
  <si>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</si>
  <si>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</si>
  <si>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</si>
  <si>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</si>
  <si>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</si>
  <si>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</si>
  <si>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</si>
  <si>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</si>
  <si>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</si>
  <si>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</si>
  <si>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</si>
  <si>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</si>
  <si>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</si>
  <si>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</si>
  <si>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</si>
  <si>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</si>
  <si>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</si>
  <si>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</si>
  <si>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</si>
  <si>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</si>
  <si>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</si>
  <si>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</si>
  <si>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</si>
  <si>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</si>
  <si>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</si>
  <si>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</si>
  <si>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</si>
  <si>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</si>
  <si>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</si>
  <si>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</si>
  <si>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</si>
  <si>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</si>
  <si>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</si>
  <si>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</si>
  <si>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</si>
  <si>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</si>
  <si>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</si>
  <si>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</si>
  <si>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</si>
  <si>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</si>
  <si>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</si>
  <si>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</si>
  <si>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</si>
  <si>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</si>
  <si>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</si>
  <si>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</si>
  <si>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</si>
  <si>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</si>
  <si>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</si>
  <si>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</si>
  <si>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</si>
  <si>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</si>
  <si>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</si>
  <si>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</si>
  <si>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</si>
  <si>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</si>
  <si>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</si>
  <si>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</si>
  <si>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</si>
  <si>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</si>
  <si>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</si>
  <si>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</si>
  <si>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</si>
  <si>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</si>
  <si>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</si>
  <si>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</si>
  <si>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</si>
  <si>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</si>
  <si>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</si>
  <si>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</si>
  <si>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</si>
  <si>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</si>
  <si>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</si>
  <si>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</si>
  <si>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</si>
  <si>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</si>
  <si>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</si>
  <si>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</si>
  <si>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</si>
  <si>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</si>
  <si>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</si>
  <si>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</si>
  <si>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</si>
  <si>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</si>
  <si>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</si>
  <si>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</si>
  <si>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</si>
  <si>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</si>
  <si>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</si>
  <si>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</si>
  <si>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</si>
  <si>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</si>
  <si>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</si>
  <si>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</si>
  <si>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</si>
  <si>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</si>
  <si>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</si>
  <si>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</si>
  <si>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</si>
  <si>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</si>
  <si>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</si>
  <si>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</si>
  <si>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</si>
  <si>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</si>
  <si>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</si>
  <si>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</si>
  <si>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</si>
  <si>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</si>
  <si>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</si>
  <si>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</si>
  <si>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</si>
  <si>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</si>
  <si>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</si>
  <si>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</si>
  <si>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</si>
  <si>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</si>
  <si>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</si>
  <si>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</si>
  <si>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</si>
  <si>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</si>
  <si>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</si>
  <si>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</si>
  <si>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</si>
  <si>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</si>
  <si>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</si>
  <si>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</si>
  <si>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</si>
  <si>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</si>
  <si>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</si>
  <si>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</si>
  <si>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</si>
  <si>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</si>
  <si>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</si>
  <si>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</si>
  <si>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</si>
  <si>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</si>
  <si>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</si>
  <si>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</si>
  <si>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</si>
  <si>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</si>
  <si>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</si>
  <si>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</si>
  <si>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</si>
  <si>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</si>
  <si>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</si>
  <si>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</si>
  <si>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</si>
  <si>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</si>
  <si>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</si>
  <si>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</si>
  <si>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</si>
  <si>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</si>
  <si>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</si>
  <si>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</si>
  <si>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</si>
  <si>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</si>
  <si>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</si>
  <si>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</si>
  <si>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</si>
  <si>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</si>
  <si>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</si>
  <si>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</si>
  <si>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</si>
  <si>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</si>
  <si>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</si>
  <si>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</si>
  <si>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</si>
  <si>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</si>
  <si>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</si>
  <si>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</si>
  <si>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</si>
  <si>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</si>
  <si>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</si>
  <si>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</si>
  <si>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</si>
  <si>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</si>
  <si>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</si>
  <si>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</si>
  <si>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</si>
  <si>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</si>
  <si>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</si>
  <si>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</si>
  <si>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</si>
  <si>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</si>
  <si>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</si>
  <si>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</si>
  <si>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</si>
  <si>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</si>
  <si>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</si>
  <si>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</si>
  <si>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</si>
  <si>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</si>
  <si>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</si>
  <si>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</si>
  <si>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</si>
  <si>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</si>
  <si>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</si>
  <si>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</si>
  <si>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</si>
  <si>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</si>
  <si>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</si>
  <si>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</si>
  <si>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</si>
  <si>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</si>
  <si>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</si>
  <si>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</si>
  <si>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</si>
  <si>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</si>
  <si>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</si>
  <si>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</si>
  <si>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</si>
  <si>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</si>
  <si>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</si>
  <si>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</si>
  <si>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</si>
  <si>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</si>
  <si>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</si>
  <si>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</si>
  <si>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</si>
  <si>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</si>
  <si>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</si>
  <si>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</si>
  <si>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</si>
  <si>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</si>
  <si>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</si>
  <si>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</si>
  <si>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</si>
  <si>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</si>
  <si>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</si>
  <si>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</si>
  <si>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</si>
  <si>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</si>
  <si>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</si>
  <si>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</si>
  <si>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</si>
  <si>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</si>
  <si>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</si>
  <si>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</si>
  <si>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</si>
  <si>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</si>
  <si>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</si>
  <si>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</si>
  <si>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</si>
  <si>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</si>
  <si>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</si>
  <si>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</si>
  <si>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</si>
  <si>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</si>
  <si>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</si>
  <si>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</si>
  <si>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</si>
  <si>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</si>
  <si>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</si>
  <si>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</si>
  <si>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</si>
  <si>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</si>
  <si>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</si>
  <si>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</si>
  <si>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</si>
  <si>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</si>
  <si>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</si>
  <si>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</si>
  <si>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</si>
  <si>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</si>
  <si>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</si>
  <si>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</si>
  <si>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</si>
  <si>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</si>
  <si>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</si>
  <si>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</si>
  <si>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</si>
  <si>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</si>
  <si>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</si>
  <si>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</si>
  <si>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</si>
  <si>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</si>
  <si>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</si>
  <si>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</si>
  <si>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</si>
  <si>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</si>
  <si>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</si>
  <si>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</si>
  <si>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</si>
  <si>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</si>
  <si>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</si>
  <si>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</si>
  <si>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</si>
  <si>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</si>
  <si>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</si>
  <si>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</si>
  <si>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</si>
  <si>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</si>
  <si>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</si>
  <si>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</si>
  <si>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</si>
  <si>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</si>
  <si>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</si>
  <si>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</si>
  <si>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</si>
  <si>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</si>
  <si>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</si>
  <si>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</si>
  <si>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</si>
  <si>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</si>
  <si>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</si>
  <si>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</si>
  <si>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</si>
  <si>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</si>
  <si>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</si>
  <si>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</si>
  <si>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</si>
  <si>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</si>
  <si>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</si>
  <si>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</si>
  <si>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</si>
  <si>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</si>
  <si>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</si>
  <si>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</si>
  <si>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</si>
  <si>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</si>
  <si>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</si>
  <si>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</si>
  <si>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</si>
  <si>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</si>
  <si>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</si>
  <si>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</si>
  <si>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</si>
  <si>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</si>
  <si>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</si>
  <si>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</si>
  <si>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</si>
  <si>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</si>
  <si>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</si>
  <si>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</si>
  <si>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</si>
  <si>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</si>
  <si>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</si>
  <si>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</si>
  <si>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</si>
  <si>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</si>
  <si>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</si>
  <si>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</si>
  <si>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</si>
  <si>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</si>
  <si>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</si>
  <si>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</si>
  <si>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</si>
  <si>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</si>
  <si>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</si>
  <si>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</si>
  <si>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</si>
  <si>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</si>
  <si>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</si>
  <si>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</si>
  <si>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</si>
  <si>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</si>
  <si>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</si>
  <si>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</si>
  <si>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</si>
  <si>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</si>
  <si>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</si>
  <si>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</si>
  <si>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</si>
  <si>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</si>
  <si>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</si>
  <si>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</si>
  <si>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</si>
  <si>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</si>
  <si>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</si>
  <si>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</si>
  <si>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</si>
  <si>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</si>
  <si>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</si>
  <si>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</si>
  <si>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</si>
  <si>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</si>
  <si>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</si>
  <si>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</si>
  <si>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</si>
  <si>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</si>
  <si>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</si>
  <si>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</si>
  <si>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</si>
  <si>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</si>
  <si>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</si>
  <si>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</si>
  <si>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</si>
  <si>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</si>
  <si>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</si>
  <si>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</si>
  <si>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</si>
  <si>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</si>
  <si>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</si>
  <si>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</si>
  <si>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</si>
  <si>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</si>
  <si>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</si>
  <si>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</si>
  <si>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</si>
  <si>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</si>
  <si>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</si>
  <si>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</si>
  <si>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</si>
  <si>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</si>
  <si>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</si>
  <si>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</si>
  <si>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</si>
  <si>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</si>
  <si>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</si>
  <si>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</si>
  <si>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</si>
  <si>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</si>
  <si>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</si>
  <si>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</si>
  <si>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</si>
  <si>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</si>
  <si>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</si>
  <si>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</si>
  <si>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</si>
  <si>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</si>
  <si>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</si>
  <si>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</si>
  <si>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</si>
  <si>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</si>
  <si>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</si>
  <si>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</si>
  <si>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</si>
  <si>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</si>
  <si>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</si>
  <si>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</si>
  <si>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</si>
  <si>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</si>
  <si>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</si>
  <si>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</si>
  <si>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</si>
  <si>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</si>
  <si>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</si>
  <si>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</si>
  <si>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</si>
  <si>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</si>
  <si>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</si>
  <si>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</si>
  <si>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</si>
  <si>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</si>
  <si>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</si>
  <si>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</si>
  <si>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</si>
  <si>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</si>
  <si>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</si>
  <si>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</si>
  <si>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</si>
  <si>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</si>
  <si>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</si>
  <si>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</si>
  <si>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</si>
  <si>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</si>
  <si>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</si>
  <si>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</si>
  <si>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</si>
  <si>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</si>
  <si>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</si>
  <si>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</si>
  <si>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</si>
  <si>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</si>
  <si>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</si>
  <si>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</si>
  <si>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</si>
  <si>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</si>
  <si>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</si>
  <si>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</si>
  <si>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</si>
  <si>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</si>
  <si>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</si>
  <si>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</si>
  <si>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</si>
  <si>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</si>
  <si>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</si>
  <si>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</si>
  <si>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</si>
  <si>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</si>
  <si>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</si>
  <si>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</si>
  <si>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</si>
  <si>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</si>
  <si>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</si>
  <si>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</si>
  <si>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</si>
  <si>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</si>
  <si>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</si>
  <si>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</si>
  <si>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</si>
  <si>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</si>
  <si>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</si>
  <si>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</si>
  <si>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</si>
  <si>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</si>
  <si>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</si>
  <si>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</si>
  <si>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</si>
  <si>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</si>
  <si>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</si>
  <si>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</si>
  <si>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</si>
  <si>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</si>
  <si>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</si>
  <si>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</si>
  <si>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</si>
  <si>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</si>
  <si>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</si>
  <si>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</si>
  <si>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</si>
  <si>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</si>
  <si>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</si>
  <si>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</si>
  <si>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</si>
  <si>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</si>
  <si>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</si>
  <si>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</si>
  <si>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</si>
  <si>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</si>
  <si>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</si>
  <si>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</si>
  <si>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</si>
  <si>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</si>
  <si>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</si>
  <si>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</si>
  <si>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</si>
  <si>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</si>
  <si>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</si>
  <si>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</si>
  <si>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</si>
  <si>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</si>
  <si>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</si>
  <si>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</si>
  <si>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</si>
  <si>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</si>
  <si>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</si>
  <si>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</si>
  <si>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</si>
  <si>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</si>
  <si>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</si>
  <si>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</si>
  <si>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</si>
  <si>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</si>
  <si>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</si>
  <si>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</si>
  <si>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</si>
  <si>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</si>
  <si>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</si>
  <si>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</si>
  <si>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</si>
  <si>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</si>
  <si>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</si>
  <si>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</si>
  <si>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</si>
  <si>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</si>
  <si>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</si>
  <si>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</si>
  <si>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</si>
  <si>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</si>
  <si>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</si>
  <si>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</si>
  <si>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</si>
  <si>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</si>
  <si>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</si>
  <si>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</si>
  <si>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</si>
  <si>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</si>
  <si>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</si>
  <si>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</si>
  <si>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</si>
  <si>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</si>
  <si>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</si>
  <si>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</si>
  <si>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</si>
  <si>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</si>
  <si>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</si>
  <si>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</si>
  <si>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</si>
  <si>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</si>
  <si>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</si>
  <si>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</si>
  <si>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</si>
  <si>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</si>
  <si>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</si>
  <si>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</si>
  <si>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</si>
  <si>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</si>
  <si>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</si>
  <si>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</si>
  <si>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</si>
  <si>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</si>
  <si>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</si>
  <si>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</si>
  <si>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</si>
  <si>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</si>
  <si>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</si>
  <si>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</si>
  <si>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</si>
  <si>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</si>
  <si>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</si>
  <si>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</si>
  <si>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</si>
  <si>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</si>
  <si>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</si>
  <si>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</si>
  <si>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</si>
  <si>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</si>
  <si>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</si>
  <si>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</si>
  <si>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</si>
  <si>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</si>
  <si>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</si>
  <si>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</si>
  <si>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</si>
  <si>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</si>
  <si>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</si>
  <si>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</si>
  <si>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</si>
  <si>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</si>
  <si>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</si>
  <si>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</si>
  <si>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</si>
  <si>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</si>
  <si>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</si>
  <si>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</si>
  <si>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</si>
  <si>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</si>
  <si>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</si>
  <si>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</si>
  <si>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</si>
  <si>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</si>
  <si>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</si>
  <si>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</si>
  <si>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</si>
  <si>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</si>
  <si>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</si>
  <si>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</si>
  <si>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</si>
  <si>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</si>
  <si>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</si>
  <si>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</si>
  <si>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</si>
  <si>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</si>
  <si>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</si>
  <si>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</si>
  <si>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</si>
  <si>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</si>
  <si>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</si>
  <si>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</si>
  <si>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</si>
  <si>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</si>
  <si>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</si>
  <si>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</si>
  <si>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</si>
  <si>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</si>
  <si>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</si>
  <si>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</si>
  <si>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</si>
  <si>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</si>
  <si>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</si>
  <si>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</si>
  <si>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</si>
  <si>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</si>
  <si>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</si>
  <si>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</si>
  <si>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</si>
  <si>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</si>
  <si>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</si>
  <si>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</si>
  <si>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</si>
  <si>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</si>
  <si>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</si>
  <si>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</si>
  <si>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</si>
  <si>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</si>
  <si>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</si>
  <si>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</si>
  <si>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</si>
  <si>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</si>
  <si>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</si>
  <si>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</si>
  <si>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</si>
  <si>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</si>
  <si>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</si>
  <si>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</si>
  <si>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</si>
  <si>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</si>
  <si>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</si>
  <si>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</si>
  <si>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</si>
  <si>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</si>
  <si>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</si>
  <si>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</si>
  <si>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</si>
  <si>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</si>
  <si>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</si>
  <si>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</si>
  <si>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</si>
  <si>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</si>
  <si>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</si>
  <si>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</si>
  <si>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</si>
  <si>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</si>
  <si>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</si>
  <si>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</si>
  <si>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</si>
  <si>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</si>
  <si>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</si>
  <si>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</si>
  <si>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</si>
  <si>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</si>
  <si>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</si>
  <si>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</si>
  <si>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</si>
  <si>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</si>
  <si>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</si>
  <si>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</si>
  <si>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</si>
  <si>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</si>
  <si>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</si>
  <si>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</si>
  <si>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</si>
  <si>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</si>
  <si>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</si>
  <si>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</si>
  <si>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</si>
  <si>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</si>
  <si>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</si>
  <si>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</si>
  <si>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</si>
  <si>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</si>
  <si>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</si>
  <si>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</si>
  <si>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</si>
  <si>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</si>
  <si>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</si>
  <si>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</si>
  <si>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</si>
  <si>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</si>
  <si>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</si>
  <si>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</si>
  <si>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</si>
  <si>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</si>
  <si>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</si>
  <si>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</si>
  <si>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</si>
  <si>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</si>
  <si>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</si>
  <si>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</si>
  <si>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</si>
  <si>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</si>
  <si>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</si>
  <si>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</si>
  <si>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</si>
  <si>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</si>
  <si>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</si>
  <si>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</si>
  <si>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</si>
  <si>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</si>
  <si>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</si>
  <si>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</si>
  <si>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</si>
  <si>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</si>
  <si>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</si>
  <si>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</si>
  <si>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</si>
  <si>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</si>
  <si>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</si>
  <si>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</si>
  <si>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</si>
  <si>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</si>
  <si>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</si>
  <si>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</si>
  <si>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</si>
  <si>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</si>
  <si>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</si>
  <si>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</si>
  <si>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</si>
  <si>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</si>
  <si>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</si>
  <si>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</si>
  <si>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</si>
  <si>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</si>
  <si>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</si>
  <si>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</si>
  <si>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</si>
  <si>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</si>
  <si>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</si>
  <si>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</si>
  <si>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</si>
  <si>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</si>
  <si>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</si>
  <si>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</si>
  <si>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</si>
  <si>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</si>
  <si>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</si>
  <si>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</si>
  <si>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</si>
  <si>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</si>
  <si>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</si>
  <si>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</si>
  <si>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</si>
  <si>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</si>
  <si>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</si>
  <si>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</si>
  <si>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</si>
  <si>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</si>
  <si>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</si>
  <si>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</si>
  <si>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</si>
  <si>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</si>
  <si>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</si>
  <si>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</si>
  <si>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</si>
  <si>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</si>
  <si>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</si>
  <si>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</si>
  <si>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</si>
  <si>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</si>
  <si>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</si>
  <si>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</si>
  <si>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</si>
  <si>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</si>
  <si>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</si>
  <si>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</si>
  <si>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</si>
  <si>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</si>
  <si>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</si>
  <si>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</si>
  <si>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</si>
  <si>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</si>
  <si>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</si>
  <si>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</si>
  <si>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</si>
  <si>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</si>
  <si>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</si>
  <si>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</si>
  <si>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</si>
  <si>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</si>
  <si>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</si>
  <si>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</si>
  <si>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</si>
  <si>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</si>
  <si>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</si>
  <si>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</si>
  <si>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</si>
  <si>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</si>
  <si>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</si>
  <si>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</si>
  <si>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</si>
  <si>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</si>
  <si>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</si>
  <si>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</si>
  <si>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</si>
  <si>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</si>
  <si>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</si>
  <si>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</si>
  <si>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</si>
  <si>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</si>
  <si>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</si>
  <si>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</si>
  <si>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</si>
  <si>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</si>
  <si>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</si>
  <si>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</si>
  <si>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</si>
  <si>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</si>
  <si>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</si>
  <si>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</si>
  <si>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</si>
  <si>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</si>
  <si>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</si>
  <si>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</si>
  <si>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</si>
  <si>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</si>
  <si>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</si>
  <si>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</si>
  <si>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</si>
  <si>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</si>
  <si>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</si>
  <si>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</si>
  <si>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</si>
  <si>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</si>
  <si>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</si>
  <si>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</si>
  <si>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</si>
  <si>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</si>
  <si>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</si>
  <si>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</si>
  <si>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</si>
  <si>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</si>
  <si>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</si>
  <si>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</si>
  <si>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</si>
  <si>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</si>
  <si>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</si>
  <si>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</si>
  <si>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</si>
  <si>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</si>
  <si>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</si>
  <si>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</si>
  <si>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</si>
  <si>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</si>
  <si>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</si>
  <si>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</si>
  <si>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</si>
  <si>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</si>
  <si>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</si>
  <si>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</si>
  <si>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</si>
  <si>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</si>
  <si>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</si>
  <si>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</si>
  <si>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</si>
  <si>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</si>
  <si>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</si>
  <si>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</si>
  <si>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</si>
  <si>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</si>
  <si>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</si>
  <si>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</si>
  <si>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</si>
  <si>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</si>
  <si>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</si>
  <si>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</si>
  <si>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</si>
  <si>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</si>
  <si>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</si>
  <si>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</si>
  <si>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</si>
  <si>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</si>
  <si>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</si>
  <si>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</si>
  <si>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</si>
  <si>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</si>
  <si>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</si>
  <si>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</si>
  <si>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</si>
  <si>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</si>
  <si>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</si>
  <si>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</si>
  <si>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</si>
  <si>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</si>
  <si>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</si>
  <si>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</si>
  <si>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</si>
  <si>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</si>
  <si>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</si>
  <si>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</si>
  <si>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</si>
  <si>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</si>
  <si>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</si>
  <si>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</si>
  <si>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</si>
  <si>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</si>
  <si>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</si>
  <si>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</si>
  <si>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</si>
  <si>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</si>
  <si>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</si>
  <si>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</si>
  <si>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</si>
  <si>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</si>
  <si>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</si>
  <si>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</si>
  <si>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</si>
  <si>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</si>
  <si>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</si>
  <si>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</si>
  <si>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</si>
  <si>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</si>
  <si>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</si>
  <si>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</si>
  <si>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</si>
  <si>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</si>
  <si>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</si>
  <si>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</si>
  <si>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</si>
  <si>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</si>
  <si>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</si>
  <si>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</si>
  <si>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</si>
  <si>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</si>
  <si>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</si>
  <si>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</si>
  <si>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</si>
  <si>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</si>
  <si>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</si>
  <si>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</si>
  <si>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</si>
  <si>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</si>
  <si>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</si>
  <si>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</si>
  <si>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</si>
  <si>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</si>
  <si>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</si>
  <si>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</si>
  <si>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</si>
  <si>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</si>
  <si>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</si>
  <si>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</si>
  <si>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</si>
  <si>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</si>
  <si>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</si>
  <si>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</si>
  <si>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</si>
  <si>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</si>
  <si>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</si>
  <si>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</si>
  <si>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</si>
  <si>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</si>
  <si>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</si>
  <si>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</si>
  <si>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</si>
  <si>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</si>
  <si>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</si>
  <si>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</si>
  <si>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</si>
  <si>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</si>
  <si>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</si>
  <si>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</si>
  <si>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</si>
  <si>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</si>
  <si>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</si>
  <si>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</si>
  <si>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</si>
  <si>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</si>
  <si>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</si>
  <si>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</si>
  <si>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</si>
  <si>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</si>
  <si>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</si>
  <si>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</si>
  <si>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</si>
  <si>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</si>
  <si>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</si>
  <si>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</si>
  <si>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</si>
  <si>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</si>
  <si>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</si>
  <si>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</si>
  <si>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</si>
  <si>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</si>
  <si>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</si>
  <si>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</si>
  <si>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</si>
  <si>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</si>
  <si>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</si>
  <si>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</si>
  <si>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</si>
  <si>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</si>
  <si>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</si>
  <si>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</si>
  <si>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</si>
  <si>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</si>
  <si>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</si>
  <si>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</si>
  <si>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</si>
  <si>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</si>
  <si>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</si>
  <si>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</si>
  <si>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</si>
  <si>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</si>
  <si>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</si>
  <si>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</si>
  <si>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</si>
  <si>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</si>
  <si>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</si>
  <si>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</si>
  <si>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</si>
  <si>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</si>
  <si>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</si>
  <si>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</si>
  <si>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</si>
  <si>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</si>
  <si>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</si>
  <si>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</si>
  <si>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</si>
  <si>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</si>
  <si>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</si>
  <si>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</si>
  <si>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</si>
  <si>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</si>
  <si>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</si>
  <si>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</si>
  <si>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</si>
  <si>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</si>
  <si>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</si>
  <si>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</si>
  <si>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</si>
  <si>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</si>
  <si>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</si>
  <si>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</si>
  <si>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</si>
  <si>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</si>
  <si>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</si>
  <si>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</si>
  <si>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</si>
  <si>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</si>
  <si>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</si>
  <si>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</si>
  <si>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</si>
  <si>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</si>
  <si>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</si>
  <si>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</si>
  <si>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</si>
  <si>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</si>
  <si>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</si>
  <si>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</si>
  <si>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</si>
  <si>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</si>
  <si>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</si>
  <si>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</si>
  <si>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</si>
  <si>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</si>
  <si>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</si>
  <si>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</si>
  <si>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</si>
  <si>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</si>
  <si>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</si>
  <si>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</si>
  <si>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</si>
  <si>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</si>
  <si>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</si>
  <si>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</si>
  <si>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</si>
  <si>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</si>
  <si>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</si>
  <si>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</si>
  <si>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</si>
  <si>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</si>
  <si>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</si>
  <si>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</si>
  <si>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</si>
  <si>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</si>
  <si>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</si>
  <si>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</si>
  <si>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</si>
  <si>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</si>
  <si>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</si>
  <si>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</si>
  <si>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</si>
  <si>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</si>
  <si>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</si>
  <si>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</si>
  <si>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</si>
  <si>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</si>
  <si>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</si>
  <si>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</si>
  <si>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</si>
  <si>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</si>
  <si>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</si>
  <si>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</si>
  <si>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</si>
  <si>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</si>
  <si>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</si>
  <si>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</si>
  <si>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</si>
  <si>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</si>
  <si>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</si>
  <si>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</si>
  <si>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</si>
  <si>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</si>
  <si>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</si>
  <si>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</si>
  <si>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</si>
  <si>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</si>
  <si>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</si>
  <si>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</si>
  <si>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</si>
  <si>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</si>
  <si>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</si>
  <si>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</si>
  <si>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</si>
  <si>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</si>
  <si>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</si>
  <si>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</si>
  <si>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</si>
  <si>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</si>
  <si>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</si>
  <si>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</si>
  <si>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</si>
  <si>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</si>
  <si>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</si>
  <si>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</si>
  <si>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</si>
  <si>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</si>
  <si>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</si>
  <si>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</si>
  <si>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</si>
  <si>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</si>
  <si>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</si>
  <si>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</si>
  <si>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</si>
  <si>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</si>
  <si>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</si>
  <si>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</si>
  <si>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</si>
  <si>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</si>
  <si>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</si>
  <si>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</si>
  <si>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</si>
  <si>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</si>
  <si>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</si>
  <si>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</si>
  <si>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</si>
  <si>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</si>
  <si>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</si>
  <si>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</si>
  <si>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</si>
  <si>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</si>
  <si>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</si>
  <si>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</si>
  <si>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</si>
  <si>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</si>
  <si>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</si>
  <si>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</si>
  <si>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</si>
  <si>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</si>
  <si>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</si>
  <si>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</si>
  <si>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</si>
  <si>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</si>
  <si>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</si>
  <si>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</si>
  <si>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</si>
  <si>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</si>
  <si>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</si>
  <si>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</si>
  <si>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</si>
  <si>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</si>
  <si>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</si>
  <si>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</si>
  <si>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</si>
  <si>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</si>
  <si>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</si>
  <si>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</si>
  <si>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</si>
  <si>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</si>
  <si>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</si>
  <si>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</si>
  <si>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</si>
  <si>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</si>
  <si>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</si>
  <si>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</si>
  <si>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</si>
  <si>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</si>
  <si>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</si>
  <si>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</si>
  <si>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</si>
  <si>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</si>
  <si>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</si>
  <si>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</si>
  <si>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</si>
  <si>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</si>
  <si>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</si>
  <si>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</si>
  <si>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</si>
  <si>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</si>
  <si>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</si>
  <si>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</si>
  <si>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</si>
  <si>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</si>
  <si>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</si>
  <si>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</si>
  <si>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</si>
  <si>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</si>
  <si>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</si>
  <si>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</si>
  <si>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</si>
  <si>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</si>
  <si>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</si>
  <si>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</si>
  <si>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</si>
  <si>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</si>
  <si>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</si>
  <si>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</si>
  <si>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</si>
  <si>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</si>
  <si>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</si>
  <si>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</si>
  <si>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</si>
  <si>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</si>
  <si>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</si>
  <si>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</si>
  <si>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</si>
  <si>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</si>
  <si>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</si>
  <si>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</si>
  <si>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</si>
  <si>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</si>
  <si>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</si>
  <si>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</si>
  <si>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</si>
  <si>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</si>
  <si>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</si>
  <si>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</si>
  <si>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</si>
  <si>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</si>
  <si>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</si>
  <si>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</si>
  <si>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</si>
  <si>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</si>
  <si>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</si>
  <si>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</si>
  <si>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</si>
  <si>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</si>
  <si>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</si>
  <si>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</si>
  <si>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</si>
  <si>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</si>
  <si>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</si>
  <si>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</si>
  <si>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</si>
  <si>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</si>
  <si>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</si>
  <si>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</si>
  <si>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</si>
  <si>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</si>
  <si>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</si>
  <si>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</si>
  <si>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</si>
  <si>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</si>
  <si>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</si>
  <si>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</si>
  <si>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</si>
  <si>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</si>
  <si>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</si>
  <si>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</si>
  <si>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</si>
  <si>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</si>
  <si>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</si>
  <si>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</si>
  <si>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</si>
  <si>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</si>
  <si>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</si>
  <si>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</si>
  <si>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</si>
  <si>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</si>
  <si>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</si>
  <si>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</si>
  <si>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</si>
  <si>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</si>
  <si>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</si>
  <si>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</si>
  <si>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</si>
  <si>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</si>
  <si>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</si>
  <si>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</si>
  <si>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</si>
  <si>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</si>
  <si>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</si>
  <si>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</si>
  <si>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</si>
  <si>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</si>
  <si>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</si>
  <si>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</si>
  <si>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</si>
  <si>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</si>
  <si>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</si>
  <si>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</si>
  <si>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</si>
  <si>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</si>
  <si>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</si>
  <si>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</si>
  <si>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</si>
  <si>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</si>
  <si>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</si>
  <si>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</si>
  <si>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</si>
  <si>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</si>
  <si>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</si>
  <si>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</si>
  <si>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</si>
  <si>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</si>
  <si>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</si>
  <si>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</si>
  <si>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</si>
  <si>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</si>
  <si>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</si>
  <si>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</si>
  <si>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</si>
  <si>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</si>
  <si>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</si>
  <si>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</si>
  <si>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</si>
  <si>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</si>
  <si>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</si>
  <si>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</si>
  <si>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</si>
  <si>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</si>
  <si>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</si>
  <si>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</si>
  <si>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</si>
  <si>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</si>
  <si>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</si>
  <si>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</si>
  <si>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</si>
  <si>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</si>
  <si>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</si>
  <si>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</si>
  <si>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</si>
  <si>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</si>
  <si>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</si>
  <si>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</si>
  <si>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</si>
  <si>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</si>
  <si>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</si>
  <si>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</si>
  <si>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</si>
  <si>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</si>
  <si>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</si>
  <si>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</si>
  <si>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</si>
  <si>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</si>
  <si>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</si>
  <si>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</si>
  <si>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</si>
  <si>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</si>
  <si>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</si>
  <si>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</si>
  <si>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</si>
  <si>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</si>
  <si>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</si>
  <si>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</si>
  <si>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</si>
  <si>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</si>
  <si>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</si>
  <si>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</si>
  <si>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</si>
  <si>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</si>
  <si>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</si>
  <si>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</si>
  <si>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</si>
  <si>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</si>
  <si>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</si>
  <si>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</si>
  <si>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</si>
  <si>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</si>
  <si>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</si>
  <si>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</si>
  <si>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</si>
  <si>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</si>
  <si>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</si>
  <si>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</si>
  <si>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</si>
  <si>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</si>
  <si>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</si>
  <si>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</si>
  <si>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</si>
  <si>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</si>
  <si>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</si>
  <si>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</si>
  <si>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</si>
  <si>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</si>
  <si>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</si>
  <si>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</si>
  <si>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</si>
  <si>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</si>
  <si>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</si>
  <si>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</si>
  <si>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</si>
  <si>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</si>
  <si>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</si>
  <si>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</si>
  <si>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</si>
  <si>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</si>
  <si>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</si>
  <si>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</si>
  <si>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</si>
  <si>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</si>
  <si>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</si>
  <si>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</si>
  <si>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</si>
  <si>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</si>
  <si>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</si>
  <si>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</si>
  <si>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</si>
  <si>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</si>
  <si>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</si>
  <si>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</si>
  <si>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</si>
  <si>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</si>
  <si>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</si>
  <si>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</si>
  <si>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</si>
  <si>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</si>
  <si>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</si>
  <si>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</si>
  <si>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</si>
  <si>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</si>
  <si>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</si>
  <si>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</si>
  <si>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</si>
  <si>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</si>
  <si>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</si>
  <si>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</si>
  <si>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</si>
  <si>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</si>
  <si>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</si>
  <si>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</si>
  <si>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</si>
  <si>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</si>
  <si>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</si>
  <si>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</si>
  <si>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</si>
  <si>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</si>
  <si>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</si>
  <si>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</si>
  <si>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</si>
  <si>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</si>
  <si>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</si>
  <si>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</si>
  <si>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</si>
  <si>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</si>
  <si>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</si>
  <si>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</si>
  <si>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</si>
  <si>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</si>
  <si>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</si>
  <si>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</si>
  <si>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</si>
  <si>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</si>
  <si>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</si>
  <si>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</si>
  <si>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</si>
  <si>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</si>
  <si>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</si>
  <si>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</si>
  <si>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</si>
  <si>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</si>
  <si>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</si>
  <si>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</si>
  <si>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</si>
  <si>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</si>
  <si>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</si>
  <si>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</si>
  <si>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</si>
  <si>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</si>
  <si>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</si>
  <si>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</si>
  <si>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</si>
  <si>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</si>
  <si>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</si>
  <si>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</si>
  <si>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</si>
  <si>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</si>
  <si>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</si>
  <si>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</si>
  <si>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</si>
  <si>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</si>
  <si>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</si>
  <si>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</si>
  <si>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</si>
  <si>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</si>
  <si>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</si>
  <si>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</si>
  <si>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</si>
  <si>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</si>
  <si>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</si>
  <si>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</si>
  <si>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</si>
  <si>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</si>
  <si>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</si>
  <si>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</si>
  <si>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</si>
  <si>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</si>
  <si>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</si>
  <si>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</si>
  <si>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</si>
  <si>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</si>
  <si>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</si>
  <si>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</si>
  <si>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</si>
  <si>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</si>
  <si>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</si>
  <si>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</si>
  <si>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</si>
  <si>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</si>
  <si>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</si>
  <si>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</si>
  <si>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</si>
  <si>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</si>
  <si>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</si>
  <si>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</si>
  <si>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</si>
  <si>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</si>
  <si>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</si>
  <si>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</si>
  <si>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</si>
  <si>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</si>
  <si>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</si>
  <si>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</si>
  <si>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</si>
  <si>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</si>
  <si>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</si>
  <si>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</si>
  <si>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</si>
  <si>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</si>
  <si>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</si>
  <si>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</si>
  <si>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</si>
  <si>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</si>
  <si>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</si>
  <si>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</si>
  <si>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</si>
  <si>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</si>
  <si>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</si>
  <si>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</si>
  <si>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</si>
  <si>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</si>
  <si>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</si>
  <si>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</si>
  <si>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</si>
  <si>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</si>
  <si>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</si>
  <si>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</si>
  <si>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</si>
  <si>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</si>
  <si>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</si>
  <si>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</si>
  <si>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</si>
  <si>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</si>
  <si>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</si>
  <si>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</si>
  <si>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</si>
  <si>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</si>
  <si>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</si>
  <si>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</si>
  <si>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</si>
  <si>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</si>
  <si>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</si>
  <si>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</si>
  <si>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</si>
  <si>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</si>
  <si>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</si>
  <si>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</si>
  <si>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</si>
  <si>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</si>
  <si>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</si>
  <si>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</si>
  <si>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</si>
  <si>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</si>
  <si>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</si>
  <si>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</si>
  <si>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</si>
  <si>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</si>
  <si>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</si>
  <si>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</si>
  <si>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</si>
  <si>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</si>
  <si>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</si>
  <si>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</si>
  <si>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</si>
  <si>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</si>
  <si>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</si>
  <si>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</si>
  <si>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</si>
  <si>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</si>
  <si>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</si>
  <si>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</si>
  <si>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</si>
  <si>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</si>
  <si>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</si>
  <si>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</si>
  <si>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</si>
  <si>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</si>
  <si>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</si>
  <si>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</si>
  <si>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</si>
  <si>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</si>
  <si>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</si>
  <si>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</si>
  <si>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</si>
  <si>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</si>
  <si>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</si>
  <si>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</si>
  <si>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</si>
  <si>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</si>
  <si>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</si>
  <si>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</si>
  <si>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</si>
  <si>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</si>
  <si>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</si>
  <si>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</si>
  <si>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</si>
  <si>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</si>
  <si>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</si>
  <si>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</si>
  <si>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</si>
  <si>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</si>
  <si>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</si>
  <si>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</si>
  <si>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</si>
  <si>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</si>
  <si>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</si>
  <si>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</si>
  <si>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</si>
  <si>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</si>
  <si>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</si>
  <si>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</si>
  <si>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</si>
  <si>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</si>
  <si>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</si>
  <si>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</si>
  <si>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</si>
  <si>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</si>
  <si>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</si>
  <si>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</si>
  <si>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</si>
  <si>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</si>
  <si>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</si>
  <si>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</si>
  <si>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</si>
  <si>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</si>
  <si>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</si>
  <si>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</si>
  <si>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</si>
  <si>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</si>
  <si>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</si>
  <si>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</si>
  <si>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</si>
  <si>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</si>
  <si>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</si>
  <si>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</si>
  <si>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</si>
  <si>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</si>
  <si>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</si>
  <si>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</si>
  <si>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</si>
  <si>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</si>
  <si>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</si>
  <si>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</si>
  <si>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</si>
  <si>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</si>
  <si>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</si>
  <si>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</si>
  <si>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</si>
  <si>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</si>
  <si>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</si>
  <si>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</si>
  <si>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</si>
  <si>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</si>
  <si>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</si>
  <si>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</si>
  <si>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</si>
  <si>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</si>
  <si>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</si>
  <si>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</si>
  <si>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</si>
  <si>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</si>
  <si>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</si>
  <si>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</si>
  <si>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</si>
  <si>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</si>
  <si>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</si>
  <si>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</si>
  <si>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</si>
  <si>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</si>
  <si>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</si>
  <si>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</si>
  <si>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</si>
  <si>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</si>
  <si>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</si>
  <si>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</si>
  <si>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</si>
  <si>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</si>
  <si>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</si>
  <si>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</si>
  <si>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</si>
  <si>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</si>
  <si>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</si>
  <si>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</si>
  <si>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</si>
  <si>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</si>
  <si>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</si>
  <si>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</si>
  <si>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</si>
  <si>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</si>
  <si>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</si>
  <si>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</si>
  <si>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</si>
  <si>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</si>
  <si>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</si>
  <si>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</si>
  <si>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</si>
  <si>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</si>
  <si>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</si>
  <si>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</si>
  <si>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</si>
  <si>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</si>
  <si>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</si>
  <si>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</si>
  <si>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</si>
  <si>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</si>
  <si>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</si>
  <si>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</si>
  <si>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</si>
  <si>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</si>
  <si>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</si>
  <si>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</si>
  <si>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</si>
  <si>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</si>
  <si>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</si>
  <si>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</si>
  <si>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</si>
  <si>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</si>
  <si>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</si>
  <si>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</si>
  <si>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</si>
  <si>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</si>
  <si>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</si>
  <si>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</si>
  <si>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</si>
  <si>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</si>
  <si>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</si>
  <si>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</si>
  <si>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</si>
  <si>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</si>
  <si>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</si>
  <si>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</si>
  <si>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</si>
  <si>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</si>
  <si>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</si>
  <si>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</si>
  <si>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</si>
  <si>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</si>
  <si>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</si>
  <si>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</si>
  <si>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</si>
  <si>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</si>
  <si>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</si>
  <si>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</si>
  <si>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</si>
  <si>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</si>
  <si>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</si>
  <si>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</si>
  <si>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</si>
  <si>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</si>
  <si>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</si>
  <si>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</si>
  <si>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</si>
  <si>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</si>
  <si>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</si>
  <si>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</si>
  <si>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</si>
  <si>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</si>
  <si>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</si>
  <si>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</si>
  <si>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</si>
  <si>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</si>
  <si>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</si>
  <si>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</si>
  <si>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</si>
  <si>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</si>
  <si>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</si>
  <si>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</si>
  <si>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</si>
  <si>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</si>
  <si>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</si>
  <si>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</si>
  <si>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</si>
  <si>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</si>
  <si>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</si>
  <si>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</si>
  <si>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</si>
  <si>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</si>
  <si>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</si>
  <si>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</si>
  <si>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</si>
  <si>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</si>
  <si>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</si>
  <si>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</si>
  <si>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</si>
  <si>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</si>
  <si>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</si>
  <si>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</si>
  <si>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</si>
  <si>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</si>
  <si>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</si>
  <si>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</si>
  <si>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</si>
  <si>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</si>
  <si>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</si>
  <si>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</si>
  <si>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</si>
  <si>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</si>
  <si>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</si>
  <si>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</si>
  <si>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</si>
  <si>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</si>
  <si>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ENCAMINHAMENTO SOLICITAÇÃO                   EXCLUSÃO DEPLAN</t>
  </si>
  <si>
    <t>PQ DAS FLORES</t>
  </si>
  <si>
    <t>021/0060/B</t>
  </si>
  <si>
    <t xml:space="preserve">EVELIN ROMÃO DE ANDRADE </t>
  </si>
  <si>
    <t>475.250.478-20</t>
  </si>
  <si>
    <t>6014.2024/0004394-9</t>
  </si>
  <si>
    <t>024/0005/B</t>
  </si>
  <si>
    <t>MARIA JOSE HONORIO SILVA</t>
  </si>
  <si>
    <t>397.255.294-72</t>
  </si>
  <si>
    <t>RECUSA INDENIZAÇÃO</t>
  </si>
  <si>
    <t>024/0005/C</t>
  </si>
  <si>
    <t>DOUGLAS FELIX DA SILVA</t>
  </si>
  <si>
    <t>350.792.428-50</t>
  </si>
  <si>
    <t>024/0005/D</t>
  </si>
  <si>
    <t>024/0045/A</t>
  </si>
  <si>
    <t>JOVINA DE JESUS SANTANA</t>
  </si>
  <si>
    <t>252.848.568-99</t>
  </si>
  <si>
    <t>024/0046/A</t>
  </si>
  <si>
    <t>JOÃO BRASILINO DE SOUSA</t>
  </si>
  <si>
    <t>014.102.728-26</t>
  </si>
  <si>
    <t>024/0047/F</t>
  </si>
  <si>
    <t>ROSA HELENA DE SOUZA</t>
  </si>
  <si>
    <t>291.466.998-48</t>
  </si>
  <si>
    <t>024/0053/A</t>
  </si>
  <si>
    <t>SELMA SOARES SANTOS DE OLIVEIRA</t>
  </si>
  <si>
    <t>324.973.128-50</t>
  </si>
  <si>
    <t>024/0077/A</t>
  </si>
  <si>
    <t>PROPRIETÁRIO NÃO IDENTIFICADO</t>
  </si>
  <si>
    <t>LUCIANA FRANCILINO DE LIMA</t>
  </si>
  <si>
    <t>296.566.438-60</t>
  </si>
  <si>
    <t>024/0079/D</t>
  </si>
  <si>
    <t>EUDES GONÇALVES CAVALCANTE</t>
  </si>
  <si>
    <t>064.025.638-46</t>
  </si>
  <si>
    <t>024/0079/G</t>
  </si>
  <si>
    <t>EUDES GONÇALVES CAVALCANTI</t>
  </si>
  <si>
    <t>ADINALDO GOMES DA SILVA</t>
  </si>
  <si>
    <t>975.984.883-04</t>
  </si>
  <si>
    <t xml:space="preserve">BRUNO DA SILVA MARQUES </t>
  </si>
  <si>
    <t>498.148.588-38</t>
  </si>
  <si>
    <t>EDUARDO FERNANDES</t>
  </si>
  <si>
    <t>024/0079/E</t>
  </si>
  <si>
    <t>DANIELE COSTA</t>
  </si>
  <si>
    <t>374.435.458-00</t>
  </si>
  <si>
    <t>024/0079/F</t>
  </si>
  <si>
    <t> </t>
  </si>
  <si>
    <t>024/0079/J</t>
  </si>
  <si>
    <t>ELIO NEVES DE SOUZA</t>
  </si>
  <si>
    <t>350.318.858-40</t>
  </si>
  <si>
    <t>RECUSA</t>
  </si>
  <si>
    <t>024/0082/A</t>
  </si>
  <si>
    <t>IVÃ CERQUEIRA LENARES</t>
  </si>
  <si>
    <t xml:space="preserve">006.868.775-35 </t>
  </si>
  <si>
    <t>024/0082/D</t>
  </si>
  <si>
    <t>JOÃO VITOR DE SANTANA</t>
  </si>
  <si>
    <t>534.193.048-70</t>
  </si>
  <si>
    <t>024/0088/K</t>
  </si>
  <si>
    <t>MARIA APARECIDA FLECKENSTEIN VIEIRA</t>
  </si>
  <si>
    <t>304.821.048-21</t>
  </si>
  <si>
    <t>024/0088/M</t>
  </si>
  <si>
    <t>024/0049/B</t>
  </si>
  <si>
    <t>024/0093/B</t>
  </si>
  <si>
    <t>024/0079/A</t>
  </si>
  <si>
    <t>024/0082/H</t>
  </si>
  <si>
    <t>024/0004/B</t>
  </si>
  <si>
    <t>024/0050/B</t>
  </si>
  <si>
    <t>024/0074/A</t>
  </si>
  <si>
    <t>024/0074/D</t>
  </si>
  <si>
    <t>024/0078/B</t>
  </si>
  <si>
    <t>024/0082/C</t>
  </si>
  <si>
    <t>024/0093/A</t>
  </si>
  <si>
    <t>024/0049/C</t>
  </si>
  <si>
    <t>VALOR COM BONIFICAÇÃO</t>
  </si>
  <si>
    <t>6014.2023/0002356-3</t>
  </si>
  <si>
    <t>6014.2023/0001968-0</t>
  </si>
  <si>
    <t>6014.2023/0001973-6</t>
  </si>
  <si>
    <t>6014.2023/0001445-9</t>
  </si>
  <si>
    <t>6014.2023/0002108-0</t>
  </si>
  <si>
    <t>6014.2023/0001334-7</t>
  </si>
  <si>
    <t>6014.2023/0001523-4</t>
  </si>
  <si>
    <t>6014.2023/0001799-7</t>
  </si>
  <si>
    <t>6014.2023/0000796-7</t>
  </si>
  <si>
    <t>6014.2023/0003032-2</t>
  </si>
  <si>
    <t>6014.2023/0001144-1</t>
  </si>
  <si>
    <t>6014.2023/0002532-9</t>
  </si>
  <si>
    <t>6014.2023/0002540-0</t>
  </si>
  <si>
    <t>6014.2023/0003026-8</t>
  </si>
  <si>
    <t>6014.2023/0003028-4</t>
  </si>
  <si>
    <t>6014.2023/0002522-1</t>
  </si>
  <si>
    <t>6014.2023/0003136-1</t>
  </si>
  <si>
    <t>6014.2023/0003280-5</t>
  </si>
  <si>
    <t>6014.2023/0002559-0</t>
  </si>
  <si>
    <t>6014.2023/0002534-5</t>
  </si>
  <si>
    <t>6014.2023/0002347-4</t>
  </si>
  <si>
    <t>6014.2023/0002420-9</t>
  </si>
  <si>
    <t>6014.2023/0002345-8</t>
  </si>
  <si>
    <t>6014.2023/0002337-7</t>
  </si>
  <si>
    <t>6014.2023/0002328-8</t>
  </si>
  <si>
    <t>6014.2023/0002535-3</t>
  </si>
  <si>
    <t>6014.2023/0002536-1</t>
  </si>
  <si>
    <t>6014.2023/0002571-0</t>
  </si>
  <si>
    <t>6014.2023/0002595-7</t>
  </si>
  <si>
    <t>6014.2023/0002596-5</t>
  </si>
  <si>
    <t>6014.2023/0002597-3</t>
  </si>
  <si>
    <t>6014.2023/0002600-7</t>
  </si>
  <si>
    <t>6014.2023/0002605-8</t>
  </si>
  <si>
    <t>6014.2023/0002608-2</t>
  </si>
  <si>
    <t>6014.2023/0002610-4</t>
  </si>
  <si>
    <t>6014.2023/0002810-7</t>
  </si>
  <si>
    <t>6014.2023/0002611-2</t>
  </si>
  <si>
    <t>6014.2023/0002338-5</t>
  </si>
  <si>
    <t>6014.2023/0002612-0</t>
  </si>
  <si>
    <t>6014.2023/0000985-4</t>
  </si>
  <si>
    <t>6014.2023/0002105-6</t>
  </si>
  <si>
    <t>6014.2023/0002542-6</t>
  </si>
  <si>
    <t>6014.2023/0002581-7</t>
  </si>
  <si>
    <t>6014.2023/0003022-5</t>
  </si>
  <si>
    <t>6014.2023/0002528-0</t>
  </si>
  <si>
    <t>6014.2023/0003002-0</t>
  </si>
  <si>
    <t> 6014.2023/0003005-5</t>
  </si>
  <si>
    <t>6014.2023/0002093-9</t>
  </si>
  <si>
    <t>6014.2023/0002078-5</t>
  </si>
  <si>
    <t>6014.2023/0002771-2</t>
  </si>
  <si>
    <t>6014.2023/0002082-3</t>
  </si>
  <si>
    <t>6014.2023/0002782-8</t>
  </si>
  <si>
    <t>6014.2023/0001771-7</t>
  </si>
  <si>
    <t>6014.2023/0001773-3</t>
  </si>
  <si>
    <t>6014.2023/0002722-4</t>
  </si>
  <si>
    <t>6014.2023/0003129-9</t>
  </si>
  <si>
    <t>6014.2023/0003134-5</t>
  </si>
  <si>
    <t>6014.2023/0002944-8</t>
  </si>
  <si>
    <t>6014.2023/0002792-5</t>
  </si>
  <si>
    <t>6014.2023/0002822-0</t>
  </si>
  <si>
    <t>6014.2023/0003216-3</t>
  </si>
  <si>
    <t>6014.2023/0001722-9</t>
  </si>
  <si>
    <t>6014.2023/0003218-0</t>
  </si>
  <si>
    <t>6014.2023/0003004-7</t>
  </si>
  <si>
    <t>6014.2023/0000862-9</t>
  </si>
  <si>
    <t>6014.2023/0003292-9</t>
  </si>
  <si>
    <t>6014.2023/0002779-8</t>
  </si>
  <si>
    <t>6014.2023/0003128-0</t>
  </si>
  <si>
    <t>6014.2023/0003219-8</t>
  </si>
  <si>
    <t>6014.2023/0003290-2</t>
  </si>
  <si>
    <t>6014.2023/0002694-5</t>
  </si>
  <si>
    <t>6014.2023/0003293-7</t>
  </si>
  <si>
    <t>6014.2023/0002925-1</t>
  </si>
  <si>
    <t>6014.2023/0000801-7</t>
  </si>
  <si>
    <t>6014.2023/0001919-1</t>
  </si>
  <si>
    <t>6014.2023/0002531-0</t>
  </si>
  <si>
    <t>6014.2023/0001981-7</t>
  </si>
  <si>
    <t>6014.2023/0001899-3</t>
  </si>
  <si>
    <t>6014.2023/0002614-7</t>
  </si>
  <si>
    <t>6014.2023/0002617-1</t>
  </si>
  <si>
    <t>6014.2023/0002764-0</t>
  </si>
  <si>
    <t>6014.2023/0001524-2</t>
  </si>
  <si>
    <t>6014.2023/0003001-2</t>
  </si>
  <si>
    <t>6014.2023/0002641-4</t>
  </si>
  <si>
    <t>6014.2023/0003141-8</t>
  </si>
  <si>
    <t>6014.2023/0000456-9</t>
  </si>
  <si>
    <t>6014.2023/0000252-3</t>
  </si>
  <si>
    <t>6014.2023/0003088-8</t>
  </si>
  <si>
    <t>6014.2023/0000903-0</t>
  </si>
  <si>
    <t>6014.2023/0003124-8</t>
  </si>
  <si>
    <t>6014.2023/0003215-5</t>
  </si>
  <si>
    <t>6014.2023/0003217-1</t>
  </si>
  <si>
    <t>6014.2023/0003154-0</t>
  </si>
  <si>
    <t>VALOR TOTAL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</si>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</sst>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&quot;R$&quot;\ #,##0.00;[Red]&quot;R$&quot;\ #,##0.00"/>
    <numFmt numFmtId="169" formatCode="[$R$-416]\ #,##0.00"/>
  </numFmts>
  <fonts count="7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sz val="9"/>
      <color indexed="8"/>
      <name val="Arial"/>
    </font>
    <font>
      <b/>
      <sz val="11"/>
      <name val="Arial"/>
    </font>
    <font>
      <sz val="11"/>
      <color rgb="FF000000"/>
      <name val="Arial"/>
    </font>
    <font>
      <sz val="11"/>
      <color indexed="8"/>
      <name val="Arial"/>
    </font>
    <font>
      <b/>
      <sz val="16"/>
      <color theme="0"/>
      <name val="Arial"/>
    </font>
    <font>
      <b/>
      <sz val="10"/>
      <name val="Arial"/>
    </font>
    <font>
      <sz val="9"/>
      <color rgb="FF000000"/>
      <name val="Arial"/>
      <family val="2"/>
    </font>
    <font>
      <b/>
      <sz val="10"/>
      <color indexed="8"/>
      <name val="Arial"/>
    </font>
    <font>
      <b/>
      <sz val="10"/>
      <color theme="1"/>
      <name val="Arial"/>
    </font>
    <font>
      <b/>
      <sz val="9"/>
      <name val="Arial Nova"/>
    </font>
    <font>
      <sz val="9"/>
      <color rgb="FF000000"/>
      <name val="Arial Nova"/>
    </font>
    <font>
      <b/>
      <sz val="9"/>
      <color rgb="FFFF0000"/>
      <name val="Arial"/>
    </font>
    <font>
      <b/>
      <sz val="9"/>
      <color rgb="FF000000"/>
      <name val="Arial Nova"/>
    </font>
    <font>
      <b/>
      <sz val="9"/>
      <color rgb="FFFF0000"/>
      <name val="Arial Nova"/>
    </font>
    <font>
      <b/>
      <sz val="9"/>
      <color indexed="8"/>
      <name val="Arial Nova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0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9" fillId="21" borderId="10" xfId="0" applyFont="1" applyFill="1" applyBorder="1" applyAlignment="1">
      <alignment horizontal="center" vertical="center"/>
    </xf>
    <xf numFmtId="0" fontId="31" fillId="12" borderId="0" xfId="0" applyFont="1" applyFill="1" applyAlignment="1">
      <alignment vertical="center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center" vertical="center"/>
    </xf>
    <xf numFmtId="165" fontId="31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31" fillId="12" borderId="9" xfId="0" applyFont="1" applyFill="1" applyBorder="1" applyAlignment="1">
      <alignment vertical="center"/>
    </xf>
    <xf numFmtId="0" fontId="31" fillId="12" borderId="0" xfId="0" applyFont="1" applyFill="1" applyAlignment="1">
      <alignment horizontal="center" vertical="center"/>
    </xf>
    <xf numFmtId="0" fontId="32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31" fillId="12" borderId="9" xfId="0" applyNumberFormat="1" applyFont="1" applyFill="1" applyBorder="1" applyAlignment="1">
      <alignment vertical="center"/>
    </xf>
    <xf numFmtId="165" fontId="31" fillId="12" borderId="0" xfId="0" applyNumberFormat="1" applyFont="1" applyFill="1" applyAlignment="1">
      <alignment vertical="center"/>
    </xf>
    <xf numFmtId="165" fontId="31" fillId="20" borderId="0" xfId="0" applyNumberFormat="1" applyFont="1" applyFill="1" applyAlignment="1">
      <alignment vertical="center"/>
    </xf>
    <xf numFmtId="0" fontId="36" fillId="20" borderId="0" xfId="0" applyFont="1" applyFill="1" applyAlignment="1">
      <alignment vertical="center"/>
    </xf>
    <xf numFmtId="0" fontId="0" fillId="20" borderId="0" xfId="0" applyFill="1" applyAlignment="1">
      <alignment vertical="center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7" fillId="21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9" fillId="0" borderId="16" xfId="0" applyFont="1" applyBorder="1"/>
    <xf numFmtId="0" fontId="41" fillId="0" borderId="0" xfId="0" applyFont="1" applyAlignment="1">
      <alignment horizontal="center" vertical="center"/>
    </xf>
    <xf numFmtId="0" fontId="42" fillId="21" borderId="17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21" borderId="17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2" fillId="0" borderId="0" xfId="0" applyFont="1"/>
    <xf numFmtId="0" fontId="34" fillId="21" borderId="9" xfId="0" applyFont="1" applyFill="1" applyBorder="1" applyAlignment="1">
      <alignment horizontal="center" vertical="center"/>
    </xf>
    <xf numFmtId="165" fontId="34" fillId="0" borderId="9" xfId="0" applyNumberFormat="1" applyFont="1" applyBorder="1" applyAlignment="1">
      <alignment horizontal="center" vertical="center"/>
    </xf>
    <xf numFmtId="0" fontId="42" fillId="25" borderId="17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11" borderId="11" xfId="1" applyNumberFormat="1" applyFont="1" applyFill="1" applyBorder="1" applyAlignment="1">
      <alignment horizontal="center" vertical="center" wrapText="1"/>
    </xf>
    <xf numFmtId="0" fontId="50" fillId="11" borderId="11" xfId="1" applyFont="1" applyFill="1" applyBorder="1" applyAlignment="1">
      <alignment horizontal="center" vertical="center" wrapText="1"/>
    </xf>
    <xf numFmtId="0" fontId="50" fillId="11" borderId="11" xfId="0" applyFont="1" applyFill="1" applyBorder="1" applyAlignment="1">
      <alignment horizontal="center" vertical="center" wrapText="1"/>
    </xf>
    <xf numFmtId="166" fontId="50" fillId="11" borderId="11" xfId="0" applyNumberFormat="1" applyFont="1" applyFill="1" applyBorder="1" applyAlignment="1">
      <alignment horizontal="center" vertical="center" wrapText="1"/>
    </xf>
    <xf numFmtId="166" fontId="50" fillId="16" borderId="11" xfId="0" applyNumberFormat="1" applyFont="1" applyFill="1" applyBorder="1" applyAlignment="1">
      <alignment horizontal="center" vertical="center" wrapText="1"/>
    </xf>
    <xf numFmtId="0" fontId="50" fillId="16" borderId="11" xfId="0" applyFont="1" applyFill="1" applyBorder="1" applyAlignment="1">
      <alignment horizontal="center" vertical="center" wrapText="1"/>
    </xf>
    <xf numFmtId="0" fontId="50" fillId="17" borderId="11" xfId="0" applyFont="1" applyFill="1" applyBorder="1" applyAlignment="1">
      <alignment horizontal="center" vertical="center" wrapText="1"/>
    </xf>
    <xf numFmtId="0" fontId="50" fillId="17" borderId="11" xfId="1" applyFont="1" applyFill="1" applyBorder="1" applyAlignment="1">
      <alignment horizontal="center" vertical="center" wrapText="1"/>
    </xf>
    <xf numFmtId="0" fontId="50" fillId="17" borderId="14" xfId="0" applyFont="1" applyFill="1" applyBorder="1" applyAlignment="1">
      <alignment horizontal="center" vertical="center" wrapText="1"/>
    </xf>
    <xf numFmtId="0" fontId="50" fillId="18" borderId="12" xfId="0" applyFont="1" applyFill="1" applyBorder="1" applyAlignment="1">
      <alignment horizontal="center" vertical="center"/>
    </xf>
    <xf numFmtId="0" fontId="50" fillId="18" borderId="14" xfId="0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49" fillId="25" borderId="17" xfId="0" applyFont="1" applyFill="1" applyBorder="1" applyAlignment="1">
      <alignment horizontal="center" vertical="center"/>
    </xf>
    <xf numFmtId="0" fontId="45" fillId="21" borderId="17" xfId="0" applyFont="1" applyFill="1" applyBorder="1" applyAlignment="1">
      <alignment horizontal="center" vertical="center"/>
    </xf>
    <xf numFmtId="0" fontId="49" fillId="21" borderId="17" xfId="0" applyFont="1" applyFill="1" applyBorder="1" applyAlignment="1">
      <alignment horizontal="center" vertical="center"/>
    </xf>
    <xf numFmtId="49" fontId="45" fillId="0" borderId="17" xfId="0" applyNumberFormat="1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6" fontId="45" fillId="0" borderId="17" xfId="0" applyNumberFormat="1" applyFont="1" applyBorder="1" applyAlignment="1">
      <alignment horizontal="center" vertical="center"/>
    </xf>
    <xf numFmtId="8" fontId="49" fillId="0" borderId="17" xfId="0" applyNumberFormat="1" applyFont="1" applyBorder="1" applyAlignment="1">
      <alignment horizontal="center" vertical="center"/>
    </xf>
    <xf numFmtId="166" fontId="45" fillId="11" borderId="17" xfId="0" applyNumberFormat="1" applyFont="1" applyFill="1" applyBorder="1" applyAlignment="1">
      <alignment horizontal="center" vertical="center"/>
    </xf>
    <xf numFmtId="0" fontId="45" fillId="11" borderId="17" xfId="0" applyFont="1" applyFill="1" applyBorder="1" applyAlignment="1">
      <alignment horizontal="center" vertical="center"/>
    </xf>
    <xf numFmtId="1" fontId="45" fillId="0" borderId="17" xfId="0" applyNumberFormat="1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166" fontId="46" fillId="0" borderId="17" xfId="0" applyNumberFormat="1" applyFont="1" applyBorder="1" applyAlignment="1">
      <alignment horizontal="center" vertical="center"/>
    </xf>
    <xf numFmtId="0" fontId="46" fillId="11" borderId="17" xfId="0" applyFont="1" applyFill="1" applyBorder="1" applyAlignment="1">
      <alignment horizontal="center" vertical="center"/>
    </xf>
    <xf numFmtId="14" fontId="45" fillId="0" borderId="17" xfId="0" applyNumberFormat="1" applyFont="1" applyBorder="1" applyAlignment="1">
      <alignment horizontal="center" vertical="center"/>
    </xf>
    <xf numFmtId="166" fontId="45" fillId="23" borderId="17" xfId="0" applyNumberFormat="1" applyFont="1" applyFill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24" borderId="17" xfId="0" applyFont="1" applyFill="1" applyBorder="1" applyAlignment="1">
      <alignment horizontal="center" vertical="center"/>
    </xf>
    <xf numFmtId="0" fontId="50" fillId="0" borderId="17" xfId="0" applyFont="1" applyBorder="1" applyAlignment="1">
      <alignment horizontal="center" vertical="center" wrapText="1"/>
    </xf>
    <xf numFmtId="166" fontId="46" fillId="0" borderId="8" xfId="0" applyNumberFormat="1" applyFont="1" applyBorder="1" applyAlignment="1">
      <alignment horizontal="center" vertical="center"/>
    </xf>
    <xf numFmtId="166" fontId="46" fillId="0" borderId="7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167" fontId="46" fillId="0" borderId="0" xfId="0" applyNumberFormat="1" applyFont="1" applyAlignment="1">
      <alignment horizontal="center" vertical="center"/>
    </xf>
    <xf numFmtId="0" fontId="49" fillId="26" borderId="17" xfId="0" applyFont="1" applyFill="1" applyBorder="1" applyAlignment="1">
      <alignment horizontal="center" vertical="center"/>
    </xf>
    <xf numFmtId="0" fontId="50" fillId="27" borderId="14" xfId="0" applyFont="1" applyFill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167" fontId="45" fillId="0" borderId="17" xfId="0" applyNumberFormat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/>
    </xf>
    <xf numFmtId="0" fontId="57" fillId="11" borderId="9" xfId="1" applyFont="1" applyFill="1" applyBorder="1" applyAlignment="1">
      <alignment horizontal="center" vertical="center" wrapText="1"/>
    </xf>
    <xf numFmtId="0" fontId="57" fillId="11" borderId="9" xfId="0" applyFont="1" applyFill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/>
    </xf>
    <xf numFmtId="166" fontId="58" fillId="0" borderId="9" xfId="0" applyNumberFormat="1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166" fontId="59" fillId="0" borderId="9" xfId="0" applyNumberFormat="1" applyFont="1" applyBorder="1" applyAlignment="1">
      <alignment horizontal="center" vertical="center"/>
    </xf>
    <xf numFmtId="167" fontId="58" fillId="0" borderId="9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 wrapText="1"/>
    </xf>
    <xf numFmtId="0" fontId="57" fillId="11" borderId="21" xfId="1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46" fillId="22" borderId="17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6" fillId="0" borderId="18" xfId="0" applyFont="1" applyBorder="1" applyAlignment="1">
      <alignment horizontal="center" vertical="center"/>
    </xf>
    <xf numFmtId="167" fontId="50" fillId="27" borderId="14" xfId="0" applyNumberFormat="1" applyFont="1" applyFill="1" applyBorder="1" applyAlignment="1">
      <alignment horizontal="center" vertical="center" wrapText="1"/>
    </xf>
    <xf numFmtId="167" fontId="50" fillId="27" borderId="14" xfId="0" applyNumberFormat="1" applyFont="1" applyFill="1" applyBorder="1" applyAlignment="1">
      <alignment horizontal="center" vertical="center"/>
    </xf>
    <xf numFmtId="0" fontId="50" fillId="27" borderId="14" xfId="0" applyFont="1" applyFill="1" applyBorder="1" applyAlignment="1">
      <alignment horizontal="center" vertical="center" wrapText="1"/>
    </xf>
    <xf numFmtId="0" fontId="45" fillId="29" borderId="17" xfId="0" applyFont="1" applyFill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66" fontId="56" fillId="0" borderId="9" xfId="0" applyNumberFormat="1" applyFont="1" applyBorder="1" applyAlignment="1">
      <alignment horizontal="center" vertical="center"/>
    </xf>
    <xf numFmtId="8" fontId="34" fillId="0" borderId="9" xfId="0" applyNumberFormat="1" applyFont="1" applyBorder="1" applyAlignment="1">
      <alignment horizontal="center" vertical="center"/>
    </xf>
    <xf numFmtId="0" fontId="34" fillId="21" borderId="18" xfId="0" applyFont="1" applyFill="1" applyBorder="1" applyAlignment="1">
      <alignment horizontal="center" vertical="center"/>
    </xf>
    <xf numFmtId="0" fontId="35" fillId="21" borderId="18" xfId="0" applyFont="1" applyFill="1" applyBorder="1" applyAlignment="1">
      <alignment horizontal="center" vertical="center"/>
    </xf>
    <xf numFmtId="0" fontId="44" fillId="30" borderId="9" xfId="1" applyFont="1" applyFill="1" applyBorder="1" applyAlignment="1">
      <alignment horizontal="center" vertical="center" wrapText="1"/>
    </xf>
    <xf numFmtId="0" fontId="44" fillId="30" borderId="9" xfId="0" applyFont="1" applyFill="1" applyBorder="1" applyAlignment="1">
      <alignment horizontal="center" vertical="center" wrapText="1"/>
    </xf>
    <xf numFmtId="166" fontId="34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 wrapText="1"/>
    </xf>
    <xf numFmtId="166" fontId="52" fillId="0" borderId="15" xfId="0" applyNumberFormat="1" applyFont="1" applyBorder="1" applyAlignment="1">
      <alignment horizontal="center" vertical="center"/>
    </xf>
    <xf numFmtId="0" fontId="30" fillId="23" borderId="0" xfId="0" applyFont="1" applyFill="1"/>
    <xf numFmtId="0" fontId="52" fillId="23" borderId="9" xfId="0" applyFont="1" applyFill="1" applyBorder="1" applyAlignment="1">
      <alignment horizontal="center" vertical="center"/>
    </xf>
    <xf numFmtId="0" fontId="52" fillId="23" borderId="9" xfId="0" applyFont="1" applyFill="1" applyBorder="1" applyAlignment="1">
      <alignment horizontal="center" vertical="center" wrapText="1"/>
    </xf>
    <xf numFmtId="0" fontId="54" fillId="23" borderId="9" xfId="0" applyFont="1" applyFill="1" applyBorder="1" applyAlignment="1">
      <alignment horizontal="center" vertical="center"/>
    </xf>
    <xf numFmtId="0" fontId="53" fillId="23" borderId="9" xfId="0" applyFont="1" applyFill="1" applyBorder="1" applyAlignment="1">
      <alignment horizontal="center" vertical="center"/>
    </xf>
    <xf numFmtId="0" fontId="52" fillId="23" borderId="15" xfId="0" applyFont="1" applyFill="1" applyBorder="1" applyAlignment="1">
      <alignment horizontal="center" vertical="center"/>
    </xf>
    <xf numFmtId="0" fontId="61" fillId="31" borderId="20" xfId="1" applyFont="1" applyFill="1" applyBorder="1" applyAlignment="1">
      <alignment horizontal="center" vertical="center" wrapText="1"/>
    </xf>
    <xf numFmtId="0" fontId="61" fillId="31" borderId="20" xfId="0" applyFont="1" applyFill="1" applyBorder="1" applyAlignment="1">
      <alignment horizontal="center" vertical="center" wrapText="1"/>
    </xf>
    <xf numFmtId="0" fontId="61" fillId="31" borderId="19" xfId="0" applyFont="1" applyFill="1" applyBorder="1" applyAlignment="1">
      <alignment horizontal="center" vertical="center" wrapText="1"/>
    </xf>
    <xf numFmtId="168" fontId="33" fillId="23" borderId="15" xfId="0" applyNumberFormat="1" applyFont="1" applyFill="1" applyBorder="1" applyAlignment="1">
      <alignment horizontal="center" vertical="center"/>
    </xf>
    <xf numFmtId="168" fontId="33" fillId="23" borderId="9" xfId="0" applyNumberFormat="1" applyFont="1" applyFill="1" applyBorder="1" applyAlignment="1">
      <alignment horizontal="center" vertical="center"/>
    </xf>
    <xf numFmtId="168" fontId="33" fillId="23" borderId="9" xfId="0" applyNumberFormat="1" applyFont="1" applyFill="1" applyBorder="1" applyAlignment="1">
      <alignment horizontal="center" vertical="center" wrapText="1"/>
    </xf>
    <xf numFmtId="168" fontId="63" fillId="23" borderId="9" xfId="0" applyNumberFormat="1" applyFont="1" applyFill="1" applyBorder="1" applyAlignment="1">
      <alignment horizontal="center" vertical="center"/>
    </xf>
    <xf numFmtId="168" fontId="64" fillId="31" borderId="0" xfId="0" applyNumberFormat="1" applyFont="1" applyFill="1" applyAlignment="1">
      <alignment horizontal="center" vertical="center"/>
    </xf>
    <xf numFmtId="0" fontId="64" fillId="23" borderId="0" xfId="0" applyFont="1" applyFill="1" applyAlignment="1">
      <alignment horizontal="center" vertical="center"/>
    </xf>
    <xf numFmtId="0" fontId="45" fillId="23" borderId="17" xfId="0" applyFont="1" applyFill="1" applyBorder="1" applyAlignment="1">
      <alignment horizontal="center" vertical="center"/>
    </xf>
    <xf numFmtId="49" fontId="45" fillId="23" borderId="17" xfId="0" applyNumberFormat="1" applyFont="1" applyFill="1" applyBorder="1" applyAlignment="1">
      <alignment horizontal="center" vertical="center"/>
    </xf>
    <xf numFmtId="0" fontId="49" fillId="23" borderId="17" xfId="0" applyFont="1" applyFill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0" fontId="34" fillId="23" borderId="9" xfId="0" applyFont="1" applyFill="1" applyBorder="1" applyAlignment="1">
      <alignment horizontal="center" vertical="center"/>
    </xf>
    <xf numFmtId="166" fontId="50" fillId="17" borderId="11" xfId="0" applyNumberFormat="1" applyFont="1" applyFill="1" applyBorder="1" applyAlignment="1">
      <alignment horizontal="center" vertical="center" wrapText="1"/>
    </xf>
    <xf numFmtId="165" fontId="47" fillId="0" borderId="0" xfId="0" applyNumberFormat="1" applyFont="1" applyAlignment="1">
      <alignment horizontal="center" vertical="center"/>
    </xf>
    <xf numFmtId="0" fontId="44" fillId="30" borderId="11" xfId="1" applyFont="1" applyFill="1" applyBorder="1" applyAlignment="1">
      <alignment horizontal="center" vertical="center" wrapText="1"/>
    </xf>
    <xf numFmtId="0" fontId="44" fillId="30" borderId="11" xfId="0" applyFont="1" applyFill="1" applyBorder="1" applyAlignment="1">
      <alignment horizontal="center" vertical="center" wrapText="1"/>
    </xf>
    <xf numFmtId="0" fontId="34" fillId="23" borderId="0" xfId="0" applyFont="1" applyFill="1" applyAlignment="1">
      <alignment horizontal="center" vertical="center"/>
    </xf>
    <xf numFmtId="0" fontId="34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/>
    </xf>
    <xf numFmtId="0" fontId="32" fillId="23" borderId="0" xfId="0" applyFont="1" applyFill="1"/>
    <xf numFmtId="0" fontId="65" fillId="23" borderId="0" xfId="1" applyFont="1" applyFill="1" applyBorder="1" applyAlignment="1">
      <alignment horizontal="center" vertical="center" wrapText="1"/>
    </xf>
    <xf numFmtId="0" fontId="65" fillId="23" borderId="0" xfId="0" applyFont="1" applyFill="1" applyAlignment="1">
      <alignment horizontal="center" vertical="center" wrapText="1"/>
    </xf>
    <xf numFmtId="0" fontId="32" fillId="23" borderId="0" xfId="0" applyFont="1" applyFill="1" applyAlignment="1">
      <alignment vertical="top"/>
    </xf>
    <xf numFmtId="0" fontId="66" fillId="23" borderId="0" xfId="0" applyFont="1" applyFill="1" applyAlignment="1">
      <alignment horizontal="center" vertical="center"/>
    </xf>
    <xf numFmtId="0" fontId="44" fillId="11" borderId="11" xfId="1" applyFont="1" applyFill="1" applyBorder="1" applyAlignment="1">
      <alignment horizontal="center" vertical="center" wrapText="1"/>
    </xf>
    <xf numFmtId="0" fontId="44" fillId="17" borderId="11" xfId="0" applyFont="1" applyFill="1" applyBorder="1" applyAlignment="1">
      <alignment horizontal="center" vertical="center" wrapText="1"/>
    </xf>
    <xf numFmtId="0" fontId="44" fillId="27" borderId="14" xfId="0" applyFont="1" applyFill="1" applyBorder="1" applyAlignment="1">
      <alignment horizontal="center" vertical="center" wrapText="1"/>
    </xf>
    <xf numFmtId="0" fontId="35" fillId="23" borderId="17" xfId="0" applyFont="1" applyFill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67" fillId="23" borderId="0" xfId="0" applyFont="1" applyFill="1" applyAlignment="1">
      <alignment horizontal="center" vertical="center" wrapText="1"/>
    </xf>
    <xf numFmtId="0" fontId="67" fillId="23" borderId="0" xfId="0" applyFont="1" applyFill="1" applyAlignment="1">
      <alignment horizontal="center" vertical="center"/>
    </xf>
    <xf numFmtId="3" fontId="66" fillId="23" borderId="0" xfId="0" applyNumberFormat="1" applyFont="1" applyFill="1" applyAlignment="1">
      <alignment horizontal="center" vertical="center"/>
    </xf>
    <xf numFmtId="0" fontId="68" fillId="23" borderId="0" xfId="0" applyFont="1" applyFill="1" applyAlignment="1">
      <alignment horizontal="center" vertical="center" wrapText="1"/>
    </xf>
    <xf numFmtId="0" fontId="68" fillId="23" borderId="0" xfId="0" applyFont="1" applyFill="1" applyAlignment="1">
      <alignment horizontal="center" vertical="center"/>
    </xf>
    <xf numFmtId="0" fontId="69" fillId="23" borderId="0" xfId="0" applyFont="1" applyFill="1" applyAlignment="1">
      <alignment horizontal="center" vertical="center"/>
    </xf>
    <xf numFmtId="3" fontId="68" fillId="23" borderId="0" xfId="0" applyNumberFormat="1" applyFont="1" applyFill="1" applyAlignment="1">
      <alignment horizontal="center" vertical="center"/>
    </xf>
    <xf numFmtId="0" fontId="70" fillId="23" borderId="0" xfId="0" applyFont="1" applyFill="1" applyAlignment="1">
      <alignment horizontal="center" vertical="center"/>
    </xf>
    <xf numFmtId="0" fontId="65" fillId="23" borderId="0" xfId="0" applyFont="1" applyFill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5" fillId="23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45" fillId="23" borderId="27" xfId="0" applyFont="1" applyFill="1" applyBorder="1" applyAlignment="1">
      <alignment horizontal="center" vertical="center"/>
    </xf>
    <xf numFmtId="8" fontId="49" fillId="0" borderId="18" xfId="0" applyNumberFormat="1" applyFont="1" applyBorder="1" applyAlignment="1">
      <alignment horizontal="center" vertical="center"/>
    </xf>
    <xf numFmtId="0" fontId="45" fillId="23" borderId="18" xfId="0" applyFont="1" applyFill="1" applyBorder="1" applyAlignment="1">
      <alignment horizontal="center" vertical="center"/>
    </xf>
    <xf numFmtId="0" fontId="49" fillId="23" borderId="18" xfId="0" applyFont="1" applyFill="1" applyBorder="1" applyAlignment="1">
      <alignment horizontal="center" vertical="center"/>
    </xf>
    <xf numFmtId="166" fontId="45" fillId="23" borderId="18" xfId="0" applyNumberFormat="1" applyFont="1" applyFill="1" applyBorder="1" applyAlignment="1">
      <alignment horizontal="center" vertical="center"/>
    </xf>
    <xf numFmtId="166" fontId="45" fillId="0" borderId="18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1" fontId="45" fillId="0" borderId="18" xfId="0" applyNumberFormat="1" applyFont="1" applyBorder="1" applyAlignment="1">
      <alignment horizontal="center" vertical="center"/>
    </xf>
    <xf numFmtId="49" fontId="45" fillId="23" borderId="18" xfId="0" applyNumberFormat="1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 wrapText="1"/>
    </xf>
    <xf numFmtId="169" fontId="49" fillId="0" borderId="17" xfId="0" applyNumberFormat="1" applyFont="1" applyBorder="1" applyAlignment="1">
      <alignment horizontal="center" vertical="center"/>
    </xf>
    <xf numFmtId="8" fontId="49" fillId="0" borderId="17" xfId="0" quotePrefix="1" applyNumberFormat="1" applyFont="1" applyBorder="1" applyAlignment="1">
      <alignment horizontal="center" vertical="center"/>
    </xf>
    <xf numFmtId="0" fontId="71" fillId="23" borderId="1" xfId="0" applyFont="1" applyFill="1" applyBorder="1" applyAlignment="1">
      <alignment horizontal="center" vertical="center"/>
    </xf>
    <xf numFmtId="166" fontId="71" fillId="23" borderId="1" xfId="0" applyNumberFormat="1" applyFont="1" applyFill="1" applyBorder="1" applyAlignment="1">
      <alignment horizontal="center" vertical="center"/>
    </xf>
    <xf numFmtId="8" fontId="73" fillId="0" borderId="17" xfId="0" applyNumberFormat="1" applyFont="1" applyBorder="1" applyAlignment="1">
      <alignment horizontal="center" vertical="center"/>
    </xf>
    <xf numFmtId="169" fontId="73" fillId="0" borderId="17" xfId="0" applyNumberFormat="1" applyFont="1" applyBorder="1" applyAlignment="1">
      <alignment horizontal="center" vertical="center"/>
    </xf>
    <xf numFmtId="0" fontId="74" fillId="30" borderId="14" xfId="0" applyFont="1" applyFill="1" applyBorder="1" applyAlignment="1">
      <alignment horizontal="center" vertical="center" wrapText="1"/>
    </xf>
    <xf numFmtId="166" fontId="72" fillId="11" borderId="17" xfId="0" applyNumberFormat="1" applyFont="1" applyFill="1" applyBorder="1" applyAlignment="1">
      <alignment horizontal="center" vertical="center"/>
    </xf>
    <xf numFmtId="0" fontId="60" fillId="28" borderId="23" xfId="0" applyFont="1" applyFill="1" applyBorder="1" applyAlignment="1">
      <alignment horizontal="center" vertical="center" wrapText="1"/>
    </xf>
    <xf numFmtId="0" fontId="60" fillId="28" borderId="24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60" fillId="15" borderId="12" xfId="47" applyNumberFormat="1" applyFont="1" applyFill="1" applyBorder="1" applyAlignment="1">
      <alignment horizontal="center" vertical="center" wrapText="1"/>
    </xf>
    <xf numFmtId="166" fontId="60" fillId="15" borderId="12" xfId="47" applyNumberFormat="1" applyFont="1" applyFill="1" applyBorder="1" applyAlignment="1">
      <alignment horizontal="center" vertical="center" wrapText="1"/>
    </xf>
    <xf numFmtId="0" fontId="60" fillId="15" borderId="13" xfId="47" applyNumberFormat="1" applyFont="1" applyFill="1" applyBorder="1" applyAlignment="1">
      <alignment horizontal="center" vertical="center" wrapText="1"/>
    </xf>
    <xf numFmtId="0" fontId="60" fillId="14" borderId="20" xfId="47" applyNumberFormat="1" applyFont="1" applyFill="1" applyBorder="1" applyAlignment="1">
      <alignment horizontal="center" vertical="center" wrapText="1"/>
    </xf>
    <xf numFmtId="0" fontId="60" fillId="14" borderId="25" xfId="47" applyNumberFormat="1" applyFont="1" applyFill="1" applyBorder="1" applyAlignment="1">
      <alignment horizontal="center" vertical="center" wrapText="1"/>
    </xf>
    <xf numFmtId="0" fontId="60" fillId="14" borderId="26" xfId="47" applyNumberFormat="1" applyFont="1" applyFill="1" applyBorder="1" applyAlignment="1">
      <alignment horizontal="center" vertical="center" wrapText="1"/>
    </xf>
    <xf numFmtId="0" fontId="60" fillId="13" borderId="12" xfId="47" applyNumberFormat="1" applyFont="1" applyFill="1" applyBorder="1" applyAlignment="1">
      <alignment horizontal="center" vertical="center" wrapText="1"/>
    </xf>
    <xf numFmtId="166" fontId="60" fillId="13" borderId="12" xfId="47" applyNumberFormat="1" applyFont="1" applyFill="1" applyBorder="1" applyAlignment="1">
      <alignment horizontal="center" vertical="center" wrapText="1"/>
    </xf>
    <xf numFmtId="0" fontId="60" fillId="19" borderId="11" xfId="0" applyFont="1" applyFill="1" applyBorder="1" applyAlignment="1">
      <alignment horizontal="center" vertical="center" wrapText="1"/>
    </xf>
    <xf numFmtId="0" fontId="60" fillId="19" borderId="13" xfId="0" applyFont="1" applyFill="1" applyBorder="1" applyAlignment="1">
      <alignment horizontal="center" vertical="center" wrapText="1"/>
    </xf>
    <xf numFmtId="0" fontId="31" fillId="12" borderId="9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8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>
    <nsvFilter filterId="{00000000-0001-0000-0000-000000000000}" ref="B13:BM127" tableId="0">
      <columnFilter colId="4">
        <filter colId="4">
          <x:filters>
            <x:filter val="025/0018/F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ei.prefeitura.sp.gov.br/sei/controlador.php?acao=arvore_visualizar&amp;acao_origem=procedimento_visualizar&amp;id_procedimento=117805686&amp;infra_sistema=100000100&amp;infra_unidade_atual=110001126&amp;infra_hash=ebf6a21b25d5cb67775f5a5ae355b4ffae47fca4156fc058fd9c9c12fca836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7386"/>
  <sheetViews>
    <sheetView showGridLines="0" tabSelected="1" topLeftCell="A10" zoomScale="85" zoomScaleNormal="85" workbookViewId="0">
      <pane xSplit="6" ySplit="4" topLeftCell="AW14" activePane="bottomRight" state="frozen"/>
      <selection pane="topRight"/>
      <selection pane="bottomLeft"/>
      <selection pane="bottomRight" activeCell="AW17" sqref="AW17"/>
    </sheetView>
  </sheetViews>
  <sheetFormatPr defaultColWidth="9.140625" defaultRowHeight="30" customHeight="1" x14ac:dyDescent="0.25"/>
  <cols>
    <col min="1" max="1" width="10" style="137" bestFit="1" customWidth="1"/>
    <col min="2" max="2" width="33.140625" style="138" bestFit="1" customWidth="1"/>
    <col min="3" max="3" width="12.5703125" style="138" bestFit="1" customWidth="1"/>
    <col min="4" max="4" width="16.28515625" style="138" bestFit="1" customWidth="1"/>
    <col min="5" max="5" width="21.140625" style="138" bestFit="1" customWidth="1"/>
    <col min="6" max="6" width="13.7109375" style="139" bestFit="1" customWidth="1"/>
    <col min="7" max="7" width="26.140625" style="138" bestFit="1" customWidth="1"/>
    <col min="8" max="8" width="21.42578125" style="138" bestFit="1" customWidth="1"/>
    <col min="9" max="9" width="38.85546875" style="138" bestFit="1" customWidth="1"/>
    <col min="10" max="10" width="56.7109375" style="139" bestFit="1" customWidth="1"/>
    <col min="11" max="11" width="15.5703125" style="139" bestFit="1" customWidth="1"/>
    <col min="12" max="12" width="18.42578125" style="139" bestFit="1" customWidth="1"/>
    <col min="13" max="13" width="38.140625" style="138" bestFit="1" customWidth="1"/>
    <col min="14" max="14" width="56" style="138" bestFit="1" customWidth="1"/>
    <col min="15" max="15" width="23" style="172" bestFit="1" customWidth="1"/>
    <col min="16" max="16" width="45" style="140" bestFit="1" customWidth="1"/>
    <col min="17" max="17" width="29.5703125" style="140" bestFit="1" customWidth="1"/>
    <col min="18" max="18" width="45.5703125" style="140" bestFit="1" customWidth="1"/>
    <col min="19" max="19" width="39.28515625" style="140" bestFit="1" customWidth="1"/>
    <col min="20" max="20" width="34.28515625" style="140" bestFit="1" customWidth="1"/>
    <col min="21" max="21" width="29" style="140" bestFit="1" customWidth="1"/>
    <col min="22" max="22" width="31.5703125" style="140" bestFit="1" customWidth="1"/>
    <col min="23" max="23" width="34.140625" style="140" bestFit="1" customWidth="1"/>
    <col min="24" max="24" width="34.7109375" style="140" bestFit="1" customWidth="1"/>
    <col min="25" max="25" width="21.42578125" style="140" bestFit="1" customWidth="1"/>
    <col min="26" max="26" width="25.5703125" style="173" bestFit="1" customWidth="1"/>
    <col min="27" max="27" width="28.5703125" style="138" bestFit="1" customWidth="1"/>
    <col min="28" max="28" width="56.7109375" style="139" bestFit="1" customWidth="1"/>
    <col min="29" max="29" width="15.5703125" style="139" bestFit="1" customWidth="1"/>
    <col min="30" max="30" width="18.42578125" style="139" bestFit="1" customWidth="1"/>
    <col min="31" max="31" width="42" style="138" bestFit="1" customWidth="1"/>
    <col min="32" max="32" width="37.42578125" style="138" bestFit="1" customWidth="1"/>
    <col min="33" max="33" width="28.85546875" style="139" bestFit="1" customWidth="1"/>
    <col min="34" max="34" width="31.7109375" style="139" bestFit="1" customWidth="1"/>
    <col min="35" max="35" width="23.7109375" style="138" bestFit="1" customWidth="1"/>
    <col min="36" max="36" width="38.42578125" style="138" bestFit="1" customWidth="1"/>
    <col min="37" max="37" width="34.5703125" style="138" bestFit="1" customWidth="1"/>
    <col min="38" max="38" width="32.42578125" style="138" bestFit="1" customWidth="1"/>
    <col min="39" max="39" width="15.28515625" style="138" bestFit="1" customWidth="1"/>
    <col min="40" max="40" width="27.85546875" style="138" bestFit="1" customWidth="1"/>
    <col min="41" max="41" width="42" style="138" bestFit="1" customWidth="1"/>
    <col min="42" max="42" width="47.42578125" style="139" bestFit="1" customWidth="1"/>
    <col min="43" max="43" width="44.85546875" style="138" bestFit="1" customWidth="1"/>
    <col min="44" max="44" width="39" style="138" bestFit="1" customWidth="1"/>
    <col min="45" max="45" width="42.7109375" style="138" bestFit="1" customWidth="1"/>
    <col min="46" max="46" width="48.5703125" style="138" bestFit="1" customWidth="1"/>
    <col min="47" max="47" width="25" style="138" bestFit="1" customWidth="1"/>
    <col min="48" max="48" width="56.28515625" style="138" bestFit="1" customWidth="1"/>
    <col min="49" max="49" width="46.85546875" style="138" bestFit="1" customWidth="1"/>
    <col min="50" max="50" width="34.7109375" style="138" bestFit="1" customWidth="1"/>
    <col min="51" max="51" width="28.7109375" style="140" bestFit="1" customWidth="1"/>
    <col min="52" max="52" width="34.7109375" style="173" bestFit="1" customWidth="1"/>
    <col min="53" max="53" width="37.85546875" style="174" bestFit="1" customWidth="1"/>
    <col min="54" max="54" width="15.42578125" style="174" bestFit="1" customWidth="1"/>
    <col min="55" max="55" width="21" style="174" bestFit="1" customWidth="1"/>
    <col min="56" max="56" width="33.42578125" style="138" bestFit="1" customWidth="1"/>
    <col min="57" max="57" width="23" style="138" bestFit="1" customWidth="1"/>
    <col min="58" max="58" width="40.140625" style="138" bestFit="1" customWidth="1"/>
    <col min="59" max="59" width="23" style="175" bestFit="1" customWidth="1"/>
    <col min="60" max="60" width="29.85546875" style="175" bestFit="1" customWidth="1"/>
    <col min="61" max="61" width="46.5703125" style="138" bestFit="1" customWidth="1"/>
    <col min="62" max="62" width="48.5703125" style="138" bestFit="1" customWidth="1"/>
    <col min="63" max="63" width="28.140625" style="138" bestFit="1" customWidth="1"/>
    <col min="64" max="64" width="46.85546875" style="138" bestFit="1" customWidth="1"/>
    <col min="65" max="65" width="46.5703125" style="138" bestFit="1" customWidth="1"/>
    <col min="66" max="107" width="9.140625" style="138" bestFit="1" customWidth="1"/>
    <col min="108" max="16384" width="9.140625" style="138"/>
  </cols>
  <sheetData>
    <row r="1" spans="1:71" ht="30" customHeight="1" x14ac:dyDescent="0.25">
      <c r="O1" s="140"/>
      <c r="Z1" s="140"/>
      <c r="AZ1" s="140"/>
      <c r="BA1" s="138"/>
      <c r="BB1" s="138"/>
      <c r="BC1" s="138"/>
    </row>
    <row r="2" spans="1:71" ht="30" customHeight="1" x14ac:dyDescent="0.25">
      <c r="O2" s="140"/>
      <c r="Z2" s="140"/>
      <c r="AZ2" s="140"/>
      <c r="BA2" s="138"/>
      <c r="BB2" s="138"/>
      <c r="BC2" s="138"/>
    </row>
    <row r="3" spans="1:71" ht="30" customHeight="1" x14ac:dyDescent="0.25">
      <c r="C3" s="138">
        <v>2</v>
      </c>
      <c r="D3" s="138" t="s">
        <v>0</v>
      </c>
      <c r="G3" s="138" t="s">
        <v>1</v>
      </c>
      <c r="H3" s="138" t="s">
        <v>2</v>
      </c>
      <c r="I3" s="138" t="s">
        <v>3</v>
      </c>
      <c r="M3" s="138" t="s">
        <v>4</v>
      </c>
      <c r="N3" s="138" t="s">
        <v>5</v>
      </c>
      <c r="O3" s="140"/>
      <c r="P3" s="140" t="s">
        <v>6</v>
      </c>
      <c r="R3" s="140" t="s">
        <v>6</v>
      </c>
      <c r="X3" s="140" t="s">
        <v>7</v>
      </c>
      <c r="Z3" s="140"/>
      <c r="AE3" s="138" t="s">
        <v>3</v>
      </c>
      <c r="AI3" s="138" t="s">
        <v>6</v>
      </c>
      <c r="AJ3" s="138" t="s">
        <v>6</v>
      </c>
      <c r="AK3" s="138" t="s">
        <v>4</v>
      </c>
      <c r="AM3" s="138" t="s">
        <v>8</v>
      </c>
      <c r="AN3" s="138" t="s">
        <v>9</v>
      </c>
      <c r="AZ3" s="140"/>
      <c r="BA3" s="138"/>
      <c r="BB3" s="138"/>
      <c r="BC3" s="138"/>
    </row>
    <row r="4" spans="1:71" ht="30" customHeight="1" x14ac:dyDescent="0.25">
      <c r="C4" s="138">
        <v>4</v>
      </c>
      <c r="G4" s="138" t="s">
        <v>10</v>
      </c>
      <c r="H4" s="138" t="s">
        <v>11</v>
      </c>
      <c r="I4" s="138" t="s">
        <v>12</v>
      </c>
      <c r="M4" s="138" t="s">
        <v>13</v>
      </c>
      <c r="N4" s="138" t="s">
        <v>14</v>
      </c>
      <c r="O4" s="140"/>
      <c r="P4" s="140" t="s">
        <v>15</v>
      </c>
      <c r="R4" s="140" t="s">
        <v>15</v>
      </c>
      <c r="Z4" s="140"/>
      <c r="AE4" s="138" t="s">
        <v>12</v>
      </c>
      <c r="AI4" s="138" t="s">
        <v>16</v>
      </c>
      <c r="AJ4" s="138" t="s">
        <v>15</v>
      </c>
      <c r="AK4" s="138" t="s">
        <v>13</v>
      </c>
      <c r="AM4" s="138" t="s">
        <v>17</v>
      </c>
      <c r="AN4" s="138" t="s">
        <v>18</v>
      </c>
      <c r="AZ4" s="140"/>
      <c r="BA4" s="138"/>
      <c r="BB4" s="138"/>
      <c r="BC4" s="138"/>
    </row>
    <row r="5" spans="1:71" ht="30" customHeight="1" x14ac:dyDescent="0.25">
      <c r="G5" s="138" t="s">
        <v>19</v>
      </c>
      <c r="H5" s="141" t="s">
        <v>20</v>
      </c>
      <c r="I5" s="138" t="s">
        <v>21</v>
      </c>
      <c r="N5" s="138" t="s">
        <v>22</v>
      </c>
      <c r="O5" s="140"/>
      <c r="Z5" s="140"/>
      <c r="AI5" s="138" t="s">
        <v>23</v>
      </c>
      <c r="AJ5" s="138" t="s">
        <v>24</v>
      </c>
      <c r="AN5" s="138" t="s">
        <v>25</v>
      </c>
      <c r="AZ5" s="140"/>
      <c r="BA5" s="138"/>
      <c r="BB5" s="138"/>
      <c r="BC5" s="138"/>
    </row>
    <row r="6" spans="1:71" ht="30" customHeight="1" x14ac:dyDescent="0.25">
      <c r="G6" s="138" t="s">
        <v>26</v>
      </c>
      <c r="N6" s="138" t="s">
        <v>27</v>
      </c>
      <c r="O6" s="140"/>
      <c r="Z6" s="140"/>
      <c r="AI6" s="138" t="s">
        <v>28</v>
      </c>
      <c r="AJ6" s="138" t="s">
        <v>17</v>
      </c>
      <c r="AN6" s="138" t="s">
        <v>29</v>
      </c>
      <c r="AZ6" s="140"/>
      <c r="BA6" s="138"/>
      <c r="BB6" s="138"/>
      <c r="BC6" s="138"/>
    </row>
    <row r="7" spans="1:71" ht="30" customHeight="1" x14ac:dyDescent="0.25">
      <c r="G7" s="138" t="s">
        <v>30</v>
      </c>
      <c r="O7" s="140"/>
      <c r="Z7" s="140"/>
      <c r="AZ7" s="140"/>
      <c r="BA7" s="138"/>
      <c r="BB7" s="138"/>
      <c r="BC7" s="138"/>
    </row>
    <row r="8" spans="1:71" ht="30" customHeight="1" x14ac:dyDescent="0.25">
      <c r="G8" s="138" t="s">
        <v>31</v>
      </c>
      <c r="O8" s="140"/>
      <c r="Z8" s="140"/>
      <c r="AZ8" s="140"/>
      <c r="BA8" s="138"/>
      <c r="BB8" s="138"/>
      <c r="BC8" s="138"/>
    </row>
    <row r="9" spans="1:71" ht="30" customHeight="1" x14ac:dyDescent="0.25">
      <c r="G9" s="138" t="s">
        <v>32</v>
      </c>
      <c r="O9" s="140"/>
      <c r="Z9" s="140"/>
      <c r="AZ9" s="140"/>
      <c r="BA9" s="138"/>
      <c r="BB9" s="138"/>
      <c r="BC9" s="138"/>
    </row>
    <row r="10" spans="1:71" ht="30" hidden="1" customHeight="1" x14ac:dyDescent="0.25">
      <c r="O10" s="140"/>
      <c r="Z10" s="140"/>
      <c r="AQ10" s="293"/>
      <c r="AR10" s="293"/>
      <c r="AS10" s="293"/>
      <c r="AT10" s="293"/>
      <c r="AU10" s="293"/>
      <c r="AV10" s="139"/>
      <c r="AW10" s="139"/>
      <c r="AY10" s="138"/>
      <c r="AZ10" s="138"/>
      <c r="BA10" s="138"/>
      <c r="BB10" s="138"/>
      <c r="BC10" s="138"/>
    </row>
    <row r="11" spans="1:71" ht="30" hidden="1" customHeight="1" x14ac:dyDescent="0.25">
      <c r="O11" s="140"/>
      <c r="Z11" s="140"/>
      <c r="AQ11" s="139"/>
      <c r="AR11" s="139"/>
      <c r="AS11" s="139"/>
      <c r="AT11" s="139"/>
      <c r="AU11" s="139"/>
      <c r="AV11" s="139"/>
      <c r="AW11" s="139"/>
      <c r="AY11" s="138"/>
      <c r="AZ11" s="138"/>
      <c r="BA11" s="138"/>
      <c r="BB11" s="138"/>
      <c r="BC11" s="138"/>
    </row>
    <row r="12" spans="1:71" s="204" customFormat="1" ht="30" customHeight="1" x14ac:dyDescent="0.25">
      <c r="A12" s="297" t="s">
        <v>33</v>
      </c>
      <c r="B12" s="298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9"/>
      <c r="P12" s="294" t="s">
        <v>34</v>
      </c>
      <c r="Q12" s="294"/>
      <c r="R12" s="294"/>
      <c r="S12" s="294"/>
      <c r="T12" s="294"/>
      <c r="U12" s="295"/>
      <c r="V12" s="294"/>
      <c r="W12" s="294"/>
      <c r="X12" s="294"/>
      <c r="Y12" s="295"/>
      <c r="Z12" s="294"/>
      <c r="AA12" s="296"/>
      <c r="AB12" s="300" t="s">
        <v>35</v>
      </c>
      <c r="AC12" s="300"/>
      <c r="AD12" s="300"/>
      <c r="AE12" s="300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1"/>
      <c r="AZ12" s="301"/>
      <c r="BA12" s="300"/>
      <c r="BB12" s="302" t="s">
        <v>36</v>
      </c>
      <c r="BC12" s="303"/>
      <c r="BD12" s="291"/>
      <c r="BE12" s="292"/>
      <c r="BF12" s="292"/>
      <c r="BG12" s="292"/>
      <c r="BH12" s="292"/>
      <c r="BI12" s="292"/>
      <c r="BJ12" s="292"/>
      <c r="BK12" s="292"/>
      <c r="BL12" s="292"/>
      <c r="BM12" s="292"/>
    </row>
    <row r="13" spans="1:71" s="139" customFormat="1" ht="38.25" customHeight="1" x14ac:dyDescent="0.25">
      <c r="A13" s="142" t="s">
        <v>37</v>
      </c>
      <c r="B13" s="143" t="s">
        <v>38</v>
      </c>
      <c r="C13" s="143" t="s">
        <v>39</v>
      </c>
      <c r="D13" s="143" t="s">
        <v>40</v>
      </c>
      <c r="E13" s="143" t="s">
        <v>41</v>
      </c>
      <c r="F13" s="143" t="s">
        <v>42</v>
      </c>
      <c r="G13" s="143" t="s">
        <v>43</v>
      </c>
      <c r="H13" s="143" t="s">
        <v>44</v>
      </c>
      <c r="I13" s="143" t="s">
        <v>45</v>
      </c>
      <c r="J13" s="144" t="s">
        <v>46</v>
      </c>
      <c r="K13" s="144" t="s">
        <v>47</v>
      </c>
      <c r="L13" s="144" t="s">
        <v>48</v>
      </c>
      <c r="M13" s="144" t="s">
        <v>49</v>
      </c>
      <c r="N13" s="144" t="s">
        <v>50</v>
      </c>
      <c r="O13" s="145" t="s">
        <v>51</v>
      </c>
      <c r="P13" s="146" t="s">
        <v>52</v>
      </c>
      <c r="Q13" s="146" t="s">
        <v>53</v>
      </c>
      <c r="R13" s="146" t="s">
        <v>54</v>
      </c>
      <c r="S13" s="146" t="s">
        <v>55</v>
      </c>
      <c r="T13" s="146" t="s">
        <v>56</v>
      </c>
      <c r="U13" s="146" t="s">
        <v>57</v>
      </c>
      <c r="V13" s="146" t="s">
        <v>58</v>
      </c>
      <c r="W13" s="146" t="s">
        <v>59</v>
      </c>
      <c r="X13" s="146" t="s">
        <v>60</v>
      </c>
      <c r="Y13" s="146" t="s">
        <v>61</v>
      </c>
      <c r="Z13" s="146" t="s">
        <v>62</v>
      </c>
      <c r="AA13" s="147" t="s">
        <v>63</v>
      </c>
      <c r="AB13" s="148" t="s">
        <v>64</v>
      </c>
      <c r="AC13" s="148" t="s">
        <v>47</v>
      </c>
      <c r="AD13" s="148" t="s">
        <v>48</v>
      </c>
      <c r="AE13" s="149" t="s">
        <v>65</v>
      </c>
      <c r="AF13" s="148" t="s">
        <v>66</v>
      </c>
      <c r="AG13" s="148" t="s">
        <v>67</v>
      </c>
      <c r="AH13" s="148" t="s">
        <v>68</v>
      </c>
      <c r="AI13" s="148" t="s">
        <v>69</v>
      </c>
      <c r="AJ13" s="149" t="s">
        <v>70</v>
      </c>
      <c r="AK13" s="149" t="s">
        <v>71</v>
      </c>
      <c r="AL13" s="148" t="s">
        <v>72</v>
      </c>
      <c r="AM13" s="148" t="s">
        <v>73</v>
      </c>
      <c r="AN13" s="148" t="s">
        <v>74</v>
      </c>
      <c r="AO13" s="148" t="s">
        <v>75</v>
      </c>
      <c r="AP13" s="148" t="s">
        <v>76</v>
      </c>
      <c r="AQ13" s="148" t="s">
        <v>77</v>
      </c>
      <c r="AR13" s="148" t="s">
        <v>78</v>
      </c>
      <c r="AS13" s="148" t="s">
        <v>79</v>
      </c>
      <c r="AT13" s="148" t="s">
        <v>80</v>
      </c>
      <c r="AU13" s="148" t="s">
        <v>81</v>
      </c>
      <c r="AV13" s="148" t="s">
        <v>82</v>
      </c>
      <c r="AW13" s="148" t="s">
        <v>83</v>
      </c>
      <c r="AX13" s="148" t="s">
        <v>60</v>
      </c>
      <c r="AY13" s="241" t="s">
        <v>84</v>
      </c>
      <c r="AZ13" s="241" t="s">
        <v>85</v>
      </c>
      <c r="BA13" s="150" t="s">
        <v>86</v>
      </c>
      <c r="BB13" s="151" t="s">
        <v>87</v>
      </c>
      <c r="BC13" s="152" t="s">
        <v>88</v>
      </c>
      <c r="BD13" s="209" t="s">
        <v>89</v>
      </c>
      <c r="BE13" s="209" t="s">
        <v>90</v>
      </c>
      <c r="BF13" s="209" t="s">
        <v>91</v>
      </c>
      <c r="BG13" s="207" t="s">
        <v>92</v>
      </c>
      <c r="BH13" s="208" t="s">
        <v>93</v>
      </c>
      <c r="BI13" s="209" t="s">
        <v>94</v>
      </c>
      <c r="BJ13" s="177" t="s">
        <v>80</v>
      </c>
      <c r="BK13" s="177" t="s">
        <v>95</v>
      </c>
      <c r="BL13" s="209" t="s">
        <v>96</v>
      </c>
      <c r="BM13" s="177" t="s">
        <v>97</v>
      </c>
    </row>
    <row r="14" spans="1:71" s="236" customFormat="1" ht="30" customHeight="1" x14ac:dyDescent="0.25">
      <c r="A14" s="236">
        <v>1</v>
      </c>
      <c r="B14" s="153" t="s">
        <v>98</v>
      </c>
      <c r="C14" s="236" t="s">
        <v>99</v>
      </c>
      <c r="D14" s="237" t="s">
        <v>99</v>
      </c>
      <c r="E14" s="236" t="s">
        <v>99</v>
      </c>
      <c r="F14" s="238" t="s">
        <v>100</v>
      </c>
      <c r="G14" s="236" t="s">
        <v>1</v>
      </c>
      <c r="H14" s="236" t="s">
        <v>2</v>
      </c>
      <c r="I14" s="236" t="s">
        <v>12</v>
      </c>
      <c r="J14" s="238" t="s">
        <v>101</v>
      </c>
      <c r="K14" s="238" t="s">
        <v>99</v>
      </c>
      <c r="L14" s="238" t="s">
        <v>102</v>
      </c>
      <c r="M14" s="236" t="s">
        <v>4</v>
      </c>
      <c r="N14" s="236" t="s">
        <v>5</v>
      </c>
      <c r="O14" s="168">
        <v>46142</v>
      </c>
      <c r="P14" s="168" t="s">
        <v>24</v>
      </c>
      <c r="Q14" s="168" t="s">
        <v>24</v>
      </c>
      <c r="R14" s="168" t="s">
        <v>24</v>
      </c>
      <c r="S14" s="168" t="s">
        <v>24</v>
      </c>
      <c r="T14" s="168" t="s">
        <v>24</v>
      </c>
      <c r="U14" s="168" t="s">
        <v>24</v>
      </c>
      <c r="V14" s="168" t="s">
        <v>24</v>
      </c>
      <c r="W14" s="168" t="s">
        <v>24</v>
      </c>
      <c r="X14" s="168" t="s">
        <v>24</v>
      </c>
      <c r="Y14" s="168" t="s">
        <v>24</v>
      </c>
      <c r="Z14" s="168" t="s">
        <v>24</v>
      </c>
      <c r="AA14" s="153"/>
      <c r="AB14" s="238" t="s">
        <v>101</v>
      </c>
      <c r="AC14" s="238" t="s">
        <v>99</v>
      </c>
      <c r="AD14" s="238" t="s">
        <v>102</v>
      </c>
      <c r="AE14" s="236" t="s">
        <v>12</v>
      </c>
      <c r="AF14" s="153" t="s">
        <v>4</v>
      </c>
      <c r="AG14" s="287">
        <v>198087.32</v>
      </c>
      <c r="AH14" s="287">
        <v>198087.32</v>
      </c>
      <c r="AI14" s="153" t="s">
        <v>6</v>
      </c>
      <c r="AJ14" s="238" t="s">
        <v>103</v>
      </c>
      <c r="AK14" s="153">
        <v>153850245</v>
      </c>
      <c r="AL14" s="153" t="s">
        <v>104</v>
      </c>
      <c r="AM14" s="153" t="s">
        <v>104</v>
      </c>
      <c r="AN14" s="153" t="s">
        <v>105</v>
      </c>
      <c r="AO14" s="282"/>
      <c r="AP14" s="158" t="s">
        <v>106</v>
      </c>
      <c r="AQ14" s="153" t="s">
        <v>104</v>
      </c>
      <c r="AR14" s="153" t="s">
        <v>104</v>
      </c>
      <c r="AS14" s="153" t="s">
        <v>104</v>
      </c>
      <c r="AT14" s="153" t="s">
        <v>104</v>
      </c>
      <c r="AU14" s="168">
        <v>46174</v>
      </c>
      <c r="AV14" s="153" t="s">
        <v>104</v>
      </c>
      <c r="AW14" s="153" t="s">
        <v>104</v>
      </c>
      <c r="AX14" s="168">
        <v>46182</v>
      </c>
      <c r="AY14" s="290">
        <v>46182</v>
      </c>
      <c r="AZ14" s="162" t="s">
        <v>107</v>
      </c>
      <c r="BA14" s="162" t="s">
        <v>108</v>
      </c>
      <c r="BB14" s="164" t="s">
        <v>104</v>
      </c>
      <c r="BC14" s="163">
        <f>IF(AY14-KG14=0,"",AY14-O14)</f>
        <v>40</v>
      </c>
      <c r="BD14" s="153" t="str">
        <f>IF(AND(AI14&lt;&gt;"SIM",AI14="UH"),"AA","INDENIZAÇÃO")</f>
        <v>INDENIZAÇÃO</v>
      </c>
      <c r="BE14" s="153" t="str">
        <f>IF(AND(AY14&lt;&gt;"AGUARDANDO",AY14&lt;&gt;"",N14="AUXÍLIO ALUGUEL ATÉ INDENIZAÇÃO"),"SIM","NÃO")</f>
        <v>NÃO</v>
      </c>
      <c r="BF14" s="153" t="s">
        <v>24</v>
      </c>
      <c r="BG14" s="153" t="s">
        <v>24</v>
      </c>
      <c r="BH14" s="153" t="s">
        <v>24</v>
      </c>
      <c r="BI14" s="162" t="s">
        <v>109</v>
      </c>
      <c r="BJ14" s="162"/>
      <c r="BK14" s="161"/>
      <c r="BL14" s="162"/>
      <c r="BM14" s="162"/>
      <c r="BN14" s="273"/>
    </row>
    <row r="15" spans="1:71" ht="30" customHeight="1" x14ac:dyDescent="0.25">
      <c r="A15" s="153">
        <v>2</v>
      </c>
      <c r="B15" s="236" t="s">
        <v>98</v>
      </c>
      <c r="C15" s="236" t="s">
        <v>99</v>
      </c>
      <c r="D15" s="237" t="s">
        <v>99</v>
      </c>
      <c r="E15" s="236" t="s">
        <v>99</v>
      </c>
      <c r="F15" s="238" t="s">
        <v>110</v>
      </c>
      <c r="G15" s="236" t="s">
        <v>1</v>
      </c>
      <c r="H15" s="236" t="s">
        <v>2</v>
      </c>
      <c r="I15" s="236" t="s">
        <v>12</v>
      </c>
      <c r="J15" s="238" t="s">
        <v>111</v>
      </c>
      <c r="K15" s="238" t="s">
        <v>112</v>
      </c>
      <c r="L15" s="238" t="s">
        <v>113</v>
      </c>
      <c r="M15" s="236" t="s">
        <v>4</v>
      </c>
      <c r="N15" s="236" t="s">
        <v>5</v>
      </c>
      <c r="O15" s="168">
        <v>46155</v>
      </c>
      <c r="P15" s="168" t="s">
        <v>24</v>
      </c>
      <c r="Q15" s="168" t="s">
        <v>24</v>
      </c>
      <c r="R15" s="168" t="s">
        <v>24</v>
      </c>
      <c r="S15" s="168" t="s">
        <v>24</v>
      </c>
      <c r="T15" s="168" t="s">
        <v>24</v>
      </c>
      <c r="U15" s="168" t="s">
        <v>24</v>
      </c>
      <c r="V15" s="168" t="s">
        <v>24</v>
      </c>
      <c r="W15" s="168" t="s">
        <v>24</v>
      </c>
      <c r="X15" s="168" t="s">
        <v>24</v>
      </c>
      <c r="Y15" s="168" t="s">
        <v>24</v>
      </c>
      <c r="Z15" s="168" t="s">
        <v>24</v>
      </c>
      <c r="AA15" s="153"/>
      <c r="AB15" s="238" t="s">
        <v>111</v>
      </c>
      <c r="AC15" s="238" t="s">
        <v>112</v>
      </c>
      <c r="AD15" s="238" t="s">
        <v>113</v>
      </c>
      <c r="AE15" s="236" t="s">
        <v>12</v>
      </c>
      <c r="AF15" s="153" t="s">
        <v>4</v>
      </c>
      <c r="AG15" s="288">
        <v>81371.179999999993</v>
      </c>
      <c r="AH15" s="288">
        <v>81371.179999999993</v>
      </c>
      <c r="AI15" s="153" t="s">
        <v>6</v>
      </c>
      <c r="AJ15" s="238" t="s">
        <v>103</v>
      </c>
      <c r="AK15" s="153">
        <v>153849935</v>
      </c>
      <c r="AL15" s="153" t="s">
        <v>104</v>
      </c>
      <c r="AM15" s="153" t="s">
        <v>104</v>
      </c>
      <c r="AN15" s="153" t="s">
        <v>105</v>
      </c>
      <c r="AO15" s="282"/>
      <c r="AP15" s="158" t="s">
        <v>114</v>
      </c>
      <c r="AQ15" s="153" t="s">
        <v>104</v>
      </c>
      <c r="AR15" s="153" t="s">
        <v>104</v>
      </c>
      <c r="AS15" s="153" t="s">
        <v>104</v>
      </c>
      <c r="AT15" s="153" t="s">
        <v>104</v>
      </c>
      <c r="AU15" s="168">
        <v>46174</v>
      </c>
      <c r="AV15" s="153" t="s">
        <v>104</v>
      </c>
      <c r="AW15" s="153" t="s">
        <v>104</v>
      </c>
      <c r="AX15" s="168">
        <v>46182</v>
      </c>
      <c r="AY15" s="290">
        <v>46182</v>
      </c>
      <c r="AZ15" s="162" t="s">
        <v>107</v>
      </c>
      <c r="BA15" s="162" t="s">
        <v>108</v>
      </c>
      <c r="BB15" s="164" t="s">
        <v>104</v>
      </c>
      <c r="BC15" s="163">
        <f>IF(AY15-KG15=0,"",AY15-O15)</f>
        <v>27</v>
      </c>
      <c r="BD15" s="153" t="str">
        <f>IF(AND(AI15&lt;&gt;"SIM",AI15="UH"),"AA","INDENIZAÇÃO")</f>
        <v>INDENIZAÇÃO</v>
      </c>
      <c r="BE15" s="153" t="str">
        <f>IF(AND(AY15&lt;&gt;"AGUARDANDO",AY15&lt;&gt;"",N15="AUXÍLIO ALUGUEL ATÉ INDENIZAÇÃO"),"SIM","NÃO")</f>
        <v>NÃO</v>
      </c>
      <c r="BF15" s="153" t="s">
        <v>24</v>
      </c>
      <c r="BG15" s="153" t="s">
        <v>24</v>
      </c>
      <c r="BH15" s="153" t="s">
        <v>24</v>
      </c>
      <c r="BI15" s="162" t="s">
        <v>109</v>
      </c>
      <c r="BJ15" s="162"/>
      <c r="BK15" s="161"/>
      <c r="BL15" s="162"/>
      <c r="BM15" s="162"/>
      <c r="BN15" s="273"/>
      <c r="BO15" s="236"/>
      <c r="BP15" s="236"/>
      <c r="BQ15" s="236"/>
      <c r="BR15" s="236"/>
    </row>
    <row r="16" spans="1:71" ht="30" customHeight="1" x14ac:dyDescent="0.25">
      <c r="A16" s="153">
        <v>3</v>
      </c>
      <c r="B16" s="236" t="s">
        <v>98</v>
      </c>
      <c r="C16" s="236" t="s">
        <v>99</v>
      </c>
      <c r="D16" s="237" t="s">
        <v>99</v>
      </c>
      <c r="E16" s="236" t="s">
        <v>99</v>
      </c>
      <c r="F16" s="238" t="s">
        <v>115</v>
      </c>
      <c r="G16" s="236" t="s">
        <v>1</v>
      </c>
      <c r="H16" s="236" t="s">
        <v>2</v>
      </c>
      <c r="I16" s="236" t="s">
        <v>12</v>
      </c>
      <c r="J16" s="238" t="s">
        <v>116</v>
      </c>
      <c r="K16" s="238" t="s">
        <v>117</v>
      </c>
      <c r="L16" s="238" t="s">
        <v>118</v>
      </c>
      <c r="M16" s="236" t="s">
        <v>4</v>
      </c>
      <c r="N16" s="236" t="s">
        <v>5</v>
      </c>
      <c r="O16" s="168">
        <v>46127</v>
      </c>
      <c r="P16" s="168" t="s">
        <v>24</v>
      </c>
      <c r="Q16" s="168" t="s">
        <v>24</v>
      </c>
      <c r="R16" s="168" t="s">
        <v>24</v>
      </c>
      <c r="S16" s="168" t="s">
        <v>24</v>
      </c>
      <c r="T16" s="168" t="s">
        <v>24</v>
      </c>
      <c r="U16" s="168" t="s">
        <v>24</v>
      </c>
      <c r="V16" s="168" t="s">
        <v>24</v>
      </c>
      <c r="W16" s="168" t="s">
        <v>24</v>
      </c>
      <c r="X16" s="168" t="s">
        <v>24</v>
      </c>
      <c r="Y16" s="168" t="s">
        <v>24</v>
      </c>
      <c r="Z16" s="168" t="s">
        <v>24</v>
      </c>
      <c r="AA16" s="236"/>
      <c r="AB16" s="238" t="s">
        <v>119</v>
      </c>
      <c r="AC16" s="238" t="s">
        <v>117</v>
      </c>
      <c r="AD16" s="238" t="s">
        <v>118</v>
      </c>
      <c r="AE16" s="236" t="s">
        <v>12</v>
      </c>
      <c r="AF16" s="236" t="s">
        <v>4</v>
      </c>
      <c r="AG16" s="287">
        <v>224323.08</v>
      </c>
      <c r="AH16" s="287">
        <v>224323.08</v>
      </c>
      <c r="AI16" s="236" t="s">
        <v>6</v>
      </c>
      <c r="AJ16" s="238" t="s">
        <v>103</v>
      </c>
      <c r="AK16" s="236">
        <v>153849633</v>
      </c>
      <c r="AL16" s="236" t="s">
        <v>104</v>
      </c>
      <c r="AM16" s="153" t="s">
        <v>104</v>
      </c>
      <c r="AN16" s="153" t="s">
        <v>105</v>
      </c>
      <c r="AO16" s="282"/>
      <c r="AP16" s="158" t="s">
        <v>120</v>
      </c>
      <c r="AQ16" s="153" t="s">
        <v>104</v>
      </c>
      <c r="AR16" s="153" t="s">
        <v>104</v>
      </c>
      <c r="AS16" s="153" t="s">
        <v>104</v>
      </c>
      <c r="AT16" s="153" t="s">
        <v>104</v>
      </c>
      <c r="AU16" s="168">
        <v>46174</v>
      </c>
      <c r="AV16" s="153" t="s">
        <v>104</v>
      </c>
      <c r="AW16" s="153" t="s">
        <v>104</v>
      </c>
      <c r="AX16" s="168">
        <v>46182</v>
      </c>
      <c r="AY16" s="290">
        <v>46182</v>
      </c>
      <c r="AZ16" s="162" t="s">
        <v>107</v>
      </c>
      <c r="BA16" s="162" t="s">
        <v>108</v>
      </c>
      <c r="BB16" s="164" t="s">
        <v>104</v>
      </c>
      <c r="BC16" s="163">
        <f>IF(AY16-KG16=0,"",AY16-O16)</f>
        <v>55</v>
      </c>
      <c r="BD16" s="153" t="str">
        <f>IF(AND(AI16&lt;&gt;"SIM",AI16="UH"),"AA","INDENIZAÇÃO")</f>
        <v>INDENIZAÇÃO</v>
      </c>
      <c r="BE16" s="153" t="str">
        <f>IF(AND(AY16&lt;&gt;"AGUARDANDO",AY16&lt;&gt;"",N16="AUXÍLIO ALUGUEL ATÉ INDENIZAÇÃO"),"SIM","NÃO")</f>
        <v>NÃO</v>
      </c>
      <c r="BF16" s="153" t="s">
        <v>24</v>
      </c>
      <c r="BG16" s="153" t="s">
        <v>24</v>
      </c>
      <c r="BH16" s="153" t="s">
        <v>24</v>
      </c>
      <c r="BI16" s="162" t="s">
        <v>109</v>
      </c>
      <c r="BJ16" s="162"/>
      <c r="BK16" s="161"/>
      <c r="BL16" s="162"/>
      <c r="BM16" s="162"/>
      <c r="BN16" s="273"/>
      <c r="BO16" s="236"/>
      <c r="BP16" s="236"/>
      <c r="BQ16" s="236"/>
      <c r="BR16" s="236"/>
      <c r="BS16" s="236"/>
    </row>
    <row r="17" spans="1:71" ht="30" customHeight="1" x14ac:dyDescent="0.25">
      <c r="A17" s="153">
        <v>4</v>
      </c>
      <c r="B17" s="236" t="s">
        <v>98</v>
      </c>
      <c r="C17" s="236" t="s">
        <v>99</v>
      </c>
      <c r="D17" s="237" t="s">
        <v>99</v>
      </c>
      <c r="E17" s="236" t="s">
        <v>99</v>
      </c>
      <c r="F17" s="238" t="s">
        <v>121</v>
      </c>
      <c r="G17" s="236" t="s">
        <v>1</v>
      </c>
      <c r="H17" s="236" t="s">
        <v>2</v>
      </c>
      <c r="I17" s="236" t="s">
        <v>12</v>
      </c>
      <c r="J17" s="238" t="s">
        <v>122</v>
      </c>
      <c r="K17" s="238" t="s">
        <v>123</v>
      </c>
      <c r="L17" s="238" t="s">
        <v>124</v>
      </c>
      <c r="M17" s="236" t="s">
        <v>4</v>
      </c>
      <c r="N17" s="236" t="s">
        <v>5</v>
      </c>
      <c r="O17" s="168">
        <v>46125</v>
      </c>
      <c r="P17" s="168" t="s">
        <v>24</v>
      </c>
      <c r="Q17" s="168" t="s">
        <v>24</v>
      </c>
      <c r="R17" s="168" t="s">
        <v>24</v>
      </c>
      <c r="S17" s="168" t="s">
        <v>24</v>
      </c>
      <c r="T17" s="168" t="s">
        <v>24</v>
      </c>
      <c r="U17" s="168" t="s">
        <v>24</v>
      </c>
      <c r="V17" s="168" t="s">
        <v>24</v>
      </c>
      <c r="W17" s="168" t="s">
        <v>24</v>
      </c>
      <c r="X17" s="168" t="s">
        <v>24</v>
      </c>
      <c r="Y17" s="168" t="s">
        <v>24</v>
      </c>
      <c r="Z17" s="168" t="s">
        <v>24</v>
      </c>
      <c r="AA17" s="153"/>
      <c r="AB17" s="238" t="s">
        <v>122</v>
      </c>
      <c r="AC17" s="238" t="s">
        <v>123</v>
      </c>
      <c r="AD17" s="238" t="s">
        <v>124</v>
      </c>
      <c r="AE17" s="236" t="s">
        <v>12</v>
      </c>
      <c r="AF17" s="153" t="s">
        <v>4</v>
      </c>
      <c r="AG17" s="288">
        <v>19036.47</v>
      </c>
      <c r="AH17" s="288">
        <v>49036.37</v>
      </c>
      <c r="AI17" s="153" t="s">
        <v>6</v>
      </c>
      <c r="AJ17" s="238" t="s">
        <v>103</v>
      </c>
      <c r="AK17" s="153">
        <v>153850114</v>
      </c>
      <c r="AL17" s="153" t="s">
        <v>104</v>
      </c>
      <c r="AM17" s="153" t="s">
        <v>104</v>
      </c>
      <c r="AN17" s="153" t="s">
        <v>105</v>
      </c>
      <c r="AO17" s="282"/>
      <c r="AP17" s="158" t="s">
        <v>125</v>
      </c>
      <c r="AQ17" s="153" t="s">
        <v>104</v>
      </c>
      <c r="AR17" s="153" t="s">
        <v>104</v>
      </c>
      <c r="AS17" s="153" t="s">
        <v>104</v>
      </c>
      <c r="AT17" s="153" t="s">
        <v>104</v>
      </c>
      <c r="AU17" s="168">
        <v>46174</v>
      </c>
      <c r="AV17" s="153" t="s">
        <v>104</v>
      </c>
      <c r="AW17" s="153" t="s">
        <v>104</v>
      </c>
      <c r="AX17" s="168">
        <v>46182</v>
      </c>
      <c r="AY17" s="290">
        <v>46182</v>
      </c>
      <c r="AZ17" s="162" t="s">
        <v>107</v>
      </c>
      <c r="BA17" s="162" t="s">
        <v>108</v>
      </c>
      <c r="BB17" s="164" t="s">
        <v>104</v>
      </c>
      <c r="BC17" s="163">
        <f>IF(AY17-KG17=0,"",AY17-O17)</f>
        <v>57</v>
      </c>
      <c r="BD17" s="153" t="str">
        <f>IF(AND(AI17&lt;&gt;"SIM",AI17="UH"),"AA","INDENIZAÇÃO")</f>
        <v>INDENIZAÇÃO</v>
      </c>
      <c r="BE17" s="153" t="str">
        <f>IF(AND(AY17&lt;&gt;"AGUARDANDO",AY17&lt;&gt;"",N17="AUXÍLIO ALUGUEL ATÉ INDENIZAÇÃO"),"SIM","NÃO")</f>
        <v>NÃO</v>
      </c>
      <c r="BF17" s="153" t="s">
        <v>24</v>
      </c>
      <c r="BG17" s="153" t="s">
        <v>24</v>
      </c>
      <c r="BH17" s="153" t="s">
        <v>24</v>
      </c>
      <c r="BI17" s="162" t="s">
        <v>109</v>
      </c>
      <c r="BJ17" s="162"/>
      <c r="BK17" s="161"/>
      <c r="BL17" s="162"/>
      <c r="BM17" s="162"/>
      <c r="BN17" s="273"/>
      <c r="BO17" s="236"/>
      <c r="BP17" s="236"/>
      <c r="BQ17" s="236"/>
      <c r="BR17" s="236"/>
      <c r="BS17" s="236"/>
    </row>
    <row r="18" spans="1:71" ht="30" customHeight="1" x14ac:dyDescent="0.25">
      <c r="A18" s="153">
        <v>5</v>
      </c>
      <c r="B18" s="153" t="s">
        <v>98</v>
      </c>
      <c r="C18" s="236" t="s">
        <v>99</v>
      </c>
      <c r="D18" s="236" t="s">
        <v>99</v>
      </c>
      <c r="E18" s="236" t="s">
        <v>99</v>
      </c>
      <c r="F18" s="238" t="s">
        <v>126</v>
      </c>
      <c r="G18" s="236" t="s">
        <v>1</v>
      </c>
      <c r="H18" s="236" t="s">
        <v>2</v>
      </c>
      <c r="I18" s="236" t="s">
        <v>12</v>
      </c>
      <c r="J18" s="238" t="s">
        <v>127</v>
      </c>
      <c r="K18" s="238" t="s">
        <v>99</v>
      </c>
      <c r="L18" s="238" t="s">
        <v>128</v>
      </c>
      <c r="M18" s="236" t="s">
        <v>4</v>
      </c>
      <c r="N18" s="236" t="s">
        <v>129</v>
      </c>
      <c r="O18" s="168">
        <v>46134</v>
      </c>
      <c r="P18" s="168">
        <v>46134</v>
      </c>
      <c r="Q18" s="168" t="s">
        <v>130</v>
      </c>
      <c r="R18" s="168">
        <v>46108</v>
      </c>
      <c r="S18" s="161" t="s">
        <v>107</v>
      </c>
      <c r="T18" s="161"/>
      <c r="U18" s="161"/>
      <c r="V18" s="161"/>
      <c r="W18" s="161"/>
      <c r="X18" s="161"/>
      <c r="Y18" s="161"/>
      <c r="Z18" s="161"/>
      <c r="AA18" s="153"/>
      <c r="AB18" s="238" t="s">
        <v>127</v>
      </c>
      <c r="AC18" s="238" t="s">
        <v>99</v>
      </c>
      <c r="AD18" s="238" t="s">
        <v>128</v>
      </c>
      <c r="AE18" s="236" t="s">
        <v>12</v>
      </c>
      <c r="AF18" s="153" t="s">
        <v>4</v>
      </c>
      <c r="AG18" s="284" t="s">
        <v>99</v>
      </c>
      <c r="AH18" s="284" t="s">
        <v>99</v>
      </c>
      <c r="AI18" s="153" t="s">
        <v>23</v>
      </c>
      <c r="AJ18" s="238" t="s">
        <v>103</v>
      </c>
      <c r="AK18" s="153">
        <v>153849742</v>
      </c>
      <c r="AL18" s="153" t="s">
        <v>24</v>
      </c>
      <c r="AM18" s="153" t="s">
        <v>24</v>
      </c>
      <c r="AN18" s="153" t="s">
        <v>24</v>
      </c>
      <c r="AO18" s="153"/>
      <c r="AP18" s="153" t="s">
        <v>24</v>
      </c>
      <c r="AQ18" s="153" t="s">
        <v>24</v>
      </c>
      <c r="AR18" s="153" t="s">
        <v>24</v>
      </c>
      <c r="AS18" s="153" t="s">
        <v>24</v>
      </c>
      <c r="AT18" s="153" t="s">
        <v>24</v>
      </c>
      <c r="AU18" s="153" t="s">
        <v>24</v>
      </c>
      <c r="AV18" s="153" t="s">
        <v>24</v>
      </c>
      <c r="AW18" s="153" t="s">
        <v>24</v>
      </c>
      <c r="AX18" s="153"/>
      <c r="AY18" s="153"/>
      <c r="AZ18" s="161"/>
      <c r="BA18" s="162" t="s">
        <v>1</v>
      </c>
      <c r="BB18" s="164"/>
      <c r="BC18" s="163" t="str">
        <f t="shared" ref="BC18:BC45" si="0">IF(AY18-KG18=0,"",AY18-O18)</f>
        <v/>
      </c>
      <c r="BD18" s="153" t="str">
        <f t="shared" ref="BD18:BD45" si="1">IF(AND(AI18&lt;&gt;"SIM",AI18="UH"),"AA","INDENIZAÇÃO")</f>
        <v>AA</v>
      </c>
      <c r="BE18" s="153" t="str">
        <f t="shared" ref="BE18:BE45" si="2">IF(AND(AY18&lt;&gt;"AGUARDANDO",AY18&lt;&gt;"",N18="AUXÍLIO ALUGUEL ATÉ INDENIZAÇÃO"),"SIM","NÃO")</f>
        <v>NÃO</v>
      </c>
      <c r="BF18" s="153"/>
      <c r="BG18" s="153"/>
      <c r="BH18" s="153"/>
      <c r="BI18" s="153"/>
      <c r="BJ18" s="153"/>
      <c r="BK18" s="159"/>
      <c r="BL18" s="153"/>
      <c r="BM18" s="153"/>
    </row>
    <row r="19" spans="1:71" ht="30" customHeight="1" x14ac:dyDescent="0.25">
      <c r="A19" s="153">
        <v>6</v>
      </c>
      <c r="B19" s="153" t="s">
        <v>98</v>
      </c>
      <c r="C19" s="236" t="s">
        <v>99</v>
      </c>
      <c r="D19" s="236" t="s">
        <v>99</v>
      </c>
      <c r="E19" s="236" t="s">
        <v>99</v>
      </c>
      <c r="F19" s="238" t="s">
        <v>131</v>
      </c>
      <c r="G19" s="236" t="s">
        <v>1</v>
      </c>
      <c r="H19" s="236" t="s">
        <v>2</v>
      </c>
      <c r="I19" s="236" t="s">
        <v>12</v>
      </c>
      <c r="J19" s="238" t="s">
        <v>132</v>
      </c>
      <c r="K19" s="238" t="s">
        <v>133</v>
      </c>
      <c r="L19" s="238" t="s">
        <v>134</v>
      </c>
      <c r="M19" s="236" t="s">
        <v>4</v>
      </c>
      <c r="N19" s="236" t="s">
        <v>129</v>
      </c>
      <c r="O19" s="168">
        <v>46134</v>
      </c>
      <c r="P19" s="168">
        <v>46134</v>
      </c>
      <c r="Q19" s="168" t="s">
        <v>130</v>
      </c>
      <c r="R19" s="168">
        <v>46108</v>
      </c>
      <c r="S19" s="161" t="s">
        <v>107</v>
      </c>
      <c r="T19" s="161"/>
      <c r="U19" s="161"/>
      <c r="V19" s="161"/>
      <c r="W19" s="161"/>
      <c r="X19" s="161"/>
      <c r="Y19" s="161"/>
      <c r="Z19" s="161"/>
      <c r="AA19" s="153"/>
      <c r="AB19" s="238" t="s">
        <v>132</v>
      </c>
      <c r="AC19" s="238" t="s">
        <v>133</v>
      </c>
      <c r="AD19" s="238" t="s">
        <v>134</v>
      </c>
      <c r="AE19" s="236" t="s">
        <v>12</v>
      </c>
      <c r="AF19" s="153" t="s">
        <v>4</v>
      </c>
      <c r="AG19" s="284" t="s">
        <v>99</v>
      </c>
      <c r="AH19" s="284" t="s">
        <v>99</v>
      </c>
      <c r="AI19" s="153" t="s">
        <v>23</v>
      </c>
      <c r="AJ19" s="238" t="s">
        <v>103</v>
      </c>
      <c r="AK19" s="153">
        <v>153849524</v>
      </c>
      <c r="AL19" s="153" t="s">
        <v>24</v>
      </c>
      <c r="AM19" s="153" t="s">
        <v>24</v>
      </c>
      <c r="AN19" s="153" t="s">
        <v>24</v>
      </c>
      <c r="AO19" s="153"/>
      <c r="AP19" s="153" t="s">
        <v>24</v>
      </c>
      <c r="AQ19" s="153" t="s">
        <v>24</v>
      </c>
      <c r="AR19" s="153" t="s">
        <v>24</v>
      </c>
      <c r="AS19" s="153" t="s">
        <v>24</v>
      </c>
      <c r="AT19" s="153" t="s">
        <v>24</v>
      </c>
      <c r="AU19" s="153" t="s">
        <v>24</v>
      </c>
      <c r="AV19" s="153" t="s">
        <v>24</v>
      </c>
      <c r="AW19" s="153" t="s">
        <v>24</v>
      </c>
      <c r="AX19" s="153"/>
      <c r="AY19" s="153"/>
      <c r="AZ19" s="161"/>
      <c r="BA19" s="162" t="s">
        <v>1</v>
      </c>
      <c r="BB19" s="164"/>
      <c r="BC19" s="163" t="str">
        <f t="shared" si="0"/>
        <v/>
      </c>
      <c r="BD19" s="153" t="str">
        <f t="shared" si="1"/>
        <v>AA</v>
      </c>
      <c r="BE19" s="153" t="str">
        <f t="shared" si="2"/>
        <v>NÃO</v>
      </c>
      <c r="BF19" s="153"/>
      <c r="BG19" s="153"/>
      <c r="BH19" s="153"/>
      <c r="BI19" s="153"/>
      <c r="BJ19" s="153"/>
      <c r="BK19" s="159"/>
      <c r="BL19" s="153"/>
      <c r="BM19" s="153"/>
    </row>
    <row r="20" spans="1:71" ht="30" customHeight="1" x14ac:dyDescent="0.25">
      <c r="A20" s="153"/>
      <c r="B20" s="153"/>
      <c r="C20" s="236"/>
      <c r="D20" s="237"/>
      <c r="E20" s="236"/>
      <c r="F20" s="238"/>
      <c r="G20" s="236"/>
      <c r="H20" s="236"/>
      <c r="I20" s="236"/>
      <c r="J20" s="238"/>
      <c r="K20" s="238"/>
      <c r="L20" s="238"/>
      <c r="M20" s="236"/>
      <c r="N20" s="236"/>
      <c r="O20" s="168"/>
      <c r="P20" s="236"/>
      <c r="Q20" s="168"/>
      <c r="R20" s="168"/>
      <c r="S20" s="159"/>
      <c r="T20" s="159"/>
      <c r="U20" s="159"/>
      <c r="V20" s="159"/>
      <c r="W20" s="159"/>
      <c r="X20" s="159"/>
      <c r="Y20" s="159"/>
      <c r="Z20" s="159"/>
      <c r="AA20" s="153"/>
      <c r="AB20" s="158"/>
      <c r="AC20" s="158"/>
      <c r="AD20" s="158"/>
      <c r="AE20" s="153"/>
      <c r="AF20" s="153"/>
      <c r="AG20" s="160"/>
      <c r="AH20" s="160"/>
      <c r="AI20" s="153"/>
      <c r="AJ20" s="153"/>
      <c r="AK20" s="153"/>
      <c r="AL20" s="153"/>
      <c r="AM20" s="153"/>
      <c r="AN20" s="153"/>
      <c r="AO20" s="153"/>
      <c r="AP20" s="158"/>
      <c r="AQ20" s="153"/>
      <c r="AR20" s="153"/>
      <c r="AS20" s="153"/>
      <c r="AT20" s="153"/>
      <c r="AU20" s="159"/>
      <c r="AV20" s="153"/>
      <c r="AW20" s="153"/>
      <c r="AX20" s="159"/>
      <c r="AY20" s="159"/>
      <c r="AZ20" s="159"/>
      <c r="BA20" s="153"/>
      <c r="BB20" s="164"/>
      <c r="BC20" s="163" t="str">
        <f t="shared" si="0"/>
        <v/>
      </c>
      <c r="BD20" s="153" t="str">
        <f t="shared" si="1"/>
        <v>INDENIZAÇÃO</v>
      </c>
      <c r="BE20" s="153" t="str">
        <f t="shared" si="2"/>
        <v>NÃO</v>
      </c>
      <c r="BF20" s="153"/>
      <c r="BG20" s="153"/>
      <c r="BH20" s="153"/>
      <c r="BI20" s="153"/>
      <c r="BJ20" s="153"/>
      <c r="BK20" s="159"/>
      <c r="BL20" s="153"/>
      <c r="BM20" s="153"/>
    </row>
    <row r="21" spans="1:71" ht="30" customHeight="1" x14ac:dyDescent="0.25">
      <c r="A21" s="153"/>
      <c r="B21" s="153"/>
      <c r="C21" s="236"/>
      <c r="D21" s="237"/>
      <c r="E21" s="236"/>
      <c r="F21" s="238"/>
      <c r="G21" s="236"/>
      <c r="H21" s="236"/>
      <c r="I21" s="236"/>
      <c r="J21" s="238"/>
      <c r="K21" s="238"/>
      <c r="L21" s="238"/>
      <c r="M21" s="236"/>
      <c r="N21" s="236"/>
      <c r="O21" s="168"/>
      <c r="P21" s="236"/>
      <c r="Q21" s="168"/>
      <c r="R21" s="168"/>
      <c r="S21" s="159"/>
      <c r="T21" s="159"/>
      <c r="U21" s="159"/>
      <c r="V21" s="159"/>
      <c r="W21" s="159"/>
      <c r="X21" s="159"/>
      <c r="Y21" s="159"/>
      <c r="Z21" s="159"/>
      <c r="AA21" s="153"/>
      <c r="AB21" s="158"/>
      <c r="AC21" s="158"/>
      <c r="AD21" s="158"/>
      <c r="AE21" s="153"/>
      <c r="AF21" s="153"/>
      <c r="AG21" s="160"/>
      <c r="AH21" s="160"/>
      <c r="AI21" s="153"/>
      <c r="AJ21" s="153"/>
      <c r="AK21" s="153"/>
      <c r="AL21" s="153"/>
      <c r="AM21" s="153"/>
      <c r="AN21" s="153"/>
      <c r="AO21" s="153"/>
      <c r="AP21" s="158"/>
      <c r="AQ21" s="153"/>
      <c r="AR21" s="153"/>
      <c r="AS21" s="153"/>
      <c r="AT21" s="153"/>
      <c r="AU21" s="159"/>
      <c r="AV21" s="153"/>
      <c r="AW21" s="153"/>
      <c r="AX21" s="159"/>
      <c r="AY21" s="159"/>
      <c r="AZ21" s="159"/>
      <c r="BA21" s="153"/>
      <c r="BB21" s="164"/>
      <c r="BC21" s="163" t="str">
        <f t="shared" si="0"/>
        <v/>
      </c>
      <c r="BD21" s="153" t="str">
        <f t="shared" si="1"/>
        <v>INDENIZAÇÃO</v>
      </c>
      <c r="BE21" s="153" t="str">
        <f t="shared" si="2"/>
        <v>NÃO</v>
      </c>
      <c r="BF21" s="153"/>
      <c r="BG21" s="153"/>
      <c r="BH21" s="153"/>
      <c r="BI21" s="153"/>
      <c r="BJ21" s="153"/>
      <c r="BK21" s="159"/>
      <c r="BL21" s="153"/>
      <c r="BM21" s="153"/>
    </row>
    <row r="22" spans="1:71" ht="30" customHeight="1" x14ac:dyDescent="0.25">
      <c r="A22" s="153"/>
      <c r="B22" s="153"/>
      <c r="C22" s="236"/>
      <c r="D22" s="237"/>
      <c r="E22" s="236"/>
      <c r="F22" s="238"/>
      <c r="G22" s="236"/>
      <c r="H22" s="236"/>
      <c r="I22" s="236"/>
      <c r="J22" s="238"/>
      <c r="K22" s="238"/>
      <c r="L22" s="238"/>
      <c r="M22" s="236"/>
      <c r="N22" s="236"/>
      <c r="O22" s="168"/>
      <c r="P22" s="236"/>
      <c r="Q22" s="168"/>
      <c r="R22" s="168"/>
      <c r="S22" s="159"/>
      <c r="T22" s="159"/>
      <c r="U22" s="159"/>
      <c r="V22" s="159"/>
      <c r="W22" s="159"/>
      <c r="X22" s="159"/>
      <c r="Y22" s="159"/>
      <c r="Z22" s="159"/>
      <c r="AA22" s="153"/>
      <c r="AB22" s="158"/>
      <c r="AC22" s="158"/>
      <c r="AD22" s="158"/>
      <c r="AE22" s="153"/>
      <c r="AF22" s="153"/>
      <c r="AG22" s="283"/>
      <c r="AH22" s="160"/>
      <c r="AI22" s="153"/>
      <c r="AJ22" s="153"/>
      <c r="AK22" s="153"/>
      <c r="AL22" s="153"/>
      <c r="AM22" s="153"/>
      <c r="AN22" s="153"/>
      <c r="AO22" s="153"/>
      <c r="AP22" s="158"/>
      <c r="AQ22" s="153"/>
      <c r="AR22" s="153"/>
      <c r="AS22" s="153"/>
      <c r="AT22" s="153"/>
      <c r="AU22" s="159"/>
      <c r="AV22" s="153"/>
      <c r="AW22" s="153"/>
      <c r="AX22" s="159"/>
      <c r="AY22" s="159"/>
      <c r="AZ22" s="159"/>
      <c r="BA22" s="153"/>
      <c r="BB22" s="164"/>
      <c r="BC22" s="163" t="str">
        <f t="shared" si="0"/>
        <v/>
      </c>
      <c r="BD22" s="153" t="str">
        <f t="shared" si="1"/>
        <v>INDENIZAÇÃO</v>
      </c>
      <c r="BE22" s="153" t="str">
        <f t="shared" si="2"/>
        <v>NÃO</v>
      </c>
      <c r="BF22" s="153"/>
      <c r="BG22" s="153"/>
      <c r="BH22" s="153"/>
      <c r="BI22" s="153"/>
      <c r="BJ22" s="153"/>
      <c r="BK22" s="159"/>
      <c r="BL22" s="153"/>
      <c r="BM22" s="153"/>
    </row>
    <row r="23" spans="1:71" ht="30" customHeight="1" x14ac:dyDescent="0.25">
      <c r="A23" s="153"/>
      <c r="B23" s="153"/>
      <c r="C23" s="236"/>
      <c r="D23" s="237"/>
      <c r="E23" s="236"/>
      <c r="F23" s="238"/>
      <c r="G23" s="236"/>
      <c r="H23" s="236"/>
      <c r="I23" s="236"/>
      <c r="J23" s="238"/>
      <c r="K23" s="238"/>
      <c r="L23" s="238"/>
      <c r="M23" s="236"/>
      <c r="N23" s="236"/>
      <c r="O23" s="168"/>
      <c r="P23" s="236"/>
      <c r="Q23" s="168"/>
      <c r="R23" s="168"/>
      <c r="S23" s="159"/>
      <c r="T23" s="159"/>
      <c r="U23" s="159"/>
      <c r="V23" s="159"/>
      <c r="W23" s="159"/>
      <c r="X23" s="159"/>
      <c r="Y23" s="159"/>
      <c r="Z23" s="159"/>
      <c r="AA23" s="153"/>
      <c r="AB23" s="158"/>
      <c r="AC23" s="158"/>
      <c r="AD23" s="158"/>
      <c r="AE23" s="153"/>
      <c r="AF23" s="153"/>
      <c r="AG23" s="160"/>
      <c r="AH23" s="160"/>
      <c r="AI23" s="153"/>
      <c r="AJ23" s="153"/>
      <c r="AK23" s="153"/>
      <c r="AL23" s="153"/>
      <c r="AM23" s="153"/>
      <c r="AN23" s="153"/>
      <c r="AO23" s="153"/>
      <c r="AP23" s="158"/>
      <c r="AQ23" s="153"/>
      <c r="AR23" s="153"/>
      <c r="AS23" s="153"/>
      <c r="AT23" s="153"/>
      <c r="AU23" s="159"/>
      <c r="AV23" s="153"/>
      <c r="AW23" s="153"/>
      <c r="AX23" s="159"/>
      <c r="AY23" s="159"/>
      <c r="AZ23" s="159"/>
      <c r="BA23" s="153"/>
      <c r="BB23" s="164"/>
      <c r="BC23" s="163" t="str">
        <f t="shared" si="0"/>
        <v/>
      </c>
      <c r="BD23" s="153" t="str">
        <f t="shared" si="1"/>
        <v>INDENIZAÇÃO</v>
      </c>
      <c r="BE23" s="153" t="str">
        <f t="shared" si="2"/>
        <v>NÃO</v>
      </c>
      <c r="BF23" s="153"/>
      <c r="BG23" s="153"/>
      <c r="BH23" s="153"/>
      <c r="BI23" s="153"/>
      <c r="BJ23" s="153"/>
      <c r="BK23" s="159"/>
      <c r="BL23" s="153"/>
      <c r="BM23" s="153"/>
    </row>
    <row r="24" spans="1:71" ht="30" customHeight="1" x14ac:dyDescent="0.25">
      <c r="A24" s="153"/>
      <c r="B24" s="153"/>
      <c r="C24" s="236"/>
      <c r="D24" s="237"/>
      <c r="E24" s="236"/>
      <c r="F24" s="238"/>
      <c r="G24" s="236"/>
      <c r="H24" s="236"/>
      <c r="I24" s="236"/>
      <c r="J24" s="238"/>
      <c r="K24" s="238"/>
      <c r="L24" s="238"/>
      <c r="M24" s="236"/>
      <c r="N24" s="236"/>
      <c r="O24" s="168"/>
      <c r="P24" s="236"/>
      <c r="Q24" s="168"/>
      <c r="R24" s="168"/>
      <c r="S24" s="159"/>
      <c r="T24" s="159"/>
      <c r="U24" s="159"/>
      <c r="V24" s="159"/>
      <c r="W24" s="159"/>
      <c r="X24" s="159"/>
      <c r="Y24" s="159"/>
      <c r="Z24" s="159"/>
      <c r="AA24" s="153"/>
      <c r="AB24" s="158"/>
      <c r="AC24" s="158"/>
      <c r="AD24" s="158"/>
      <c r="AE24" s="153"/>
      <c r="AF24" s="153"/>
      <c r="AG24" s="160"/>
      <c r="AH24" s="160"/>
      <c r="AI24" s="153"/>
      <c r="AJ24" s="153"/>
      <c r="AK24" s="153"/>
      <c r="AL24" s="153"/>
      <c r="AM24" s="153"/>
      <c r="AN24" s="153"/>
      <c r="AO24" s="153"/>
      <c r="AP24" s="158"/>
      <c r="AQ24" s="153"/>
      <c r="AR24" s="153"/>
      <c r="AS24" s="153"/>
      <c r="AT24" s="153"/>
      <c r="AU24" s="159"/>
      <c r="AV24" s="153"/>
      <c r="AW24" s="153"/>
      <c r="AX24" s="159"/>
      <c r="AY24" s="159"/>
      <c r="AZ24" s="159"/>
      <c r="BA24" s="153"/>
      <c r="BB24" s="164"/>
      <c r="BC24" s="163" t="str">
        <f t="shared" si="0"/>
        <v/>
      </c>
      <c r="BD24" s="153" t="str">
        <f t="shared" si="1"/>
        <v>INDENIZAÇÃO</v>
      </c>
      <c r="BE24" s="153" t="str">
        <f t="shared" si="2"/>
        <v>NÃO</v>
      </c>
      <c r="BF24" s="153"/>
      <c r="BG24" s="153"/>
      <c r="BH24" s="153"/>
      <c r="BI24" s="153"/>
      <c r="BJ24" s="153"/>
      <c r="BK24" s="159"/>
      <c r="BL24" s="153"/>
      <c r="BM24" s="153"/>
    </row>
    <row r="25" spans="1:71" ht="30" customHeight="1" x14ac:dyDescent="0.25">
      <c r="A25" s="153"/>
      <c r="B25" s="153"/>
      <c r="C25" s="236"/>
      <c r="D25" s="237"/>
      <c r="E25" s="236"/>
      <c r="F25" s="238"/>
      <c r="G25" s="236"/>
      <c r="H25" s="236"/>
      <c r="I25" s="236"/>
      <c r="J25" s="238"/>
      <c r="K25" s="238"/>
      <c r="L25" s="238"/>
      <c r="M25" s="236"/>
      <c r="N25" s="236"/>
      <c r="O25" s="168"/>
      <c r="P25" s="236"/>
      <c r="Q25" s="168"/>
      <c r="R25" s="168"/>
      <c r="S25" s="159"/>
      <c r="T25" s="159"/>
      <c r="U25" s="159"/>
      <c r="V25" s="159"/>
      <c r="W25" s="159"/>
      <c r="X25" s="159"/>
      <c r="Y25" s="159"/>
      <c r="Z25" s="159"/>
      <c r="AA25" s="153"/>
      <c r="AB25" s="158"/>
      <c r="AC25" s="158"/>
      <c r="AD25" s="158"/>
      <c r="AE25" s="153"/>
      <c r="AF25" s="153"/>
      <c r="AG25" s="160"/>
      <c r="AH25" s="160"/>
      <c r="AI25" s="153"/>
      <c r="AJ25" s="153"/>
      <c r="AK25" s="153"/>
      <c r="AL25" s="153"/>
      <c r="AM25" s="153"/>
      <c r="AN25" s="153"/>
      <c r="AO25" s="153"/>
      <c r="AP25" s="158"/>
      <c r="AQ25" s="153"/>
      <c r="AR25" s="153"/>
      <c r="AS25" s="153"/>
      <c r="AT25" s="153"/>
      <c r="AU25" s="159"/>
      <c r="AV25" s="153"/>
      <c r="AW25" s="153"/>
      <c r="AX25" s="159"/>
      <c r="AY25" s="159"/>
      <c r="AZ25" s="159"/>
      <c r="BA25" s="153"/>
      <c r="BB25" s="164"/>
      <c r="BC25" s="163" t="str">
        <f t="shared" si="0"/>
        <v/>
      </c>
      <c r="BD25" s="153" t="str">
        <f t="shared" si="1"/>
        <v>INDENIZAÇÃO</v>
      </c>
      <c r="BE25" s="153" t="str">
        <f t="shared" si="2"/>
        <v>NÃO</v>
      </c>
      <c r="BF25" s="153"/>
      <c r="BG25" s="153"/>
      <c r="BH25" s="153"/>
      <c r="BI25" s="153"/>
      <c r="BJ25" s="153"/>
      <c r="BK25" s="159"/>
      <c r="BL25" s="153"/>
      <c r="BM25" s="153"/>
    </row>
    <row r="26" spans="1:71" ht="30" customHeight="1" x14ac:dyDescent="0.25">
      <c r="A26" s="153"/>
      <c r="B26" s="153"/>
      <c r="C26" s="236"/>
      <c r="D26" s="237"/>
      <c r="E26" s="236"/>
      <c r="F26" s="238"/>
      <c r="G26" s="236"/>
      <c r="H26" s="236"/>
      <c r="I26" s="236"/>
      <c r="J26" s="238"/>
      <c r="K26" s="238"/>
      <c r="L26" s="238"/>
      <c r="M26" s="236"/>
      <c r="N26" s="236"/>
      <c r="O26" s="168"/>
      <c r="P26" s="236"/>
      <c r="Q26" s="168"/>
      <c r="R26" s="168"/>
      <c r="S26" s="159"/>
      <c r="T26" s="159"/>
      <c r="U26" s="159"/>
      <c r="V26" s="159"/>
      <c r="W26" s="159"/>
      <c r="X26" s="159"/>
      <c r="Y26" s="159"/>
      <c r="Z26" s="159"/>
      <c r="AA26" s="153"/>
      <c r="AB26" s="158"/>
      <c r="AC26" s="158"/>
      <c r="AD26" s="158"/>
      <c r="AE26" s="153"/>
      <c r="AF26" s="153"/>
      <c r="AG26" s="160"/>
      <c r="AH26" s="160"/>
      <c r="AI26" s="153"/>
      <c r="AJ26" s="153"/>
      <c r="AK26" s="153"/>
      <c r="AL26" s="153"/>
      <c r="AM26" s="153"/>
      <c r="AN26" s="153"/>
      <c r="AO26" s="153"/>
      <c r="AP26" s="158"/>
      <c r="AQ26" s="153"/>
      <c r="AR26" s="153"/>
      <c r="AS26" s="153"/>
      <c r="AT26" s="153"/>
      <c r="AU26" s="159"/>
      <c r="AV26" s="153"/>
      <c r="AW26" s="153"/>
      <c r="AX26" s="159"/>
      <c r="AY26" s="159"/>
      <c r="AZ26" s="159"/>
      <c r="BA26" s="153"/>
      <c r="BB26" s="164"/>
      <c r="BC26" s="163" t="str">
        <f t="shared" si="0"/>
        <v/>
      </c>
      <c r="BD26" s="153" t="str">
        <f t="shared" si="1"/>
        <v>INDENIZAÇÃO</v>
      </c>
      <c r="BE26" s="153" t="str">
        <f t="shared" si="2"/>
        <v>NÃO</v>
      </c>
      <c r="BF26" s="153"/>
      <c r="BG26" s="153"/>
      <c r="BH26" s="153"/>
      <c r="BI26" s="153"/>
      <c r="BJ26" s="153"/>
      <c r="BK26" s="159"/>
      <c r="BL26" s="153"/>
      <c r="BM26" s="153"/>
    </row>
    <row r="27" spans="1:71" ht="30" customHeight="1" x14ac:dyDescent="0.25">
      <c r="A27" s="153"/>
      <c r="B27" s="153"/>
      <c r="C27" s="236"/>
      <c r="D27" s="237"/>
      <c r="E27" s="236"/>
      <c r="F27" s="238"/>
      <c r="G27" s="236"/>
      <c r="H27" s="236"/>
      <c r="I27" s="236"/>
      <c r="J27" s="238"/>
      <c r="K27" s="238"/>
      <c r="L27" s="238"/>
      <c r="M27" s="236"/>
      <c r="N27" s="236"/>
      <c r="O27" s="168"/>
      <c r="P27" s="236"/>
      <c r="Q27" s="168"/>
      <c r="R27" s="168"/>
      <c r="S27" s="159"/>
      <c r="T27" s="159"/>
      <c r="U27" s="159"/>
      <c r="V27" s="159"/>
      <c r="W27" s="159"/>
      <c r="X27" s="159"/>
      <c r="Y27" s="159"/>
      <c r="Z27" s="159"/>
      <c r="AA27" s="153"/>
      <c r="AB27" s="158"/>
      <c r="AC27" s="158"/>
      <c r="AD27" s="158"/>
      <c r="AE27" s="153"/>
      <c r="AF27" s="153"/>
      <c r="AG27" s="160"/>
      <c r="AH27" s="160"/>
      <c r="AI27" s="153"/>
      <c r="AJ27" s="153"/>
      <c r="AK27" s="153"/>
      <c r="AL27" s="153"/>
      <c r="AM27" s="153"/>
      <c r="AN27" s="153"/>
      <c r="AO27" s="153"/>
      <c r="AP27" s="158"/>
      <c r="AQ27" s="153"/>
      <c r="AR27" s="153"/>
      <c r="AS27" s="153"/>
      <c r="AT27" s="153"/>
      <c r="AU27" s="159"/>
      <c r="AV27" s="153"/>
      <c r="AW27" s="153"/>
      <c r="AX27" s="159"/>
      <c r="AY27" s="159"/>
      <c r="AZ27" s="159"/>
      <c r="BA27" s="153"/>
      <c r="BB27" s="164"/>
      <c r="BC27" s="163" t="str">
        <f t="shared" si="0"/>
        <v/>
      </c>
      <c r="BD27" s="153" t="str">
        <f t="shared" si="1"/>
        <v>INDENIZAÇÃO</v>
      </c>
      <c r="BE27" s="153" t="str">
        <f t="shared" si="2"/>
        <v>NÃO</v>
      </c>
      <c r="BF27" s="153"/>
      <c r="BG27" s="153"/>
      <c r="BH27" s="153"/>
      <c r="BI27" s="153"/>
      <c r="BJ27" s="153"/>
      <c r="BK27" s="159"/>
      <c r="BL27" s="153"/>
      <c r="BM27" s="153"/>
    </row>
    <row r="28" spans="1:71" ht="30" customHeight="1" x14ac:dyDescent="0.25">
      <c r="A28" s="153"/>
      <c r="B28" s="153"/>
      <c r="C28" s="236"/>
      <c r="D28" s="237"/>
      <c r="E28" s="236"/>
      <c r="F28" s="238"/>
      <c r="G28" s="236"/>
      <c r="H28" s="236"/>
      <c r="I28" s="236"/>
      <c r="J28" s="238"/>
      <c r="K28" s="238"/>
      <c r="L28" s="238"/>
      <c r="M28" s="236"/>
      <c r="N28" s="236"/>
      <c r="O28" s="168"/>
      <c r="P28" s="236"/>
      <c r="Q28" s="168"/>
      <c r="R28" s="168"/>
      <c r="S28" s="159"/>
      <c r="T28" s="159"/>
      <c r="U28" s="159"/>
      <c r="V28" s="159"/>
      <c r="W28" s="159"/>
      <c r="X28" s="159"/>
      <c r="Y28" s="159"/>
      <c r="Z28" s="159"/>
      <c r="AA28" s="153"/>
      <c r="AB28" s="158"/>
      <c r="AC28" s="158"/>
      <c r="AD28" s="158"/>
      <c r="AE28" s="153"/>
      <c r="AF28" s="153"/>
      <c r="AG28" s="160"/>
      <c r="AH28" s="160"/>
      <c r="AI28" s="153"/>
      <c r="AJ28" s="153"/>
      <c r="AK28" s="153"/>
      <c r="AL28" s="153"/>
      <c r="AM28" s="153"/>
      <c r="AN28" s="153"/>
      <c r="AO28" s="153"/>
      <c r="AP28" s="158"/>
      <c r="AQ28" s="153"/>
      <c r="AR28" s="153"/>
      <c r="AS28" s="153"/>
      <c r="AT28" s="153"/>
      <c r="AU28" s="159"/>
      <c r="AV28" s="153"/>
      <c r="AW28" s="153"/>
      <c r="AX28" s="159"/>
      <c r="AY28" s="159"/>
      <c r="AZ28" s="159"/>
      <c r="BA28" s="153"/>
      <c r="BB28" s="164"/>
      <c r="BC28" s="163" t="str">
        <f t="shared" si="0"/>
        <v/>
      </c>
      <c r="BD28" s="153" t="str">
        <f t="shared" si="1"/>
        <v>INDENIZAÇÃO</v>
      </c>
      <c r="BE28" s="153" t="str">
        <f t="shared" si="2"/>
        <v>NÃO</v>
      </c>
      <c r="BF28" s="153"/>
      <c r="BG28" s="153"/>
      <c r="BH28" s="153"/>
      <c r="BI28" s="153"/>
      <c r="BJ28" s="153"/>
      <c r="BK28" s="159"/>
      <c r="BL28" s="153"/>
      <c r="BM28" s="153"/>
    </row>
    <row r="29" spans="1:71" ht="30" customHeight="1" x14ac:dyDescent="0.25">
      <c r="A29" s="153"/>
      <c r="B29" s="153"/>
      <c r="C29" s="236"/>
      <c r="D29" s="237"/>
      <c r="E29" s="236"/>
      <c r="F29" s="238"/>
      <c r="G29" s="236"/>
      <c r="H29" s="236"/>
      <c r="I29" s="236"/>
      <c r="J29" s="238"/>
      <c r="K29" s="238"/>
      <c r="L29" s="238"/>
      <c r="M29" s="236"/>
      <c r="N29" s="236"/>
      <c r="O29" s="168"/>
      <c r="P29" s="236"/>
      <c r="Q29" s="168"/>
      <c r="R29" s="168"/>
      <c r="S29" s="159"/>
      <c r="T29" s="159"/>
      <c r="U29" s="159"/>
      <c r="V29" s="159"/>
      <c r="W29" s="159"/>
      <c r="X29" s="159"/>
      <c r="Y29" s="159"/>
      <c r="Z29" s="159"/>
      <c r="AA29" s="153"/>
      <c r="AB29" s="158"/>
      <c r="AC29" s="158"/>
      <c r="AD29" s="158"/>
      <c r="AE29" s="153"/>
      <c r="AF29" s="153"/>
      <c r="AG29" s="160"/>
      <c r="AH29" s="160"/>
      <c r="AI29" s="153"/>
      <c r="AJ29" s="153"/>
      <c r="AK29" s="153"/>
      <c r="AL29" s="153"/>
      <c r="AM29" s="153"/>
      <c r="AN29" s="153"/>
      <c r="AO29" s="153"/>
      <c r="AP29" s="158"/>
      <c r="AQ29" s="153"/>
      <c r="AR29" s="153"/>
      <c r="AS29" s="153"/>
      <c r="AT29" s="153"/>
      <c r="AU29" s="159"/>
      <c r="AV29" s="153"/>
      <c r="AW29" s="153"/>
      <c r="AX29" s="159"/>
      <c r="AY29" s="159"/>
      <c r="AZ29" s="159"/>
      <c r="BA29" s="153"/>
      <c r="BB29" s="164"/>
      <c r="BC29" s="163" t="str">
        <f t="shared" si="0"/>
        <v/>
      </c>
      <c r="BD29" s="153" t="str">
        <f t="shared" si="1"/>
        <v>INDENIZAÇÃO</v>
      </c>
      <c r="BE29" s="153" t="str">
        <f t="shared" si="2"/>
        <v>NÃO</v>
      </c>
      <c r="BF29" s="153"/>
      <c r="BG29" s="153"/>
      <c r="BH29" s="153"/>
      <c r="BI29" s="153"/>
      <c r="BJ29" s="153"/>
      <c r="BK29" s="159"/>
      <c r="BL29" s="153"/>
      <c r="BM29" s="153"/>
    </row>
    <row r="30" spans="1:71" ht="30" customHeight="1" x14ac:dyDescent="0.25">
      <c r="A30" s="153"/>
      <c r="B30" s="153"/>
      <c r="C30" s="236"/>
      <c r="D30" s="237"/>
      <c r="E30" s="236"/>
      <c r="F30" s="238"/>
      <c r="G30" s="236"/>
      <c r="H30" s="236"/>
      <c r="I30" s="236"/>
      <c r="J30" s="238"/>
      <c r="K30" s="238"/>
      <c r="L30" s="238"/>
      <c r="M30" s="236"/>
      <c r="N30" s="236"/>
      <c r="O30" s="168"/>
      <c r="P30" s="236"/>
      <c r="Q30" s="168"/>
      <c r="R30" s="168"/>
      <c r="S30" s="159"/>
      <c r="T30" s="159"/>
      <c r="U30" s="159"/>
      <c r="V30" s="159"/>
      <c r="W30" s="159"/>
      <c r="X30" s="159"/>
      <c r="Y30" s="159"/>
      <c r="Z30" s="159"/>
      <c r="AA30" s="153"/>
      <c r="AB30" s="158"/>
      <c r="AC30" s="158"/>
      <c r="AD30" s="158"/>
      <c r="AE30" s="153"/>
      <c r="AF30" s="153"/>
      <c r="AG30" s="160"/>
      <c r="AH30" s="160"/>
      <c r="AI30" s="153"/>
      <c r="AJ30" s="153"/>
      <c r="AK30" s="153"/>
      <c r="AL30" s="153"/>
      <c r="AM30" s="153"/>
      <c r="AN30" s="153"/>
      <c r="AO30" s="153"/>
      <c r="AP30" s="158"/>
      <c r="AQ30" s="153"/>
      <c r="AR30" s="153"/>
      <c r="AS30" s="153"/>
      <c r="AT30" s="153"/>
      <c r="AU30" s="159"/>
      <c r="AV30" s="153"/>
      <c r="AW30" s="153"/>
      <c r="AX30" s="159"/>
      <c r="AY30" s="159"/>
      <c r="AZ30" s="159"/>
      <c r="BA30" s="153"/>
      <c r="BB30" s="164"/>
      <c r="BC30" s="163" t="str">
        <f t="shared" si="0"/>
        <v/>
      </c>
      <c r="BD30" s="153" t="str">
        <f t="shared" si="1"/>
        <v>INDENIZAÇÃO</v>
      </c>
      <c r="BE30" s="153" t="str">
        <f t="shared" si="2"/>
        <v>NÃO</v>
      </c>
      <c r="BF30" s="153"/>
      <c r="BG30" s="153"/>
      <c r="BH30" s="153"/>
      <c r="BI30" s="153"/>
      <c r="BJ30" s="153"/>
      <c r="BK30" s="159"/>
      <c r="BL30" s="153"/>
      <c r="BM30" s="153"/>
    </row>
    <row r="31" spans="1:71" ht="30" customHeight="1" x14ac:dyDescent="0.25">
      <c r="A31" s="153"/>
      <c r="B31" s="153"/>
      <c r="C31" s="236"/>
      <c r="D31" s="237"/>
      <c r="E31" s="236"/>
      <c r="F31" s="238"/>
      <c r="G31" s="236"/>
      <c r="H31" s="236"/>
      <c r="I31" s="236"/>
      <c r="J31" s="238"/>
      <c r="K31" s="238"/>
      <c r="L31" s="238"/>
      <c r="M31" s="236"/>
      <c r="N31" s="236"/>
      <c r="O31" s="168"/>
      <c r="P31" s="236"/>
      <c r="Q31" s="168"/>
      <c r="R31" s="168"/>
      <c r="S31" s="159"/>
      <c r="T31" s="159"/>
      <c r="U31" s="159"/>
      <c r="V31" s="159"/>
      <c r="W31" s="159"/>
      <c r="X31" s="159"/>
      <c r="Y31" s="159"/>
      <c r="Z31" s="159"/>
      <c r="AA31" s="153"/>
      <c r="AB31" s="158"/>
      <c r="AC31" s="158"/>
      <c r="AD31" s="158"/>
      <c r="AE31" s="153"/>
      <c r="AF31" s="153"/>
      <c r="AG31" s="160"/>
      <c r="AH31" s="160"/>
      <c r="AI31" s="153"/>
      <c r="AJ31" s="153"/>
      <c r="AK31" s="153"/>
      <c r="AL31" s="153"/>
      <c r="AM31" s="153"/>
      <c r="AN31" s="153"/>
      <c r="AO31" s="153"/>
      <c r="AP31" s="158"/>
      <c r="AQ31" s="153"/>
      <c r="AR31" s="153"/>
      <c r="AS31" s="153"/>
      <c r="AT31" s="153"/>
      <c r="AU31" s="159"/>
      <c r="AV31" s="153"/>
      <c r="AW31" s="153"/>
      <c r="AX31" s="159"/>
      <c r="AY31" s="159"/>
      <c r="AZ31" s="159"/>
      <c r="BA31" s="153"/>
      <c r="BB31" s="164"/>
      <c r="BC31" s="163" t="str">
        <f t="shared" si="0"/>
        <v/>
      </c>
      <c r="BD31" s="153" t="str">
        <f t="shared" si="1"/>
        <v>INDENIZAÇÃO</v>
      </c>
      <c r="BE31" s="153" t="str">
        <f t="shared" si="2"/>
        <v>NÃO</v>
      </c>
      <c r="BF31" s="153"/>
      <c r="BG31" s="153"/>
      <c r="BH31" s="153"/>
      <c r="BI31" s="153"/>
      <c r="BJ31" s="153"/>
      <c r="BK31" s="159"/>
      <c r="BL31" s="153"/>
      <c r="BM31" s="153"/>
    </row>
    <row r="32" spans="1:71" ht="30" customHeight="1" x14ac:dyDescent="0.25">
      <c r="A32" s="153"/>
      <c r="B32" s="153"/>
      <c r="C32" s="236"/>
      <c r="D32" s="237"/>
      <c r="E32" s="236"/>
      <c r="F32" s="238"/>
      <c r="G32" s="236"/>
      <c r="H32" s="236"/>
      <c r="I32" s="236"/>
      <c r="J32" s="238"/>
      <c r="K32" s="238"/>
      <c r="L32" s="238"/>
      <c r="M32" s="236"/>
      <c r="N32" s="236"/>
      <c r="O32" s="168"/>
      <c r="P32" s="236"/>
      <c r="Q32" s="168"/>
      <c r="R32" s="168"/>
      <c r="S32" s="159"/>
      <c r="T32" s="159"/>
      <c r="U32" s="159"/>
      <c r="V32" s="159"/>
      <c r="W32" s="159"/>
      <c r="X32" s="159"/>
      <c r="Y32" s="159"/>
      <c r="Z32" s="159"/>
      <c r="AA32" s="153"/>
      <c r="AB32" s="158"/>
      <c r="AC32" s="158"/>
      <c r="AD32" s="158"/>
      <c r="AE32" s="153"/>
      <c r="AF32" s="153"/>
      <c r="AG32" s="160"/>
      <c r="AH32" s="160"/>
      <c r="AI32" s="153"/>
      <c r="AJ32" s="153"/>
      <c r="AK32" s="153"/>
      <c r="AL32" s="153"/>
      <c r="AM32" s="153"/>
      <c r="AN32" s="153"/>
      <c r="AO32" s="153"/>
      <c r="AP32" s="158"/>
      <c r="AQ32" s="153"/>
      <c r="AR32" s="153"/>
      <c r="AS32" s="153"/>
      <c r="AT32" s="153"/>
      <c r="AU32" s="159"/>
      <c r="AV32" s="153"/>
      <c r="AW32" s="153"/>
      <c r="AX32" s="159"/>
      <c r="AY32" s="159"/>
      <c r="AZ32" s="159"/>
      <c r="BA32" s="153"/>
      <c r="BB32" s="164"/>
      <c r="BC32" s="163" t="str">
        <f t="shared" si="0"/>
        <v/>
      </c>
      <c r="BD32" s="153" t="str">
        <f t="shared" si="1"/>
        <v>INDENIZAÇÃO</v>
      </c>
      <c r="BE32" s="153" t="str">
        <f t="shared" si="2"/>
        <v>NÃO</v>
      </c>
      <c r="BF32" s="153"/>
      <c r="BG32" s="153"/>
      <c r="BH32" s="153"/>
      <c r="BI32" s="153"/>
      <c r="BJ32" s="153"/>
      <c r="BK32" s="159"/>
      <c r="BL32" s="153"/>
      <c r="BM32" s="153"/>
    </row>
    <row r="33" spans="1:65" ht="30" customHeight="1" x14ac:dyDescent="0.25">
      <c r="A33" s="153"/>
      <c r="B33" s="153"/>
      <c r="C33" s="236"/>
      <c r="D33" s="237"/>
      <c r="E33" s="236"/>
      <c r="F33" s="238"/>
      <c r="G33" s="236"/>
      <c r="H33" s="236"/>
      <c r="I33" s="236"/>
      <c r="J33" s="238"/>
      <c r="K33" s="238"/>
      <c r="L33" s="238"/>
      <c r="M33" s="236"/>
      <c r="N33" s="236"/>
      <c r="O33" s="168"/>
      <c r="P33" s="236"/>
      <c r="Q33" s="168"/>
      <c r="R33" s="168"/>
      <c r="S33" s="159"/>
      <c r="T33" s="159"/>
      <c r="U33" s="159"/>
      <c r="V33" s="159"/>
      <c r="W33" s="159"/>
      <c r="X33" s="159"/>
      <c r="Y33" s="159"/>
      <c r="Z33" s="159"/>
      <c r="AA33" s="153"/>
      <c r="AB33" s="158"/>
      <c r="AC33" s="158"/>
      <c r="AD33" s="158"/>
      <c r="AE33" s="153"/>
      <c r="AF33" s="153"/>
      <c r="AG33" s="160"/>
      <c r="AH33" s="160"/>
      <c r="AI33" s="153"/>
      <c r="AJ33" s="153"/>
      <c r="AK33" s="153"/>
      <c r="AL33" s="153"/>
      <c r="AM33" s="153"/>
      <c r="AN33" s="153"/>
      <c r="AO33" s="153"/>
      <c r="AP33" s="158"/>
      <c r="AQ33" s="153"/>
      <c r="AR33" s="153"/>
      <c r="AS33" s="153"/>
      <c r="AT33" s="153"/>
      <c r="AU33" s="159"/>
      <c r="AV33" s="153"/>
      <c r="AW33" s="153"/>
      <c r="AX33" s="159"/>
      <c r="AY33" s="159"/>
      <c r="AZ33" s="159"/>
      <c r="BA33" s="153"/>
      <c r="BB33" s="164"/>
      <c r="BC33" s="163" t="str">
        <f t="shared" si="0"/>
        <v/>
      </c>
      <c r="BD33" s="153" t="str">
        <f t="shared" si="1"/>
        <v>INDENIZAÇÃO</v>
      </c>
      <c r="BE33" s="153" t="str">
        <f t="shared" si="2"/>
        <v>NÃO</v>
      </c>
      <c r="BF33" s="153"/>
      <c r="BG33" s="153"/>
      <c r="BH33" s="153"/>
      <c r="BI33" s="153"/>
      <c r="BJ33" s="153"/>
      <c r="BK33" s="159"/>
      <c r="BL33" s="153"/>
      <c r="BM33" s="153"/>
    </row>
    <row r="34" spans="1:65" ht="30" customHeight="1" x14ac:dyDescent="0.25">
      <c r="A34" s="153"/>
      <c r="B34" s="153"/>
      <c r="C34" s="236"/>
      <c r="D34" s="237"/>
      <c r="E34" s="236"/>
      <c r="F34" s="238"/>
      <c r="G34" s="236"/>
      <c r="H34" s="236"/>
      <c r="I34" s="236"/>
      <c r="J34" s="238"/>
      <c r="K34" s="238"/>
      <c r="L34" s="238"/>
      <c r="M34" s="236"/>
      <c r="N34" s="236"/>
      <c r="O34" s="168"/>
      <c r="P34" s="236"/>
      <c r="Q34" s="168"/>
      <c r="R34" s="168"/>
      <c r="S34" s="159"/>
      <c r="T34" s="159"/>
      <c r="U34" s="159"/>
      <c r="V34" s="159"/>
      <c r="W34" s="159"/>
      <c r="X34" s="159"/>
      <c r="Y34" s="159"/>
      <c r="Z34" s="159"/>
      <c r="AA34" s="153"/>
      <c r="AB34" s="158"/>
      <c r="AC34" s="158"/>
      <c r="AD34" s="158"/>
      <c r="AE34" s="153"/>
      <c r="AF34" s="153"/>
      <c r="AG34" s="160"/>
      <c r="AH34" s="160"/>
      <c r="AI34" s="153"/>
      <c r="AJ34" s="153"/>
      <c r="AK34" s="153"/>
      <c r="AL34" s="153"/>
      <c r="AM34" s="153"/>
      <c r="AN34" s="153"/>
      <c r="AO34" s="153"/>
      <c r="AP34" s="158"/>
      <c r="AQ34" s="153"/>
      <c r="AR34" s="153"/>
      <c r="AS34" s="153"/>
      <c r="AT34" s="153"/>
      <c r="AU34" s="159"/>
      <c r="AV34" s="153"/>
      <c r="AW34" s="153"/>
      <c r="AX34" s="159"/>
      <c r="AY34" s="159"/>
      <c r="AZ34" s="159"/>
      <c r="BA34" s="153"/>
      <c r="BB34" s="164"/>
      <c r="BC34" s="163" t="str">
        <f t="shared" si="0"/>
        <v/>
      </c>
      <c r="BD34" s="153" t="str">
        <f t="shared" si="1"/>
        <v>INDENIZAÇÃO</v>
      </c>
      <c r="BE34" s="153" t="str">
        <f t="shared" si="2"/>
        <v>NÃO</v>
      </c>
      <c r="BF34" s="153"/>
      <c r="BG34" s="153"/>
      <c r="BH34" s="153"/>
      <c r="BI34" s="153"/>
      <c r="BJ34" s="153"/>
      <c r="BK34" s="159"/>
      <c r="BL34" s="153"/>
      <c r="BM34" s="153"/>
    </row>
    <row r="35" spans="1:65" ht="30" customHeight="1" x14ac:dyDescent="0.25">
      <c r="A35" s="153"/>
      <c r="B35" s="153"/>
      <c r="C35" s="236"/>
      <c r="D35" s="237"/>
      <c r="E35" s="236"/>
      <c r="F35" s="238"/>
      <c r="G35" s="236"/>
      <c r="H35" s="236"/>
      <c r="I35" s="236"/>
      <c r="J35" s="238"/>
      <c r="K35" s="238"/>
      <c r="L35" s="238"/>
      <c r="M35" s="236"/>
      <c r="N35" s="236"/>
      <c r="O35" s="168"/>
      <c r="P35" s="236"/>
      <c r="Q35" s="168"/>
      <c r="R35" s="168"/>
      <c r="S35" s="159"/>
      <c r="T35" s="159"/>
      <c r="U35" s="159"/>
      <c r="V35" s="159"/>
      <c r="W35" s="159"/>
      <c r="X35" s="159"/>
      <c r="Y35" s="159"/>
      <c r="Z35" s="159"/>
      <c r="AA35" s="153"/>
      <c r="AB35" s="158"/>
      <c r="AC35" s="158"/>
      <c r="AD35" s="158"/>
      <c r="AE35" s="153"/>
      <c r="AF35" s="153"/>
      <c r="AG35" s="160"/>
      <c r="AH35" s="160"/>
      <c r="AI35" s="153"/>
      <c r="AJ35" s="153"/>
      <c r="AK35" s="153"/>
      <c r="AL35" s="153"/>
      <c r="AM35" s="153"/>
      <c r="AN35" s="153"/>
      <c r="AO35" s="153"/>
      <c r="AP35" s="158"/>
      <c r="AQ35" s="153"/>
      <c r="AR35" s="153"/>
      <c r="AS35" s="153"/>
      <c r="AT35" s="153"/>
      <c r="AU35" s="159"/>
      <c r="AV35" s="153"/>
      <c r="AW35" s="153"/>
      <c r="AX35" s="159"/>
      <c r="AY35" s="159"/>
      <c r="AZ35" s="159"/>
      <c r="BA35" s="153"/>
      <c r="BB35" s="164"/>
      <c r="BC35" s="163" t="str">
        <f t="shared" si="0"/>
        <v/>
      </c>
      <c r="BD35" s="153" t="str">
        <f t="shared" si="1"/>
        <v>INDENIZAÇÃO</v>
      </c>
      <c r="BE35" s="153" t="str">
        <f t="shared" si="2"/>
        <v>NÃO</v>
      </c>
      <c r="BF35" s="153"/>
      <c r="BG35" s="153"/>
      <c r="BH35" s="153"/>
      <c r="BI35" s="153"/>
      <c r="BJ35" s="153"/>
      <c r="BK35" s="159"/>
      <c r="BL35" s="153"/>
      <c r="BM35" s="153"/>
    </row>
    <row r="36" spans="1:65" ht="30" customHeight="1" x14ac:dyDescent="0.25">
      <c r="A36" s="153"/>
      <c r="B36" s="153"/>
      <c r="C36" s="236"/>
      <c r="D36" s="237"/>
      <c r="E36" s="236"/>
      <c r="F36" s="238"/>
      <c r="G36" s="236"/>
      <c r="H36" s="236"/>
      <c r="I36" s="236"/>
      <c r="J36" s="238"/>
      <c r="K36" s="238"/>
      <c r="L36" s="238"/>
      <c r="M36" s="236"/>
      <c r="N36" s="236"/>
      <c r="O36" s="168"/>
      <c r="P36" s="236"/>
      <c r="Q36" s="168"/>
      <c r="R36" s="168"/>
      <c r="S36" s="159"/>
      <c r="T36" s="159"/>
      <c r="U36" s="159"/>
      <c r="V36" s="159"/>
      <c r="W36" s="159"/>
      <c r="X36" s="159"/>
      <c r="Y36" s="159"/>
      <c r="Z36" s="159"/>
      <c r="AA36" s="153"/>
      <c r="AB36" s="158"/>
      <c r="AC36" s="158"/>
      <c r="AD36" s="158"/>
      <c r="AE36" s="153"/>
      <c r="AF36" s="153"/>
      <c r="AG36" s="160"/>
      <c r="AH36" s="160"/>
      <c r="AI36" s="153"/>
      <c r="AJ36" s="153"/>
      <c r="AK36" s="153"/>
      <c r="AL36" s="153"/>
      <c r="AM36" s="153"/>
      <c r="AN36" s="153"/>
      <c r="AO36" s="153"/>
      <c r="AP36" s="158"/>
      <c r="AQ36" s="153"/>
      <c r="AR36" s="153"/>
      <c r="AS36" s="153"/>
      <c r="AT36" s="153"/>
      <c r="AU36" s="159"/>
      <c r="AV36" s="153"/>
      <c r="AW36" s="153"/>
      <c r="AX36" s="159"/>
      <c r="AY36" s="159"/>
      <c r="AZ36" s="159"/>
      <c r="BA36" s="153"/>
      <c r="BB36" s="164"/>
      <c r="BC36" s="163" t="str">
        <f t="shared" si="0"/>
        <v/>
      </c>
      <c r="BD36" s="153" t="str">
        <f t="shared" si="1"/>
        <v>INDENIZAÇÃO</v>
      </c>
      <c r="BE36" s="153" t="str">
        <f t="shared" si="2"/>
        <v>NÃO</v>
      </c>
      <c r="BF36" s="153"/>
      <c r="BG36" s="153"/>
      <c r="BH36" s="153"/>
      <c r="BI36" s="153"/>
      <c r="BJ36" s="153"/>
      <c r="BK36" s="159"/>
      <c r="BL36" s="153"/>
      <c r="BM36" s="153"/>
    </row>
    <row r="37" spans="1:65" ht="30" customHeight="1" x14ac:dyDescent="0.25">
      <c r="A37" s="153"/>
      <c r="B37" s="153"/>
      <c r="C37" s="236"/>
      <c r="D37" s="237"/>
      <c r="E37" s="236"/>
      <c r="F37" s="238"/>
      <c r="G37" s="236"/>
      <c r="H37" s="236"/>
      <c r="I37" s="236"/>
      <c r="J37" s="238"/>
      <c r="K37" s="238"/>
      <c r="L37" s="238"/>
      <c r="M37" s="236"/>
      <c r="N37" s="236"/>
      <c r="O37" s="168"/>
      <c r="P37" s="168"/>
      <c r="Q37" s="168"/>
      <c r="R37" s="168"/>
      <c r="S37" s="159"/>
      <c r="T37" s="159"/>
      <c r="U37" s="159"/>
      <c r="V37" s="159"/>
      <c r="W37" s="159"/>
      <c r="X37" s="159"/>
      <c r="Y37" s="159"/>
      <c r="Z37" s="159"/>
      <c r="AA37" s="153"/>
      <c r="AB37" s="158"/>
      <c r="AC37" s="158"/>
      <c r="AD37" s="158"/>
      <c r="AE37" s="153"/>
      <c r="AF37" s="153"/>
      <c r="AG37" s="160"/>
      <c r="AH37" s="160"/>
      <c r="AI37" s="153"/>
      <c r="AJ37" s="153"/>
      <c r="AK37" s="153"/>
      <c r="AL37" s="153"/>
      <c r="AM37" s="153"/>
      <c r="AN37" s="153"/>
      <c r="AO37" s="153"/>
      <c r="AP37" s="158"/>
      <c r="AQ37" s="153"/>
      <c r="AR37" s="153"/>
      <c r="AS37" s="153"/>
      <c r="AT37" s="153"/>
      <c r="AU37" s="159"/>
      <c r="AV37" s="153"/>
      <c r="AW37" s="153"/>
      <c r="AX37" s="159"/>
      <c r="AY37" s="159"/>
      <c r="AZ37" s="159"/>
      <c r="BA37" s="153"/>
      <c r="BB37" s="164"/>
      <c r="BC37" s="163" t="str">
        <f t="shared" si="0"/>
        <v/>
      </c>
      <c r="BD37" s="153" t="str">
        <f t="shared" si="1"/>
        <v>INDENIZAÇÃO</v>
      </c>
      <c r="BE37" s="153" t="str">
        <f t="shared" si="2"/>
        <v>NÃO</v>
      </c>
      <c r="BF37" s="153"/>
      <c r="BG37" s="153"/>
      <c r="BH37" s="153"/>
      <c r="BI37" s="153"/>
      <c r="BJ37" s="153"/>
      <c r="BK37" s="159"/>
      <c r="BL37" s="153"/>
      <c r="BM37" s="153"/>
    </row>
    <row r="38" spans="1:65" ht="30" customHeight="1" x14ac:dyDescent="0.25">
      <c r="A38" s="153"/>
      <c r="B38" s="153"/>
      <c r="C38" s="236"/>
      <c r="D38" s="237"/>
      <c r="E38" s="236"/>
      <c r="F38" s="238"/>
      <c r="G38" s="236"/>
      <c r="H38" s="236"/>
      <c r="I38" s="236"/>
      <c r="J38" s="238"/>
      <c r="K38" s="238"/>
      <c r="L38" s="238"/>
      <c r="M38" s="236"/>
      <c r="N38" s="236"/>
      <c r="O38" s="168"/>
      <c r="P38" s="168"/>
      <c r="Q38" s="168"/>
      <c r="R38" s="168"/>
      <c r="S38" s="159"/>
      <c r="T38" s="159"/>
      <c r="U38" s="159"/>
      <c r="V38" s="159"/>
      <c r="W38" s="159"/>
      <c r="X38" s="159"/>
      <c r="Y38" s="159"/>
      <c r="Z38" s="159"/>
      <c r="AA38" s="153"/>
      <c r="AB38" s="158"/>
      <c r="AC38" s="158"/>
      <c r="AD38" s="158"/>
      <c r="AE38" s="153"/>
      <c r="AF38" s="153"/>
      <c r="AG38" s="160"/>
      <c r="AH38" s="160"/>
      <c r="AI38" s="153"/>
      <c r="AJ38" s="153"/>
      <c r="AK38" s="153"/>
      <c r="AL38" s="153"/>
      <c r="AM38" s="153"/>
      <c r="AN38" s="153"/>
      <c r="AO38" s="153"/>
      <c r="AP38" s="158"/>
      <c r="AQ38" s="153"/>
      <c r="AR38" s="153"/>
      <c r="AS38" s="153"/>
      <c r="AT38" s="153"/>
      <c r="AU38" s="159"/>
      <c r="AV38" s="153"/>
      <c r="AW38" s="153"/>
      <c r="AX38" s="159"/>
      <c r="AY38" s="159"/>
      <c r="AZ38" s="159"/>
      <c r="BA38" s="153"/>
      <c r="BB38" s="164"/>
      <c r="BC38" s="163" t="str">
        <f t="shared" si="0"/>
        <v/>
      </c>
      <c r="BD38" s="153" t="str">
        <f t="shared" si="1"/>
        <v>INDENIZAÇÃO</v>
      </c>
      <c r="BE38" s="153" t="str">
        <f t="shared" si="2"/>
        <v>NÃO</v>
      </c>
      <c r="BF38" s="153"/>
      <c r="BG38" s="153"/>
      <c r="BH38" s="153"/>
      <c r="BI38" s="153"/>
      <c r="BJ38" s="153"/>
      <c r="BK38" s="159"/>
      <c r="BL38" s="153"/>
      <c r="BM38" s="153"/>
    </row>
    <row r="39" spans="1:65" ht="30" customHeight="1" x14ac:dyDescent="0.25">
      <c r="A39" s="205"/>
      <c r="B39" s="205"/>
      <c r="C39" s="275"/>
      <c r="D39" s="281"/>
      <c r="E39" s="275"/>
      <c r="F39" s="276"/>
      <c r="G39" s="275"/>
      <c r="H39" s="275"/>
      <c r="I39" s="275"/>
      <c r="J39" s="276"/>
      <c r="K39" s="276"/>
      <c r="L39" s="276"/>
      <c r="M39" s="275"/>
      <c r="N39" s="275"/>
      <c r="O39" s="277"/>
      <c r="P39" s="277"/>
      <c r="Q39" s="277"/>
      <c r="R39" s="277"/>
      <c r="S39" s="278"/>
      <c r="T39" s="278"/>
      <c r="U39" s="278"/>
      <c r="V39" s="278"/>
      <c r="W39" s="278"/>
      <c r="X39" s="278"/>
      <c r="Y39" s="278"/>
      <c r="Z39" s="278"/>
      <c r="AA39" s="205"/>
      <c r="AB39" s="178"/>
      <c r="AC39" s="178"/>
      <c r="AD39" s="178"/>
      <c r="AE39" s="205"/>
      <c r="AF39" s="205"/>
      <c r="AG39" s="274"/>
      <c r="AH39" s="274"/>
      <c r="AI39" s="205"/>
      <c r="AJ39" s="205"/>
      <c r="AK39" s="205"/>
      <c r="AL39" s="205"/>
      <c r="AM39" s="205"/>
      <c r="AN39" s="205"/>
      <c r="AO39" s="205"/>
      <c r="AP39" s="178"/>
      <c r="AQ39" s="205"/>
      <c r="AR39" s="205"/>
      <c r="AS39" s="205"/>
      <c r="AT39" s="205"/>
      <c r="AU39" s="278"/>
      <c r="AV39" s="205"/>
      <c r="AW39" s="205"/>
      <c r="AX39" s="278"/>
      <c r="AY39" s="278"/>
      <c r="AZ39" s="278"/>
      <c r="BA39" s="205"/>
      <c r="BB39" s="279"/>
      <c r="BC39" s="280" t="str">
        <f t="shared" si="0"/>
        <v/>
      </c>
      <c r="BD39" s="205" t="str">
        <f t="shared" si="1"/>
        <v>INDENIZAÇÃO</v>
      </c>
      <c r="BE39" s="205" t="str">
        <f t="shared" si="2"/>
        <v>NÃO</v>
      </c>
      <c r="BF39" s="205"/>
      <c r="BG39" s="205"/>
      <c r="BH39" s="205"/>
      <c r="BI39" s="205"/>
      <c r="BJ39" s="205"/>
      <c r="BK39" s="278"/>
      <c r="BL39" s="205"/>
      <c r="BM39" s="205"/>
    </row>
    <row r="40" spans="1:65" ht="30" customHeight="1" x14ac:dyDescent="0.25">
      <c r="A40" s="153"/>
      <c r="B40" s="153"/>
      <c r="C40" s="236"/>
      <c r="D40" s="237"/>
      <c r="E40" s="236"/>
      <c r="F40" s="238"/>
      <c r="G40" s="236"/>
      <c r="H40" s="236"/>
      <c r="I40" s="236"/>
      <c r="J40" s="238"/>
      <c r="K40" s="238"/>
      <c r="L40" s="238"/>
      <c r="M40" s="236"/>
      <c r="N40" s="236"/>
      <c r="O40" s="168"/>
      <c r="P40" s="168"/>
      <c r="Q40" s="168"/>
      <c r="R40" s="168"/>
      <c r="S40" s="159"/>
      <c r="T40" s="159"/>
      <c r="U40" s="159"/>
      <c r="V40" s="159"/>
      <c r="W40" s="159"/>
      <c r="X40" s="159"/>
      <c r="Y40" s="159"/>
      <c r="Z40" s="159"/>
      <c r="AA40" s="153"/>
      <c r="AB40" s="158"/>
      <c r="AC40" s="158"/>
      <c r="AD40" s="158"/>
      <c r="AE40" s="153"/>
      <c r="AF40" s="153"/>
      <c r="AG40" s="160"/>
      <c r="AH40" s="160"/>
      <c r="AI40" s="153"/>
      <c r="AJ40" s="153"/>
      <c r="AK40" s="153"/>
      <c r="AL40" s="153"/>
      <c r="AM40" s="153"/>
      <c r="AN40" s="153"/>
      <c r="AO40" s="153"/>
      <c r="AP40" s="158"/>
      <c r="AQ40" s="153"/>
      <c r="AR40" s="153"/>
      <c r="AS40" s="153"/>
      <c r="AT40" s="153"/>
      <c r="AU40" s="159"/>
      <c r="AV40" s="153"/>
      <c r="AW40" s="153"/>
      <c r="AX40" s="159"/>
      <c r="AY40" s="159"/>
      <c r="AZ40" s="159"/>
      <c r="BA40" s="153"/>
      <c r="BB40" s="164"/>
      <c r="BC40" s="163" t="str">
        <f t="shared" si="0"/>
        <v/>
      </c>
      <c r="BD40" s="153" t="str">
        <f t="shared" si="1"/>
        <v>INDENIZAÇÃO</v>
      </c>
      <c r="BE40" s="153" t="str">
        <f t="shared" si="2"/>
        <v>NÃO</v>
      </c>
      <c r="BF40" s="153"/>
      <c r="BG40" s="153"/>
      <c r="BH40" s="153"/>
      <c r="BI40" s="153"/>
      <c r="BJ40" s="153"/>
      <c r="BK40" s="159"/>
      <c r="BL40" s="153"/>
      <c r="BM40" s="153"/>
    </row>
    <row r="41" spans="1:65" ht="30" customHeight="1" x14ac:dyDescent="0.25">
      <c r="A41" s="153"/>
      <c r="B41" s="153"/>
      <c r="C41" s="236"/>
      <c r="D41" s="237"/>
      <c r="E41" s="236"/>
      <c r="F41" s="238"/>
      <c r="G41" s="236"/>
      <c r="H41" s="236"/>
      <c r="I41" s="236"/>
      <c r="J41" s="238"/>
      <c r="K41" s="238"/>
      <c r="L41" s="238"/>
      <c r="M41" s="236"/>
      <c r="N41" s="236"/>
      <c r="O41" s="168"/>
      <c r="P41" s="168"/>
      <c r="Q41" s="168"/>
      <c r="R41" s="168"/>
      <c r="S41" s="159"/>
      <c r="T41" s="159"/>
      <c r="U41" s="159"/>
      <c r="V41" s="159"/>
      <c r="W41" s="159"/>
      <c r="X41" s="159"/>
      <c r="Y41" s="159"/>
      <c r="Z41" s="159"/>
      <c r="AA41" s="153"/>
      <c r="AB41" s="158"/>
      <c r="AC41" s="158"/>
      <c r="AD41" s="158"/>
      <c r="AE41" s="153"/>
      <c r="AF41" s="153"/>
      <c r="AG41" s="160"/>
      <c r="AH41" s="160"/>
      <c r="AI41" s="153"/>
      <c r="AJ41" s="153"/>
      <c r="AK41" s="153"/>
      <c r="AL41" s="153"/>
      <c r="AM41" s="153"/>
      <c r="AN41" s="153"/>
      <c r="AO41" s="153"/>
      <c r="AP41" s="158"/>
      <c r="AQ41" s="153"/>
      <c r="AR41" s="153"/>
      <c r="AS41" s="153"/>
      <c r="AT41" s="153"/>
      <c r="AU41" s="159"/>
      <c r="AV41" s="153"/>
      <c r="AW41" s="153"/>
      <c r="AX41" s="159"/>
      <c r="AY41" s="159"/>
      <c r="AZ41" s="159"/>
      <c r="BA41" s="153"/>
      <c r="BB41" s="164"/>
      <c r="BC41" s="163" t="str">
        <f t="shared" si="0"/>
        <v/>
      </c>
      <c r="BD41" s="153" t="str">
        <f t="shared" si="1"/>
        <v>INDENIZAÇÃO</v>
      </c>
      <c r="BE41" s="153" t="str">
        <f t="shared" si="2"/>
        <v>NÃO</v>
      </c>
      <c r="BF41" s="153"/>
      <c r="BG41" s="153"/>
      <c r="BH41" s="153"/>
      <c r="BI41" s="153"/>
      <c r="BJ41" s="153"/>
      <c r="BK41" s="159"/>
      <c r="BL41" s="153"/>
      <c r="BM41" s="153"/>
    </row>
    <row r="42" spans="1:65" ht="30" customHeight="1" x14ac:dyDescent="0.25">
      <c r="A42" s="153"/>
      <c r="B42" s="153"/>
      <c r="C42" s="236"/>
      <c r="D42" s="237"/>
      <c r="E42" s="236"/>
      <c r="F42" s="238"/>
      <c r="G42" s="236"/>
      <c r="H42" s="236"/>
      <c r="I42" s="236"/>
      <c r="J42" s="238"/>
      <c r="K42" s="238"/>
      <c r="L42" s="238"/>
      <c r="M42" s="236"/>
      <c r="N42" s="236"/>
      <c r="O42" s="168"/>
      <c r="P42" s="168"/>
      <c r="Q42" s="168"/>
      <c r="R42" s="168"/>
      <c r="S42" s="159"/>
      <c r="T42" s="159"/>
      <c r="U42" s="159"/>
      <c r="V42" s="159"/>
      <c r="W42" s="159"/>
      <c r="X42" s="159"/>
      <c r="Y42" s="159"/>
      <c r="Z42" s="159"/>
      <c r="AA42" s="153"/>
      <c r="AB42" s="158"/>
      <c r="AC42" s="158"/>
      <c r="AD42" s="158"/>
      <c r="AE42" s="153"/>
      <c r="AF42" s="153"/>
      <c r="AG42" s="160"/>
      <c r="AH42" s="160"/>
      <c r="AI42" s="153"/>
      <c r="AJ42" s="153"/>
      <c r="AK42" s="153"/>
      <c r="AL42" s="153"/>
      <c r="AM42" s="153"/>
      <c r="AN42" s="153"/>
      <c r="AO42" s="153"/>
      <c r="AP42" s="158"/>
      <c r="AQ42" s="153"/>
      <c r="AR42" s="153"/>
      <c r="AS42" s="153"/>
      <c r="AT42" s="153"/>
      <c r="AU42" s="159"/>
      <c r="AV42" s="153"/>
      <c r="AW42" s="153"/>
      <c r="AX42" s="159"/>
      <c r="AY42" s="159"/>
      <c r="AZ42" s="159"/>
      <c r="BA42" s="153"/>
      <c r="BB42" s="164"/>
      <c r="BC42" s="163" t="str">
        <f t="shared" si="0"/>
        <v/>
      </c>
      <c r="BD42" s="153" t="str">
        <f t="shared" si="1"/>
        <v>INDENIZAÇÃO</v>
      </c>
      <c r="BE42" s="153" t="str">
        <f t="shared" si="2"/>
        <v>NÃO</v>
      </c>
      <c r="BF42" s="153"/>
      <c r="BG42" s="153"/>
      <c r="BH42" s="153"/>
      <c r="BI42" s="153"/>
      <c r="BJ42" s="153"/>
      <c r="BK42" s="159"/>
      <c r="BL42" s="153"/>
      <c r="BM42" s="153"/>
    </row>
    <row r="43" spans="1:65" ht="30" customHeight="1" x14ac:dyDescent="0.25">
      <c r="A43" s="153"/>
      <c r="B43" s="153"/>
      <c r="C43" s="236"/>
      <c r="D43" s="237"/>
      <c r="E43" s="236"/>
      <c r="F43" s="238"/>
      <c r="G43" s="236"/>
      <c r="H43" s="236"/>
      <c r="I43" s="236"/>
      <c r="J43" s="238"/>
      <c r="K43" s="238"/>
      <c r="L43" s="238"/>
      <c r="M43" s="236"/>
      <c r="N43" s="236"/>
      <c r="O43" s="168"/>
      <c r="P43" s="168"/>
      <c r="Q43" s="168"/>
      <c r="R43" s="168"/>
      <c r="S43" s="159"/>
      <c r="T43" s="159"/>
      <c r="U43" s="159"/>
      <c r="V43" s="159"/>
      <c r="W43" s="159"/>
      <c r="X43" s="159"/>
      <c r="Y43" s="159"/>
      <c r="Z43" s="159"/>
      <c r="AA43" s="153"/>
      <c r="AB43" s="158"/>
      <c r="AC43" s="158"/>
      <c r="AD43" s="158"/>
      <c r="AE43" s="153"/>
      <c r="AF43" s="153"/>
      <c r="AG43" s="160"/>
      <c r="AH43" s="160"/>
      <c r="AI43" s="153"/>
      <c r="AJ43" s="153"/>
      <c r="AK43" s="153"/>
      <c r="AL43" s="153"/>
      <c r="AM43" s="153"/>
      <c r="AN43" s="153"/>
      <c r="AO43" s="153"/>
      <c r="AP43" s="158"/>
      <c r="AQ43" s="153"/>
      <c r="AR43" s="153"/>
      <c r="AS43" s="153"/>
      <c r="AT43" s="153"/>
      <c r="AU43" s="159"/>
      <c r="AV43" s="153"/>
      <c r="AW43" s="153"/>
      <c r="AX43" s="159"/>
      <c r="AY43" s="159"/>
      <c r="AZ43" s="159"/>
      <c r="BA43" s="153"/>
      <c r="BB43" s="164"/>
      <c r="BC43" s="163" t="str">
        <f t="shared" si="0"/>
        <v/>
      </c>
      <c r="BD43" s="153" t="str">
        <f t="shared" si="1"/>
        <v>INDENIZAÇÃO</v>
      </c>
      <c r="BE43" s="153" t="str">
        <f t="shared" si="2"/>
        <v>NÃO</v>
      </c>
      <c r="BF43" s="153"/>
      <c r="BG43" s="153"/>
      <c r="BH43" s="153"/>
      <c r="BI43" s="153"/>
      <c r="BJ43" s="153"/>
      <c r="BK43" s="159"/>
      <c r="BL43" s="153"/>
      <c r="BM43" s="153"/>
    </row>
    <row r="44" spans="1:65" ht="30" customHeight="1" x14ac:dyDescent="0.25">
      <c r="A44" s="153"/>
      <c r="B44" s="153"/>
      <c r="C44" s="236"/>
      <c r="D44" s="237"/>
      <c r="E44" s="236"/>
      <c r="F44" s="238"/>
      <c r="G44" s="236"/>
      <c r="H44" s="236"/>
      <c r="I44" s="236"/>
      <c r="J44" s="238"/>
      <c r="K44" s="238"/>
      <c r="L44" s="238"/>
      <c r="M44" s="236"/>
      <c r="N44" s="236"/>
      <c r="O44" s="168"/>
      <c r="P44" s="168"/>
      <c r="Q44" s="168"/>
      <c r="R44" s="168"/>
      <c r="S44" s="159"/>
      <c r="T44" s="159"/>
      <c r="U44" s="159"/>
      <c r="V44" s="159"/>
      <c r="W44" s="159"/>
      <c r="X44" s="159"/>
      <c r="Y44" s="159"/>
      <c r="Z44" s="159"/>
      <c r="AA44" s="153"/>
      <c r="AB44" s="158"/>
      <c r="AC44" s="158"/>
      <c r="AD44" s="158"/>
      <c r="AE44" s="153"/>
      <c r="AF44" s="153"/>
      <c r="AG44" s="160"/>
      <c r="AH44" s="160"/>
      <c r="AI44" s="153"/>
      <c r="AJ44" s="153"/>
      <c r="AK44" s="153"/>
      <c r="AL44" s="153"/>
      <c r="AM44" s="153"/>
      <c r="AN44" s="153"/>
      <c r="AO44" s="153"/>
      <c r="AP44" s="158"/>
      <c r="AQ44" s="153"/>
      <c r="AR44" s="153"/>
      <c r="AS44" s="153"/>
      <c r="AT44" s="153"/>
      <c r="AU44" s="159"/>
      <c r="AV44" s="153"/>
      <c r="AW44" s="153"/>
      <c r="AX44" s="159"/>
      <c r="AY44" s="159"/>
      <c r="AZ44" s="159"/>
      <c r="BA44" s="153"/>
      <c r="BB44" s="164"/>
      <c r="BC44" s="163" t="str">
        <f t="shared" si="0"/>
        <v/>
      </c>
      <c r="BD44" s="153" t="str">
        <f t="shared" si="1"/>
        <v>INDENIZAÇÃO</v>
      </c>
      <c r="BE44" s="153" t="str">
        <f t="shared" si="2"/>
        <v>NÃO</v>
      </c>
      <c r="BF44" s="153"/>
      <c r="BG44" s="153"/>
      <c r="BH44" s="153"/>
      <c r="BI44" s="153"/>
      <c r="BJ44" s="153"/>
      <c r="BK44" s="159"/>
      <c r="BL44" s="153"/>
      <c r="BM44" s="153"/>
    </row>
    <row r="45" spans="1:65" ht="30" customHeight="1" x14ac:dyDescent="0.25">
      <c r="A45" s="153"/>
      <c r="B45" s="153"/>
      <c r="C45" s="236"/>
      <c r="D45" s="237"/>
      <c r="E45" s="236"/>
      <c r="F45" s="238"/>
      <c r="G45" s="236"/>
      <c r="H45" s="236"/>
      <c r="I45" s="236"/>
      <c r="J45" s="238"/>
      <c r="K45" s="238"/>
      <c r="L45" s="238"/>
      <c r="M45" s="236"/>
      <c r="N45" s="236"/>
      <c r="O45" s="168"/>
      <c r="P45" s="168"/>
      <c r="Q45" s="168"/>
      <c r="R45" s="168"/>
      <c r="S45" s="159"/>
      <c r="T45" s="159"/>
      <c r="U45" s="159"/>
      <c r="V45" s="159"/>
      <c r="W45" s="159"/>
      <c r="X45" s="159"/>
      <c r="Y45" s="159"/>
      <c r="Z45" s="159"/>
      <c r="AA45" s="153"/>
      <c r="AB45" s="158"/>
      <c r="AC45" s="158"/>
      <c r="AD45" s="158"/>
      <c r="AE45" s="153"/>
      <c r="AF45" s="153"/>
      <c r="AG45" s="160"/>
      <c r="AH45" s="160"/>
      <c r="AI45" s="153"/>
      <c r="AJ45" s="153"/>
      <c r="AK45" s="153"/>
      <c r="AL45" s="153"/>
      <c r="AM45" s="153"/>
      <c r="AN45" s="153"/>
      <c r="AO45" s="153"/>
      <c r="AP45" s="158"/>
      <c r="AQ45" s="153"/>
      <c r="AR45" s="153"/>
      <c r="AS45" s="153"/>
      <c r="AT45" s="153"/>
      <c r="AU45" s="159"/>
      <c r="AV45" s="153"/>
      <c r="AW45" s="153"/>
      <c r="AX45" s="159"/>
      <c r="AY45" s="159"/>
      <c r="AZ45" s="159"/>
      <c r="BA45" s="153"/>
      <c r="BB45" s="164"/>
      <c r="BC45" s="163" t="str">
        <f t="shared" si="0"/>
        <v/>
      </c>
      <c r="BD45" s="153" t="str">
        <f t="shared" si="1"/>
        <v>INDENIZAÇÃO</v>
      </c>
      <c r="BE45" s="153" t="str">
        <f t="shared" si="2"/>
        <v>NÃO</v>
      </c>
      <c r="BF45" s="153"/>
      <c r="BG45" s="153"/>
      <c r="BH45" s="153"/>
      <c r="BI45" s="153"/>
      <c r="BJ45" s="153"/>
      <c r="BK45" s="159"/>
      <c r="BL45" s="153"/>
      <c r="BM45" s="153"/>
    </row>
    <row r="46" spans="1:65" ht="30" customHeight="1" x14ac:dyDescent="0.25">
      <c r="A46" s="153"/>
      <c r="B46" s="153"/>
      <c r="C46" s="236"/>
      <c r="D46" s="237"/>
      <c r="E46" s="236"/>
      <c r="F46" s="238"/>
      <c r="G46" s="236"/>
      <c r="H46" s="236"/>
      <c r="I46" s="236"/>
      <c r="J46" s="238"/>
      <c r="K46" s="238"/>
      <c r="L46" s="238"/>
      <c r="M46" s="236"/>
      <c r="N46" s="236"/>
      <c r="O46" s="168"/>
      <c r="P46" s="168"/>
      <c r="Q46" s="168"/>
      <c r="R46" s="168"/>
      <c r="S46" s="159"/>
      <c r="T46" s="159"/>
      <c r="U46" s="159"/>
      <c r="V46" s="159"/>
      <c r="W46" s="159"/>
      <c r="X46" s="159"/>
      <c r="Y46" s="159"/>
      <c r="Z46" s="159"/>
      <c r="AA46" s="153"/>
      <c r="AB46" s="158"/>
      <c r="AC46" s="158"/>
      <c r="AD46" s="158"/>
      <c r="AE46" s="153"/>
      <c r="AF46" s="153"/>
      <c r="AG46" s="160"/>
      <c r="AH46" s="160"/>
      <c r="AI46" s="153"/>
      <c r="AJ46" s="153"/>
      <c r="AK46" s="153"/>
      <c r="AL46" s="153"/>
      <c r="AM46" s="153"/>
      <c r="AN46" s="153"/>
      <c r="AO46" s="153"/>
      <c r="AP46" s="158"/>
      <c r="AQ46" s="153"/>
      <c r="AR46" s="153"/>
      <c r="AS46" s="153"/>
      <c r="AT46" s="153"/>
      <c r="AU46" s="159"/>
      <c r="AV46" s="153"/>
      <c r="AW46" s="153"/>
      <c r="AX46" s="159"/>
      <c r="AY46" s="159"/>
      <c r="AZ46" s="159"/>
      <c r="BA46" s="153"/>
      <c r="BB46" s="164"/>
      <c r="BC46" s="163" t="str">
        <f t="shared" ref="BC46:BC77" si="3">IF(AY46-KG46=0,"",AY46-O46)</f>
        <v/>
      </c>
      <c r="BD46" s="153" t="str">
        <f t="shared" ref="BD46:BD77" si="4">IF(AND(AI46&lt;&gt;"SIM",AI46="UH"),"AA","INDENIZAÇÃO")</f>
        <v>INDENIZAÇÃO</v>
      </c>
      <c r="BE46" s="153" t="str">
        <f t="shared" ref="BE46:BE77" si="5">IF(AND(AY46&lt;&gt;"AGUARDANDO",AY46&lt;&gt;"",N46="AUXÍLIO ALUGUEL ATÉ INDENIZAÇÃO"),"SIM","NÃO")</f>
        <v>NÃO</v>
      </c>
      <c r="BF46" s="153"/>
      <c r="BG46" s="153"/>
      <c r="BH46" s="153"/>
      <c r="BI46" s="153"/>
      <c r="BJ46" s="153"/>
      <c r="BK46" s="159"/>
      <c r="BL46" s="153"/>
      <c r="BM46" s="153"/>
    </row>
    <row r="47" spans="1:65" ht="30" customHeight="1" x14ac:dyDescent="0.25">
      <c r="A47" s="153"/>
      <c r="B47" s="153"/>
      <c r="C47" s="236"/>
      <c r="D47" s="237"/>
      <c r="E47" s="236"/>
      <c r="F47" s="238"/>
      <c r="G47" s="236"/>
      <c r="H47" s="236"/>
      <c r="I47" s="236"/>
      <c r="J47" s="238"/>
      <c r="K47" s="238"/>
      <c r="L47" s="238"/>
      <c r="M47" s="236"/>
      <c r="N47" s="236"/>
      <c r="O47" s="168"/>
      <c r="P47" s="168"/>
      <c r="Q47" s="168"/>
      <c r="R47" s="168"/>
      <c r="S47" s="159"/>
      <c r="T47" s="159"/>
      <c r="U47" s="159"/>
      <c r="V47" s="159"/>
      <c r="W47" s="159"/>
      <c r="X47" s="159"/>
      <c r="Y47" s="159"/>
      <c r="Z47" s="159"/>
      <c r="AA47" s="153"/>
      <c r="AB47" s="158"/>
      <c r="AC47" s="158"/>
      <c r="AD47" s="158"/>
      <c r="AE47" s="153"/>
      <c r="AF47" s="153"/>
      <c r="AG47" s="160"/>
      <c r="AH47" s="160"/>
      <c r="AI47" s="153"/>
      <c r="AJ47" s="153"/>
      <c r="AK47" s="153"/>
      <c r="AL47" s="153"/>
      <c r="AM47" s="153"/>
      <c r="AN47" s="153"/>
      <c r="AO47" s="153"/>
      <c r="AP47" s="158"/>
      <c r="AQ47" s="153"/>
      <c r="AR47" s="153"/>
      <c r="AS47" s="153"/>
      <c r="AT47" s="153"/>
      <c r="AU47" s="159"/>
      <c r="AV47" s="153"/>
      <c r="AW47" s="153"/>
      <c r="AX47" s="159"/>
      <c r="AY47" s="159"/>
      <c r="AZ47" s="159"/>
      <c r="BA47" s="153"/>
      <c r="BB47" s="164"/>
      <c r="BC47" s="163" t="str">
        <f t="shared" si="3"/>
        <v/>
      </c>
      <c r="BD47" s="153" t="str">
        <f t="shared" si="4"/>
        <v>INDENIZAÇÃO</v>
      </c>
      <c r="BE47" s="153" t="str">
        <f t="shared" si="5"/>
        <v>NÃO</v>
      </c>
      <c r="BF47" s="153"/>
      <c r="BG47" s="153"/>
      <c r="BH47" s="153"/>
      <c r="BI47" s="153"/>
      <c r="BJ47" s="153"/>
      <c r="BK47" s="159"/>
      <c r="BL47" s="153"/>
      <c r="BM47" s="153"/>
    </row>
    <row r="48" spans="1:65" ht="30" customHeight="1" x14ac:dyDescent="0.25">
      <c r="A48" s="153"/>
      <c r="B48" s="153"/>
      <c r="C48" s="236"/>
      <c r="D48" s="237"/>
      <c r="E48" s="236"/>
      <c r="F48" s="238"/>
      <c r="G48" s="236"/>
      <c r="H48" s="236"/>
      <c r="I48" s="236"/>
      <c r="J48" s="238"/>
      <c r="K48" s="238"/>
      <c r="L48" s="238"/>
      <c r="M48" s="236"/>
      <c r="N48" s="236"/>
      <c r="O48" s="168"/>
      <c r="P48" s="168"/>
      <c r="Q48" s="168"/>
      <c r="R48" s="168"/>
      <c r="S48" s="159"/>
      <c r="T48" s="159"/>
      <c r="U48" s="159"/>
      <c r="V48" s="159"/>
      <c r="W48" s="159"/>
      <c r="X48" s="159"/>
      <c r="Y48" s="159"/>
      <c r="Z48" s="159"/>
      <c r="AA48" s="153"/>
      <c r="AB48" s="158"/>
      <c r="AC48" s="158"/>
      <c r="AD48" s="158"/>
      <c r="AE48" s="153"/>
      <c r="AF48" s="153"/>
      <c r="AG48" s="160"/>
      <c r="AH48" s="160"/>
      <c r="AI48" s="153"/>
      <c r="AJ48" s="153"/>
      <c r="AK48" s="153"/>
      <c r="AL48" s="153"/>
      <c r="AM48" s="153"/>
      <c r="AN48" s="153"/>
      <c r="AO48" s="153"/>
      <c r="AP48" s="158"/>
      <c r="AQ48" s="153"/>
      <c r="AR48" s="153"/>
      <c r="AS48" s="153"/>
      <c r="AT48" s="153"/>
      <c r="AU48" s="159"/>
      <c r="AV48" s="153"/>
      <c r="AW48" s="153"/>
      <c r="AX48" s="159"/>
      <c r="AY48" s="159"/>
      <c r="AZ48" s="159"/>
      <c r="BA48" s="153"/>
      <c r="BB48" s="164"/>
      <c r="BC48" s="163" t="str">
        <f t="shared" si="3"/>
        <v/>
      </c>
      <c r="BD48" s="153" t="str">
        <f t="shared" si="4"/>
        <v>INDENIZAÇÃO</v>
      </c>
      <c r="BE48" s="153" t="str">
        <f t="shared" si="5"/>
        <v>NÃO</v>
      </c>
      <c r="BF48" s="153"/>
      <c r="BG48" s="153"/>
      <c r="BH48" s="153"/>
      <c r="BI48" s="153"/>
      <c r="BJ48" s="153"/>
      <c r="BK48" s="159"/>
      <c r="BL48" s="153"/>
      <c r="BM48" s="153"/>
    </row>
    <row r="49" spans="1:65" ht="30" customHeight="1" x14ac:dyDescent="0.25">
      <c r="A49" s="153"/>
      <c r="B49" s="153"/>
      <c r="C49" s="236"/>
      <c r="D49" s="237"/>
      <c r="E49" s="236"/>
      <c r="F49" s="238"/>
      <c r="G49" s="236"/>
      <c r="H49" s="236"/>
      <c r="I49" s="236"/>
      <c r="J49" s="238"/>
      <c r="K49" s="238"/>
      <c r="L49" s="238"/>
      <c r="M49" s="236"/>
      <c r="N49" s="236"/>
      <c r="O49" s="168"/>
      <c r="P49" s="168"/>
      <c r="Q49" s="168"/>
      <c r="R49" s="168"/>
      <c r="S49" s="159"/>
      <c r="T49" s="159"/>
      <c r="U49" s="159"/>
      <c r="V49" s="159"/>
      <c r="W49" s="159"/>
      <c r="X49" s="159"/>
      <c r="Y49" s="159"/>
      <c r="Z49" s="159"/>
      <c r="AA49" s="153"/>
      <c r="AB49" s="158"/>
      <c r="AC49" s="158"/>
      <c r="AD49" s="158"/>
      <c r="AE49" s="153"/>
      <c r="AF49" s="153"/>
      <c r="AG49" s="160"/>
      <c r="AH49" s="160"/>
      <c r="AI49" s="153"/>
      <c r="AJ49" s="153"/>
      <c r="AK49" s="153"/>
      <c r="AL49" s="153"/>
      <c r="AM49" s="153"/>
      <c r="AN49" s="153"/>
      <c r="AO49" s="153"/>
      <c r="AP49" s="158"/>
      <c r="AQ49" s="153"/>
      <c r="AR49" s="153"/>
      <c r="AS49" s="153"/>
      <c r="AT49" s="153"/>
      <c r="AU49" s="159"/>
      <c r="AV49" s="153"/>
      <c r="AW49" s="153"/>
      <c r="AX49" s="159"/>
      <c r="AY49" s="159"/>
      <c r="AZ49" s="159"/>
      <c r="BA49" s="153"/>
      <c r="BB49" s="164"/>
      <c r="BC49" s="163" t="str">
        <f t="shared" si="3"/>
        <v/>
      </c>
      <c r="BD49" s="153" t="str">
        <f t="shared" si="4"/>
        <v>INDENIZAÇÃO</v>
      </c>
      <c r="BE49" s="153" t="str">
        <f t="shared" si="5"/>
        <v>NÃO</v>
      </c>
      <c r="BF49" s="153"/>
      <c r="BG49" s="153"/>
      <c r="BH49" s="153"/>
      <c r="BI49" s="153"/>
      <c r="BJ49" s="153"/>
      <c r="BK49" s="159"/>
      <c r="BL49" s="153"/>
      <c r="BM49" s="153"/>
    </row>
    <row r="50" spans="1:65" ht="30" customHeight="1" x14ac:dyDescent="0.25">
      <c r="A50" s="153"/>
      <c r="B50" s="153"/>
      <c r="C50" s="236"/>
      <c r="D50" s="237"/>
      <c r="E50" s="236"/>
      <c r="F50" s="238"/>
      <c r="G50" s="236"/>
      <c r="H50" s="236"/>
      <c r="I50" s="236"/>
      <c r="J50" s="238"/>
      <c r="K50" s="238"/>
      <c r="L50" s="238"/>
      <c r="M50" s="236"/>
      <c r="N50" s="236"/>
      <c r="O50" s="168"/>
      <c r="P50" s="168"/>
      <c r="Q50" s="168"/>
      <c r="R50" s="168"/>
      <c r="S50" s="159"/>
      <c r="T50" s="159"/>
      <c r="U50" s="159"/>
      <c r="V50" s="159"/>
      <c r="W50" s="159"/>
      <c r="X50" s="159"/>
      <c r="Y50" s="159"/>
      <c r="Z50" s="159"/>
      <c r="AA50" s="153"/>
      <c r="AB50" s="158"/>
      <c r="AC50" s="158"/>
      <c r="AD50" s="158"/>
      <c r="AE50" s="153"/>
      <c r="AF50" s="153"/>
      <c r="AG50" s="160"/>
      <c r="AH50" s="160"/>
      <c r="AI50" s="153"/>
      <c r="AJ50" s="153"/>
      <c r="AK50" s="153"/>
      <c r="AL50" s="153"/>
      <c r="AM50" s="153"/>
      <c r="AN50" s="153"/>
      <c r="AO50" s="153"/>
      <c r="AP50" s="158"/>
      <c r="AQ50" s="153"/>
      <c r="AR50" s="153"/>
      <c r="AS50" s="153"/>
      <c r="AT50" s="153"/>
      <c r="AU50" s="159"/>
      <c r="AV50" s="153"/>
      <c r="AW50" s="153"/>
      <c r="AX50" s="159"/>
      <c r="AY50" s="159"/>
      <c r="AZ50" s="159"/>
      <c r="BA50" s="153"/>
      <c r="BB50" s="164"/>
      <c r="BC50" s="163" t="str">
        <f t="shared" si="3"/>
        <v/>
      </c>
      <c r="BD50" s="153" t="str">
        <f t="shared" si="4"/>
        <v>INDENIZAÇÃO</v>
      </c>
      <c r="BE50" s="153" t="str">
        <f t="shared" si="5"/>
        <v>NÃO</v>
      </c>
      <c r="BF50" s="153"/>
      <c r="BG50" s="153"/>
      <c r="BH50" s="153"/>
      <c r="BI50" s="153"/>
      <c r="BJ50" s="153"/>
      <c r="BK50" s="159"/>
      <c r="BL50" s="153"/>
      <c r="BM50" s="153"/>
    </row>
    <row r="51" spans="1:65" ht="24.75" customHeight="1" x14ac:dyDescent="0.25">
      <c r="A51" s="153"/>
      <c r="B51" s="153"/>
      <c r="C51" s="153"/>
      <c r="D51" s="157"/>
      <c r="E51" s="153"/>
      <c r="F51" s="158"/>
      <c r="G51" s="153"/>
      <c r="H51" s="153"/>
      <c r="I51" s="153"/>
      <c r="J51" s="158"/>
      <c r="K51" s="158"/>
      <c r="L51" s="158"/>
      <c r="M51" s="153"/>
      <c r="N51" s="153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3"/>
      <c r="AB51" s="158"/>
      <c r="AC51" s="158"/>
      <c r="AD51" s="158"/>
      <c r="AE51" s="153"/>
      <c r="AF51" s="153"/>
      <c r="AG51" s="160"/>
      <c r="AH51" s="160"/>
      <c r="AI51" s="153"/>
      <c r="AJ51" s="153"/>
      <c r="AK51" s="153"/>
      <c r="AL51" s="153"/>
      <c r="AM51" s="153"/>
      <c r="AN51" s="153"/>
      <c r="AO51" s="153"/>
      <c r="AP51" s="158"/>
      <c r="AQ51" s="153"/>
      <c r="AR51" s="153"/>
      <c r="AS51" s="153"/>
      <c r="AT51" s="153"/>
      <c r="AU51" s="159"/>
      <c r="AV51" s="153"/>
      <c r="AW51" s="153"/>
      <c r="AX51" s="159"/>
      <c r="AY51" s="159"/>
      <c r="AZ51" s="159"/>
      <c r="BA51" s="153"/>
      <c r="BB51" s="164"/>
      <c r="BC51" s="163" t="str">
        <f t="shared" si="3"/>
        <v/>
      </c>
      <c r="BD51" s="153" t="str">
        <f t="shared" si="4"/>
        <v>INDENIZAÇÃO</v>
      </c>
      <c r="BE51" s="153" t="str">
        <f t="shared" si="5"/>
        <v>NÃO</v>
      </c>
      <c r="BF51" s="153"/>
      <c r="BG51" s="153"/>
      <c r="BH51" s="153"/>
      <c r="BI51" s="153"/>
      <c r="BJ51" s="153"/>
      <c r="BK51" s="159"/>
      <c r="BL51" s="153"/>
      <c r="BM51" s="153"/>
    </row>
    <row r="52" spans="1:65" ht="24.75" customHeight="1" x14ac:dyDescent="0.25">
      <c r="A52" s="153"/>
      <c r="B52" s="153"/>
      <c r="C52" s="153"/>
      <c r="D52" s="157"/>
      <c r="E52" s="153"/>
      <c r="F52" s="158"/>
      <c r="G52" s="153"/>
      <c r="H52" s="153"/>
      <c r="I52" s="153"/>
      <c r="J52" s="158"/>
      <c r="K52" s="158"/>
      <c r="L52" s="158"/>
      <c r="M52" s="153"/>
      <c r="N52" s="153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3"/>
      <c r="AB52" s="158"/>
      <c r="AC52" s="158"/>
      <c r="AD52" s="158"/>
      <c r="AE52" s="153"/>
      <c r="AF52" s="153"/>
      <c r="AG52" s="160"/>
      <c r="AH52" s="160"/>
      <c r="AI52" s="153"/>
      <c r="AJ52" s="153"/>
      <c r="AK52" s="153"/>
      <c r="AL52" s="153"/>
      <c r="AM52" s="153"/>
      <c r="AN52" s="153"/>
      <c r="AO52" s="153"/>
      <c r="AP52" s="158"/>
      <c r="AQ52" s="153"/>
      <c r="AR52" s="153"/>
      <c r="AS52" s="153"/>
      <c r="AT52" s="153"/>
      <c r="AU52" s="159"/>
      <c r="AV52" s="153"/>
      <c r="AW52" s="153"/>
      <c r="AX52" s="159"/>
      <c r="AY52" s="159"/>
      <c r="AZ52" s="159"/>
      <c r="BA52" s="153"/>
      <c r="BB52" s="164"/>
      <c r="BC52" s="163" t="str">
        <f t="shared" si="3"/>
        <v/>
      </c>
      <c r="BD52" s="153" t="str">
        <f t="shared" si="4"/>
        <v>INDENIZAÇÃO</v>
      </c>
      <c r="BE52" s="153" t="str">
        <f t="shared" si="5"/>
        <v>NÃO</v>
      </c>
      <c r="BF52" s="153"/>
      <c r="BG52" s="153"/>
      <c r="BH52" s="153"/>
      <c r="BI52" s="153"/>
      <c r="BJ52" s="153"/>
      <c r="BK52" s="159"/>
      <c r="BL52" s="153"/>
      <c r="BM52" s="153"/>
    </row>
    <row r="53" spans="1:65" ht="24.75" customHeight="1" x14ac:dyDescent="0.25">
      <c r="A53" s="153"/>
      <c r="B53" s="153"/>
      <c r="C53" s="153"/>
      <c r="D53" s="157"/>
      <c r="E53" s="153"/>
      <c r="F53" s="158"/>
      <c r="G53" s="153"/>
      <c r="H53" s="153"/>
      <c r="I53" s="153"/>
      <c r="J53" s="158"/>
      <c r="K53" s="158"/>
      <c r="L53" s="158"/>
      <c r="M53" s="153"/>
      <c r="N53" s="153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3"/>
      <c r="AB53" s="158"/>
      <c r="AC53" s="158"/>
      <c r="AD53" s="158"/>
      <c r="AE53" s="153"/>
      <c r="AF53" s="153"/>
      <c r="AG53" s="160"/>
      <c r="AH53" s="160"/>
      <c r="AI53" s="153"/>
      <c r="AJ53" s="153"/>
      <c r="AK53" s="153"/>
      <c r="AL53" s="153"/>
      <c r="AM53" s="153"/>
      <c r="AN53" s="153"/>
      <c r="AO53" s="153"/>
      <c r="AP53" s="158"/>
      <c r="AQ53" s="153"/>
      <c r="AR53" s="153"/>
      <c r="AS53" s="153"/>
      <c r="AT53" s="153"/>
      <c r="AU53" s="159"/>
      <c r="AV53" s="153"/>
      <c r="AW53" s="153"/>
      <c r="AX53" s="159"/>
      <c r="AY53" s="159"/>
      <c r="AZ53" s="159"/>
      <c r="BA53" s="153"/>
      <c r="BB53" s="164"/>
      <c r="BC53" s="163" t="str">
        <f t="shared" si="3"/>
        <v/>
      </c>
      <c r="BD53" s="153" t="str">
        <f t="shared" si="4"/>
        <v>INDENIZAÇÃO</v>
      </c>
      <c r="BE53" s="153" t="str">
        <f t="shared" si="5"/>
        <v>NÃO</v>
      </c>
      <c r="BF53" s="153"/>
      <c r="BG53" s="153"/>
      <c r="BH53" s="153"/>
      <c r="BI53" s="153"/>
      <c r="BJ53" s="153"/>
      <c r="BK53" s="159"/>
      <c r="BL53" s="153"/>
      <c r="BM53" s="153"/>
    </row>
    <row r="54" spans="1:65" ht="24.75" customHeight="1" x14ac:dyDescent="0.25">
      <c r="A54" s="153"/>
      <c r="B54" s="153"/>
      <c r="C54" s="153"/>
      <c r="D54" s="157"/>
      <c r="E54" s="153"/>
      <c r="F54" s="158"/>
      <c r="G54" s="153"/>
      <c r="H54" s="153"/>
      <c r="I54" s="153"/>
      <c r="J54" s="158"/>
      <c r="K54" s="158"/>
      <c r="L54" s="158"/>
      <c r="M54" s="153"/>
      <c r="N54" s="153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3"/>
      <c r="AB54" s="158"/>
      <c r="AC54" s="158"/>
      <c r="AD54" s="158"/>
      <c r="AE54" s="153"/>
      <c r="AF54" s="153"/>
      <c r="AG54" s="160"/>
      <c r="AH54" s="160"/>
      <c r="AI54" s="153"/>
      <c r="AJ54" s="153"/>
      <c r="AK54" s="153"/>
      <c r="AL54" s="153"/>
      <c r="AM54" s="153"/>
      <c r="AN54" s="153"/>
      <c r="AO54" s="153"/>
      <c r="AP54" s="158"/>
      <c r="AQ54" s="153"/>
      <c r="AR54" s="153"/>
      <c r="AS54" s="153"/>
      <c r="AT54" s="153"/>
      <c r="AU54" s="159"/>
      <c r="AV54" s="153"/>
      <c r="AW54" s="153"/>
      <c r="AX54" s="159"/>
      <c r="AY54" s="159"/>
      <c r="AZ54" s="159"/>
      <c r="BA54" s="153"/>
      <c r="BB54" s="164"/>
      <c r="BC54" s="163" t="str">
        <f t="shared" si="3"/>
        <v/>
      </c>
      <c r="BD54" s="153" t="str">
        <f t="shared" si="4"/>
        <v>INDENIZAÇÃO</v>
      </c>
      <c r="BE54" s="153" t="str">
        <f t="shared" si="5"/>
        <v>NÃO</v>
      </c>
      <c r="BF54" s="153"/>
      <c r="BG54" s="153"/>
      <c r="BH54" s="153"/>
      <c r="BI54" s="153"/>
      <c r="BJ54" s="153"/>
      <c r="BK54" s="159"/>
      <c r="BL54" s="153"/>
      <c r="BM54" s="153"/>
    </row>
    <row r="55" spans="1:65" ht="24.75" customHeight="1" x14ac:dyDescent="0.25">
      <c r="A55" s="153"/>
      <c r="B55" s="153"/>
      <c r="C55" s="153"/>
      <c r="D55" s="157"/>
      <c r="E55" s="153"/>
      <c r="F55" s="158"/>
      <c r="G55" s="153"/>
      <c r="H55" s="153"/>
      <c r="I55" s="153"/>
      <c r="J55" s="158"/>
      <c r="K55" s="158"/>
      <c r="L55" s="158"/>
      <c r="M55" s="153"/>
      <c r="N55" s="153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3"/>
      <c r="AB55" s="158"/>
      <c r="AC55" s="158"/>
      <c r="AD55" s="158"/>
      <c r="AE55" s="153"/>
      <c r="AF55" s="153"/>
      <c r="AG55" s="160"/>
      <c r="AH55" s="160"/>
      <c r="AI55" s="153"/>
      <c r="AJ55" s="153"/>
      <c r="AK55" s="153"/>
      <c r="AL55" s="153"/>
      <c r="AM55" s="153"/>
      <c r="AN55" s="153"/>
      <c r="AO55" s="153"/>
      <c r="AP55" s="158"/>
      <c r="AQ55" s="153"/>
      <c r="AR55" s="153"/>
      <c r="AS55" s="153"/>
      <c r="AT55" s="153"/>
      <c r="AU55" s="159"/>
      <c r="AV55" s="153"/>
      <c r="AW55" s="153"/>
      <c r="AX55" s="159"/>
      <c r="AY55" s="159"/>
      <c r="AZ55" s="159"/>
      <c r="BA55" s="153"/>
      <c r="BB55" s="164"/>
      <c r="BC55" s="163" t="str">
        <f t="shared" si="3"/>
        <v/>
      </c>
      <c r="BD55" s="153" t="str">
        <f t="shared" si="4"/>
        <v>INDENIZAÇÃO</v>
      </c>
      <c r="BE55" s="153" t="str">
        <f t="shared" si="5"/>
        <v>NÃO</v>
      </c>
      <c r="BF55" s="153"/>
      <c r="BG55" s="153"/>
      <c r="BH55" s="153"/>
      <c r="BI55" s="153"/>
      <c r="BJ55" s="153"/>
      <c r="BK55" s="159"/>
      <c r="BL55" s="153"/>
      <c r="BM55" s="153"/>
    </row>
    <row r="56" spans="1:65" ht="24.75" customHeight="1" x14ac:dyDescent="0.25">
      <c r="A56" s="153"/>
      <c r="B56" s="153"/>
      <c r="C56" s="153"/>
      <c r="D56" s="157"/>
      <c r="E56" s="153"/>
      <c r="F56" s="158"/>
      <c r="G56" s="153"/>
      <c r="H56" s="153"/>
      <c r="I56" s="153"/>
      <c r="J56" s="158"/>
      <c r="K56" s="158"/>
      <c r="L56" s="158"/>
      <c r="M56" s="153"/>
      <c r="N56" s="153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3"/>
      <c r="AB56" s="158"/>
      <c r="AC56" s="158"/>
      <c r="AD56" s="158"/>
      <c r="AE56" s="153"/>
      <c r="AF56" s="153"/>
      <c r="AG56" s="160"/>
      <c r="AH56" s="160"/>
      <c r="AI56" s="153"/>
      <c r="AJ56" s="153"/>
      <c r="AK56" s="153"/>
      <c r="AL56" s="153"/>
      <c r="AM56" s="153"/>
      <c r="AN56" s="153"/>
      <c r="AO56" s="153"/>
      <c r="AP56" s="158"/>
      <c r="AQ56" s="153"/>
      <c r="AR56" s="153"/>
      <c r="AS56" s="153"/>
      <c r="AT56" s="153"/>
      <c r="AU56" s="159"/>
      <c r="AV56" s="153"/>
      <c r="AW56" s="153"/>
      <c r="AX56" s="159"/>
      <c r="AY56" s="159"/>
      <c r="AZ56" s="159"/>
      <c r="BA56" s="153"/>
      <c r="BB56" s="164"/>
      <c r="BC56" s="163" t="str">
        <f t="shared" si="3"/>
        <v/>
      </c>
      <c r="BD56" s="153" t="str">
        <f t="shared" si="4"/>
        <v>INDENIZAÇÃO</v>
      </c>
      <c r="BE56" s="153" t="str">
        <f t="shared" si="5"/>
        <v>NÃO</v>
      </c>
      <c r="BF56" s="153"/>
      <c r="BG56" s="153"/>
      <c r="BH56" s="153"/>
      <c r="BI56" s="153"/>
      <c r="BJ56" s="153"/>
      <c r="BK56" s="159"/>
      <c r="BL56" s="153"/>
      <c r="BM56" s="153"/>
    </row>
    <row r="57" spans="1:65" ht="24.75" customHeight="1" x14ac:dyDescent="0.25">
      <c r="A57" s="153"/>
      <c r="B57" s="153"/>
      <c r="C57" s="153"/>
      <c r="D57" s="157"/>
      <c r="E57" s="153"/>
      <c r="F57" s="158"/>
      <c r="G57" s="153"/>
      <c r="H57" s="153"/>
      <c r="I57" s="153"/>
      <c r="J57" s="158"/>
      <c r="K57" s="158"/>
      <c r="L57" s="158"/>
      <c r="M57" s="153"/>
      <c r="N57" s="153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3"/>
      <c r="AB57" s="158"/>
      <c r="AC57" s="158"/>
      <c r="AD57" s="158"/>
      <c r="AE57" s="153"/>
      <c r="AF57" s="153"/>
      <c r="AG57" s="160"/>
      <c r="AH57" s="160"/>
      <c r="AI57" s="153"/>
      <c r="AJ57" s="153"/>
      <c r="AK57" s="153"/>
      <c r="AL57" s="153"/>
      <c r="AM57" s="153"/>
      <c r="AN57" s="153"/>
      <c r="AO57" s="153"/>
      <c r="AP57" s="158"/>
      <c r="AQ57" s="153"/>
      <c r="AR57" s="153"/>
      <c r="AS57" s="153"/>
      <c r="AT57" s="153"/>
      <c r="AU57" s="159"/>
      <c r="AV57" s="153"/>
      <c r="AW57" s="153"/>
      <c r="AX57" s="159"/>
      <c r="AY57" s="159"/>
      <c r="AZ57" s="159"/>
      <c r="BA57" s="153"/>
      <c r="BB57" s="164"/>
      <c r="BC57" s="163" t="str">
        <f t="shared" si="3"/>
        <v/>
      </c>
      <c r="BD57" s="153" t="str">
        <f t="shared" si="4"/>
        <v>INDENIZAÇÃO</v>
      </c>
      <c r="BE57" s="153" t="str">
        <f t="shared" si="5"/>
        <v>NÃO</v>
      </c>
      <c r="BF57" s="153"/>
      <c r="BG57" s="153"/>
      <c r="BH57" s="153"/>
      <c r="BI57" s="153"/>
      <c r="BJ57" s="153"/>
      <c r="BK57" s="159"/>
      <c r="BL57" s="153"/>
      <c r="BM57" s="153"/>
    </row>
    <row r="58" spans="1:65" ht="24.75" customHeight="1" x14ac:dyDescent="0.25">
      <c r="A58" s="153"/>
      <c r="B58" s="153"/>
      <c r="C58" s="153"/>
      <c r="D58" s="157"/>
      <c r="E58" s="153"/>
      <c r="F58" s="158"/>
      <c r="G58" s="153"/>
      <c r="H58" s="153"/>
      <c r="I58" s="153"/>
      <c r="J58" s="158"/>
      <c r="K58" s="158"/>
      <c r="L58" s="158"/>
      <c r="M58" s="153"/>
      <c r="N58" s="153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3"/>
      <c r="AB58" s="158"/>
      <c r="AC58" s="158"/>
      <c r="AD58" s="158"/>
      <c r="AE58" s="153"/>
      <c r="AF58" s="153"/>
      <c r="AG58" s="160"/>
      <c r="AH58" s="160"/>
      <c r="AI58" s="153"/>
      <c r="AJ58" s="153"/>
      <c r="AK58" s="153"/>
      <c r="AL58" s="153"/>
      <c r="AM58" s="153"/>
      <c r="AN58" s="153"/>
      <c r="AO58" s="153"/>
      <c r="AP58" s="158"/>
      <c r="AQ58" s="153"/>
      <c r="AR58" s="153"/>
      <c r="AS58" s="153"/>
      <c r="AT58" s="153"/>
      <c r="AU58" s="159"/>
      <c r="AV58" s="153"/>
      <c r="AW58" s="153"/>
      <c r="AX58" s="159"/>
      <c r="AY58" s="159"/>
      <c r="AZ58" s="159"/>
      <c r="BA58" s="153"/>
      <c r="BB58" s="164"/>
      <c r="BC58" s="163" t="str">
        <f t="shared" si="3"/>
        <v/>
      </c>
      <c r="BD58" s="153" t="str">
        <f t="shared" si="4"/>
        <v>INDENIZAÇÃO</v>
      </c>
      <c r="BE58" s="153" t="str">
        <f t="shared" si="5"/>
        <v>NÃO</v>
      </c>
      <c r="BF58" s="153"/>
      <c r="BG58" s="153"/>
      <c r="BH58" s="153"/>
      <c r="BI58" s="153"/>
      <c r="BJ58" s="153"/>
      <c r="BK58" s="159"/>
      <c r="BL58" s="153"/>
      <c r="BM58" s="153"/>
    </row>
    <row r="59" spans="1:65" ht="24.75" customHeight="1" x14ac:dyDescent="0.25">
      <c r="A59" s="153"/>
      <c r="B59" s="153"/>
      <c r="C59" s="153"/>
      <c r="D59" s="157"/>
      <c r="E59" s="153"/>
      <c r="F59" s="158"/>
      <c r="G59" s="153"/>
      <c r="H59" s="153"/>
      <c r="I59" s="153"/>
      <c r="J59" s="158"/>
      <c r="K59" s="158"/>
      <c r="L59" s="158"/>
      <c r="M59" s="153"/>
      <c r="N59" s="153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3"/>
      <c r="AB59" s="158"/>
      <c r="AC59" s="158"/>
      <c r="AD59" s="158"/>
      <c r="AE59" s="153"/>
      <c r="AF59" s="153"/>
      <c r="AG59" s="160"/>
      <c r="AH59" s="160"/>
      <c r="AI59" s="153"/>
      <c r="AJ59" s="153"/>
      <c r="AK59" s="153"/>
      <c r="AL59" s="153"/>
      <c r="AM59" s="153"/>
      <c r="AN59" s="153"/>
      <c r="AO59" s="153"/>
      <c r="AP59" s="158"/>
      <c r="AQ59" s="153"/>
      <c r="AR59" s="153"/>
      <c r="AS59" s="153"/>
      <c r="AT59" s="153"/>
      <c r="AU59" s="159"/>
      <c r="AV59" s="153"/>
      <c r="AW59" s="153"/>
      <c r="AX59" s="159"/>
      <c r="AY59" s="159"/>
      <c r="AZ59" s="159"/>
      <c r="BA59" s="153"/>
      <c r="BB59" s="164"/>
      <c r="BC59" s="163" t="str">
        <f t="shared" si="3"/>
        <v/>
      </c>
      <c r="BD59" s="153" t="str">
        <f t="shared" si="4"/>
        <v>INDENIZAÇÃO</v>
      </c>
      <c r="BE59" s="153" t="str">
        <f t="shared" si="5"/>
        <v>NÃO</v>
      </c>
      <c r="BF59" s="153"/>
      <c r="BG59" s="153"/>
      <c r="BH59" s="153"/>
      <c r="BI59" s="153"/>
      <c r="BJ59" s="153"/>
      <c r="BK59" s="159"/>
      <c r="BL59" s="153"/>
      <c r="BM59" s="153"/>
    </row>
    <row r="60" spans="1:65" ht="24.75" customHeight="1" x14ac:dyDescent="0.25">
      <c r="A60" s="153"/>
      <c r="B60" s="153"/>
      <c r="C60" s="153"/>
      <c r="D60" s="157"/>
      <c r="E60" s="153"/>
      <c r="F60" s="158"/>
      <c r="G60" s="153"/>
      <c r="H60" s="153"/>
      <c r="I60" s="153"/>
      <c r="J60" s="158"/>
      <c r="K60" s="158"/>
      <c r="L60" s="158"/>
      <c r="M60" s="153"/>
      <c r="N60" s="153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3"/>
      <c r="AB60" s="158"/>
      <c r="AC60" s="158"/>
      <c r="AD60" s="158"/>
      <c r="AE60" s="153"/>
      <c r="AF60" s="153"/>
      <c r="AG60" s="160"/>
      <c r="AH60" s="160"/>
      <c r="AI60" s="153"/>
      <c r="AJ60" s="153"/>
      <c r="AK60" s="153"/>
      <c r="AL60" s="153"/>
      <c r="AM60" s="153"/>
      <c r="AN60" s="153"/>
      <c r="AO60" s="153"/>
      <c r="AP60" s="158"/>
      <c r="AQ60" s="153"/>
      <c r="AR60" s="153"/>
      <c r="AS60" s="153"/>
      <c r="AT60" s="153"/>
      <c r="AU60" s="159"/>
      <c r="AV60" s="153"/>
      <c r="AW60" s="153"/>
      <c r="AX60" s="159"/>
      <c r="AY60" s="159"/>
      <c r="AZ60" s="159"/>
      <c r="BA60" s="153"/>
      <c r="BB60" s="164"/>
      <c r="BC60" s="163" t="str">
        <f t="shared" si="3"/>
        <v/>
      </c>
      <c r="BD60" s="153" t="str">
        <f t="shared" si="4"/>
        <v>INDENIZAÇÃO</v>
      </c>
      <c r="BE60" s="153" t="str">
        <f t="shared" si="5"/>
        <v>NÃO</v>
      </c>
      <c r="BF60" s="153"/>
      <c r="BG60" s="153"/>
      <c r="BH60" s="153"/>
      <c r="BI60" s="153"/>
      <c r="BJ60" s="153"/>
      <c r="BK60" s="159"/>
      <c r="BL60" s="153"/>
      <c r="BM60" s="153"/>
    </row>
    <row r="61" spans="1:65" ht="24.75" customHeight="1" x14ac:dyDescent="0.25">
      <c r="A61" s="153"/>
      <c r="B61" s="153"/>
      <c r="C61" s="153"/>
      <c r="D61" s="157"/>
      <c r="E61" s="153"/>
      <c r="F61" s="158"/>
      <c r="G61" s="153"/>
      <c r="H61" s="153"/>
      <c r="I61" s="153"/>
      <c r="J61" s="158"/>
      <c r="K61" s="158"/>
      <c r="L61" s="158"/>
      <c r="M61" s="153"/>
      <c r="N61" s="153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3"/>
      <c r="AB61" s="158"/>
      <c r="AC61" s="158"/>
      <c r="AD61" s="158"/>
      <c r="AE61" s="153"/>
      <c r="AF61" s="153"/>
      <c r="AG61" s="160"/>
      <c r="AH61" s="160"/>
      <c r="AI61" s="153"/>
      <c r="AJ61" s="153"/>
      <c r="AK61" s="153"/>
      <c r="AL61" s="153"/>
      <c r="AM61" s="153"/>
      <c r="AN61" s="153"/>
      <c r="AO61" s="153"/>
      <c r="AP61" s="158"/>
      <c r="AQ61" s="153"/>
      <c r="AR61" s="153"/>
      <c r="AS61" s="153"/>
      <c r="AT61" s="153"/>
      <c r="AU61" s="159"/>
      <c r="AV61" s="153"/>
      <c r="AW61" s="153"/>
      <c r="AX61" s="159"/>
      <c r="AY61" s="159"/>
      <c r="AZ61" s="159"/>
      <c r="BA61" s="153"/>
      <c r="BB61" s="164"/>
      <c r="BC61" s="163" t="str">
        <f t="shared" si="3"/>
        <v/>
      </c>
      <c r="BD61" s="153" t="str">
        <f t="shared" si="4"/>
        <v>INDENIZAÇÃO</v>
      </c>
      <c r="BE61" s="153" t="str">
        <f t="shared" si="5"/>
        <v>NÃO</v>
      </c>
      <c r="BF61" s="153"/>
      <c r="BG61" s="153"/>
      <c r="BH61" s="153"/>
      <c r="BI61" s="153"/>
      <c r="BJ61" s="153"/>
      <c r="BK61" s="159"/>
      <c r="BL61" s="153"/>
      <c r="BM61" s="153"/>
    </row>
    <row r="62" spans="1:65" ht="24.75" customHeight="1" x14ac:dyDescent="0.25">
      <c r="A62" s="153"/>
      <c r="B62" s="153"/>
      <c r="C62" s="153"/>
      <c r="D62" s="157"/>
      <c r="E62" s="153"/>
      <c r="F62" s="158"/>
      <c r="G62" s="153"/>
      <c r="H62" s="153"/>
      <c r="I62" s="153"/>
      <c r="J62" s="158"/>
      <c r="K62" s="158"/>
      <c r="L62" s="158"/>
      <c r="M62" s="153"/>
      <c r="N62" s="153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3"/>
      <c r="AB62" s="158"/>
      <c r="AC62" s="158"/>
      <c r="AD62" s="158"/>
      <c r="AE62" s="153"/>
      <c r="AF62" s="153"/>
      <c r="AG62" s="160"/>
      <c r="AH62" s="160"/>
      <c r="AI62" s="153"/>
      <c r="AJ62" s="153"/>
      <c r="AK62" s="153"/>
      <c r="AL62" s="153"/>
      <c r="AM62" s="153"/>
      <c r="AN62" s="153"/>
      <c r="AO62" s="153"/>
      <c r="AP62" s="158"/>
      <c r="AQ62" s="153"/>
      <c r="AR62" s="153"/>
      <c r="AS62" s="153"/>
      <c r="AT62" s="153"/>
      <c r="AU62" s="159"/>
      <c r="AV62" s="153"/>
      <c r="AW62" s="153"/>
      <c r="AX62" s="159"/>
      <c r="AY62" s="159"/>
      <c r="AZ62" s="159"/>
      <c r="BA62" s="153"/>
      <c r="BB62" s="164"/>
      <c r="BC62" s="163" t="str">
        <f t="shared" si="3"/>
        <v/>
      </c>
      <c r="BD62" s="153" t="str">
        <f t="shared" si="4"/>
        <v>INDENIZAÇÃO</v>
      </c>
      <c r="BE62" s="153" t="str">
        <f t="shared" si="5"/>
        <v>NÃO</v>
      </c>
      <c r="BF62" s="153"/>
      <c r="BG62" s="153"/>
      <c r="BH62" s="153"/>
      <c r="BI62" s="153"/>
      <c r="BJ62" s="153"/>
      <c r="BK62" s="159"/>
      <c r="BL62" s="153"/>
      <c r="BM62" s="153"/>
    </row>
    <row r="63" spans="1:65" ht="24.75" customHeight="1" x14ac:dyDescent="0.25">
      <c r="A63" s="153"/>
      <c r="B63" s="153"/>
      <c r="C63" s="153"/>
      <c r="D63" s="157"/>
      <c r="E63" s="153"/>
      <c r="F63" s="158"/>
      <c r="G63" s="153"/>
      <c r="H63" s="153"/>
      <c r="I63" s="153"/>
      <c r="J63" s="158"/>
      <c r="K63" s="158"/>
      <c r="L63" s="158"/>
      <c r="M63" s="153"/>
      <c r="N63" s="153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3"/>
      <c r="AB63" s="158"/>
      <c r="AC63" s="158"/>
      <c r="AD63" s="158"/>
      <c r="AE63" s="153"/>
      <c r="AF63" s="153"/>
      <c r="AG63" s="160"/>
      <c r="AH63" s="160"/>
      <c r="AI63" s="153"/>
      <c r="AJ63" s="153"/>
      <c r="AK63" s="153"/>
      <c r="AL63" s="153"/>
      <c r="AM63" s="153"/>
      <c r="AN63" s="153"/>
      <c r="AO63" s="153"/>
      <c r="AP63" s="158"/>
      <c r="AQ63" s="153"/>
      <c r="AR63" s="153"/>
      <c r="AS63" s="153"/>
      <c r="AT63" s="153"/>
      <c r="AU63" s="159"/>
      <c r="AV63" s="153"/>
      <c r="AW63" s="153"/>
      <c r="AX63" s="159"/>
      <c r="AY63" s="159"/>
      <c r="AZ63" s="159"/>
      <c r="BA63" s="153"/>
      <c r="BB63" s="164"/>
      <c r="BC63" s="163" t="str">
        <f t="shared" si="3"/>
        <v/>
      </c>
      <c r="BD63" s="153" t="str">
        <f t="shared" si="4"/>
        <v>INDENIZAÇÃO</v>
      </c>
      <c r="BE63" s="153" t="str">
        <f t="shared" si="5"/>
        <v>NÃO</v>
      </c>
      <c r="BF63" s="153"/>
      <c r="BG63" s="153"/>
      <c r="BH63" s="153"/>
      <c r="BI63" s="153"/>
      <c r="BJ63" s="153"/>
      <c r="BK63" s="159"/>
      <c r="BL63" s="153"/>
      <c r="BM63" s="153"/>
    </row>
    <row r="64" spans="1:65" ht="24.75" customHeight="1" x14ac:dyDescent="0.25">
      <c r="A64" s="153"/>
      <c r="B64" s="153"/>
      <c r="C64" s="153"/>
      <c r="D64" s="157"/>
      <c r="E64" s="153"/>
      <c r="F64" s="158"/>
      <c r="G64" s="153"/>
      <c r="H64" s="153"/>
      <c r="I64" s="153"/>
      <c r="J64" s="158"/>
      <c r="K64" s="158"/>
      <c r="L64" s="158"/>
      <c r="M64" s="153"/>
      <c r="N64" s="153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3"/>
      <c r="AB64" s="158"/>
      <c r="AC64" s="158"/>
      <c r="AD64" s="158"/>
      <c r="AE64" s="153"/>
      <c r="AF64" s="153"/>
      <c r="AG64" s="160"/>
      <c r="AH64" s="160"/>
      <c r="AI64" s="153"/>
      <c r="AJ64" s="153"/>
      <c r="AK64" s="153"/>
      <c r="AL64" s="153"/>
      <c r="AM64" s="153"/>
      <c r="AN64" s="153"/>
      <c r="AO64" s="153"/>
      <c r="AP64" s="158"/>
      <c r="AQ64" s="153"/>
      <c r="AR64" s="153"/>
      <c r="AS64" s="153"/>
      <c r="AT64" s="153"/>
      <c r="AU64" s="159"/>
      <c r="AV64" s="153"/>
      <c r="AW64" s="153"/>
      <c r="AX64" s="159"/>
      <c r="AY64" s="159"/>
      <c r="AZ64" s="159"/>
      <c r="BA64" s="153"/>
      <c r="BB64" s="164"/>
      <c r="BC64" s="163" t="str">
        <f t="shared" si="3"/>
        <v/>
      </c>
      <c r="BD64" s="153" t="str">
        <f t="shared" si="4"/>
        <v>INDENIZAÇÃO</v>
      </c>
      <c r="BE64" s="153" t="str">
        <f t="shared" si="5"/>
        <v>NÃO</v>
      </c>
      <c r="BF64" s="153"/>
      <c r="BG64" s="153"/>
      <c r="BH64" s="153"/>
      <c r="BI64" s="153"/>
      <c r="BJ64" s="153"/>
      <c r="BK64" s="159"/>
      <c r="BL64" s="153"/>
      <c r="BM64" s="153"/>
    </row>
    <row r="65" spans="1:65" ht="24.75" customHeight="1" x14ac:dyDescent="0.25">
      <c r="A65" s="153"/>
      <c r="B65" s="153"/>
      <c r="C65" s="153"/>
      <c r="D65" s="157"/>
      <c r="E65" s="153"/>
      <c r="F65" s="158"/>
      <c r="G65" s="153"/>
      <c r="H65" s="153"/>
      <c r="I65" s="153"/>
      <c r="J65" s="158"/>
      <c r="K65" s="158"/>
      <c r="L65" s="158"/>
      <c r="M65" s="153"/>
      <c r="N65" s="153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3"/>
      <c r="AB65" s="158"/>
      <c r="AC65" s="158"/>
      <c r="AD65" s="158"/>
      <c r="AE65" s="153"/>
      <c r="AF65" s="153"/>
      <c r="AG65" s="160"/>
      <c r="AH65" s="160"/>
      <c r="AI65" s="153"/>
      <c r="AJ65" s="153"/>
      <c r="AK65" s="153"/>
      <c r="AL65" s="153"/>
      <c r="AM65" s="153"/>
      <c r="AN65" s="153"/>
      <c r="AO65" s="153"/>
      <c r="AP65" s="158"/>
      <c r="AQ65" s="153"/>
      <c r="AR65" s="153"/>
      <c r="AS65" s="153"/>
      <c r="AT65" s="153"/>
      <c r="AU65" s="159"/>
      <c r="AV65" s="153"/>
      <c r="AW65" s="153"/>
      <c r="AX65" s="159"/>
      <c r="AY65" s="159"/>
      <c r="AZ65" s="159"/>
      <c r="BA65" s="153"/>
      <c r="BB65" s="164"/>
      <c r="BC65" s="163" t="str">
        <f t="shared" si="3"/>
        <v/>
      </c>
      <c r="BD65" s="153" t="str">
        <f t="shared" si="4"/>
        <v>INDENIZAÇÃO</v>
      </c>
      <c r="BE65" s="153" t="str">
        <f t="shared" si="5"/>
        <v>NÃO</v>
      </c>
      <c r="BF65" s="153"/>
      <c r="BG65" s="153"/>
      <c r="BH65" s="153"/>
      <c r="BI65" s="153"/>
      <c r="BJ65" s="153"/>
      <c r="BK65" s="159"/>
      <c r="BL65" s="153"/>
      <c r="BM65" s="153"/>
    </row>
    <row r="66" spans="1:65" ht="24.75" customHeight="1" x14ac:dyDescent="0.25">
      <c r="A66" s="153"/>
      <c r="B66" s="153"/>
      <c r="C66" s="153"/>
      <c r="D66" s="157"/>
      <c r="E66" s="153"/>
      <c r="F66" s="158"/>
      <c r="G66" s="153"/>
      <c r="H66" s="153"/>
      <c r="I66" s="153"/>
      <c r="J66" s="158"/>
      <c r="K66" s="158"/>
      <c r="L66" s="158"/>
      <c r="M66" s="153"/>
      <c r="N66" s="153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3"/>
      <c r="AB66" s="158"/>
      <c r="AC66" s="158"/>
      <c r="AD66" s="158"/>
      <c r="AE66" s="153"/>
      <c r="AF66" s="153"/>
      <c r="AG66" s="160"/>
      <c r="AH66" s="160"/>
      <c r="AI66" s="153"/>
      <c r="AJ66" s="153"/>
      <c r="AK66" s="153"/>
      <c r="AL66" s="153"/>
      <c r="AM66" s="153"/>
      <c r="AN66" s="153"/>
      <c r="AO66" s="153"/>
      <c r="AP66" s="158"/>
      <c r="AQ66" s="153"/>
      <c r="AR66" s="153"/>
      <c r="AS66" s="153"/>
      <c r="AT66" s="153"/>
      <c r="AU66" s="159"/>
      <c r="AV66" s="153"/>
      <c r="AW66" s="153"/>
      <c r="AX66" s="159"/>
      <c r="AY66" s="159"/>
      <c r="AZ66" s="159"/>
      <c r="BA66" s="153"/>
      <c r="BB66" s="164"/>
      <c r="BC66" s="163" t="str">
        <f t="shared" si="3"/>
        <v/>
      </c>
      <c r="BD66" s="153" t="str">
        <f t="shared" si="4"/>
        <v>INDENIZAÇÃO</v>
      </c>
      <c r="BE66" s="153" t="str">
        <f t="shared" si="5"/>
        <v>NÃO</v>
      </c>
      <c r="BF66" s="153"/>
      <c r="BG66" s="153"/>
      <c r="BH66" s="153"/>
      <c r="BI66" s="153"/>
      <c r="BJ66" s="153"/>
      <c r="BK66" s="159"/>
      <c r="BL66" s="153"/>
      <c r="BM66" s="153"/>
    </row>
    <row r="67" spans="1:65" ht="24.75" customHeight="1" x14ac:dyDescent="0.25">
      <c r="A67" s="153"/>
      <c r="B67" s="153"/>
      <c r="C67" s="153"/>
      <c r="D67" s="157"/>
      <c r="E67" s="153"/>
      <c r="F67" s="158"/>
      <c r="G67" s="153"/>
      <c r="H67" s="153"/>
      <c r="I67" s="153"/>
      <c r="J67" s="158"/>
      <c r="K67" s="158"/>
      <c r="L67" s="158"/>
      <c r="M67" s="153"/>
      <c r="N67" s="153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3"/>
      <c r="AB67" s="158"/>
      <c r="AC67" s="158"/>
      <c r="AD67" s="158"/>
      <c r="AE67" s="153"/>
      <c r="AF67" s="153"/>
      <c r="AG67" s="160"/>
      <c r="AH67" s="160"/>
      <c r="AI67" s="153"/>
      <c r="AJ67" s="153"/>
      <c r="AK67" s="153"/>
      <c r="AL67" s="153"/>
      <c r="AM67" s="153"/>
      <c r="AN67" s="153"/>
      <c r="AO67" s="153"/>
      <c r="AP67" s="158"/>
      <c r="AQ67" s="153"/>
      <c r="AR67" s="153"/>
      <c r="AS67" s="153"/>
      <c r="AT67" s="153"/>
      <c r="AU67" s="159"/>
      <c r="AV67" s="153"/>
      <c r="AW67" s="153"/>
      <c r="AX67" s="159"/>
      <c r="AY67" s="159"/>
      <c r="AZ67" s="159"/>
      <c r="BA67" s="153"/>
      <c r="BB67" s="164"/>
      <c r="BC67" s="163" t="str">
        <f t="shared" si="3"/>
        <v/>
      </c>
      <c r="BD67" s="153" t="str">
        <f t="shared" si="4"/>
        <v>INDENIZAÇÃO</v>
      </c>
      <c r="BE67" s="153" t="str">
        <f t="shared" si="5"/>
        <v>NÃO</v>
      </c>
      <c r="BF67" s="153"/>
      <c r="BG67" s="153"/>
      <c r="BH67" s="153"/>
      <c r="BI67" s="153"/>
      <c r="BJ67" s="153"/>
      <c r="BK67" s="159"/>
      <c r="BL67" s="153"/>
      <c r="BM67" s="153"/>
    </row>
    <row r="68" spans="1:65" ht="24.75" customHeight="1" x14ac:dyDescent="0.25">
      <c r="A68" s="153"/>
      <c r="B68" s="153"/>
      <c r="C68" s="153"/>
      <c r="D68" s="157"/>
      <c r="E68" s="153"/>
      <c r="F68" s="158"/>
      <c r="G68" s="153"/>
      <c r="H68" s="153"/>
      <c r="I68" s="153"/>
      <c r="J68" s="158"/>
      <c r="K68" s="158"/>
      <c r="L68" s="158"/>
      <c r="M68" s="153"/>
      <c r="N68" s="153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3"/>
      <c r="AB68" s="158"/>
      <c r="AC68" s="158"/>
      <c r="AD68" s="158"/>
      <c r="AE68" s="153"/>
      <c r="AF68" s="153"/>
      <c r="AG68" s="160"/>
      <c r="AH68" s="160"/>
      <c r="AI68" s="153"/>
      <c r="AJ68" s="153"/>
      <c r="AK68" s="153"/>
      <c r="AL68" s="153"/>
      <c r="AM68" s="153"/>
      <c r="AN68" s="153"/>
      <c r="AO68" s="153"/>
      <c r="AP68" s="158"/>
      <c r="AQ68" s="153"/>
      <c r="AR68" s="153"/>
      <c r="AS68" s="153"/>
      <c r="AT68" s="153"/>
      <c r="AU68" s="159"/>
      <c r="AV68" s="153"/>
      <c r="AW68" s="153"/>
      <c r="AX68" s="159"/>
      <c r="AY68" s="159"/>
      <c r="AZ68" s="159"/>
      <c r="BA68" s="153"/>
      <c r="BB68" s="164"/>
      <c r="BC68" s="163" t="str">
        <f t="shared" si="3"/>
        <v/>
      </c>
      <c r="BD68" s="153" t="str">
        <f t="shared" si="4"/>
        <v>INDENIZAÇÃO</v>
      </c>
      <c r="BE68" s="153" t="str">
        <f t="shared" si="5"/>
        <v>NÃO</v>
      </c>
      <c r="BF68" s="153"/>
      <c r="BG68" s="153"/>
      <c r="BH68" s="153"/>
      <c r="BI68" s="153"/>
      <c r="BJ68" s="153"/>
      <c r="BK68" s="159"/>
      <c r="BL68" s="153"/>
      <c r="BM68" s="153"/>
    </row>
    <row r="69" spans="1:65" ht="24.75" customHeight="1" x14ac:dyDescent="0.25">
      <c r="A69" s="153"/>
      <c r="B69" s="153"/>
      <c r="C69" s="153"/>
      <c r="D69" s="157"/>
      <c r="E69" s="153"/>
      <c r="F69" s="158"/>
      <c r="G69" s="153"/>
      <c r="H69" s="153"/>
      <c r="I69" s="153"/>
      <c r="J69" s="158"/>
      <c r="K69" s="158"/>
      <c r="L69" s="158"/>
      <c r="M69" s="153"/>
      <c r="N69" s="153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3"/>
      <c r="AB69" s="158"/>
      <c r="AC69" s="158"/>
      <c r="AD69" s="158"/>
      <c r="AE69" s="153"/>
      <c r="AF69" s="153"/>
      <c r="AG69" s="160"/>
      <c r="AH69" s="160"/>
      <c r="AI69" s="153"/>
      <c r="AJ69" s="153"/>
      <c r="AK69" s="153"/>
      <c r="AL69" s="153"/>
      <c r="AM69" s="153"/>
      <c r="AN69" s="153"/>
      <c r="AO69" s="153"/>
      <c r="AP69" s="158"/>
      <c r="AQ69" s="153"/>
      <c r="AR69" s="153"/>
      <c r="AS69" s="153"/>
      <c r="AT69" s="153"/>
      <c r="AU69" s="159"/>
      <c r="AV69" s="153"/>
      <c r="AW69" s="153"/>
      <c r="AX69" s="159"/>
      <c r="AY69" s="159"/>
      <c r="AZ69" s="159"/>
      <c r="BA69" s="153"/>
      <c r="BB69" s="164"/>
      <c r="BC69" s="163" t="str">
        <f t="shared" si="3"/>
        <v/>
      </c>
      <c r="BD69" s="153" t="str">
        <f t="shared" si="4"/>
        <v>INDENIZAÇÃO</v>
      </c>
      <c r="BE69" s="153" t="str">
        <f t="shared" si="5"/>
        <v>NÃO</v>
      </c>
      <c r="BF69" s="153"/>
      <c r="BG69" s="153"/>
      <c r="BH69" s="153"/>
      <c r="BI69" s="153"/>
      <c r="BJ69" s="153"/>
      <c r="BK69" s="159"/>
      <c r="BL69" s="153"/>
      <c r="BM69" s="153"/>
    </row>
    <row r="70" spans="1:65" ht="24.75" customHeight="1" x14ac:dyDescent="0.25">
      <c r="A70" s="153"/>
      <c r="B70" s="153"/>
      <c r="C70" s="153"/>
      <c r="D70" s="157"/>
      <c r="E70" s="153"/>
      <c r="F70" s="158"/>
      <c r="G70" s="153"/>
      <c r="H70" s="153"/>
      <c r="I70" s="153"/>
      <c r="J70" s="158"/>
      <c r="K70" s="158"/>
      <c r="L70" s="158"/>
      <c r="M70" s="153"/>
      <c r="N70" s="153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3"/>
      <c r="AB70" s="158"/>
      <c r="AC70" s="158"/>
      <c r="AD70" s="158"/>
      <c r="AE70" s="153"/>
      <c r="AF70" s="153"/>
      <c r="AG70" s="160"/>
      <c r="AH70" s="160"/>
      <c r="AI70" s="153"/>
      <c r="AJ70" s="153"/>
      <c r="AK70" s="153"/>
      <c r="AL70" s="153"/>
      <c r="AM70" s="153"/>
      <c r="AN70" s="153"/>
      <c r="AO70" s="153"/>
      <c r="AP70" s="158"/>
      <c r="AQ70" s="153"/>
      <c r="AR70" s="153"/>
      <c r="AS70" s="153"/>
      <c r="AT70" s="153"/>
      <c r="AU70" s="159"/>
      <c r="AV70" s="153"/>
      <c r="AW70" s="153"/>
      <c r="AX70" s="159"/>
      <c r="AY70" s="159"/>
      <c r="AZ70" s="159"/>
      <c r="BA70" s="153"/>
      <c r="BB70" s="164"/>
      <c r="BC70" s="163" t="str">
        <f t="shared" si="3"/>
        <v/>
      </c>
      <c r="BD70" s="153" t="str">
        <f t="shared" si="4"/>
        <v>INDENIZAÇÃO</v>
      </c>
      <c r="BE70" s="153" t="str">
        <f t="shared" si="5"/>
        <v>NÃO</v>
      </c>
      <c r="BF70" s="153"/>
      <c r="BG70" s="153"/>
      <c r="BH70" s="153"/>
      <c r="BI70" s="153"/>
      <c r="BJ70" s="153"/>
      <c r="BK70" s="159"/>
      <c r="BL70" s="153"/>
      <c r="BM70" s="153"/>
    </row>
    <row r="71" spans="1:65" ht="24.75" customHeight="1" x14ac:dyDescent="0.25">
      <c r="A71" s="153"/>
      <c r="B71" s="153"/>
      <c r="C71" s="153"/>
      <c r="D71" s="157"/>
      <c r="E71" s="153"/>
      <c r="F71" s="158"/>
      <c r="G71" s="153"/>
      <c r="H71" s="153"/>
      <c r="I71" s="153"/>
      <c r="J71" s="158"/>
      <c r="K71" s="158"/>
      <c r="L71" s="158"/>
      <c r="M71" s="153"/>
      <c r="N71" s="153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3"/>
      <c r="AB71" s="158"/>
      <c r="AC71" s="158"/>
      <c r="AD71" s="158"/>
      <c r="AE71" s="153"/>
      <c r="AF71" s="153"/>
      <c r="AG71" s="160"/>
      <c r="AH71" s="160"/>
      <c r="AI71" s="153"/>
      <c r="AJ71" s="153"/>
      <c r="AK71" s="153"/>
      <c r="AL71" s="153"/>
      <c r="AM71" s="153"/>
      <c r="AN71" s="153"/>
      <c r="AO71" s="153"/>
      <c r="AP71" s="158"/>
      <c r="AQ71" s="153"/>
      <c r="AR71" s="153"/>
      <c r="AS71" s="153"/>
      <c r="AT71" s="153"/>
      <c r="AU71" s="159"/>
      <c r="AV71" s="153"/>
      <c r="AW71" s="153"/>
      <c r="AX71" s="159"/>
      <c r="AY71" s="159"/>
      <c r="AZ71" s="159"/>
      <c r="BA71" s="153"/>
      <c r="BB71" s="164"/>
      <c r="BC71" s="163" t="str">
        <f t="shared" si="3"/>
        <v/>
      </c>
      <c r="BD71" s="153" t="str">
        <f t="shared" si="4"/>
        <v>INDENIZAÇÃO</v>
      </c>
      <c r="BE71" s="153" t="str">
        <f t="shared" si="5"/>
        <v>NÃO</v>
      </c>
      <c r="BF71" s="153"/>
      <c r="BG71" s="153"/>
      <c r="BH71" s="153"/>
      <c r="BI71" s="153"/>
      <c r="BJ71" s="153"/>
      <c r="BK71" s="159"/>
      <c r="BL71" s="153"/>
      <c r="BM71" s="153"/>
    </row>
    <row r="72" spans="1:65" ht="24.75" customHeight="1" x14ac:dyDescent="0.25">
      <c r="A72" s="153"/>
      <c r="B72" s="153"/>
      <c r="C72" s="153"/>
      <c r="D72" s="157"/>
      <c r="E72" s="153"/>
      <c r="F72" s="158"/>
      <c r="G72" s="153"/>
      <c r="H72" s="153"/>
      <c r="I72" s="153"/>
      <c r="J72" s="158"/>
      <c r="K72" s="158"/>
      <c r="L72" s="158"/>
      <c r="M72" s="153"/>
      <c r="N72" s="153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3"/>
      <c r="AB72" s="158"/>
      <c r="AC72" s="158"/>
      <c r="AD72" s="158"/>
      <c r="AE72" s="153"/>
      <c r="AF72" s="153"/>
      <c r="AG72" s="160"/>
      <c r="AH72" s="160"/>
      <c r="AI72" s="153"/>
      <c r="AJ72" s="153"/>
      <c r="AK72" s="153"/>
      <c r="AL72" s="153"/>
      <c r="AM72" s="153"/>
      <c r="AN72" s="153"/>
      <c r="AO72" s="153"/>
      <c r="AP72" s="158"/>
      <c r="AQ72" s="153"/>
      <c r="AR72" s="153"/>
      <c r="AS72" s="153"/>
      <c r="AT72" s="153"/>
      <c r="AU72" s="159"/>
      <c r="AV72" s="153"/>
      <c r="AW72" s="153"/>
      <c r="AX72" s="159"/>
      <c r="AY72" s="159"/>
      <c r="AZ72" s="159"/>
      <c r="BA72" s="153"/>
      <c r="BB72" s="164"/>
      <c r="BC72" s="163" t="str">
        <f t="shared" si="3"/>
        <v/>
      </c>
      <c r="BD72" s="153" t="str">
        <f t="shared" si="4"/>
        <v>INDENIZAÇÃO</v>
      </c>
      <c r="BE72" s="153" t="str">
        <f t="shared" si="5"/>
        <v>NÃO</v>
      </c>
      <c r="BF72" s="153"/>
      <c r="BG72" s="153"/>
      <c r="BH72" s="153"/>
      <c r="BI72" s="153"/>
      <c r="BJ72" s="153"/>
      <c r="BK72" s="159"/>
      <c r="BL72" s="153"/>
      <c r="BM72" s="153"/>
    </row>
    <row r="73" spans="1:65" ht="24.75" customHeight="1" x14ac:dyDescent="0.25">
      <c r="A73" s="153"/>
      <c r="B73" s="153"/>
      <c r="C73" s="153"/>
      <c r="D73" s="157"/>
      <c r="E73" s="153"/>
      <c r="F73" s="158"/>
      <c r="G73" s="153"/>
      <c r="H73" s="153"/>
      <c r="I73" s="153"/>
      <c r="J73" s="158"/>
      <c r="K73" s="158"/>
      <c r="L73" s="158"/>
      <c r="M73" s="153"/>
      <c r="N73" s="153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3"/>
      <c r="AB73" s="158"/>
      <c r="AC73" s="158"/>
      <c r="AD73" s="158"/>
      <c r="AE73" s="153"/>
      <c r="AF73" s="153"/>
      <c r="AG73" s="160"/>
      <c r="AH73" s="160"/>
      <c r="AI73" s="153"/>
      <c r="AJ73" s="153"/>
      <c r="AK73" s="153"/>
      <c r="AL73" s="153"/>
      <c r="AM73" s="153"/>
      <c r="AN73" s="153"/>
      <c r="AO73" s="153"/>
      <c r="AP73" s="158"/>
      <c r="AQ73" s="153"/>
      <c r="AR73" s="153"/>
      <c r="AS73" s="153"/>
      <c r="AT73" s="153"/>
      <c r="AU73" s="159"/>
      <c r="AV73" s="153"/>
      <c r="AW73" s="153"/>
      <c r="AX73" s="159"/>
      <c r="AY73" s="159"/>
      <c r="AZ73" s="159"/>
      <c r="BA73" s="153"/>
      <c r="BB73" s="164"/>
      <c r="BC73" s="163" t="str">
        <f t="shared" si="3"/>
        <v/>
      </c>
      <c r="BD73" s="153" t="str">
        <f t="shared" si="4"/>
        <v>INDENIZAÇÃO</v>
      </c>
      <c r="BE73" s="153" t="str">
        <f t="shared" si="5"/>
        <v>NÃO</v>
      </c>
      <c r="BF73" s="153"/>
      <c r="BG73" s="153"/>
      <c r="BH73" s="153"/>
      <c r="BI73" s="153"/>
      <c r="BJ73" s="153"/>
      <c r="BK73" s="159"/>
      <c r="BL73" s="153"/>
      <c r="BM73" s="153"/>
    </row>
    <row r="74" spans="1:65" ht="24.75" customHeight="1" x14ac:dyDescent="0.25">
      <c r="A74" s="153"/>
      <c r="B74" s="153"/>
      <c r="C74" s="153"/>
      <c r="D74" s="157"/>
      <c r="E74" s="153"/>
      <c r="F74" s="158"/>
      <c r="G74" s="153"/>
      <c r="H74" s="153"/>
      <c r="I74" s="153"/>
      <c r="J74" s="158"/>
      <c r="K74" s="158"/>
      <c r="L74" s="158"/>
      <c r="M74" s="153"/>
      <c r="N74" s="153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3"/>
      <c r="AB74" s="158"/>
      <c r="AC74" s="158"/>
      <c r="AD74" s="158"/>
      <c r="AE74" s="153"/>
      <c r="AF74" s="153"/>
      <c r="AG74" s="160"/>
      <c r="AH74" s="160"/>
      <c r="AI74" s="153"/>
      <c r="AJ74" s="153"/>
      <c r="AK74" s="153"/>
      <c r="AL74" s="153"/>
      <c r="AM74" s="153"/>
      <c r="AN74" s="153"/>
      <c r="AO74" s="153"/>
      <c r="AP74" s="158"/>
      <c r="AQ74" s="153"/>
      <c r="AR74" s="153"/>
      <c r="AS74" s="153"/>
      <c r="AT74" s="153"/>
      <c r="AU74" s="159"/>
      <c r="AV74" s="153"/>
      <c r="AW74" s="153"/>
      <c r="AX74" s="159"/>
      <c r="AY74" s="159"/>
      <c r="AZ74" s="159"/>
      <c r="BA74" s="153"/>
      <c r="BB74" s="164"/>
      <c r="BC74" s="163" t="str">
        <f t="shared" si="3"/>
        <v/>
      </c>
      <c r="BD74" s="153" t="str">
        <f t="shared" si="4"/>
        <v>INDENIZAÇÃO</v>
      </c>
      <c r="BE74" s="153" t="str">
        <f t="shared" si="5"/>
        <v>NÃO</v>
      </c>
      <c r="BF74" s="153"/>
      <c r="BG74" s="153"/>
      <c r="BH74" s="153"/>
      <c r="BI74" s="153"/>
      <c r="BJ74" s="153"/>
      <c r="BK74" s="159"/>
      <c r="BL74" s="153"/>
      <c r="BM74" s="153"/>
    </row>
    <row r="75" spans="1:65" ht="24.75" customHeight="1" x14ac:dyDescent="0.25">
      <c r="A75" s="153"/>
      <c r="B75" s="153"/>
      <c r="C75" s="153"/>
      <c r="D75" s="157"/>
      <c r="E75" s="153"/>
      <c r="F75" s="158"/>
      <c r="G75" s="153"/>
      <c r="H75" s="153"/>
      <c r="I75" s="153"/>
      <c r="J75" s="158"/>
      <c r="K75" s="158"/>
      <c r="L75" s="158"/>
      <c r="M75" s="153"/>
      <c r="N75" s="153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3"/>
      <c r="AB75" s="158"/>
      <c r="AC75" s="158"/>
      <c r="AD75" s="158"/>
      <c r="AE75" s="153"/>
      <c r="AF75" s="153"/>
      <c r="AG75" s="160"/>
      <c r="AH75" s="160"/>
      <c r="AI75" s="153"/>
      <c r="AJ75" s="153"/>
      <c r="AK75" s="153"/>
      <c r="AL75" s="153"/>
      <c r="AM75" s="153"/>
      <c r="AN75" s="153"/>
      <c r="AO75" s="153"/>
      <c r="AP75" s="158"/>
      <c r="AQ75" s="153"/>
      <c r="AR75" s="153"/>
      <c r="AS75" s="153"/>
      <c r="AT75" s="153"/>
      <c r="AU75" s="159"/>
      <c r="AV75" s="153"/>
      <c r="AW75" s="153"/>
      <c r="AX75" s="159"/>
      <c r="AY75" s="159"/>
      <c r="AZ75" s="159"/>
      <c r="BA75" s="153"/>
      <c r="BB75" s="164"/>
      <c r="BC75" s="163" t="str">
        <f t="shared" si="3"/>
        <v/>
      </c>
      <c r="BD75" s="153" t="str">
        <f t="shared" si="4"/>
        <v>INDENIZAÇÃO</v>
      </c>
      <c r="BE75" s="153" t="str">
        <f t="shared" si="5"/>
        <v>NÃO</v>
      </c>
      <c r="BF75" s="153"/>
      <c r="BG75" s="153"/>
      <c r="BH75" s="153"/>
      <c r="BI75" s="153"/>
      <c r="BJ75" s="153"/>
      <c r="BK75" s="159"/>
      <c r="BL75" s="153"/>
      <c r="BM75" s="153"/>
    </row>
    <row r="76" spans="1:65" ht="24.75" customHeight="1" x14ac:dyDescent="0.25">
      <c r="A76" s="153"/>
      <c r="B76" s="153"/>
      <c r="C76" s="153"/>
      <c r="D76" s="157"/>
      <c r="E76" s="153"/>
      <c r="F76" s="158"/>
      <c r="G76" s="153"/>
      <c r="H76" s="153"/>
      <c r="I76" s="153"/>
      <c r="J76" s="158"/>
      <c r="K76" s="158"/>
      <c r="L76" s="158"/>
      <c r="M76" s="153"/>
      <c r="N76" s="153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3"/>
      <c r="AB76" s="158"/>
      <c r="AC76" s="158"/>
      <c r="AD76" s="158"/>
      <c r="AE76" s="153"/>
      <c r="AF76" s="153"/>
      <c r="AG76" s="160"/>
      <c r="AH76" s="160"/>
      <c r="AI76" s="153"/>
      <c r="AJ76" s="153"/>
      <c r="AK76" s="153"/>
      <c r="AL76" s="153"/>
      <c r="AM76" s="153"/>
      <c r="AN76" s="153"/>
      <c r="AO76" s="153"/>
      <c r="AP76" s="158"/>
      <c r="AQ76" s="153"/>
      <c r="AR76" s="153"/>
      <c r="AS76" s="153"/>
      <c r="AT76" s="153"/>
      <c r="AU76" s="159"/>
      <c r="AV76" s="153"/>
      <c r="AW76" s="153"/>
      <c r="AX76" s="159"/>
      <c r="AY76" s="159"/>
      <c r="AZ76" s="159"/>
      <c r="BA76" s="153"/>
      <c r="BB76" s="164"/>
      <c r="BC76" s="163" t="str">
        <f t="shared" si="3"/>
        <v/>
      </c>
      <c r="BD76" s="153" t="str">
        <f t="shared" si="4"/>
        <v>INDENIZAÇÃO</v>
      </c>
      <c r="BE76" s="153" t="str">
        <f t="shared" si="5"/>
        <v>NÃO</v>
      </c>
      <c r="BF76" s="153"/>
      <c r="BG76" s="153"/>
      <c r="BH76" s="153"/>
      <c r="BI76" s="153"/>
      <c r="BJ76" s="153"/>
      <c r="BK76" s="159"/>
      <c r="BL76" s="153"/>
      <c r="BM76" s="153"/>
    </row>
    <row r="77" spans="1:65" ht="24.75" customHeight="1" x14ac:dyDescent="0.25">
      <c r="A77" s="153"/>
      <c r="B77" s="153"/>
      <c r="C77" s="153"/>
      <c r="D77" s="157"/>
      <c r="E77" s="153"/>
      <c r="F77" s="158"/>
      <c r="G77" s="153"/>
      <c r="H77" s="153"/>
      <c r="I77" s="153"/>
      <c r="J77" s="158"/>
      <c r="K77" s="158"/>
      <c r="L77" s="158"/>
      <c r="M77" s="153"/>
      <c r="N77" s="153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3"/>
      <c r="AB77" s="158"/>
      <c r="AC77" s="158"/>
      <c r="AD77" s="158"/>
      <c r="AE77" s="153"/>
      <c r="AF77" s="153"/>
      <c r="AG77" s="160"/>
      <c r="AH77" s="160"/>
      <c r="AI77" s="153"/>
      <c r="AJ77" s="153"/>
      <c r="AK77" s="153"/>
      <c r="AL77" s="153"/>
      <c r="AM77" s="153"/>
      <c r="AN77" s="153"/>
      <c r="AO77" s="153"/>
      <c r="AP77" s="158"/>
      <c r="AQ77" s="153"/>
      <c r="AR77" s="153"/>
      <c r="AS77" s="153"/>
      <c r="AT77" s="153"/>
      <c r="AU77" s="159"/>
      <c r="AV77" s="153"/>
      <c r="AW77" s="153"/>
      <c r="AX77" s="159"/>
      <c r="AY77" s="159"/>
      <c r="AZ77" s="159"/>
      <c r="BA77" s="153"/>
      <c r="BB77" s="164"/>
      <c r="BC77" s="163" t="str">
        <f t="shared" si="3"/>
        <v/>
      </c>
      <c r="BD77" s="153" t="str">
        <f t="shared" si="4"/>
        <v>INDENIZAÇÃO</v>
      </c>
      <c r="BE77" s="153" t="str">
        <f t="shared" si="5"/>
        <v>NÃO</v>
      </c>
      <c r="BF77" s="153"/>
      <c r="BG77" s="153"/>
      <c r="BH77" s="153"/>
      <c r="BI77" s="153"/>
      <c r="BJ77" s="153"/>
      <c r="BK77" s="159"/>
      <c r="BL77" s="153"/>
      <c r="BM77" s="153"/>
    </row>
    <row r="78" spans="1:65" ht="24.75" customHeight="1" x14ac:dyDescent="0.25">
      <c r="A78" s="153"/>
      <c r="B78" s="153"/>
      <c r="C78" s="153"/>
      <c r="D78" s="157"/>
      <c r="E78" s="153"/>
      <c r="F78" s="158"/>
      <c r="G78" s="153"/>
      <c r="H78" s="153"/>
      <c r="I78" s="153"/>
      <c r="J78" s="158"/>
      <c r="K78" s="158"/>
      <c r="L78" s="158"/>
      <c r="M78" s="153"/>
      <c r="N78" s="153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3"/>
      <c r="AB78" s="158"/>
      <c r="AC78" s="158"/>
      <c r="AD78" s="158"/>
      <c r="AE78" s="153"/>
      <c r="AF78" s="153"/>
      <c r="AG78" s="160"/>
      <c r="AH78" s="160"/>
      <c r="AI78" s="153"/>
      <c r="AJ78" s="153"/>
      <c r="AK78" s="153"/>
      <c r="AL78" s="153"/>
      <c r="AM78" s="153"/>
      <c r="AN78" s="153"/>
      <c r="AO78" s="153"/>
      <c r="AP78" s="158"/>
      <c r="AQ78" s="153"/>
      <c r="AR78" s="153"/>
      <c r="AS78" s="153"/>
      <c r="AT78" s="153"/>
      <c r="AU78" s="159"/>
      <c r="AV78" s="153"/>
      <c r="AW78" s="153"/>
      <c r="AX78" s="159"/>
      <c r="AY78" s="159"/>
      <c r="AZ78" s="159"/>
      <c r="BA78" s="153"/>
      <c r="BB78" s="164"/>
      <c r="BC78" s="163" t="str">
        <f t="shared" ref="BC78:BC109" si="6">IF(AY78-KG78=0,"",AY78-O78)</f>
        <v/>
      </c>
      <c r="BD78" s="153" t="str">
        <f t="shared" ref="BD78:BD109" si="7">IF(AND(AI78&lt;&gt;"SIM",AI78="UH"),"AA","INDENIZAÇÃO")</f>
        <v>INDENIZAÇÃO</v>
      </c>
      <c r="BE78" s="153" t="str">
        <f t="shared" ref="BE78:BE109" si="8">IF(AND(AY78&lt;&gt;"AGUARDANDO",AY78&lt;&gt;"",N78="AUXÍLIO ALUGUEL ATÉ INDENIZAÇÃO"),"SIM","NÃO")</f>
        <v>NÃO</v>
      </c>
      <c r="BF78" s="153"/>
      <c r="BG78" s="153"/>
      <c r="BH78" s="153"/>
      <c r="BI78" s="153"/>
      <c r="BJ78" s="153"/>
      <c r="BK78" s="159"/>
      <c r="BL78" s="153"/>
      <c r="BM78" s="153"/>
    </row>
    <row r="79" spans="1:65" ht="24.75" customHeight="1" x14ac:dyDescent="0.25">
      <c r="A79" s="153"/>
      <c r="B79" s="153"/>
      <c r="C79" s="153"/>
      <c r="D79" s="157"/>
      <c r="E79" s="153"/>
      <c r="F79" s="158"/>
      <c r="G79" s="153"/>
      <c r="H79" s="153"/>
      <c r="I79" s="153"/>
      <c r="J79" s="158"/>
      <c r="K79" s="158"/>
      <c r="L79" s="158"/>
      <c r="M79" s="153"/>
      <c r="N79" s="153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3"/>
      <c r="AB79" s="158"/>
      <c r="AC79" s="158"/>
      <c r="AD79" s="158"/>
      <c r="AE79" s="153"/>
      <c r="AF79" s="153"/>
      <c r="AG79" s="160"/>
      <c r="AH79" s="160"/>
      <c r="AI79" s="153"/>
      <c r="AJ79" s="153"/>
      <c r="AK79" s="153"/>
      <c r="AL79" s="153"/>
      <c r="AM79" s="153"/>
      <c r="AN79" s="153"/>
      <c r="AO79" s="153"/>
      <c r="AP79" s="158"/>
      <c r="AQ79" s="153"/>
      <c r="AR79" s="153"/>
      <c r="AS79" s="153"/>
      <c r="AT79" s="153"/>
      <c r="AU79" s="159"/>
      <c r="AV79" s="153"/>
      <c r="AW79" s="153"/>
      <c r="AX79" s="159"/>
      <c r="AY79" s="159"/>
      <c r="AZ79" s="159"/>
      <c r="BA79" s="153"/>
      <c r="BB79" s="164"/>
      <c r="BC79" s="163" t="str">
        <f t="shared" si="6"/>
        <v/>
      </c>
      <c r="BD79" s="153" t="str">
        <f t="shared" si="7"/>
        <v>INDENIZAÇÃO</v>
      </c>
      <c r="BE79" s="153" t="str">
        <f t="shared" si="8"/>
        <v>NÃO</v>
      </c>
      <c r="BF79" s="153"/>
      <c r="BG79" s="153"/>
      <c r="BH79" s="153"/>
      <c r="BI79" s="153"/>
      <c r="BJ79" s="153"/>
      <c r="BK79" s="159"/>
      <c r="BL79" s="153"/>
      <c r="BM79" s="153"/>
    </row>
    <row r="80" spans="1:65" ht="24.75" customHeight="1" x14ac:dyDescent="0.25">
      <c r="A80" s="153"/>
      <c r="B80" s="153"/>
      <c r="C80" s="153"/>
      <c r="D80" s="157"/>
      <c r="E80" s="153"/>
      <c r="F80" s="158"/>
      <c r="G80" s="153"/>
      <c r="H80" s="153"/>
      <c r="I80" s="153"/>
      <c r="J80" s="158"/>
      <c r="K80" s="158"/>
      <c r="L80" s="158"/>
      <c r="M80" s="153"/>
      <c r="N80" s="153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3"/>
      <c r="AB80" s="158"/>
      <c r="AC80" s="158"/>
      <c r="AD80" s="158"/>
      <c r="AE80" s="153"/>
      <c r="AF80" s="153"/>
      <c r="AG80" s="160"/>
      <c r="AH80" s="160"/>
      <c r="AI80" s="153"/>
      <c r="AJ80" s="153"/>
      <c r="AK80" s="153"/>
      <c r="AL80" s="153"/>
      <c r="AM80" s="153"/>
      <c r="AN80" s="153"/>
      <c r="AO80" s="153"/>
      <c r="AP80" s="158"/>
      <c r="AQ80" s="153"/>
      <c r="AR80" s="153"/>
      <c r="AS80" s="153"/>
      <c r="AT80" s="153"/>
      <c r="AU80" s="159"/>
      <c r="AV80" s="153"/>
      <c r="AW80" s="153"/>
      <c r="AX80" s="159"/>
      <c r="AY80" s="159"/>
      <c r="AZ80" s="159"/>
      <c r="BA80" s="153"/>
      <c r="BB80" s="164"/>
      <c r="BC80" s="163" t="str">
        <f t="shared" si="6"/>
        <v/>
      </c>
      <c r="BD80" s="153" t="str">
        <f t="shared" si="7"/>
        <v>INDENIZAÇÃO</v>
      </c>
      <c r="BE80" s="153" t="str">
        <f t="shared" si="8"/>
        <v>NÃO</v>
      </c>
      <c r="BF80" s="153"/>
      <c r="BG80" s="153"/>
      <c r="BH80" s="153"/>
      <c r="BI80" s="153"/>
      <c r="BJ80" s="153"/>
      <c r="BK80" s="159"/>
      <c r="BL80" s="153"/>
      <c r="BM80" s="153"/>
    </row>
    <row r="81" spans="1:65" ht="24.75" customHeight="1" x14ac:dyDescent="0.25">
      <c r="A81" s="153"/>
      <c r="B81" s="153"/>
      <c r="C81" s="153"/>
      <c r="D81" s="157"/>
      <c r="E81" s="153"/>
      <c r="F81" s="158"/>
      <c r="G81" s="153"/>
      <c r="H81" s="153"/>
      <c r="I81" s="153"/>
      <c r="J81" s="158"/>
      <c r="K81" s="158"/>
      <c r="L81" s="158"/>
      <c r="M81" s="153"/>
      <c r="N81" s="153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3"/>
      <c r="AB81" s="158"/>
      <c r="AC81" s="158"/>
      <c r="AD81" s="158"/>
      <c r="AE81" s="153"/>
      <c r="AF81" s="153"/>
      <c r="AG81" s="160"/>
      <c r="AH81" s="160"/>
      <c r="AI81" s="153"/>
      <c r="AJ81" s="153"/>
      <c r="AK81" s="153"/>
      <c r="AL81" s="153"/>
      <c r="AM81" s="153"/>
      <c r="AN81" s="153"/>
      <c r="AO81" s="153"/>
      <c r="AP81" s="158"/>
      <c r="AQ81" s="153"/>
      <c r="AR81" s="153"/>
      <c r="AS81" s="153"/>
      <c r="AT81" s="153"/>
      <c r="AU81" s="159"/>
      <c r="AV81" s="153"/>
      <c r="AW81" s="153"/>
      <c r="AX81" s="159"/>
      <c r="AY81" s="159"/>
      <c r="AZ81" s="159"/>
      <c r="BA81" s="153"/>
      <c r="BB81" s="164"/>
      <c r="BC81" s="163" t="str">
        <f t="shared" si="6"/>
        <v/>
      </c>
      <c r="BD81" s="153" t="str">
        <f t="shared" si="7"/>
        <v>INDENIZAÇÃO</v>
      </c>
      <c r="BE81" s="153" t="str">
        <f t="shared" si="8"/>
        <v>NÃO</v>
      </c>
      <c r="BF81" s="153"/>
      <c r="BG81" s="153"/>
      <c r="BH81" s="153"/>
      <c r="BI81" s="153"/>
      <c r="BJ81" s="153"/>
      <c r="BK81" s="159"/>
      <c r="BL81" s="153"/>
      <c r="BM81" s="153"/>
    </row>
    <row r="82" spans="1:65" ht="24.75" customHeight="1" x14ac:dyDescent="0.25">
      <c r="A82" s="153"/>
      <c r="B82" s="153"/>
      <c r="C82" s="153"/>
      <c r="D82" s="157"/>
      <c r="E82" s="153"/>
      <c r="F82" s="158"/>
      <c r="G82" s="153"/>
      <c r="H82" s="153"/>
      <c r="I82" s="153"/>
      <c r="J82" s="158"/>
      <c r="K82" s="158"/>
      <c r="L82" s="158"/>
      <c r="M82" s="153"/>
      <c r="N82" s="153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3"/>
      <c r="AB82" s="158"/>
      <c r="AC82" s="158"/>
      <c r="AD82" s="158"/>
      <c r="AE82" s="153"/>
      <c r="AF82" s="153"/>
      <c r="AG82" s="160"/>
      <c r="AH82" s="160"/>
      <c r="AI82" s="153"/>
      <c r="AJ82" s="153"/>
      <c r="AK82" s="153"/>
      <c r="AL82" s="153"/>
      <c r="AM82" s="153"/>
      <c r="AN82" s="153"/>
      <c r="AO82" s="153"/>
      <c r="AP82" s="158"/>
      <c r="AQ82" s="153"/>
      <c r="AR82" s="153"/>
      <c r="AS82" s="153"/>
      <c r="AT82" s="153"/>
      <c r="AU82" s="159"/>
      <c r="AV82" s="153"/>
      <c r="AW82" s="153"/>
      <c r="AX82" s="159"/>
      <c r="AY82" s="159"/>
      <c r="AZ82" s="159"/>
      <c r="BA82" s="153"/>
      <c r="BB82" s="164"/>
      <c r="BC82" s="163" t="str">
        <f t="shared" si="6"/>
        <v/>
      </c>
      <c r="BD82" s="153" t="str">
        <f t="shared" si="7"/>
        <v>INDENIZAÇÃO</v>
      </c>
      <c r="BE82" s="153" t="str">
        <f t="shared" si="8"/>
        <v>NÃO</v>
      </c>
      <c r="BF82" s="153"/>
      <c r="BG82" s="153"/>
      <c r="BH82" s="153"/>
      <c r="BI82" s="153"/>
      <c r="BJ82" s="153"/>
      <c r="BK82" s="159"/>
      <c r="BL82" s="153"/>
      <c r="BM82" s="153"/>
    </row>
    <row r="83" spans="1:65" ht="24.75" customHeight="1" x14ac:dyDescent="0.25">
      <c r="A83" s="153"/>
      <c r="B83" s="153"/>
      <c r="C83" s="153"/>
      <c r="D83" s="157"/>
      <c r="E83" s="153"/>
      <c r="F83" s="158"/>
      <c r="G83" s="153"/>
      <c r="H83" s="153"/>
      <c r="I83" s="153"/>
      <c r="J83" s="158"/>
      <c r="K83" s="158"/>
      <c r="L83" s="158"/>
      <c r="M83" s="153"/>
      <c r="N83" s="153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3"/>
      <c r="AB83" s="158"/>
      <c r="AC83" s="158"/>
      <c r="AD83" s="158"/>
      <c r="AE83" s="153"/>
      <c r="AF83" s="153"/>
      <c r="AG83" s="160"/>
      <c r="AH83" s="160"/>
      <c r="AI83" s="153"/>
      <c r="AJ83" s="153"/>
      <c r="AK83" s="153"/>
      <c r="AL83" s="153"/>
      <c r="AM83" s="153"/>
      <c r="AN83" s="153"/>
      <c r="AO83" s="153"/>
      <c r="AP83" s="158"/>
      <c r="AQ83" s="153"/>
      <c r="AR83" s="153"/>
      <c r="AS83" s="153"/>
      <c r="AT83" s="153"/>
      <c r="AU83" s="159"/>
      <c r="AV83" s="153"/>
      <c r="AW83" s="153"/>
      <c r="AX83" s="159"/>
      <c r="AY83" s="159"/>
      <c r="AZ83" s="159"/>
      <c r="BA83" s="153"/>
      <c r="BB83" s="164"/>
      <c r="BC83" s="163" t="str">
        <f t="shared" si="6"/>
        <v/>
      </c>
      <c r="BD83" s="153" t="str">
        <f t="shared" si="7"/>
        <v>INDENIZAÇÃO</v>
      </c>
      <c r="BE83" s="153" t="str">
        <f t="shared" si="8"/>
        <v>NÃO</v>
      </c>
      <c r="BF83" s="153"/>
      <c r="BG83" s="153"/>
      <c r="BH83" s="153"/>
      <c r="BI83" s="153"/>
      <c r="BJ83" s="153"/>
      <c r="BK83" s="159"/>
      <c r="BL83" s="153"/>
      <c r="BM83" s="153"/>
    </row>
    <row r="84" spans="1:65" ht="24.75" customHeight="1" x14ac:dyDescent="0.25">
      <c r="A84" s="153"/>
      <c r="B84" s="153"/>
      <c r="C84" s="153"/>
      <c r="D84" s="157"/>
      <c r="E84" s="153"/>
      <c r="F84" s="158"/>
      <c r="G84" s="153"/>
      <c r="H84" s="153"/>
      <c r="I84" s="153"/>
      <c r="J84" s="158"/>
      <c r="K84" s="158"/>
      <c r="L84" s="158"/>
      <c r="M84" s="153"/>
      <c r="N84" s="153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3"/>
      <c r="AB84" s="158"/>
      <c r="AC84" s="158"/>
      <c r="AD84" s="158"/>
      <c r="AE84" s="153"/>
      <c r="AF84" s="153"/>
      <c r="AG84" s="160"/>
      <c r="AH84" s="160"/>
      <c r="AI84" s="153"/>
      <c r="AJ84" s="153"/>
      <c r="AK84" s="153"/>
      <c r="AL84" s="153"/>
      <c r="AM84" s="153"/>
      <c r="AN84" s="153"/>
      <c r="AO84" s="153"/>
      <c r="AP84" s="158"/>
      <c r="AQ84" s="153"/>
      <c r="AR84" s="153"/>
      <c r="AS84" s="153"/>
      <c r="AT84" s="153"/>
      <c r="AU84" s="159"/>
      <c r="AV84" s="153"/>
      <c r="AW84" s="153"/>
      <c r="AX84" s="159"/>
      <c r="AY84" s="159"/>
      <c r="AZ84" s="159"/>
      <c r="BA84" s="153"/>
      <c r="BB84" s="164"/>
      <c r="BC84" s="163" t="str">
        <f t="shared" si="6"/>
        <v/>
      </c>
      <c r="BD84" s="153" t="str">
        <f t="shared" si="7"/>
        <v>INDENIZAÇÃO</v>
      </c>
      <c r="BE84" s="153" t="str">
        <f t="shared" si="8"/>
        <v>NÃO</v>
      </c>
      <c r="BF84" s="153"/>
      <c r="BG84" s="153"/>
      <c r="BH84" s="153"/>
      <c r="BI84" s="153"/>
      <c r="BJ84" s="153"/>
      <c r="BK84" s="159"/>
      <c r="BL84" s="153"/>
      <c r="BM84" s="153"/>
    </row>
    <row r="85" spans="1:65" ht="24.75" customHeight="1" x14ac:dyDescent="0.25">
      <c r="A85" s="153"/>
      <c r="B85" s="153"/>
      <c r="C85" s="153"/>
      <c r="D85" s="157"/>
      <c r="E85" s="153"/>
      <c r="F85" s="158"/>
      <c r="G85" s="153"/>
      <c r="H85" s="153"/>
      <c r="I85" s="153"/>
      <c r="J85" s="158"/>
      <c r="K85" s="158"/>
      <c r="L85" s="158"/>
      <c r="M85" s="153"/>
      <c r="N85" s="153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3"/>
      <c r="AB85" s="158"/>
      <c r="AC85" s="158"/>
      <c r="AD85" s="158"/>
      <c r="AE85" s="153"/>
      <c r="AF85" s="153"/>
      <c r="AG85" s="160"/>
      <c r="AH85" s="160"/>
      <c r="AI85" s="153"/>
      <c r="AJ85" s="153"/>
      <c r="AK85" s="153"/>
      <c r="AL85" s="153"/>
      <c r="AM85" s="153"/>
      <c r="AN85" s="153"/>
      <c r="AO85" s="153"/>
      <c r="AP85" s="158"/>
      <c r="AQ85" s="153"/>
      <c r="AR85" s="153"/>
      <c r="AS85" s="153"/>
      <c r="AT85" s="153"/>
      <c r="AU85" s="159"/>
      <c r="AV85" s="153"/>
      <c r="AW85" s="153"/>
      <c r="AX85" s="159"/>
      <c r="AY85" s="159"/>
      <c r="AZ85" s="159"/>
      <c r="BA85" s="153"/>
      <c r="BB85" s="164"/>
      <c r="BC85" s="163" t="str">
        <f t="shared" si="6"/>
        <v/>
      </c>
      <c r="BD85" s="153" t="str">
        <f t="shared" si="7"/>
        <v>INDENIZAÇÃO</v>
      </c>
      <c r="BE85" s="153" t="str">
        <f t="shared" si="8"/>
        <v>NÃO</v>
      </c>
      <c r="BF85" s="153"/>
      <c r="BG85" s="153"/>
      <c r="BH85" s="153"/>
      <c r="BI85" s="153"/>
      <c r="BJ85" s="153"/>
      <c r="BK85" s="159"/>
      <c r="BL85" s="153"/>
      <c r="BM85" s="153"/>
    </row>
    <row r="86" spans="1:65" ht="24.75" customHeight="1" x14ac:dyDescent="0.25">
      <c r="A86" s="153"/>
      <c r="B86" s="153"/>
      <c r="C86" s="153"/>
      <c r="D86" s="157"/>
      <c r="E86" s="153"/>
      <c r="F86" s="158"/>
      <c r="G86" s="153"/>
      <c r="H86" s="153"/>
      <c r="I86" s="153"/>
      <c r="J86" s="158"/>
      <c r="K86" s="158"/>
      <c r="L86" s="158"/>
      <c r="M86" s="153"/>
      <c r="N86" s="153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3"/>
      <c r="AB86" s="158"/>
      <c r="AC86" s="158"/>
      <c r="AD86" s="158"/>
      <c r="AE86" s="153"/>
      <c r="AF86" s="153"/>
      <c r="AG86" s="160"/>
      <c r="AH86" s="160"/>
      <c r="AI86" s="153"/>
      <c r="AJ86" s="153"/>
      <c r="AK86" s="153"/>
      <c r="AL86" s="153"/>
      <c r="AM86" s="153"/>
      <c r="AN86" s="153"/>
      <c r="AO86" s="153"/>
      <c r="AP86" s="158"/>
      <c r="AQ86" s="153"/>
      <c r="AR86" s="153"/>
      <c r="AS86" s="153"/>
      <c r="AT86" s="153"/>
      <c r="AU86" s="159"/>
      <c r="AV86" s="153"/>
      <c r="AW86" s="153"/>
      <c r="AX86" s="159"/>
      <c r="AY86" s="159"/>
      <c r="AZ86" s="159"/>
      <c r="BA86" s="153"/>
      <c r="BB86" s="164"/>
      <c r="BC86" s="163" t="str">
        <f t="shared" si="6"/>
        <v/>
      </c>
      <c r="BD86" s="153" t="str">
        <f t="shared" si="7"/>
        <v>INDENIZAÇÃO</v>
      </c>
      <c r="BE86" s="153" t="str">
        <f t="shared" si="8"/>
        <v>NÃO</v>
      </c>
      <c r="BF86" s="153"/>
      <c r="BG86" s="153"/>
      <c r="BH86" s="153"/>
      <c r="BI86" s="153"/>
      <c r="BJ86" s="153"/>
      <c r="BK86" s="159"/>
      <c r="BL86" s="153"/>
      <c r="BM86" s="153"/>
    </row>
    <row r="87" spans="1:65" ht="24.75" customHeight="1" x14ac:dyDescent="0.25">
      <c r="A87" s="153"/>
      <c r="B87" s="153"/>
      <c r="C87" s="153"/>
      <c r="D87" s="157"/>
      <c r="E87" s="153"/>
      <c r="F87" s="158"/>
      <c r="G87" s="153"/>
      <c r="H87" s="153"/>
      <c r="I87" s="153"/>
      <c r="J87" s="158"/>
      <c r="K87" s="158"/>
      <c r="L87" s="158"/>
      <c r="M87" s="153"/>
      <c r="N87" s="153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3"/>
      <c r="AB87" s="158"/>
      <c r="AC87" s="158"/>
      <c r="AD87" s="158"/>
      <c r="AE87" s="153"/>
      <c r="AF87" s="153"/>
      <c r="AG87" s="160"/>
      <c r="AH87" s="160"/>
      <c r="AI87" s="153"/>
      <c r="AJ87" s="153"/>
      <c r="AK87" s="153"/>
      <c r="AL87" s="153"/>
      <c r="AM87" s="153"/>
      <c r="AN87" s="153"/>
      <c r="AO87" s="153"/>
      <c r="AP87" s="158"/>
      <c r="AQ87" s="153"/>
      <c r="AR87" s="153"/>
      <c r="AS87" s="153"/>
      <c r="AT87" s="153"/>
      <c r="AU87" s="159"/>
      <c r="AV87" s="153"/>
      <c r="AW87" s="153"/>
      <c r="AX87" s="159"/>
      <c r="AY87" s="159"/>
      <c r="AZ87" s="159"/>
      <c r="BA87" s="153"/>
      <c r="BB87" s="164"/>
      <c r="BC87" s="163" t="str">
        <f t="shared" si="6"/>
        <v/>
      </c>
      <c r="BD87" s="153" t="str">
        <f t="shared" si="7"/>
        <v>INDENIZAÇÃO</v>
      </c>
      <c r="BE87" s="153" t="str">
        <f t="shared" si="8"/>
        <v>NÃO</v>
      </c>
      <c r="BF87" s="153"/>
      <c r="BG87" s="153"/>
      <c r="BH87" s="153"/>
      <c r="BI87" s="153"/>
      <c r="BJ87" s="153"/>
      <c r="BK87" s="159"/>
      <c r="BL87" s="153"/>
      <c r="BM87" s="153"/>
    </row>
    <row r="88" spans="1:65" ht="24.75" customHeight="1" x14ac:dyDescent="0.25">
      <c r="A88" s="153"/>
      <c r="B88" s="153"/>
      <c r="C88" s="153"/>
      <c r="D88" s="157"/>
      <c r="E88" s="153"/>
      <c r="F88" s="158"/>
      <c r="G88" s="153"/>
      <c r="H88" s="153"/>
      <c r="I88" s="153"/>
      <c r="J88" s="158"/>
      <c r="K88" s="158"/>
      <c r="L88" s="158"/>
      <c r="M88" s="153"/>
      <c r="N88" s="153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3"/>
      <c r="AB88" s="158"/>
      <c r="AC88" s="158"/>
      <c r="AD88" s="158"/>
      <c r="AE88" s="153"/>
      <c r="AF88" s="153"/>
      <c r="AG88" s="160"/>
      <c r="AH88" s="160"/>
      <c r="AI88" s="153"/>
      <c r="AJ88" s="153"/>
      <c r="AK88" s="153"/>
      <c r="AL88" s="153"/>
      <c r="AM88" s="153"/>
      <c r="AN88" s="153"/>
      <c r="AO88" s="153"/>
      <c r="AP88" s="158"/>
      <c r="AQ88" s="153"/>
      <c r="AR88" s="153"/>
      <c r="AS88" s="153"/>
      <c r="AT88" s="153"/>
      <c r="AU88" s="159"/>
      <c r="AV88" s="153"/>
      <c r="AW88" s="153"/>
      <c r="AX88" s="159"/>
      <c r="AY88" s="159"/>
      <c r="AZ88" s="159"/>
      <c r="BA88" s="153"/>
      <c r="BB88" s="164"/>
      <c r="BC88" s="163" t="str">
        <f t="shared" si="6"/>
        <v/>
      </c>
      <c r="BD88" s="153" t="str">
        <f t="shared" si="7"/>
        <v>INDENIZAÇÃO</v>
      </c>
      <c r="BE88" s="153" t="str">
        <f t="shared" si="8"/>
        <v>NÃO</v>
      </c>
      <c r="BF88" s="153"/>
      <c r="BG88" s="153"/>
      <c r="BH88" s="153"/>
      <c r="BI88" s="153"/>
      <c r="BJ88" s="153"/>
      <c r="BK88" s="159"/>
      <c r="BL88" s="153"/>
      <c r="BM88" s="153"/>
    </row>
    <row r="89" spans="1:65" ht="24.75" customHeight="1" x14ac:dyDescent="0.25">
      <c r="A89" s="153"/>
      <c r="B89" s="153"/>
      <c r="C89" s="153"/>
      <c r="D89" s="157"/>
      <c r="E89" s="153"/>
      <c r="F89" s="158"/>
      <c r="G89" s="153"/>
      <c r="H89" s="153"/>
      <c r="I89" s="153"/>
      <c r="J89" s="158"/>
      <c r="K89" s="158"/>
      <c r="L89" s="158"/>
      <c r="M89" s="153"/>
      <c r="N89" s="153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3"/>
      <c r="AB89" s="158"/>
      <c r="AC89" s="158"/>
      <c r="AD89" s="158"/>
      <c r="AE89" s="153"/>
      <c r="AF89" s="153"/>
      <c r="AG89" s="160"/>
      <c r="AH89" s="160"/>
      <c r="AI89" s="153"/>
      <c r="AJ89" s="153"/>
      <c r="AK89" s="153"/>
      <c r="AL89" s="153"/>
      <c r="AM89" s="153"/>
      <c r="AN89" s="153"/>
      <c r="AO89" s="153"/>
      <c r="AP89" s="158"/>
      <c r="AQ89" s="153"/>
      <c r="AR89" s="153"/>
      <c r="AS89" s="153"/>
      <c r="AT89" s="153"/>
      <c r="AU89" s="159"/>
      <c r="AV89" s="153"/>
      <c r="AW89" s="153"/>
      <c r="AX89" s="159"/>
      <c r="AY89" s="159"/>
      <c r="AZ89" s="159"/>
      <c r="BA89" s="153"/>
      <c r="BB89" s="164"/>
      <c r="BC89" s="163" t="str">
        <f t="shared" si="6"/>
        <v/>
      </c>
      <c r="BD89" s="153" t="str">
        <f t="shared" si="7"/>
        <v>INDENIZAÇÃO</v>
      </c>
      <c r="BE89" s="153" t="str">
        <f t="shared" si="8"/>
        <v>NÃO</v>
      </c>
      <c r="BF89" s="153"/>
      <c r="BG89" s="153"/>
      <c r="BH89" s="153"/>
      <c r="BI89" s="153"/>
      <c r="BJ89" s="153"/>
      <c r="BK89" s="159"/>
      <c r="BL89" s="153"/>
      <c r="BM89" s="153"/>
    </row>
    <row r="90" spans="1:65" ht="24.75" customHeight="1" x14ac:dyDescent="0.25">
      <c r="A90" s="153"/>
      <c r="B90" s="153"/>
      <c r="C90" s="153"/>
      <c r="D90" s="157"/>
      <c r="E90" s="153"/>
      <c r="F90" s="158"/>
      <c r="G90" s="153"/>
      <c r="H90" s="153"/>
      <c r="I90" s="153"/>
      <c r="J90" s="158"/>
      <c r="K90" s="158"/>
      <c r="L90" s="158"/>
      <c r="M90" s="153"/>
      <c r="N90" s="153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3"/>
      <c r="AB90" s="158"/>
      <c r="AC90" s="158"/>
      <c r="AD90" s="158"/>
      <c r="AE90" s="153"/>
      <c r="AF90" s="153"/>
      <c r="AG90" s="160"/>
      <c r="AH90" s="160"/>
      <c r="AI90" s="153"/>
      <c r="AJ90" s="153"/>
      <c r="AK90" s="153"/>
      <c r="AL90" s="153"/>
      <c r="AM90" s="153"/>
      <c r="AN90" s="153"/>
      <c r="AO90" s="153"/>
      <c r="AP90" s="158"/>
      <c r="AQ90" s="153"/>
      <c r="AR90" s="153"/>
      <c r="AS90" s="153"/>
      <c r="AT90" s="153"/>
      <c r="AU90" s="159"/>
      <c r="AV90" s="153"/>
      <c r="AW90" s="153"/>
      <c r="AX90" s="159"/>
      <c r="AY90" s="159"/>
      <c r="AZ90" s="159"/>
      <c r="BA90" s="153"/>
      <c r="BB90" s="164"/>
      <c r="BC90" s="163" t="str">
        <f t="shared" si="6"/>
        <v/>
      </c>
      <c r="BD90" s="153" t="str">
        <f t="shared" si="7"/>
        <v>INDENIZAÇÃO</v>
      </c>
      <c r="BE90" s="153" t="str">
        <f t="shared" si="8"/>
        <v>NÃO</v>
      </c>
      <c r="BF90" s="153"/>
      <c r="BG90" s="153"/>
      <c r="BH90" s="153"/>
      <c r="BI90" s="153"/>
      <c r="BJ90" s="153"/>
      <c r="BK90" s="159"/>
      <c r="BL90" s="153"/>
      <c r="BM90" s="153"/>
    </row>
    <row r="91" spans="1:65" ht="24.75" customHeight="1" x14ac:dyDescent="0.25">
      <c r="A91" s="153"/>
      <c r="B91" s="153"/>
      <c r="C91" s="153"/>
      <c r="D91" s="157"/>
      <c r="E91" s="153"/>
      <c r="F91" s="158"/>
      <c r="G91" s="153"/>
      <c r="H91" s="153"/>
      <c r="I91" s="153"/>
      <c r="J91" s="158"/>
      <c r="K91" s="158"/>
      <c r="L91" s="158"/>
      <c r="M91" s="153"/>
      <c r="N91" s="153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3"/>
      <c r="AB91" s="158"/>
      <c r="AC91" s="158"/>
      <c r="AD91" s="158"/>
      <c r="AE91" s="153"/>
      <c r="AF91" s="153"/>
      <c r="AG91" s="160"/>
      <c r="AH91" s="160"/>
      <c r="AI91" s="153"/>
      <c r="AJ91" s="153"/>
      <c r="AK91" s="153"/>
      <c r="AL91" s="153"/>
      <c r="AM91" s="153"/>
      <c r="AN91" s="153"/>
      <c r="AO91" s="153"/>
      <c r="AP91" s="158"/>
      <c r="AQ91" s="153"/>
      <c r="AR91" s="153"/>
      <c r="AS91" s="153"/>
      <c r="AT91" s="153"/>
      <c r="AU91" s="159"/>
      <c r="AV91" s="153"/>
      <c r="AW91" s="153"/>
      <c r="AX91" s="159"/>
      <c r="AY91" s="159"/>
      <c r="AZ91" s="159"/>
      <c r="BA91" s="153"/>
      <c r="BB91" s="164"/>
      <c r="BC91" s="163" t="str">
        <f t="shared" si="6"/>
        <v/>
      </c>
      <c r="BD91" s="153" t="str">
        <f t="shared" si="7"/>
        <v>INDENIZAÇÃO</v>
      </c>
      <c r="BE91" s="153" t="str">
        <f t="shared" si="8"/>
        <v>NÃO</v>
      </c>
      <c r="BF91" s="153"/>
      <c r="BG91" s="153"/>
      <c r="BH91" s="153"/>
      <c r="BI91" s="153"/>
      <c r="BJ91" s="153"/>
      <c r="BK91" s="159"/>
      <c r="BL91" s="153"/>
      <c r="BM91" s="153"/>
    </row>
    <row r="92" spans="1:65" ht="24.75" customHeight="1" x14ac:dyDescent="0.25">
      <c r="A92" s="153"/>
      <c r="B92" s="153"/>
      <c r="C92" s="153"/>
      <c r="D92" s="157"/>
      <c r="E92" s="153"/>
      <c r="F92" s="158"/>
      <c r="G92" s="153"/>
      <c r="H92" s="153"/>
      <c r="I92" s="153"/>
      <c r="J92" s="158"/>
      <c r="K92" s="158"/>
      <c r="L92" s="158"/>
      <c r="M92" s="153"/>
      <c r="N92" s="153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3"/>
      <c r="AB92" s="158"/>
      <c r="AC92" s="158"/>
      <c r="AD92" s="158"/>
      <c r="AE92" s="153"/>
      <c r="AF92" s="153"/>
      <c r="AG92" s="160"/>
      <c r="AH92" s="160"/>
      <c r="AI92" s="153"/>
      <c r="AJ92" s="153"/>
      <c r="AK92" s="153"/>
      <c r="AL92" s="153"/>
      <c r="AM92" s="153"/>
      <c r="AN92" s="153"/>
      <c r="AO92" s="153"/>
      <c r="AP92" s="158"/>
      <c r="AQ92" s="153"/>
      <c r="AR92" s="153"/>
      <c r="AS92" s="153"/>
      <c r="AT92" s="153"/>
      <c r="AU92" s="159"/>
      <c r="AV92" s="153"/>
      <c r="AW92" s="153"/>
      <c r="AX92" s="159"/>
      <c r="AY92" s="159"/>
      <c r="AZ92" s="159"/>
      <c r="BA92" s="153"/>
      <c r="BB92" s="164"/>
      <c r="BC92" s="163" t="str">
        <f t="shared" si="6"/>
        <v/>
      </c>
      <c r="BD92" s="153" t="str">
        <f t="shared" si="7"/>
        <v>INDENIZAÇÃO</v>
      </c>
      <c r="BE92" s="153" t="str">
        <f t="shared" si="8"/>
        <v>NÃO</v>
      </c>
      <c r="BF92" s="153"/>
      <c r="BG92" s="153"/>
      <c r="BH92" s="153"/>
      <c r="BI92" s="153"/>
      <c r="BJ92" s="153"/>
      <c r="BK92" s="159"/>
      <c r="BL92" s="153"/>
      <c r="BM92" s="153"/>
    </row>
    <row r="93" spans="1:65" ht="24.75" customHeight="1" x14ac:dyDescent="0.25">
      <c r="A93" s="153"/>
      <c r="B93" s="153"/>
      <c r="C93" s="153"/>
      <c r="D93" s="157"/>
      <c r="E93" s="153"/>
      <c r="F93" s="158"/>
      <c r="G93" s="153"/>
      <c r="H93" s="153"/>
      <c r="I93" s="153"/>
      <c r="J93" s="158"/>
      <c r="K93" s="158"/>
      <c r="L93" s="158"/>
      <c r="M93" s="153"/>
      <c r="N93" s="153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3"/>
      <c r="AB93" s="158"/>
      <c r="AC93" s="158"/>
      <c r="AD93" s="158"/>
      <c r="AE93" s="153"/>
      <c r="AF93" s="153"/>
      <c r="AG93" s="160"/>
      <c r="AH93" s="160"/>
      <c r="AI93" s="153"/>
      <c r="AJ93" s="153"/>
      <c r="AK93" s="153"/>
      <c r="AL93" s="153"/>
      <c r="AM93" s="153"/>
      <c r="AN93" s="153"/>
      <c r="AO93" s="153"/>
      <c r="AP93" s="158"/>
      <c r="AQ93" s="153"/>
      <c r="AR93" s="153"/>
      <c r="AS93" s="153"/>
      <c r="AT93" s="153"/>
      <c r="AU93" s="159"/>
      <c r="AV93" s="153"/>
      <c r="AW93" s="153"/>
      <c r="AX93" s="159"/>
      <c r="AY93" s="159"/>
      <c r="AZ93" s="159"/>
      <c r="BA93" s="153"/>
      <c r="BB93" s="164"/>
      <c r="BC93" s="163" t="str">
        <f t="shared" si="6"/>
        <v/>
      </c>
      <c r="BD93" s="153" t="str">
        <f t="shared" si="7"/>
        <v>INDENIZAÇÃO</v>
      </c>
      <c r="BE93" s="153" t="str">
        <f t="shared" si="8"/>
        <v>NÃO</v>
      </c>
      <c r="BF93" s="153"/>
      <c r="BG93" s="153"/>
      <c r="BH93" s="153"/>
      <c r="BI93" s="153"/>
      <c r="BJ93" s="153"/>
      <c r="BK93" s="159"/>
      <c r="BL93" s="153"/>
      <c r="BM93" s="153"/>
    </row>
    <row r="94" spans="1:65" ht="24.75" customHeight="1" x14ac:dyDescent="0.25">
      <c r="A94" s="153"/>
      <c r="B94" s="153"/>
      <c r="C94" s="153"/>
      <c r="D94" s="157"/>
      <c r="E94" s="153"/>
      <c r="F94" s="158"/>
      <c r="G94" s="153"/>
      <c r="H94" s="153"/>
      <c r="I94" s="153"/>
      <c r="J94" s="158"/>
      <c r="K94" s="158"/>
      <c r="L94" s="158"/>
      <c r="M94" s="153"/>
      <c r="N94" s="153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3"/>
      <c r="AB94" s="158"/>
      <c r="AC94" s="158"/>
      <c r="AD94" s="158"/>
      <c r="AE94" s="153"/>
      <c r="AF94" s="153"/>
      <c r="AG94" s="160"/>
      <c r="AH94" s="160"/>
      <c r="AI94" s="153"/>
      <c r="AJ94" s="153"/>
      <c r="AK94" s="153"/>
      <c r="AL94" s="153"/>
      <c r="AM94" s="153"/>
      <c r="AN94" s="153"/>
      <c r="AO94" s="153"/>
      <c r="AP94" s="158"/>
      <c r="AQ94" s="153"/>
      <c r="AR94" s="153"/>
      <c r="AS94" s="153"/>
      <c r="AT94" s="153"/>
      <c r="AU94" s="159"/>
      <c r="AV94" s="153"/>
      <c r="AW94" s="153"/>
      <c r="AX94" s="159"/>
      <c r="AY94" s="159"/>
      <c r="AZ94" s="159"/>
      <c r="BA94" s="153"/>
      <c r="BB94" s="164"/>
      <c r="BC94" s="163" t="str">
        <f t="shared" si="6"/>
        <v/>
      </c>
      <c r="BD94" s="153" t="str">
        <f t="shared" si="7"/>
        <v>INDENIZAÇÃO</v>
      </c>
      <c r="BE94" s="153" t="str">
        <f t="shared" si="8"/>
        <v>NÃO</v>
      </c>
      <c r="BF94" s="153"/>
      <c r="BG94" s="153"/>
      <c r="BH94" s="153"/>
      <c r="BI94" s="153"/>
      <c r="BJ94" s="153"/>
      <c r="BK94" s="159"/>
      <c r="BL94" s="153"/>
      <c r="BM94" s="153"/>
    </row>
    <row r="95" spans="1:65" ht="24.75" customHeight="1" x14ac:dyDescent="0.25">
      <c r="A95" s="153"/>
      <c r="B95" s="153"/>
      <c r="C95" s="153"/>
      <c r="D95" s="157"/>
      <c r="E95" s="153"/>
      <c r="F95" s="158"/>
      <c r="G95" s="153"/>
      <c r="H95" s="153"/>
      <c r="I95" s="153"/>
      <c r="J95" s="158"/>
      <c r="K95" s="158"/>
      <c r="L95" s="158"/>
      <c r="M95" s="153"/>
      <c r="N95" s="153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3"/>
      <c r="AB95" s="158"/>
      <c r="AC95" s="158"/>
      <c r="AD95" s="158"/>
      <c r="AE95" s="153"/>
      <c r="AF95" s="153"/>
      <c r="AG95" s="160"/>
      <c r="AH95" s="160"/>
      <c r="AI95" s="153"/>
      <c r="AJ95" s="153"/>
      <c r="AK95" s="153"/>
      <c r="AL95" s="153"/>
      <c r="AM95" s="153"/>
      <c r="AN95" s="153"/>
      <c r="AO95" s="153"/>
      <c r="AP95" s="158"/>
      <c r="AQ95" s="153"/>
      <c r="AR95" s="153"/>
      <c r="AS95" s="153"/>
      <c r="AT95" s="153"/>
      <c r="AU95" s="159"/>
      <c r="AV95" s="153"/>
      <c r="AW95" s="153"/>
      <c r="AX95" s="159"/>
      <c r="AY95" s="159"/>
      <c r="AZ95" s="159"/>
      <c r="BA95" s="153"/>
      <c r="BB95" s="164"/>
      <c r="BC95" s="163" t="str">
        <f t="shared" si="6"/>
        <v/>
      </c>
      <c r="BD95" s="153" t="str">
        <f t="shared" si="7"/>
        <v>INDENIZAÇÃO</v>
      </c>
      <c r="BE95" s="153" t="str">
        <f t="shared" si="8"/>
        <v>NÃO</v>
      </c>
      <c r="BF95" s="153"/>
      <c r="BG95" s="153"/>
      <c r="BH95" s="153"/>
      <c r="BI95" s="153"/>
      <c r="BJ95" s="153"/>
      <c r="BK95" s="159"/>
      <c r="BL95" s="153"/>
      <c r="BM95" s="153"/>
    </row>
    <row r="96" spans="1:65" ht="24.75" customHeight="1" x14ac:dyDescent="0.25">
      <c r="A96" s="153"/>
      <c r="B96" s="153"/>
      <c r="C96" s="153"/>
      <c r="D96" s="157"/>
      <c r="E96" s="153"/>
      <c r="F96" s="158"/>
      <c r="G96" s="153"/>
      <c r="H96" s="153"/>
      <c r="I96" s="153"/>
      <c r="J96" s="158"/>
      <c r="K96" s="158"/>
      <c r="L96" s="158"/>
      <c r="M96" s="153"/>
      <c r="N96" s="153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3"/>
      <c r="AB96" s="158"/>
      <c r="AC96" s="158"/>
      <c r="AD96" s="158"/>
      <c r="AE96" s="153"/>
      <c r="AF96" s="153"/>
      <c r="AG96" s="160"/>
      <c r="AH96" s="160"/>
      <c r="AI96" s="153"/>
      <c r="AJ96" s="153"/>
      <c r="AK96" s="153"/>
      <c r="AL96" s="153"/>
      <c r="AM96" s="153"/>
      <c r="AN96" s="153"/>
      <c r="AO96" s="153"/>
      <c r="AP96" s="158"/>
      <c r="AQ96" s="153"/>
      <c r="AR96" s="153"/>
      <c r="AS96" s="153"/>
      <c r="AT96" s="153"/>
      <c r="AU96" s="159"/>
      <c r="AV96" s="153"/>
      <c r="AW96" s="153"/>
      <c r="AX96" s="159"/>
      <c r="AY96" s="159"/>
      <c r="AZ96" s="159"/>
      <c r="BA96" s="153"/>
      <c r="BB96" s="164"/>
      <c r="BC96" s="163" t="str">
        <f t="shared" si="6"/>
        <v/>
      </c>
      <c r="BD96" s="153" t="str">
        <f t="shared" si="7"/>
        <v>INDENIZAÇÃO</v>
      </c>
      <c r="BE96" s="153" t="str">
        <f t="shared" si="8"/>
        <v>NÃO</v>
      </c>
      <c r="BF96" s="153"/>
      <c r="BG96" s="153"/>
      <c r="BH96" s="153"/>
      <c r="BI96" s="153"/>
      <c r="BJ96" s="153"/>
      <c r="BK96" s="159"/>
      <c r="BL96" s="153"/>
      <c r="BM96" s="153"/>
    </row>
    <row r="97" spans="1:65" ht="24.75" customHeight="1" x14ac:dyDescent="0.25">
      <c r="A97" s="153"/>
      <c r="B97" s="153"/>
      <c r="C97" s="153"/>
      <c r="D97" s="157"/>
      <c r="E97" s="153"/>
      <c r="F97" s="158"/>
      <c r="G97" s="153"/>
      <c r="H97" s="153"/>
      <c r="I97" s="153"/>
      <c r="J97" s="158"/>
      <c r="K97" s="158"/>
      <c r="L97" s="158"/>
      <c r="M97" s="153"/>
      <c r="N97" s="153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3"/>
      <c r="AB97" s="158"/>
      <c r="AC97" s="158"/>
      <c r="AD97" s="158"/>
      <c r="AE97" s="153"/>
      <c r="AF97" s="153"/>
      <c r="AG97" s="160"/>
      <c r="AH97" s="160"/>
      <c r="AI97" s="153"/>
      <c r="AJ97" s="153"/>
      <c r="AK97" s="153"/>
      <c r="AL97" s="153"/>
      <c r="AM97" s="153"/>
      <c r="AN97" s="153"/>
      <c r="AO97" s="153"/>
      <c r="AP97" s="158"/>
      <c r="AQ97" s="153"/>
      <c r="AR97" s="153"/>
      <c r="AS97" s="153"/>
      <c r="AT97" s="153"/>
      <c r="AU97" s="159"/>
      <c r="AV97" s="153"/>
      <c r="AW97" s="153"/>
      <c r="AX97" s="159"/>
      <c r="AY97" s="159"/>
      <c r="AZ97" s="159"/>
      <c r="BA97" s="153"/>
      <c r="BB97" s="164"/>
      <c r="BC97" s="163" t="str">
        <f t="shared" si="6"/>
        <v/>
      </c>
      <c r="BD97" s="153" t="str">
        <f t="shared" si="7"/>
        <v>INDENIZAÇÃO</v>
      </c>
      <c r="BE97" s="153" t="str">
        <f t="shared" si="8"/>
        <v>NÃO</v>
      </c>
      <c r="BF97" s="153"/>
      <c r="BG97" s="153"/>
      <c r="BH97" s="153"/>
      <c r="BI97" s="153"/>
      <c r="BJ97" s="153"/>
      <c r="BK97" s="159"/>
      <c r="BL97" s="153"/>
      <c r="BM97" s="153"/>
    </row>
    <row r="98" spans="1:65" ht="24.75" customHeight="1" x14ac:dyDescent="0.25">
      <c r="A98" s="153"/>
      <c r="B98" s="153"/>
      <c r="C98" s="153"/>
      <c r="D98" s="157"/>
      <c r="E98" s="153"/>
      <c r="F98" s="158"/>
      <c r="G98" s="153"/>
      <c r="H98" s="153"/>
      <c r="I98" s="153"/>
      <c r="J98" s="158"/>
      <c r="K98" s="158"/>
      <c r="L98" s="158"/>
      <c r="M98" s="153"/>
      <c r="N98" s="153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3"/>
      <c r="AB98" s="158"/>
      <c r="AC98" s="158"/>
      <c r="AD98" s="158"/>
      <c r="AE98" s="153"/>
      <c r="AF98" s="153"/>
      <c r="AG98" s="160"/>
      <c r="AH98" s="160"/>
      <c r="AI98" s="153"/>
      <c r="AJ98" s="153"/>
      <c r="AK98" s="153"/>
      <c r="AL98" s="153"/>
      <c r="AM98" s="153"/>
      <c r="AN98" s="153"/>
      <c r="AO98" s="153"/>
      <c r="AP98" s="158"/>
      <c r="AQ98" s="153"/>
      <c r="AR98" s="153"/>
      <c r="AS98" s="153"/>
      <c r="AT98" s="153"/>
      <c r="AU98" s="159"/>
      <c r="AV98" s="153"/>
      <c r="AW98" s="153"/>
      <c r="AX98" s="159"/>
      <c r="AY98" s="159"/>
      <c r="AZ98" s="159"/>
      <c r="BA98" s="153"/>
      <c r="BB98" s="164"/>
      <c r="BC98" s="163" t="str">
        <f t="shared" si="6"/>
        <v/>
      </c>
      <c r="BD98" s="153" t="str">
        <f t="shared" si="7"/>
        <v>INDENIZAÇÃO</v>
      </c>
      <c r="BE98" s="153" t="str">
        <f t="shared" si="8"/>
        <v>NÃO</v>
      </c>
      <c r="BF98" s="153"/>
      <c r="BG98" s="153"/>
      <c r="BH98" s="153"/>
      <c r="BI98" s="153"/>
      <c r="BJ98" s="153"/>
      <c r="BK98" s="159"/>
      <c r="BL98" s="153"/>
      <c r="BM98" s="153"/>
    </row>
    <row r="99" spans="1:65" ht="24.75" customHeight="1" x14ac:dyDescent="0.25">
      <c r="A99" s="153"/>
      <c r="B99" s="153"/>
      <c r="C99" s="153"/>
      <c r="D99" s="157"/>
      <c r="E99" s="153"/>
      <c r="F99" s="158"/>
      <c r="G99" s="153"/>
      <c r="H99" s="153"/>
      <c r="I99" s="153"/>
      <c r="J99" s="158"/>
      <c r="K99" s="158"/>
      <c r="L99" s="158"/>
      <c r="M99" s="153"/>
      <c r="N99" s="153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3"/>
      <c r="AB99" s="158"/>
      <c r="AC99" s="158"/>
      <c r="AD99" s="158"/>
      <c r="AE99" s="153"/>
      <c r="AF99" s="153"/>
      <c r="AG99" s="160"/>
      <c r="AH99" s="160"/>
      <c r="AI99" s="153"/>
      <c r="AJ99" s="153"/>
      <c r="AK99" s="153"/>
      <c r="AL99" s="153"/>
      <c r="AM99" s="153"/>
      <c r="AN99" s="153"/>
      <c r="AO99" s="153"/>
      <c r="AP99" s="158"/>
      <c r="AQ99" s="153"/>
      <c r="AR99" s="153"/>
      <c r="AS99" s="153"/>
      <c r="AT99" s="153"/>
      <c r="AU99" s="159"/>
      <c r="AV99" s="153"/>
      <c r="AW99" s="153"/>
      <c r="AX99" s="159"/>
      <c r="AY99" s="159"/>
      <c r="AZ99" s="159"/>
      <c r="BA99" s="153"/>
      <c r="BB99" s="164"/>
      <c r="BC99" s="163" t="str">
        <f t="shared" si="6"/>
        <v/>
      </c>
      <c r="BD99" s="153" t="str">
        <f t="shared" si="7"/>
        <v>INDENIZAÇÃO</v>
      </c>
      <c r="BE99" s="153" t="str">
        <f t="shared" si="8"/>
        <v>NÃO</v>
      </c>
      <c r="BF99" s="153"/>
      <c r="BG99" s="153"/>
      <c r="BH99" s="153"/>
      <c r="BI99" s="153"/>
      <c r="BJ99" s="153"/>
      <c r="BK99" s="159"/>
      <c r="BL99" s="153"/>
      <c r="BM99" s="153"/>
    </row>
    <row r="100" spans="1:65" ht="24.75" customHeight="1" x14ac:dyDescent="0.25">
      <c r="A100" s="153"/>
      <c r="B100" s="153"/>
      <c r="C100" s="153"/>
      <c r="D100" s="157"/>
      <c r="E100" s="153"/>
      <c r="F100" s="158"/>
      <c r="G100" s="153"/>
      <c r="H100" s="153"/>
      <c r="I100" s="153"/>
      <c r="J100" s="158"/>
      <c r="K100" s="158"/>
      <c r="L100" s="158"/>
      <c r="M100" s="153"/>
      <c r="N100" s="153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3"/>
      <c r="AB100" s="158"/>
      <c r="AC100" s="158"/>
      <c r="AD100" s="158"/>
      <c r="AE100" s="153"/>
      <c r="AF100" s="153"/>
      <c r="AG100" s="160"/>
      <c r="AH100" s="160"/>
      <c r="AI100" s="153"/>
      <c r="AJ100" s="153"/>
      <c r="AK100" s="153"/>
      <c r="AL100" s="153"/>
      <c r="AM100" s="153"/>
      <c r="AN100" s="153"/>
      <c r="AO100" s="153"/>
      <c r="AP100" s="158"/>
      <c r="AQ100" s="153"/>
      <c r="AR100" s="153"/>
      <c r="AS100" s="153"/>
      <c r="AT100" s="153"/>
      <c r="AU100" s="159"/>
      <c r="AV100" s="153"/>
      <c r="AW100" s="153"/>
      <c r="AX100" s="159"/>
      <c r="AY100" s="159"/>
      <c r="AZ100" s="159"/>
      <c r="BA100" s="153"/>
      <c r="BB100" s="164"/>
      <c r="BC100" s="163" t="str">
        <f t="shared" si="6"/>
        <v/>
      </c>
      <c r="BD100" s="153" t="str">
        <f t="shared" si="7"/>
        <v>INDENIZAÇÃO</v>
      </c>
      <c r="BE100" s="153" t="str">
        <f t="shared" si="8"/>
        <v>NÃO</v>
      </c>
      <c r="BF100" s="153"/>
      <c r="BG100" s="153"/>
      <c r="BH100" s="153"/>
      <c r="BI100" s="153"/>
      <c r="BJ100" s="153"/>
      <c r="BK100" s="159"/>
      <c r="BL100" s="153"/>
      <c r="BM100" s="153"/>
    </row>
    <row r="101" spans="1:65" ht="24.75" customHeight="1" x14ac:dyDescent="0.25">
      <c r="A101" s="153"/>
      <c r="B101" s="153"/>
      <c r="C101" s="153"/>
      <c r="D101" s="157"/>
      <c r="E101" s="153"/>
      <c r="F101" s="158"/>
      <c r="G101" s="153"/>
      <c r="H101" s="153"/>
      <c r="I101" s="153"/>
      <c r="J101" s="158"/>
      <c r="K101" s="158"/>
      <c r="L101" s="158"/>
      <c r="M101" s="153"/>
      <c r="N101" s="153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3"/>
      <c r="AB101" s="158"/>
      <c r="AC101" s="158"/>
      <c r="AD101" s="158"/>
      <c r="AE101" s="153"/>
      <c r="AF101" s="153"/>
      <c r="AG101" s="160"/>
      <c r="AH101" s="160"/>
      <c r="AI101" s="153"/>
      <c r="AJ101" s="153"/>
      <c r="AK101" s="153"/>
      <c r="AL101" s="153"/>
      <c r="AM101" s="153"/>
      <c r="AN101" s="153"/>
      <c r="AO101" s="153"/>
      <c r="AP101" s="158"/>
      <c r="AQ101" s="153"/>
      <c r="AR101" s="153"/>
      <c r="AS101" s="153"/>
      <c r="AT101" s="153"/>
      <c r="AU101" s="159"/>
      <c r="AV101" s="153"/>
      <c r="AW101" s="153"/>
      <c r="AX101" s="159"/>
      <c r="AY101" s="159"/>
      <c r="AZ101" s="159"/>
      <c r="BA101" s="153"/>
      <c r="BB101" s="164"/>
      <c r="BC101" s="163" t="str">
        <f t="shared" si="6"/>
        <v/>
      </c>
      <c r="BD101" s="153" t="str">
        <f t="shared" si="7"/>
        <v>INDENIZAÇÃO</v>
      </c>
      <c r="BE101" s="153" t="str">
        <f t="shared" si="8"/>
        <v>NÃO</v>
      </c>
      <c r="BF101" s="153"/>
      <c r="BG101" s="153"/>
      <c r="BH101" s="153"/>
      <c r="BI101" s="153"/>
      <c r="BJ101" s="153"/>
      <c r="BK101" s="159"/>
      <c r="BL101" s="153"/>
      <c r="BM101" s="153"/>
    </row>
    <row r="102" spans="1:65" ht="24.75" customHeight="1" x14ac:dyDescent="0.25">
      <c r="A102" s="153"/>
      <c r="B102" s="153"/>
      <c r="C102" s="153"/>
      <c r="D102" s="157"/>
      <c r="E102" s="153"/>
      <c r="F102" s="158"/>
      <c r="G102" s="153"/>
      <c r="H102" s="153"/>
      <c r="I102" s="153"/>
      <c r="J102" s="158"/>
      <c r="K102" s="158"/>
      <c r="L102" s="158"/>
      <c r="M102" s="153"/>
      <c r="N102" s="153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3"/>
      <c r="AB102" s="158"/>
      <c r="AC102" s="158"/>
      <c r="AD102" s="158"/>
      <c r="AE102" s="153"/>
      <c r="AF102" s="153"/>
      <c r="AG102" s="160"/>
      <c r="AH102" s="160"/>
      <c r="AI102" s="153"/>
      <c r="AJ102" s="153"/>
      <c r="AK102" s="153"/>
      <c r="AL102" s="153"/>
      <c r="AM102" s="153"/>
      <c r="AN102" s="153"/>
      <c r="AO102" s="153"/>
      <c r="AP102" s="158"/>
      <c r="AQ102" s="153"/>
      <c r="AR102" s="153"/>
      <c r="AS102" s="153"/>
      <c r="AT102" s="153"/>
      <c r="AU102" s="159"/>
      <c r="AV102" s="153"/>
      <c r="AW102" s="153"/>
      <c r="AX102" s="159"/>
      <c r="AY102" s="159"/>
      <c r="AZ102" s="159"/>
      <c r="BA102" s="153"/>
      <c r="BB102" s="164"/>
      <c r="BC102" s="163" t="str">
        <f t="shared" si="6"/>
        <v/>
      </c>
      <c r="BD102" s="153" t="str">
        <f t="shared" si="7"/>
        <v>INDENIZAÇÃO</v>
      </c>
      <c r="BE102" s="153" t="str">
        <f t="shared" si="8"/>
        <v>NÃO</v>
      </c>
      <c r="BF102" s="153"/>
      <c r="BG102" s="153"/>
      <c r="BH102" s="153"/>
      <c r="BI102" s="153"/>
      <c r="BJ102" s="153"/>
      <c r="BK102" s="159"/>
      <c r="BL102" s="153"/>
      <c r="BM102" s="153"/>
    </row>
    <row r="103" spans="1:65" ht="24.75" customHeight="1" x14ac:dyDescent="0.25">
      <c r="A103" s="153"/>
      <c r="B103" s="153"/>
      <c r="C103" s="153"/>
      <c r="D103" s="157"/>
      <c r="E103" s="153"/>
      <c r="F103" s="158"/>
      <c r="G103" s="153"/>
      <c r="H103" s="153"/>
      <c r="I103" s="153"/>
      <c r="J103" s="158"/>
      <c r="K103" s="158"/>
      <c r="L103" s="158"/>
      <c r="M103" s="153"/>
      <c r="N103" s="153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3"/>
      <c r="AB103" s="158"/>
      <c r="AC103" s="158"/>
      <c r="AD103" s="158"/>
      <c r="AE103" s="153"/>
      <c r="AF103" s="153"/>
      <c r="AG103" s="160"/>
      <c r="AH103" s="160"/>
      <c r="AI103" s="153"/>
      <c r="AJ103" s="153"/>
      <c r="AK103" s="153"/>
      <c r="AL103" s="153"/>
      <c r="AM103" s="153"/>
      <c r="AN103" s="153"/>
      <c r="AO103" s="153"/>
      <c r="AP103" s="158"/>
      <c r="AQ103" s="153"/>
      <c r="AR103" s="153"/>
      <c r="AS103" s="153"/>
      <c r="AT103" s="153"/>
      <c r="AU103" s="159"/>
      <c r="AV103" s="153"/>
      <c r="AW103" s="153"/>
      <c r="AX103" s="159"/>
      <c r="AY103" s="159"/>
      <c r="AZ103" s="159"/>
      <c r="BA103" s="153"/>
      <c r="BB103" s="164"/>
      <c r="BC103" s="163" t="str">
        <f t="shared" si="6"/>
        <v/>
      </c>
      <c r="BD103" s="153" t="str">
        <f t="shared" si="7"/>
        <v>INDENIZAÇÃO</v>
      </c>
      <c r="BE103" s="153" t="str">
        <f t="shared" si="8"/>
        <v>NÃO</v>
      </c>
      <c r="BF103" s="153"/>
      <c r="BG103" s="153"/>
      <c r="BH103" s="153"/>
      <c r="BI103" s="153"/>
      <c r="BJ103" s="153"/>
      <c r="BK103" s="159"/>
      <c r="BL103" s="153"/>
      <c r="BM103" s="153"/>
    </row>
    <row r="104" spans="1:65" ht="24.75" customHeight="1" x14ac:dyDescent="0.25">
      <c r="A104" s="153"/>
      <c r="B104" s="153"/>
      <c r="C104" s="153"/>
      <c r="D104" s="157"/>
      <c r="E104" s="153"/>
      <c r="F104" s="158"/>
      <c r="G104" s="153"/>
      <c r="H104" s="153"/>
      <c r="I104" s="153"/>
      <c r="J104" s="158"/>
      <c r="K104" s="158"/>
      <c r="L104" s="158"/>
      <c r="M104" s="153"/>
      <c r="N104" s="153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3"/>
      <c r="AB104" s="158"/>
      <c r="AC104" s="158"/>
      <c r="AD104" s="158"/>
      <c r="AE104" s="153"/>
      <c r="AF104" s="153"/>
      <c r="AG104" s="160"/>
      <c r="AH104" s="160"/>
      <c r="AI104" s="153"/>
      <c r="AJ104" s="153"/>
      <c r="AK104" s="153"/>
      <c r="AL104" s="153"/>
      <c r="AM104" s="153"/>
      <c r="AN104" s="153"/>
      <c r="AO104" s="153"/>
      <c r="AP104" s="158"/>
      <c r="AQ104" s="153"/>
      <c r="AR104" s="153"/>
      <c r="AS104" s="153"/>
      <c r="AT104" s="153"/>
      <c r="AU104" s="159"/>
      <c r="AV104" s="153"/>
      <c r="AW104" s="153"/>
      <c r="AX104" s="159"/>
      <c r="AY104" s="159"/>
      <c r="AZ104" s="159"/>
      <c r="BA104" s="153"/>
      <c r="BB104" s="164"/>
      <c r="BC104" s="163" t="str">
        <f t="shared" si="6"/>
        <v/>
      </c>
      <c r="BD104" s="153" t="str">
        <f t="shared" si="7"/>
        <v>INDENIZAÇÃO</v>
      </c>
      <c r="BE104" s="153" t="str">
        <f t="shared" si="8"/>
        <v>NÃO</v>
      </c>
      <c r="BF104" s="153"/>
      <c r="BG104" s="153"/>
      <c r="BH104" s="153"/>
      <c r="BI104" s="153"/>
      <c r="BJ104" s="153"/>
      <c r="BK104" s="159"/>
      <c r="BL104" s="153"/>
      <c r="BM104" s="153"/>
    </row>
    <row r="105" spans="1:65" ht="24.75" customHeight="1" x14ac:dyDescent="0.25">
      <c r="A105" s="153"/>
      <c r="B105" s="153"/>
      <c r="C105" s="153"/>
      <c r="D105" s="157"/>
      <c r="E105" s="153"/>
      <c r="F105" s="158"/>
      <c r="G105" s="153"/>
      <c r="H105" s="153"/>
      <c r="I105" s="153"/>
      <c r="J105" s="158"/>
      <c r="K105" s="158"/>
      <c r="L105" s="158"/>
      <c r="M105" s="153"/>
      <c r="N105" s="153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3"/>
      <c r="AB105" s="158"/>
      <c r="AC105" s="158"/>
      <c r="AD105" s="158"/>
      <c r="AE105" s="153"/>
      <c r="AF105" s="153"/>
      <c r="AG105" s="160"/>
      <c r="AH105" s="160"/>
      <c r="AI105" s="153"/>
      <c r="AJ105" s="153"/>
      <c r="AK105" s="153"/>
      <c r="AL105" s="153"/>
      <c r="AM105" s="153"/>
      <c r="AN105" s="153"/>
      <c r="AO105" s="153"/>
      <c r="AP105" s="158"/>
      <c r="AQ105" s="153"/>
      <c r="AR105" s="153"/>
      <c r="AS105" s="153"/>
      <c r="AT105" s="153"/>
      <c r="AU105" s="159"/>
      <c r="AV105" s="153"/>
      <c r="AW105" s="153"/>
      <c r="AX105" s="159"/>
      <c r="AY105" s="159"/>
      <c r="AZ105" s="159"/>
      <c r="BA105" s="153"/>
      <c r="BB105" s="164"/>
      <c r="BC105" s="163" t="str">
        <f t="shared" si="6"/>
        <v/>
      </c>
      <c r="BD105" s="153" t="str">
        <f t="shared" si="7"/>
        <v>INDENIZAÇÃO</v>
      </c>
      <c r="BE105" s="153" t="str">
        <f t="shared" si="8"/>
        <v>NÃO</v>
      </c>
      <c r="BF105" s="153"/>
      <c r="BG105" s="153"/>
      <c r="BH105" s="153"/>
      <c r="BI105" s="153"/>
      <c r="BJ105" s="153"/>
      <c r="BK105" s="159"/>
      <c r="BL105" s="153"/>
      <c r="BM105" s="153"/>
    </row>
    <row r="106" spans="1:65" ht="24.75" customHeight="1" x14ac:dyDescent="0.25">
      <c r="A106" s="153"/>
      <c r="B106" s="153"/>
      <c r="C106" s="153"/>
      <c r="D106" s="157"/>
      <c r="E106" s="153"/>
      <c r="F106" s="158"/>
      <c r="G106" s="153"/>
      <c r="H106" s="153"/>
      <c r="I106" s="153"/>
      <c r="J106" s="158"/>
      <c r="K106" s="158"/>
      <c r="L106" s="158"/>
      <c r="M106" s="153"/>
      <c r="N106" s="153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3"/>
      <c r="AB106" s="158"/>
      <c r="AC106" s="158"/>
      <c r="AD106" s="158"/>
      <c r="AE106" s="153"/>
      <c r="AF106" s="153"/>
      <c r="AG106" s="160"/>
      <c r="AH106" s="160"/>
      <c r="AI106" s="153"/>
      <c r="AJ106" s="153"/>
      <c r="AK106" s="153"/>
      <c r="AL106" s="153"/>
      <c r="AM106" s="153"/>
      <c r="AN106" s="153"/>
      <c r="AO106" s="153"/>
      <c r="AP106" s="158"/>
      <c r="AQ106" s="153"/>
      <c r="AR106" s="153"/>
      <c r="AS106" s="153"/>
      <c r="AT106" s="153"/>
      <c r="AU106" s="159"/>
      <c r="AV106" s="153"/>
      <c r="AW106" s="153"/>
      <c r="AX106" s="159"/>
      <c r="AY106" s="159"/>
      <c r="AZ106" s="159"/>
      <c r="BA106" s="153"/>
      <c r="BB106" s="164"/>
      <c r="BC106" s="163" t="str">
        <f t="shared" si="6"/>
        <v/>
      </c>
      <c r="BD106" s="153" t="str">
        <f t="shared" si="7"/>
        <v>INDENIZAÇÃO</v>
      </c>
      <c r="BE106" s="153" t="str">
        <f t="shared" si="8"/>
        <v>NÃO</v>
      </c>
      <c r="BF106" s="153"/>
      <c r="BG106" s="153"/>
      <c r="BH106" s="153"/>
      <c r="BI106" s="153"/>
      <c r="BJ106" s="153"/>
      <c r="BK106" s="159"/>
      <c r="BL106" s="153"/>
      <c r="BM106" s="153"/>
    </row>
    <row r="107" spans="1:65" ht="24.75" customHeight="1" x14ac:dyDescent="0.25">
      <c r="A107" s="153"/>
      <c r="B107" s="153"/>
      <c r="C107" s="153"/>
      <c r="D107" s="157"/>
      <c r="E107" s="153"/>
      <c r="F107" s="158"/>
      <c r="G107" s="153"/>
      <c r="H107" s="153"/>
      <c r="I107" s="153"/>
      <c r="J107" s="158"/>
      <c r="K107" s="158"/>
      <c r="L107" s="158"/>
      <c r="M107" s="153"/>
      <c r="N107" s="153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3"/>
      <c r="AB107" s="158"/>
      <c r="AC107" s="158"/>
      <c r="AD107" s="158"/>
      <c r="AE107" s="153"/>
      <c r="AF107" s="153"/>
      <c r="AG107" s="160"/>
      <c r="AH107" s="160"/>
      <c r="AI107" s="153"/>
      <c r="AJ107" s="153"/>
      <c r="AK107" s="153"/>
      <c r="AL107" s="153"/>
      <c r="AM107" s="153"/>
      <c r="AN107" s="153"/>
      <c r="AO107" s="153"/>
      <c r="AP107" s="158"/>
      <c r="AQ107" s="153"/>
      <c r="AR107" s="153"/>
      <c r="AS107" s="153"/>
      <c r="AT107" s="153"/>
      <c r="AU107" s="159"/>
      <c r="AV107" s="153"/>
      <c r="AW107" s="153"/>
      <c r="AX107" s="159"/>
      <c r="AY107" s="159"/>
      <c r="AZ107" s="159"/>
      <c r="BA107" s="153"/>
      <c r="BB107" s="164"/>
      <c r="BC107" s="163" t="str">
        <f t="shared" si="6"/>
        <v/>
      </c>
      <c r="BD107" s="153" t="str">
        <f t="shared" si="7"/>
        <v>INDENIZAÇÃO</v>
      </c>
      <c r="BE107" s="153" t="str">
        <f t="shared" si="8"/>
        <v>NÃO</v>
      </c>
      <c r="BF107" s="153"/>
      <c r="BG107" s="153"/>
      <c r="BH107" s="153"/>
      <c r="BI107" s="153"/>
      <c r="BJ107" s="153"/>
      <c r="BK107" s="159"/>
      <c r="BL107" s="153"/>
      <c r="BM107" s="153"/>
    </row>
    <row r="108" spans="1:65" ht="24.75" customHeight="1" x14ac:dyDescent="0.25">
      <c r="A108" s="153"/>
      <c r="B108" s="153"/>
      <c r="C108" s="153"/>
      <c r="D108" s="157"/>
      <c r="E108" s="153"/>
      <c r="F108" s="158"/>
      <c r="G108" s="153"/>
      <c r="H108" s="153"/>
      <c r="I108" s="153"/>
      <c r="J108" s="158"/>
      <c r="K108" s="158"/>
      <c r="L108" s="158"/>
      <c r="M108" s="153"/>
      <c r="N108" s="153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3"/>
      <c r="AB108" s="158"/>
      <c r="AC108" s="158"/>
      <c r="AD108" s="158"/>
      <c r="AE108" s="153"/>
      <c r="AF108" s="153"/>
      <c r="AG108" s="160"/>
      <c r="AH108" s="160"/>
      <c r="AI108" s="153"/>
      <c r="AJ108" s="153"/>
      <c r="AK108" s="153"/>
      <c r="AL108" s="153"/>
      <c r="AM108" s="153"/>
      <c r="AN108" s="153"/>
      <c r="AO108" s="153"/>
      <c r="AP108" s="158"/>
      <c r="AQ108" s="153"/>
      <c r="AR108" s="153"/>
      <c r="AS108" s="153"/>
      <c r="AT108" s="153"/>
      <c r="AU108" s="159"/>
      <c r="AV108" s="153"/>
      <c r="AW108" s="153"/>
      <c r="AX108" s="159"/>
      <c r="AY108" s="159"/>
      <c r="AZ108" s="159"/>
      <c r="BA108" s="153"/>
      <c r="BB108" s="164"/>
      <c r="BC108" s="163" t="str">
        <f t="shared" si="6"/>
        <v/>
      </c>
      <c r="BD108" s="153" t="str">
        <f t="shared" si="7"/>
        <v>INDENIZAÇÃO</v>
      </c>
      <c r="BE108" s="153" t="str">
        <f t="shared" si="8"/>
        <v>NÃO</v>
      </c>
      <c r="BF108" s="153"/>
      <c r="BG108" s="153"/>
      <c r="BH108" s="153"/>
      <c r="BI108" s="153"/>
      <c r="BJ108" s="153"/>
      <c r="BK108" s="159"/>
      <c r="BL108" s="153"/>
      <c r="BM108" s="153"/>
    </row>
    <row r="109" spans="1:65" ht="24.75" customHeight="1" x14ac:dyDescent="0.25">
      <c r="A109" s="153"/>
      <c r="B109" s="153"/>
      <c r="C109" s="153"/>
      <c r="D109" s="157"/>
      <c r="E109" s="153"/>
      <c r="F109" s="158"/>
      <c r="G109" s="153"/>
      <c r="H109" s="153"/>
      <c r="I109" s="153"/>
      <c r="J109" s="158"/>
      <c r="K109" s="158"/>
      <c r="L109" s="158"/>
      <c r="M109" s="153"/>
      <c r="N109" s="153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3"/>
      <c r="AB109" s="158"/>
      <c r="AC109" s="158"/>
      <c r="AD109" s="158"/>
      <c r="AE109" s="153"/>
      <c r="AF109" s="153"/>
      <c r="AG109" s="160"/>
      <c r="AH109" s="160"/>
      <c r="AI109" s="153"/>
      <c r="AJ109" s="153"/>
      <c r="AK109" s="153"/>
      <c r="AL109" s="153"/>
      <c r="AM109" s="153"/>
      <c r="AN109" s="153"/>
      <c r="AO109" s="153"/>
      <c r="AP109" s="158"/>
      <c r="AQ109" s="153"/>
      <c r="AR109" s="153"/>
      <c r="AS109" s="153"/>
      <c r="AT109" s="153"/>
      <c r="AU109" s="159"/>
      <c r="AV109" s="153"/>
      <c r="AW109" s="153"/>
      <c r="AX109" s="159"/>
      <c r="AY109" s="159"/>
      <c r="AZ109" s="159"/>
      <c r="BA109" s="153"/>
      <c r="BB109" s="164"/>
      <c r="BC109" s="163" t="str">
        <f t="shared" si="6"/>
        <v/>
      </c>
      <c r="BD109" s="153" t="str">
        <f t="shared" si="7"/>
        <v>INDENIZAÇÃO</v>
      </c>
      <c r="BE109" s="153" t="str">
        <f t="shared" si="8"/>
        <v>NÃO</v>
      </c>
      <c r="BF109" s="153"/>
      <c r="BG109" s="153"/>
      <c r="BH109" s="153"/>
      <c r="BI109" s="153"/>
      <c r="BJ109" s="153"/>
      <c r="BK109" s="159"/>
      <c r="BL109" s="153"/>
      <c r="BM109" s="153"/>
    </row>
    <row r="110" spans="1:65" ht="24.75" customHeight="1" x14ac:dyDescent="0.25">
      <c r="A110" s="153"/>
      <c r="B110" s="153"/>
      <c r="C110" s="153"/>
      <c r="D110" s="157"/>
      <c r="E110" s="153"/>
      <c r="F110" s="158"/>
      <c r="G110" s="153"/>
      <c r="H110" s="153"/>
      <c r="I110" s="153"/>
      <c r="J110" s="158"/>
      <c r="K110" s="158"/>
      <c r="L110" s="158"/>
      <c r="M110" s="153"/>
      <c r="N110" s="153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3"/>
      <c r="AB110" s="158"/>
      <c r="AC110" s="158"/>
      <c r="AD110" s="158"/>
      <c r="AE110" s="153"/>
      <c r="AF110" s="153"/>
      <c r="AG110" s="160"/>
      <c r="AH110" s="160"/>
      <c r="AI110" s="153"/>
      <c r="AJ110" s="153"/>
      <c r="AK110" s="153"/>
      <c r="AL110" s="153"/>
      <c r="AM110" s="153"/>
      <c r="AN110" s="153"/>
      <c r="AO110" s="153"/>
      <c r="AP110" s="158"/>
      <c r="AQ110" s="153"/>
      <c r="AR110" s="153"/>
      <c r="AS110" s="153"/>
      <c r="AT110" s="153"/>
      <c r="AU110" s="159"/>
      <c r="AV110" s="153"/>
      <c r="AW110" s="153"/>
      <c r="AX110" s="159"/>
      <c r="AY110" s="159"/>
      <c r="AZ110" s="159"/>
      <c r="BA110" s="153"/>
      <c r="BB110" s="164"/>
      <c r="BC110" s="163" t="str">
        <f t="shared" ref="BC110:BC127" si="9">IF(AY110-KG110=0,"",AY110-O110)</f>
        <v/>
      </c>
      <c r="BD110" s="153" t="str">
        <f t="shared" ref="BD110:BD127" si="10">IF(AND(AI110&lt;&gt;"SIM",AI110="UH"),"AA","INDENIZAÇÃO")</f>
        <v>INDENIZAÇÃO</v>
      </c>
      <c r="BE110" s="153" t="str">
        <f t="shared" ref="BE110:BE127" si="11">IF(AND(AY110&lt;&gt;"AGUARDANDO",AY110&lt;&gt;"",N110="AUXÍLIO ALUGUEL ATÉ INDENIZAÇÃO"),"SIM","NÃO")</f>
        <v>NÃO</v>
      </c>
      <c r="BF110" s="153"/>
      <c r="BG110" s="153"/>
      <c r="BH110" s="153"/>
      <c r="BI110" s="153"/>
      <c r="BJ110" s="153"/>
      <c r="BK110" s="159"/>
      <c r="BL110" s="153"/>
      <c r="BM110" s="153"/>
    </row>
    <row r="111" spans="1:65" ht="24.75" customHeight="1" x14ac:dyDescent="0.25">
      <c r="A111" s="153"/>
      <c r="B111" s="153"/>
      <c r="C111" s="153"/>
      <c r="D111" s="157"/>
      <c r="E111" s="153"/>
      <c r="F111" s="158"/>
      <c r="G111" s="153"/>
      <c r="H111" s="153"/>
      <c r="I111" s="153"/>
      <c r="J111" s="158"/>
      <c r="K111" s="158"/>
      <c r="L111" s="158"/>
      <c r="M111" s="153"/>
      <c r="N111" s="153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3"/>
      <c r="AB111" s="158"/>
      <c r="AC111" s="158"/>
      <c r="AD111" s="158"/>
      <c r="AE111" s="153"/>
      <c r="AF111" s="153"/>
      <c r="AG111" s="160"/>
      <c r="AH111" s="160"/>
      <c r="AI111" s="153"/>
      <c r="AJ111" s="153"/>
      <c r="AK111" s="153"/>
      <c r="AL111" s="153"/>
      <c r="AM111" s="153"/>
      <c r="AN111" s="153"/>
      <c r="AO111" s="153"/>
      <c r="AP111" s="158"/>
      <c r="AQ111" s="153"/>
      <c r="AR111" s="153"/>
      <c r="AS111" s="153"/>
      <c r="AT111" s="153"/>
      <c r="AU111" s="159"/>
      <c r="AV111" s="153"/>
      <c r="AW111" s="153"/>
      <c r="AX111" s="159"/>
      <c r="AY111" s="159"/>
      <c r="AZ111" s="159"/>
      <c r="BA111" s="153"/>
      <c r="BB111" s="164"/>
      <c r="BC111" s="163" t="str">
        <f t="shared" si="9"/>
        <v/>
      </c>
      <c r="BD111" s="153" t="str">
        <f t="shared" si="10"/>
        <v>INDENIZAÇÃO</v>
      </c>
      <c r="BE111" s="153" t="str">
        <f t="shared" si="11"/>
        <v>NÃO</v>
      </c>
      <c r="BF111" s="153"/>
      <c r="BG111" s="153"/>
      <c r="BH111" s="153"/>
      <c r="BI111" s="153"/>
      <c r="BJ111" s="153"/>
      <c r="BK111" s="159"/>
      <c r="BL111" s="153"/>
      <c r="BM111" s="153"/>
    </row>
    <row r="112" spans="1:65" ht="24.75" customHeight="1" x14ac:dyDescent="0.25">
      <c r="A112" s="153"/>
      <c r="B112" s="153"/>
      <c r="C112" s="153"/>
      <c r="D112" s="157"/>
      <c r="E112" s="153"/>
      <c r="F112" s="158"/>
      <c r="G112" s="153"/>
      <c r="H112" s="153"/>
      <c r="I112" s="153"/>
      <c r="J112" s="158"/>
      <c r="K112" s="158"/>
      <c r="L112" s="158"/>
      <c r="M112" s="153"/>
      <c r="N112" s="153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3"/>
      <c r="AB112" s="158"/>
      <c r="AC112" s="158"/>
      <c r="AD112" s="158"/>
      <c r="AE112" s="153"/>
      <c r="AF112" s="153"/>
      <c r="AG112" s="160"/>
      <c r="AH112" s="160"/>
      <c r="AI112" s="153"/>
      <c r="AJ112" s="153"/>
      <c r="AK112" s="153"/>
      <c r="AL112" s="153"/>
      <c r="AM112" s="153"/>
      <c r="AN112" s="153"/>
      <c r="AO112" s="153"/>
      <c r="AP112" s="158"/>
      <c r="AQ112" s="153"/>
      <c r="AR112" s="153"/>
      <c r="AS112" s="153"/>
      <c r="AT112" s="153"/>
      <c r="AU112" s="159"/>
      <c r="AV112" s="153"/>
      <c r="AW112" s="153"/>
      <c r="AX112" s="159"/>
      <c r="AY112" s="159"/>
      <c r="AZ112" s="159"/>
      <c r="BA112" s="153"/>
      <c r="BB112" s="164"/>
      <c r="BC112" s="163" t="str">
        <f t="shared" si="9"/>
        <v/>
      </c>
      <c r="BD112" s="153" t="str">
        <f t="shared" si="10"/>
        <v>INDENIZAÇÃO</v>
      </c>
      <c r="BE112" s="153" t="str">
        <f t="shared" si="11"/>
        <v>NÃO</v>
      </c>
      <c r="BF112" s="153"/>
      <c r="BG112" s="153"/>
      <c r="BH112" s="153"/>
      <c r="BI112" s="153"/>
      <c r="BJ112" s="153"/>
      <c r="BK112" s="159"/>
      <c r="BL112" s="153"/>
      <c r="BM112" s="153"/>
    </row>
    <row r="113" spans="1:65" ht="24.75" customHeight="1" x14ac:dyDescent="0.25">
      <c r="A113" s="153"/>
      <c r="B113" s="153"/>
      <c r="C113" s="153"/>
      <c r="D113" s="157"/>
      <c r="E113" s="153"/>
      <c r="F113" s="158"/>
      <c r="G113" s="153"/>
      <c r="H113" s="153"/>
      <c r="I113" s="153"/>
      <c r="J113" s="158"/>
      <c r="K113" s="158"/>
      <c r="L113" s="158"/>
      <c r="M113" s="153"/>
      <c r="N113" s="153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3"/>
      <c r="AB113" s="158"/>
      <c r="AC113" s="158"/>
      <c r="AD113" s="158"/>
      <c r="AE113" s="153"/>
      <c r="AF113" s="153"/>
      <c r="AG113" s="160"/>
      <c r="AH113" s="160"/>
      <c r="AI113" s="153"/>
      <c r="AJ113" s="153"/>
      <c r="AK113" s="153"/>
      <c r="AL113" s="153"/>
      <c r="AM113" s="153"/>
      <c r="AN113" s="153"/>
      <c r="AO113" s="153"/>
      <c r="AP113" s="158"/>
      <c r="AQ113" s="153"/>
      <c r="AR113" s="153"/>
      <c r="AS113" s="153"/>
      <c r="AT113" s="153"/>
      <c r="AU113" s="159"/>
      <c r="AV113" s="153"/>
      <c r="AW113" s="153"/>
      <c r="AX113" s="159"/>
      <c r="AY113" s="159"/>
      <c r="AZ113" s="159"/>
      <c r="BA113" s="153"/>
      <c r="BB113" s="164"/>
      <c r="BC113" s="163" t="str">
        <f t="shared" si="9"/>
        <v/>
      </c>
      <c r="BD113" s="153" t="str">
        <f t="shared" si="10"/>
        <v>INDENIZAÇÃO</v>
      </c>
      <c r="BE113" s="153" t="str">
        <f t="shared" si="11"/>
        <v>NÃO</v>
      </c>
      <c r="BF113" s="153"/>
      <c r="BG113" s="153"/>
      <c r="BH113" s="153"/>
      <c r="BI113" s="153"/>
      <c r="BJ113" s="153"/>
      <c r="BK113" s="159"/>
      <c r="BL113" s="153"/>
      <c r="BM113" s="153"/>
    </row>
    <row r="114" spans="1:65" ht="24.75" customHeight="1" x14ac:dyDescent="0.25">
      <c r="A114" s="153"/>
      <c r="B114" s="153"/>
      <c r="C114" s="153"/>
      <c r="D114" s="157"/>
      <c r="E114" s="153"/>
      <c r="F114" s="158"/>
      <c r="G114" s="153"/>
      <c r="H114" s="153"/>
      <c r="I114" s="153"/>
      <c r="J114" s="158"/>
      <c r="K114" s="158"/>
      <c r="L114" s="158"/>
      <c r="M114" s="153"/>
      <c r="N114" s="153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3"/>
      <c r="AB114" s="158"/>
      <c r="AC114" s="158"/>
      <c r="AD114" s="158"/>
      <c r="AE114" s="153"/>
      <c r="AF114" s="153"/>
      <c r="AG114" s="160"/>
      <c r="AH114" s="160"/>
      <c r="AI114" s="153"/>
      <c r="AJ114" s="153"/>
      <c r="AK114" s="153"/>
      <c r="AL114" s="153"/>
      <c r="AM114" s="153"/>
      <c r="AN114" s="153"/>
      <c r="AO114" s="153"/>
      <c r="AP114" s="158"/>
      <c r="AQ114" s="153"/>
      <c r="AR114" s="153"/>
      <c r="AS114" s="153"/>
      <c r="AT114" s="153"/>
      <c r="AU114" s="159"/>
      <c r="AV114" s="153"/>
      <c r="AW114" s="153"/>
      <c r="AX114" s="159"/>
      <c r="AY114" s="159"/>
      <c r="AZ114" s="159"/>
      <c r="BA114" s="153"/>
      <c r="BB114" s="164"/>
      <c r="BC114" s="163" t="str">
        <f t="shared" si="9"/>
        <v/>
      </c>
      <c r="BD114" s="153" t="str">
        <f t="shared" si="10"/>
        <v>INDENIZAÇÃO</v>
      </c>
      <c r="BE114" s="153" t="str">
        <f t="shared" si="11"/>
        <v>NÃO</v>
      </c>
      <c r="BF114" s="153"/>
      <c r="BG114" s="153"/>
      <c r="BH114" s="153"/>
      <c r="BI114" s="153"/>
      <c r="BJ114" s="153"/>
      <c r="BK114" s="159"/>
      <c r="BL114" s="153"/>
      <c r="BM114" s="153"/>
    </row>
    <row r="115" spans="1:65" ht="24.75" customHeight="1" x14ac:dyDescent="0.25">
      <c r="A115" s="153"/>
      <c r="B115" s="153"/>
      <c r="C115" s="153"/>
      <c r="D115" s="157"/>
      <c r="E115" s="153"/>
      <c r="F115" s="158"/>
      <c r="G115" s="153"/>
      <c r="H115" s="153"/>
      <c r="I115" s="153"/>
      <c r="J115" s="158"/>
      <c r="K115" s="158"/>
      <c r="L115" s="158"/>
      <c r="M115" s="153"/>
      <c r="N115" s="153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3"/>
      <c r="AB115" s="158"/>
      <c r="AC115" s="158"/>
      <c r="AD115" s="158"/>
      <c r="AE115" s="153"/>
      <c r="AF115" s="153"/>
      <c r="AG115" s="160"/>
      <c r="AH115" s="160"/>
      <c r="AI115" s="153"/>
      <c r="AJ115" s="153"/>
      <c r="AK115" s="153"/>
      <c r="AL115" s="153"/>
      <c r="AM115" s="153"/>
      <c r="AN115" s="153"/>
      <c r="AO115" s="153"/>
      <c r="AP115" s="158"/>
      <c r="AQ115" s="153"/>
      <c r="AR115" s="153"/>
      <c r="AS115" s="153"/>
      <c r="AT115" s="153"/>
      <c r="AU115" s="159"/>
      <c r="AV115" s="153"/>
      <c r="AW115" s="153"/>
      <c r="AX115" s="159"/>
      <c r="AY115" s="159"/>
      <c r="AZ115" s="159"/>
      <c r="BA115" s="153"/>
      <c r="BB115" s="164"/>
      <c r="BC115" s="163" t="str">
        <f t="shared" si="9"/>
        <v/>
      </c>
      <c r="BD115" s="153" t="str">
        <f t="shared" si="10"/>
        <v>INDENIZAÇÃO</v>
      </c>
      <c r="BE115" s="153" t="str">
        <f t="shared" si="11"/>
        <v>NÃO</v>
      </c>
      <c r="BF115" s="153"/>
      <c r="BG115" s="153"/>
      <c r="BH115" s="153"/>
      <c r="BI115" s="153"/>
      <c r="BJ115" s="153"/>
      <c r="BK115" s="159"/>
      <c r="BL115" s="153"/>
      <c r="BM115" s="153"/>
    </row>
    <row r="116" spans="1:65" ht="24.75" customHeight="1" x14ac:dyDescent="0.25">
      <c r="A116" s="153"/>
      <c r="B116" s="153"/>
      <c r="C116" s="153"/>
      <c r="D116" s="157"/>
      <c r="E116" s="153"/>
      <c r="F116" s="158"/>
      <c r="G116" s="153"/>
      <c r="H116" s="153"/>
      <c r="I116" s="153"/>
      <c r="J116" s="158"/>
      <c r="K116" s="158"/>
      <c r="L116" s="158"/>
      <c r="M116" s="153"/>
      <c r="N116" s="153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3"/>
      <c r="AB116" s="158"/>
      <c r="AC116" s="158"/>
      <c r="AD116" s="158"/>
      <c r="AE116" s="153"/>
      <c r="AF116" s="153"/>
      <c r="AG116" s="160"/>
      <c r="AH116" s="160"/>
      <c r="AI116" s="153"/>
      <c r="AJ116" s="153"/>
      <c r="AK116" s="153"/>
      <c r="AL116" s="153"/>
      <c r="AM116" s="153"/>
      <c r="AN116" s="153"/>
      <c r="AO116" s="153"/>
      <c r="AP116" s="158"/>
      <c r="AQ116" s="153"/>
      <c r="AR116" s="153"/>
      <c r="AS116" s="153"/>
      <c r="AT116" s="153"/>
      <c r="AU116" s="159"/>
      <c r="AV116" s="153"/>
      <c r="AW116" s="153"/>
      <c r="AX116" s="159"/>
      <c r="AY116" s="159"/>
      <c r="AZ116" s="159"/>
      <c r="BA116" s="153"/>
      <c r="BB116" s="164"/>
      <c r="BC116" s="163" t="str">
        <f t="shared" si="9"/>
        <v/>
      </c>
      <c r="BD116" s="153" t="str">
        <f t="shared" si="10"/>
        <v>INDENIZAÇÃO</v>
      </c>
      <c r="BE116" s="153" t="str">
        <f t="shared" si="11"/>
        <v>NÃO</v>
      </c>
      <c r="BF116" s="153"/>
      <c r="BG116" s="153"/>
      <c r="BH116" s="153"/>
      <c r="BI116" s="153"/>
      <c r="BJ116" s="153"/>
      <c r="BK116" s="159"/>
      <c r="BL116" s="153"/>
      <c r="BM116" s="153"/>
    </row>
    <row r="117" spans="1:65" ht="24.75" customHeight="1" x14ac:dyDescent="0.25">
      <c r="A117" s="153"/>
      <c r="B117" s="153"/>
      <c r="C117" s="153"/>
      <c r="D117" s="157"/>
      <c r="E117" s="153"/>
      <c r="F117" s="158"/>
      <c r="G117" s="153"/>
      <c r="H117" s="153"/>
      <c r="I117" s="153"/>
      <c r="J117" s="158"/>
      <c r="K117" s="158"/>
      <c r="L117" s="158"/>
      <c r="M117" s="153"/>
      <c r="N117" s="153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3"/>
      <c r="AB117" s="158"/>
      <c r="AC117" s="158"/>
      <c r="AD117" s="158"/>
      <c r="AE117" s="153"/>
      <c r="AF117" s="153"/>
      <c r="AG117" s="160"/>
      <c r="AH117" s="160"/>
      <c r="AI117" s="153"/>
      <c r="AJ117" s="153"/>
      <c r="AK117" s="153"/>
      <c r="AL117" s="153"/>
      <c r="AM117" s="153"/>
      <c r="AN117" s="153"/>
      <c r="AO117" s="153"/>
      <c r="AP117" s="158"/>
      <c r="AQ117" s="153"/>
      <c r="AR117" s="153"/>
      <c r="AS117" s="153"/>
      <c r="AT117" s="153"/>
      <c r="AU117" s="159"/>
      <c r="AV117" s="153"/>
      <c r="AW117" s="153"/>
      <c r="AX117" s="159"/>
      <c r="AY117" s="159"/>
      <c r="AZ117" s="159"/>
      <c r="BA117" s="153"/>
      <c r="BB117" s="164"/>
      <c r="BC117" s="163" t="str">
        <f t="shared" si="9"/>
        <v/>
      </c>
      <c r="BD117" s="153" t="str">
        <f t="shared" si="10"/>
        <v>INDENIZAÇÃO</v>
      </c>
      <c r="BE117" s="153" t="str">
        <f t="shared" si="11"/>
        <v>NÃO</v>
      </c>
      <c r="BF117" s="153"/>
      <c r="BG117" s="153"/>
      <c r="BH117" s="153"/>
      <c r="BI117" s="153"/>
      <c r="BJ117" s="153"/>
      <c r="BK117" s="159"/>
      <c r="BL117" s="153"/>
      <c r="BM117" s="153"/>
    </row>
    <row r="118" spans="1:65" ht="24.75" customHeight="1" x14ac:dyDescent="0.25">
      <c r="A118" s="153"/>
      <c r="B118" s="153"/>
      <c r="C118" s="153"/>
      <c r="D118" s="157"/>
      <c r="E118" s="153"/>
      <c r="F118" s="158"/>
      <c r="G118" s="153"/>
      <c r="H118" s="153"/>
      <c r="I118" s="153"/>
      <c r="J118" s="158"/>
      <c r="K118" s="158"/>
      <c r="L118" s="158"/>
      <c r="M118" s="153"/>
      <c r="N118" s="153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3"/>
      <c r="AB118" s="158"/>
      <c r="AC118" s="158"/>
      <c r="AD118" s="158"/>
      <c r="AE118" s="153"/>
      <c r="AF118" s="153"/>
      <c r="AG118" s="160"/>
      <c r="AH118" s="160"/>
      <c r="AI118" s="153"/>
      <c r="AJ118" s="153"/>
      <c r="AK118" s="153"/>
      <c r="AL118" s="153"/>
      <c r="AM118" s="153"/>
      <c r="AN118" s="153"/>
      <c r="AO118" s="153"/>
      <c r="AP118" s="158"/>
      <c r="AQ118" s="153"/>
      <c r="AR118" s="153"/>
      <c r="AS118" s="153"/>
      <c r="AT118" s="153"/>
      <c r="AU118" s="159"/>
      <c r="AV118" s="153"/>
      <c r="AW118" s="153"/>
      <c r="AX118" s="159"/>
      <c r="AY118" s="159"/>
      <c r="AZ118" s="159"/>
      <c r="BA118" s="153"/>
      <c r="BB118" s="164"/>
      <c r="BC118" s="163" t="str">
        <f t="shared" si="9"/>
        <v/>
      </c>
      <c r="BD118" s="153" t="str">
        <f t="shared" si="10"/>
        <v>INDENIZAÇÃO</v>
      </c>
      <c r="BE118" s="153" t="str">
        <f t="shared" si="11"/>
        <v>NÃO</v>
      </c>
      <c r="BF118" s="153"/>
      <c r="BG118" s="153"/>
      <c r="BH118" s="153"/>
      <c r="BI118" s="153"/>
      <c r="BJ118" s="153"/>
      <c r="BK118" s="159"/>
      <c r="BL118" s="153"/>
      <c r="BM118" s="153"/>
    </row>
    <row r="119" spans="1:65" ht="24.75" customHeight="1" x14ac:dyDescent="0.25">
      <c r="A119" s="153"/>
      <c r="B119" s="153"/>
      <c r="C119" s="153"/>
      <c r="D119" s="157"/>
      <c r="E119" s="153"/>
      <c r="F119" s="158"/>
      <c r="G119" s="153"/>
      <c r="H119" s="153"/>
      <c r="I119" s="153"/>
      <c r="J119" s="158"/>
      <c r="K119" s="158"/>
      <c r="L119" s="158"/>
      <c r="M119" s="153"/>
      <c r="N119" s="153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3"/>
      <c r="AB119" s="158"/>
      <c r="AC119" s="158"/>
      <c r="AD119" s="158"/>
      <c r="AE119" s="153"/>
      <c r="AF119" s="153"/>
      <c r="AG119" s="160"/>
      <c r="AH119" s="160"/>
      <c r="AI119" s="153"/>
      <c r="AJ119" s="153"/>
      <c r="AK119" s="153"/>
      <c r="AL119" s="153"/>
      <c r="AM119" s="153"/>
      <c r="AN119" s="153"/>
      <c r="AO119" s="153"/>
      <c r="AP119" s="158"/>
      <c r="AQ119" s="153"/>
      <c r="AR119" s="153"/>
      <c r="AS119" s="153"/>
      <c r="AT119" s="153"/>
      <c r="AU119" s="159"/>
      <c r="AV119" s="153"/>
      <c r="AW119" s="153"/>
      <c r="AX119" s="159"/>
      <c r="AY119" s="159"/>
      <c r="AZ119" s="159"/>
      <c r="BA119" s="153"/>
      <c r="BB119" s="164"/>
      <c r="BC119" s="163" t="str">
        <f t="shared" si="9"/>
        <v/>
      </c>
      <c r="BD119" s="153" t="str">
        <f t="shared" si="10"/>
        <v>INDENIZAÇÃO</v>
      </c>
      <c r="BE119" s="153" t="str">
        <f t="shared" si="11"/>
        <v>NÃO</v>
      </c>
      <c r="BF119" s="153"/>
      <c r="BG119" s="153"/>
      <c r="BH119" s="153"/>
      <c r="BI119" s="153"/>
      <c r="BJ119" s="153"/>
      <c r="BK119" s="159"/>
      <c r="BL119" s="153"/>
      <c r="BM119" s="153"/>
    </row>
    <row r="120" spans="1:65" ht="24.75" customHeight="1" x14ac:dyDescent="0.25">
      <c r="A120" s="153"/>
      <c r="B120" s="153"/>
      <c r="C120" s="153"/>
      <c r="D120" s="157"/>
      <c r="E120" s="153"/>
      <c r="F120" s="158"/>
      <c r="G120" s="153"/>
      <c r="H120" s="153"/>
      <c r="I120" s="153"/>
      <c r="J120" s="158"/>
      <c r="K120" s="158"/>
      <c r="L120" s="158"/>
      <c r="M120" s="153"/>
      <c r="N120" s="153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3"/>
      <c r="AB120" s="158"/>
      <c r="AC120" s="158"/>
      <c r="AD120" s="158"/>
      <c r="AE120" s="153"/>
      <c r="AF120" s="153"/>
      <c r="AG120" s="160"/>
      <c r="AH120" s="160"/>
      <c r="AI120" s="153"/>
      <c r="AJ120" s="153"/>
      <c r="AK120" s="153"/>
      <c r="AL120" s="153"/>
      <c r="AM120" s="153"/>
      <c r="AN120" s="153"/>
      <c r="AO120" s="153"/>
      <c r="AP120" s="158"/>
      <c r="AQ120" s="153"/>
      <c r="AR120" s="153"/>
      <c r="AS120" s="153"/>
      <c r="AT120" s="153"/>
      <c r="AU120" s="159"/>
      <c r="AV120" s="153"/>
      <c r="AW120" s="153"/>
      <c r="AX120" s="159"/>
      <c r="AY120" s="159"/>
      <c r="AZ120" s="159"/>
      <c r="BA120" s="153"/>
      <c r="BB120" s="164"/>
      <c r="BC120" s="163" t="str">
        <f t="shared" si="9"/>
        <v/>
      </c>
      <c r="BD120" s="153" t="str">
        <f t="shared" si="10"/>
        <v>INDENIZAÇÃO</v>
      </c>
      <c r="BE120" s="153" t="str">
        <f t="shared" si="11"/>
        <v>NÃO</v>
      </c>
      <c r="BF120" s="153"/>
      <c r="BG120" s="153"/>
      <c r="BH120" s="153"/>
      <c r="BI120" s="153"/>
      <c r="BJ120" s="153"/>
      <c r="BK120" s="159"/>
      <c r="BL120" s="153"/>
      <c r="BM120" s="153"/>
    </row>
    <row r="121" spans="1:65" ht="24.75" customHeight="1" x14ac:dyDescent="0.25">
      <c r="A121" s="153"/>
      <c r="B121" s="153"/>
      <c r="C121" s="153"/>
      <c r="D121" s="157"/>
      <c r="E121" s="153"/>
      <c r="F121" s="158"/>
      <c r="G121" s="153"/>
      <c r="H121" s="153"/>
      <c r="I121" s="153"/>
      <c r="J121" s="158"/>
      <c r="K121" s="158"/>
      <c r="L121" s="158"/>
      <c r="M121" s="153"/>
      <c r="N121" s="153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3"/>
      <c r="AB121" s="158"/>
      <c r="AC121" s="158"/>
      <c r="AD121" s="158"/>
      <c r="AE121" s="153"/>
      <c r="AF121" s="153"/>
      <c r="AG121" s="160"/>
      <c r="AH121" s="160"/>
      <c r="AI121" s="153"/>
      <c r="AJ121" s="153"/>
      <c r="AK121" s="153"/>
      <c r="AL121" s="153"/>
      <c r="AM121" s="153"/>
      <c r="AN121" s="153"/>
      <c r="AO121" s="153"/>
      <c r="AP121" s="158"/>
      <c r="AQ121" s="153"/>
      <c r="AR121" s="153"/>
      <c r="AS121" s="153"/>
      <c r="AT121" s="153"/>
      <c r="AU121" s="159"/>
      <c r="AV121" s="153"/>
      <c r="AW121" s="153"/>
      <c r="AX121" s="159"/>
      <c r="AY121" s="159"/>
      <c r="AZ121" s="159"/>
      <c r="BA121" s="153"/>
      <c r="BB121" s="164"/>
      <c r="BC121" s="163" t="str">
        <f t="shared" si="9"/>
        <v/>
      </c>
      <c r="BD121" s="153" t="str">
        <f t="shared" si="10"/>
        <v>INDENIZAÇÃO</v>
      </c>
      <c r="BE121" s="153" t="str">
        <f t="shared" si="11"/>
        <v>NÃO</v>
      </c>
      <c r="BF121" s="153"/>
      <c r="BG121" s="153"/>
      <c r="BH121" s="153"/>
      <c r="BI121" s="153"/>
      <c r="BJ121" s="153"/>
      <c r="BK121" s="159"/>
      <c r="BL121" s="153"/>
      <c r="BM121" s="153"/>
    </row>
    <row r="122" spans="1:65" ht="24.75" customHeight="1" x14ac:dyDescent="0.25">
      <c r="A122" s="153"/>
      <c r="B122" s="153"/>
      <c r="C122" s="153"/>
      <c r="D122" s="157"/>
      <c r="E122" s="153"/>
      <c r="F122" s="158"/>
      <c r="G122" s="153"/>
      <c r="H122" s="153"/>
      <c r="I122" s="153"/>
      <c r="J122" s="158"/>
      <c r="K122" s="158"/>
      <c r="L122" s="158"/>
      <c r="M122" s="153"/>
      <c r="N122" s="153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3"/>
      <c r="AB122" s="158"/>
      <c r="AC122" s="158"/>
      <c r="AD122" s="158"/>
      <c r="AE122" s="153"/>
      <c r="AF122" s="153"/>
      <c r="AG122" s="160"/>
      <c r="AH122" s="160"/>
      <c r="AI122" s="153"/>
      <c r="AJ122" s="153"/>
      <c r="AK122" s="153"/>
      <c r="AL122" s="153"/>
      <c r="AM122" s="153"/>
      <c r="AN122" s="153"/>
      <c r="AO122" s="153"/>
      <c r="AP122" s="158"/>
      <c r="AQ122" s="153"/>
      <c r="AR122" s="153"/>
      <c r="AS122" s="153"/>
      <c r="AT122" s="153"/>
      <c r="AU122" s="159"/>
      <c r="AV122" s="153"/>
      <c r="AW122" s="153"/>
      <c r="AX122" s="159"/>
      <c r="AY122" s="159"/>
      <c r="AZ122" s="159"/>
      <c r="BA122" s="153"/>
      <c r="BB122" s="164"/>
      <c r="BC122" s="163" t="str">
        <f t="shared" si="9"/>
        <v/>
      </c>
      <c r="BD122" s="153" t="str">
        <f t="shared" si="10"/>
        <v>INDENIZAÇÃO</v>
      </c>
      <c r="BE122" s="153" t="str">
        <f t="shared" si="11"/>
        <v>NÃO</v>
      </c>
      <c r="BF122" s="153"/>
      <c r="BG122" s="153"/>
      <c r="BH122" s="153"/>
      <c r="BI122" s="153"/>
      <c r="BJ122" s="153"/>
      <c r="BK122" s="159"/>
      <c r="BL122" s="153"/>
      <c r="BM122" s="153"/>
    </row>
    <row r="123" spans="1:65" ht="24.75" customHeight="1" x14ac:dyDescent="0.25">
      <c r="A123" s="153"/>
      <c r="B123" s="153"/>
      <c r="C123" s="153"/>
      <c r="D123" s="157"/>
      <c r="E123" s="153"/>
      <c r="F123" s="158"/>
      <c r="G123" s="153"/>
      <c r="H123" s="153"/>
      <c r="I123" s="153"/>
      <c r="J123" s="158"/>
      <c r="K123" s="158"/>
      <c r="L123" s="158"/>
      <c r="M123" s="153"/>
      <c r="N123" s="153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3"/>
      <c r="AB123" s="158"/>
      <c r="AC123" s="158"/>
      <c r="AD123" s="158"/>
      <c r="AE123" s="153"/>
      <c r="AF123" s="153"/>
      <c r="AG123" s="160"/>
      <c r="AH123" s="160"/>
      <c r="AI123" s="153"/>
      <c r="AJ123" s="153"/>
      <c r="AK123" s="153"/>
      <c r="AL123" s="153"/>
      <c r="AM123" s="153"/>
      <c r="AN123" s="153"/>
      <c r="AO123" s="153"/>
      <c r="AP123" s="158"/>
      <c r="AQ123" s="153"/>
      <c r="AR123" s="153"/>
      <c r="AS123" s="153"/>
      <c r="AT123" s="153"/>
      <c r="AU123" s="159"/>
      <c r="AV123" s="153"/>
      <c r="AW123" s="153"/>
      <c r="AX123" s="159"/>
      <c r="AY123" s="159"/>
      <c r="AZ123" s="159"/>
      <c r="BA123" s="153"/>
      <c r="BB123" s="164"/>
      <c r="BC123" s="163" t="str">
        <f t="shared" si="9"/>
        <v/>
      </c>
      <c r="BD123" s="153" t="str">
        <f t="shared" si="10"/>
        <v>INDENIZAÇÃO</v>
      </c>
      <c r="BE123" s="153" t="str">
        <f t="shared" si="11"/>
        <v>NÃO</v>
      </c>
      <c r="BF123" s="153"/>
      <c r="BG123" s="153"/>
      <c r="BH123" s="153"/>
      <c r="BI123" s="153"/>
      <c r="BJ123" s="153"/>
      <c r="BK123" s="159"/>
      <c r="BL123" s="153"/>
      <c r="BM123" s="153"/>
    </row>
    <row r="124" spans="1:65" ht="24.75" customHeight="1" x14ac:dyDescent="0.25">
      <c r="A124" s="153"/>
      <c r="B124" s="153"/>
      <c r="C124" s="153"/>
      <c r="D124" s="157"/>
      <c r="E124" s="153"/>
      <c r="F124" s="158"/>
      <c r="G124" s="153"/>
      <c r="H124" s="153"/>
      <c r="I124" s="153"/>
      <c r="J124" s="158"/>
      <c r="K124" s="158"/>
      <c r="L124" s="158"/>
      <c r="M124" s="153"/>
      <c r="N124" s="153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3"/>
      <c r="AB124" s="158"/>
      <c r="AC124" s="158"/>
      <c r="AD124" s="158"/>
      <c r="AE124" s="153"/>
      <c r="AF124" s="153"/>
      <c r="AG124" s="160"/>
      <c r="AH124" s="160"/>
      <c r="AI124" s="153"/>
      <c r="AJ124" s="153"/>
      <c r="AK124" s="153"/>
      <c r="AL124" s="153"/>
      <c r="AM124" s="153"/>
      <c r="AN124" s="153"/>
      <c r="AO124" s="153"/>
      <c r="AP124" s="158"/>
      <c r="AQ124" s="153"/>
      <c r="AR124" s="153"/>
      <c r="AS124" s="153"/>
      <c r="AT124" s="153"/>
      <c r="AU124" s="159"/>
      <c r="AV124" s="153"/>
      <c r="AW124" s="153"/>
      <c r="AX124" s="159"/>
      <c r="AY124" s="159"/>
      <c r="AZ124" s="159"/>
      <c r="BA124" s="153"/>
      <c r="BB124" s="164"/>
      <c r="BC124" s="163" t="str">
        <f t="shared" si="9"/>
        <v/>
      </c>
      <c r="BD124" s="153" t="str">
        <f t="shared" si="10"/>
        <v>INDENIZAÇÃO</v>
      </c>
      <c r="BE124" s="153" t="str">
        <f t="shared" si="11"/>
        <v>NÃO</v>
      </c>
      <c r="BF124" s="153"/>
      <c r="BG124" s="153"/>
      <c r="BH124" s="153"/>
      <c r="BI124" s="153"/>
      <c r="BJ124" s="153"/>
      <c r="BK124" s="159"/>
      <c r="BL124" s="153"/>
      <c r="BM124" s="153"/>
    </row>
    <row r="125" spans="1:65" ht="24.75" customHeight="1" x14ac:dyDescent="0.25">
      <c r="A125" s="153"/>
      <c r="B125" s="153"/>
      <c r="C125" s="153"/>
      <c r="D125" s="157"/>
      <c r="E125" s="153"/>
      <c r="F125" s="158"/>
      <c r="G125" s="153"/>
      <c r="H125" s="153"/>
      <c r="I125" s="153"/>
      <c r="J125" s="158"/>
      <c r="K125" s="158"/>
      <c r="L125" s="158"/>
      <c r="M125" s="153"/>
      <c r="N125" s="153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3"/>
      <c r="AB125" s="158"/>
      <c r="AC125" s="158"/>
      <c r="AD125" s="158"/>
      <c r="AE125" s="153"/>
      <c r="AF125" s="153"/>
      <c r="AG125" s="160"/>
      <c r="AH125" s="160"/>
      <c r="AI125" s="153"/>
      <c r="AJ125" s="153"/>
      <c r="AK125" s="153"/>
      <c r="AL125" s="153"/>
      <c r="AM125" s="153"/>
      <c r="AN125" s="153"/>
      <c r="AO125" s="153"/>
      <c r="AP125" s="158"/>
      <c r="AQ125" s="153"/>
      <c r="AR125" s="153"/>
      <c r="AS125" s="153"/>
      <c r="AT125" s="153"/>
      <c r="AU125" s="159"/>
      <c r="AV125" s="153"/>
      <c r="AW125" s="153"/>
      <c r="AX125" s="159"/>
      <c r="AY125" s="159"/>
      <c r="AZ125" s="159"/>
      <c r="BA125" s="153"/>
      <c r="BB125" s="164"/>
      <c r="BC125" s="163" t="str">
        <f t="shared" si="9"/>
        <v/>
      </c>
      <c r="BD125" s="153" t="str">
        <f t="shared" si="10"/>
        <v>INDENIZAÇÃO</v>
      </c>
      <c r="BE125" s="153" t="str">
        <f t="shared" si="11"/>
        <v>NÃO</v>
      </c>
      <c r="BF125" s="153"/>
      <c r="BG125" s="153"/>
      <c r="BH125" s="153"/>
      <c r="BI125" s="153"/>
      <c r="BJ125" s="153"/>
      <c r="BK125" s="159"/>
      <c r="BL125" s="153"/>
      <c r="BM125" s="153"/>
    </row>
    <row r="126" spans="1:65" ht="24.75" customHeight="1" x14ac:dyDescent="0.25">
      <c r="A126" s="153"/>
      <c r="B126" s="153"/>
      <c r="C126" s="153"/>
      <c r="D126" s="157"/>
      <c r="E126" s="153"/>
      <c r="F126" s="158"/>
      <c r="G126" s="153"/>
      <c r="H126" s="153"/>
      <c r="I126" s="153"/>
      <c r="J126" s="158"/>
      <c r="K126" s="158"/>
      <c r="L126" s="158"/>
      <c r="M126" s="153"/>
      <c r="N126" s="153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3"/>
      <c r="AB126" s="158"/>
      <c r="AC126" s="158"/>
      <c r="AD126" s="158"/>
      <c r="AE126" s="153"/>
      <c r="AF126" s="153"/>
      <c r="AG126" s="160"/>
      <c r="AH126" s="160"/>
      <c r="AI126" s="153"/>
      <c r="AJ126" s="153"/>
      <c r="AK126" s="153"/>
      <c r="AL126" s="153"/>
      <c r="AM126" s="153"/>
      <c r="AN126" s="153"/>
      <c r="AO126" s="153"/>
      <c r="AP126" s="158"/>
      <c r="AQ126" s="153"/>
      <c r="AR126" s="153"/>
      <c r="AS126" s="153"/>
      <c r="AT126" s="153"/>
      <c r="AU126" s="159"/>
      <c r="AV126" s="153"/>
      <c r="AW126" s="153"/>
      <c r="AX126" s="159"/>
      <c r="AY126" s="159"/>
      <c r="AZ126" s="159"/>
      <c r="BA126" s="153"/>
      <c r="BB126" s="164"/>
      <c r="BC126" s="163" t="str">
        <f t="shared" si="9"/>
        <v/>
      </c>
      <c r="BD126" s="153" t="str">
        <f t="shared" si="10"/>
        <v>INDENIZAÇÃO</v>
      </c>
      <c r="BE126" s="153" t="str">
        <f t="shared" si="11"/>
        <v>NÃO</v>
      </c>
      <c r="BF126" s="153"/>
      <c r="BG126" s="153"/>
      <c r="BH126" s="153"/>
      <c r="BI126" s="153"/>
      <c r="BJ126" s="153"/>
      <c r="BK126" s="159"/>
      <c r="BL126" s="153"/>
      <c r="BM126" s="153"/>
    </row>
    <row r="127" spans="1:65" ht="24.75" customHeight="1" x14ac:dyDescent="0.25">
      <c r="A127" s="153"/>
      <c r="B127" s="153"/>
      <c r="C127" s="153"/>
      <c r="D127" s="157"/>
      <c r="E127" s="153"/>
      <c r="F127" s="158"/>
      <c r="G127" s="153"/>
      <c r="H127" s="153"/>
      <c r="I127" s="153"/>
      <c r="J127" s="158"/>
      <c r="K127" s="158"/>
      <c r="L127" s="158"/>
      <c r="M127" s="153"/>
      <c r="N127" s="153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3"/>
      <c r="AB127" s="158"/>
      <c r="AC127" s="158"/>
      <c r="AD127" s="158"/>
      <c r="AE127" s="153"/>
      <c r="AF127" s="153"/>
      <c r="AG127" s="160"/>
      <c r="AH127" s="160"/>
      <c r="AI127" s="153"/>
      <c r="AJ127" s="153"/>
      <c r="AK127" s="153"/>
      <c r="AL127" s="153"/>
      <c r="AM127" s="153"/>
      <c r="AN127" s="153"/>
      <c r="AO127" s="153"/>
      <c r="AP127" s="158"/>
      <c r="AQ127" s="153"/>
      <c r="AR127" s="153"/>
      <c r="AS127" s="153"/>
      <c r="AT127" s="153"/>
      <c r="AU127" s="159"/>
      <c r="AV127" s="153"/>
      <c r="AW127" s="153"/>
      <c r="AX127" s="159"/>
      <c r="AY127" s="159"/>
      <c r="AZ127" s="159"/>
      <c r="BA127" s="153"/>
      <c r="BB127" s="164"/>
      <c r="BC127" s="163" t="str">
        <f t="shared" si="9"/>
        <v/>
      </c>
      <c r="BD127" s="153" t="str">
        <f t="shared" si="10"/>
        <v>INDENIZAÇÃO</v>
      </c>
      <c r="BE127" s="153" t="str">
        <f t="shared" si="11"/>
        <v>NÃO</v>
      </c>
      <c r="BF127" s="153"/>
      <c r="BG127" s="153"/>
      <c r="BH127" s="153"/>
      <c r="BI127" s="153"/>
      <c r="BJ127" s="153"/>
      <c r="BK127" s="159"/>
      <c r="BL127" s="153"/>
      <c r="BM127" s="153"/>
    </row>
    <row r="128" spans="1:65" ht="24.75" customHeight="1" x14ac:dyDescent="0.25">
      <c r="AG128" s="242"/>
      <c r="AH128" s="242"/>
    </row>
    <row r="129" spans="50:50" ht="24.75" customHeight="1" x14ac:dyDescent="0.25"/>
    <row r="130" spans="50:50" ht="24.75" customHeight="1" x14ac:dyDescent="0.25"/>
    <row r="131" spans="50:50" ht="24.75" customHeight="1" x14ac:dyDescent="0.25"/>
    <row r="132" spans="50:50" ht="24.75" customHeight="1" x14ac:dyDescent="0.25"/>
    <row r="133" spans="50:50" ht="24.75" customHeight="1" x14ac:dyDescent="0.25"/>
    <row r="134" spans="50:50" ht="24.75" customHeight="1" x14ac:dyDescent="0.25"/>
    <row r="135" spans="50:50" ht="24.75" customHeight="1" x14ac:dyDescent="0.25"/>
    <row r="136" spans="50:50" ht="24.75" customHeight="1" x14ac:dyDescent="0.25"/>
    <row r="137" spans="50:50" ht="24.75" customHeight="1" x14ac:dyDescent="0.25">
      <c r="AX137" s="140"/>
    </row>
    <row r="138" spans="50:50" ht="24.75" customHeight="1" x14ac:dyDescent="0.25"/>
    <row r="139" spans="50:50" ht="24.75" customHeight="1" x14ac:dyDescent="0.25"/>
    <row r="140" spans="50:50" ht="24.75" customHeight="1" x14ac:dyDescent="0.25"/>
    <row r="141" spans="50:50" ht="24.75" customHeight="1" x14ac:dyDescent="0.25"/>
    <row r="142" spans="50:50" ht="24.75" customHeight="1" x14ac:dyDescent="0.25"/>
    <row r="143" spans="50:50" ht="24.75" customHeight="1" x14ac:dyDescent="0.25"/>
    <row r="144" spans="50:50" ht="24.75" customHeight="1" x14ac:dyDescent="0.25"/>
    <row r="145" ht="24.75" customHeight="1" x14ac:dyDescent="0.25"/>
    <row r="146" ht="24.75" customHeight="1" x14ac:dyDescent="0.25"/>
    <row r="147" ht="24.75" customHeight="1" x14ac:dyDescent="0.25"/>
    <row r="148" ht="24.75" customHeight="1" x14ac:dyDescent="0.25"/>
    <row r="149" ht="24.75" customHeight="1" x14ac:dyDescent="0.25"/>
    <row r="150" ht="24.75" customHeight="1" x14ac:dyDescent="0.25"/>
    <row r="151" ht="24.75" customHeight="1" x14ac:dyDescent="0.25"/>
    <row r="152" ht="24.75" customHeight="1" x14ac:dyDescent="0.25"/>
    <row r="153" ht="24.75" customHeight="1" x14ac:dyDescent="0.25"/>
    <row r="154" ht="24.75" customHeight="1" x14ac:dyDescent="0.25"/>
    <row r="155" ht="24.75" customHeight="1" x14ac:dyDescent="0.25"/>
    <row r="156" ht="24.75" customHeight="1" x14ac:dyDescent="0.25"/>
    <row r="157" ht="24.75" customHeight="1" x14ac:dyDescent="0.25"/>
    <row r="158" ht="24.75" customHeight="1" x14ac:dyDescent="0.25"/>
    <row r="159" ht="24.75" customHeight="1" x14ac:dyDescent="0.25"/>
    <row r="160" ht="24.75" customHeight="1" x14ac:dyDescent="0.25"/>
    <row r="161" ht="24.75" customHeight="1" x14ac:dyDescent="0.25"/>
    <row r="162" ht="24.75" customHeight="1" x14ac:dyDescent="0.25"/>
    <row r="163" ht="24.75" customHeight="1" x14ac:dyDescent="0.25"/>
    <row r="164" ht="24.75" customHeight="1" x14ac:dyDescent="0.25"/>
    <row r="165" ht="24.75" customHeight="1" x14ac:dyDescent="0.25"/>
    <row r="166" ht="24.75" customHeight="1" x14ac:dyDescent="0.25"/>
    <row r="167" ht="24.75" customHeight="1" x14ac:dyDescent="0.25"/>
    <row r="168" ht="24.75" customHeight="1" x14ac:dyDescent="0.25"/>
    <row r="169" ht="24.75" customHeight="1" x14ac:dyDescent="0.25"/>
    <row r="170" ht="24.75" customHeight="1" x14ac:dyDescent="0.25"/>
    <row r="171" ht="24.75" customHeight="1" x14ac:dyDescent="0.25"/>
    <row r="172" ht="24.75" customHeight="1" x14ac:dyDescent="0.25"/>
    <row r="173" ht="24.75" customHeight="1" x14ac:dyDescent="0.25"/>
    <row r="174" ht="24.75" customHeight="1" x14ac:dyDescent="0.25"/>
    <row r="175" ht="24.75" customHeight="1" x14ac:dyDescent="0.25"/>
    <row r="176" ht="24.75" customHeight="1" x14ac:dyDescent="0.25"/>
    <row r="177" ht="24.75" customHeight="1" x14ac:dyDescent="0.25"/>
    <row r="178" ht="24.75" customHeight="1" x14ac:dyDescent="0.25"/>
    <row r="179" ht="24.75" customHeight="1" x14ac:dyDescent="0.25"/>
    <row r="180" ht="24.75" customHeight="1" x14ac:dyDescent="0.25"/>
    <row r="181" ht="24.75" customHeight="1" x14ac:dyDescent="0.25"/>
    <row r="182" ht="24.75" customHeight="1" x14ac:dyDescent="0.25"/>
    <row r="183" ht="24.75" customHeight="1" x14ac:dyDescent="0.25"/>
    <row r="184" ht="24.75" customHeight="1" x14ac:dyDescent="0.25"/>
    <row r="185" ht="24.75" customHeight="1" x14ac:dyDescent="0.25"/>
    <row r="186" ht="24.75" customHeight="1" x14ac:dyDescent="0.25"/>
    <row r="187" ht="24.75" customHeight="1" x14ac:dyDescent="0.25"/>
    <row r="188" ht="24.75" customHeight="1" x14ac:dyDescent="0.25"/>
    <row r="189" ht="24.75" customHeight="1" x14ac:dyDescent="0.25"/>
    <row r="190" ht="24.75" customHeight="1" x14ac:dyDescent="0.25"/>
    <row r="191" ht="24.75" customHeight="1" x14ac:dyDescent="0.25"/>
    <row r="192" ht="24.75" customHeight="1" x14ac:dyDescent="0.25"/>
    <row r="193" ht="24.75" customHeight="1" x14ac:dyDescent="0.25"/>
    <row r="194" ht="24.75" customHeight="1" x14ac:dyDescent="0.25"/>
    <row r="195" ht="24.75" customHeight="1" x14ac:dyDescent="0.25"/>
    <row r="196" ht="24.75" customHeight="1" x14ac:dyDescent="0.25"/>
    <row r="197" ht="24.75" customHeight="1" x14ac:dyDescent="0.25"/>
    <row r="198" ht="24.75" customHeight="1" x14ac:dyDescent="0.25"/>
    <row r="199" ht="24.75" customHeight="1" x14ac:dyDescent="0.25"/>
    <row r="200" ht="24.75" customHeight="1" x14ac:dyDescent="0.25"/>
    <row r="201" ht="24.75" customHeight="1" x14ac:dyDescent="0.25"/>
    <row r="202" ht="24.75" customHeight="1" x14ac:dyDescent="0.25"/>
    <row r="203" ht="24.75" customHeight="1" x14ac:dyDescent="0.25"/>
    <row r="204" ht="24.75" customHeight="1" x14ac:dyDescent="0.25"/>
    <row r="205" ht="24.75" customHeight="1" x14ac:dyDescent="0.25"/>
    <row r="206" ht="24.75" customHeight="1" x14ac:dyDescent="0.25"/>
    <row r="207" ht="24.75" customHeight="1" x14ac:dyDescent="0.25"/>
    <row r="208" ht="24.75" customHeight="1" x14ac:dyDescent="0.25"/>
    <row r="209" ht="24.75" customHeight="1" x14ac:dyDescent="0.25"/>
    <row r="210" ht="24.75" customHeight="1" x14ac:dyDescent="0.25"/>
    <row r="211" ht="24.75" customHeight="1" x14ac:dyDescent="0.25"/>
    <row r="212" ht="24.75" customHeight="1" x14ac:dyDescent="0.25"/>
    <row r="213" ht="24.75" customHeight="1" x14ac:dyDescent="0.25"/>
    <row r="214" ht="24.75" customHeight="1" x14ac:dyDescent="0.25"/>
    <row r="215" ht="24.75" customHeight="1" x14ac:dyDescent="0.25"/>
    <row r="216" ht="24.75" customHeight="1" x14ac:dyDescent="0.25"/>
    <row r="217" ht="24.75" customHeight="1" x14ac:dyDescent="0.25"/>
    <row r="218" ht="24.75" customHeight="1" x14ac:dyDescent="0.25"/>
    <row r="219" ht="24.75" customHeight="1" x14ac:dyDescent="0.25"/>
    <row r="220" ht="24.75" customHeight="1" x14ac:dyDescent="0.25"/>
    <row r="221" ht="24.75" customHeight="1" x14ac:dyDescent="0.25"/>
    <row r="222" ht="24.75" customHeight="1" x14ac:dyDescent="0.25"/>
    <row r="223" ht="24.75" customHeight="1" x14ac:dyDescent="0.25"/>
    <row r="224" ht="24.75" customHeight="1" x14ac:dyDescent="0.25"/>
    <row r="225" ht="24.75" customHeight="1" x14ac:dyDescent="0.25"/>
    <row r="226" ht="24.75" customHeight="1" x14ac:dyDescent="0.25"/>
    <row r="227" ht="24.75" customHeight="1" x14ac:dyDescent="0.25"/>
    <row r="228" ht="24.75" customHeight="1" x14ac:dyDescent="0.25"/>
    <row r="229" ht="24.75" customHeight="1" x14ac:dyDescent="0.25"/>
    <row r="230" ht="24.75" customHeight="1" x14ac:dyDescent="0.25"/>
    <row r="231" ht="24.75" customHeight="1" x14ac:dyDescent="0.25"/>
    <row r="232" ht="24.75" customHeight="1" x14ac:dyDescent="0.25"/>
    <row r="233" ht="24.75" customHeight="1" x14ac:dyDescent="0.25"/>
    <row r="234" ht="24.75" customHeight="1" x14ac:dyDescent="0.25"/>
    <row r="235" ht="24.75" customHeight="1" x14ac:dyDescent="0.25"/>
    <row r="236" ht="24.75" customHeight="1" x14ac:dyDescent="0.25"/>
    <row r="237" ht="24.75" customHeight="1" x14ac:dyDescent="0.25"/>
    <row r="238" ht="24.75" customHeight="1" x14ac:dyDescent="0.25"/>
    <row r="239" ht="24.75" customHeight="1" x14ac:dyDescent="0.25"/>
    <row r="240" ht="24.75" customHeight="1" x14ac:dyDescent="0.25"/>
    <row r="241" ht="24.75" customHeight="1" x14ac:dyDescent="0.25"/>
    <row r="242" ht="24.75" customHeight="1" x14ac:dyDescent="0.25"/>
    <row r="243" ht="24.75" customHeight="1" x14ac:dyDescent="0.25"/>
    <row r="244" ht="24.75" customHeight="1" x14ac:dyDescent="0.25"/>
    <row r="245" ht="24.75" customHeight="1" x14ac:dyDescent="0.25"/>
    <row r="246" ht="24.75" customHeight="1" x14ac:dyDescent="0.25"/>
    <row r="247" ht="24.75" customHeight="1" x14ac:dyDescent="0.25"/>
    <row r="248" ht="24.75" customHeight="1" x14ac:dyDescent="0.25"/>
    <row r="249" ht="24.75" customHeight="1" x14ac:dyDescent="0.25"/>
    <row r="250" ht="24.75" customHeight="1" x14ac:dyDescent="0.25"/>
    <row r="251" ht="24.75" customHeight="1" x14ac:dyDescent="0.25"/>
    <row r="252" ht="24.75" customHeight="1" x14ac:dyDescent="0.25"/>
    <row r="253" ht="24.75" customHeight="1" x14ac:dyDescent="0.25"/>
    <row r="254" ht="24.75" customHeight="1" x14ac:dyDescent="0.25"/>
    <row r="37386" ht="29.25" customHeight="1" x14ac:dyDescent="0.25"/>
  </sheetData>
  <autoFilter ref="B13:BM127" xr:uid="{00000000-0001-0000-0000-000000000000}"/>
  <sortState xmlns:xlrd2="http://schemas.microsoft.com/office/spreadsheetml/2017/richdata2" ref="A14:BM14">
    <sortCondition ref="J14"/>
  </sortState>
  <dataConsolidate function="product"/>
  <mergeCells count="6">
    <mergeCell ref="BD12:BM12"/>
    <mergeCell ref="AQ10:AU10"/>
    <mergeCell ref="P12:AA12"/>
    <mergeCell ref="A12:O12"/>
    <mergeCell ref="AB12:BA12"/>
    <mergeCell ref="BB12:BC12"/>
  </mergeCells>
  <phoneticPr fontId="7" type="noConversion"/>
  <conditionalFormatting sqref="F1:F11 F13:F1048576">
    <cfRule type="duplicateValues" dxfId="79" priority="22"/>
    <cfRule type="duplicateValues" dxfId="78" priority="45"/>
  </conditionalFormatting>
  <conditionalFormatting sqref="J1:J11 J13:J1048576">
    <cfRule type="duplicateValues" dxfId="77" priority="15"/>
  </conditionalFormatting>
  <conditionalFormatting sqref="AB1:AB14 AB20:AB1048576">
    <cfRule type="duplicateValues" dxfId="76" priority="162"/>
  </conditionalFormatting>
  <conditionalFormatting sqref="AB15">
    <cfRule type="duplicateValues" dxfId="75" priority="7"/>
  </conditionalFormatting>
  <conditionalFormatting sqref="AB16">
    <cfRule type="duplicateValues" dxfId="74" priority="6"/>
  </conditionalFormatting>
  <conditionalFormatting sqref="AB17">
    <cfRule type="duplicateValues" dxfId="73" priority="5"/>
  </conditionalFormatting>
  <conditionalFormatting sqref="AB18:AB19">
    <cfRule type="duplicateValues" dxfId="72" priority="4"/>
  </conditionalFormatting>
  <conditionalFormatting sqref="AE1:AF12 AE13 AE20:AE31 AE32:AF1048576">
    <cfRule type="containsText" dxfId="71" priority="20" operator="containsText" text="NÃO RESIDENTE">
      <formula>NOT(ISERROR(SEARCH("NÃO RESIDENTE",AE1)))</formula>
    </cfRule>
  </conditionalFormatting>
  <conditionalFormatting sqref="AY1:AY17">
    <cfRule type="cellIs" dxfId="70" priority="1" operator="between">
      <formula>36526</formula>
      <formula>402133</formula>
    </cfRule>
  </conditionalFormatting>
  <conditionalFormatting sqref="AY20:AY1048576">
    <cfRule type="cellIs" dxfId="69" priority="91" operator="between">
      <formula>36526</formula>
      <formula>402133</formula>
    </cfRule>
  </conditionalFormatting>
  <conditionalFormatting sqref="BD1:BD1048576">
    <cfRule type="cellIs" dxfId="68" priority="75" operator="equal">
      <formula>"INDENIZAÇÃO"</formula>
    </cfRule>
    <cfRule type="cellIs" dxfId="67" priority="76" operator="equal">
      <formula>"AA"</formula>
    </cfRule>
  </conditionalFormatting>
  <conditionalFormatting sqref="BD14:BE127">
    <cfRule type="cellIs" dxfId="66" priority="103" operator="equal">
      <formula>"FINALIZADO"</formula>
    </cfRule>
  </conditionalFormatting>
  <conditionalFormatting sqref="BE14:BE127 BB1:BB1048576">
    <cfRule type="containsText" dxfId="65" priority="102" operator="containsText" text="FINALIZADO">
      <formula>NOT(ISERROR(SEARCH("FINALIZADO",BB1)))</formula>
    </cfRule>
  </conditionalFormatting>
  <conditionalFormatting sqref="BE14:BE127">
    <cfRule type="beginsWith" dxfId="64" priority="100" operator="beginsWith" text="FI">
      <formula>LEFT(BE14,LEN("FI"))="FI"</formula>
    </cfRule>
  </conditionalFormatting>
  <dataValidations count="1">
    <dataValidation allowBlank="1" showInputMessage="1" showErrorMessage="1" sqref="P14:Z17 AA14:AA127 A14:F127 AJ14:AJ127 O14:O127 P18:P19 AL14:AN127 BI18:BK127 BI14:BM17 AP14:AZ127 BC14:BC127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6"/>
  <sheetViews>
    <sheetView workbookViewId="0">
      <selection activeCell="A4" sqref="A4:D5"/>
    </sheetView>
  </sheetViews>
  <sheetFormatPr defaultColWidth="9.140625" defaultRowHeight="20.25" customHeight="1" x14ac:dyDescent="0.25"/>
  <cols>
    <col min="1" max="1" width="29.28515625" style="121" bestFit="1" customWidth="1"/>
    <col min="2" max="2" width="21.7109375" style="121" bestFit="1" customWidth="1"/>
    <col min="3" max="3" width="58.7109375" style="121" customWidth="1"/>
    <col min="4" max="4" width="47.28515625" style="121" bestFit="1" customWidth="1"/>
    <col min="5" max="5" width="30.7109375" style="121" bestFit="1" customWidth="1"/>
    <col min="6" max="6" width="12.28515625" style="121" bestFit="1" customWidth="1"/>
    <col min="7" max="7" width="25.85546875" style="121" customWidth="1"/>
    <col min="8" max="8" width="11.85546875" style="121" bestFit="1" customWidth="1"/>
    <col min="9" max="9" width="22.5703125" style="121" customWidth="1"/>
    <col min="10" max="10" width="26" style="121" bestFit="1" customWidth="1"/>
    <col min="11" max="14" width="9.140625" style="121"/>
    <col min="15" max="15" width="3.140625" style="121" bestFit="1" customWidth="1"/>
    <col min="16" max="16" width="118.85546875" style="121" bestFit="1" customWidth="1"/>
    <col min="17" max="16384" width="9.140625" style="121"/>
  </cols>
  <sheetData>
    <row r="3" spans="1:8" ht="20.25" customHeight="1" x14ac:dyDescent="0.25">
      <c r="F3" s="99" t="s">
        <v>135</v>
      </c>
      <c r="H3" s="15" t="s">
        <v>136</v>
      </c>
    </row>
    <row r="4" spans="1:8" ht="20.25" customHeight="1" x14ac:dyDescent="0.25">
      <c r="A4" s="243" t="s">
        <v>38</v>
      </c>
      <c r="B4" s="243" t="s">
        <v>42</v>
      </c>
      <c r="C4" s="244" t="s">
        <v>46</v>
      </c>
      <c r="D4" s="289" t="s">
        <v>137</v>
      </c>
      <c r="F4" s="100" t="s">
        <v>138</v>
      </c>
      <c r="H4" s="15" t="s">
        <v>139</v>
      </c>
    </row>
    <row r="5" spans="1:8" ht="20.25" customHeight="1" x14ac:dyDescent="0.25">
      <c r="A5" s="285" t="s">
        <v>98</v>
      </c>
      <c r="B5" s="285" t="s">
        <v>110</v>
      </c>
      <c r="C5" s="285" t="s">
        <v>111</v>
      </c>
      <c r="D5" s="286">
        <v>46182</v>
      </c>
      <c r="F5" s="100" t="s">
        <v>140</v>
      </c>
      <c r="H5" s="15" t="s">
        <v>141</v>
      </c>
    </row>
    <row r="6" spans="1:8" ht="20.25" customHeight="1" x14ac:dyDescent="0.25">
      <c r="A6" s="285"/>
      <c r="B6" s="285"/>
      <c r="C6" s="285"/>
      <c r="D6" s="286"/>
      <c r="F6" s="99" t="s">
        <v>142</v>
      </c>
      <c r="H6" s="15" t="s">
        <v>143</v>
      </c>
    </row>
    <row r="7" spans="1:8" ht="20.25" customHeight="1" x14ac:dyDescent="0.25">
      <c r="A7" s="285"/>
      <c r="B7" s="285"/>
      <c r="C7" s="285"/>
      <c r="D7" s="286"/>
      <c r="F7" s="99" t="s">
        <v>144</v>
      </c>
      <c r="H7" s="15" t="s">
        <v>145</v>
      </c>
    </row>
    <row r="8" spans="1:8" ht="20.25" customHeight="1" x14ac:dyDescent="0.25">
      <c r="A8" s="285"/>
      <c r="B8" s="285"/>
      <c r="C8" s="285"/>
      <c r="D8" s="286"/>
      <c r="F8" s="99" t="s">
        <v>143</v>
      </c>
      <c r="H8" s="15" t="s">
        <v>146</v>
      </c>
    </row>
    <row r="9" spans="1:8" ht="20.25" customHeight="1" x14ac:dyDescent="0.25">
      <c r="A9" s="131"/>
      <c r="B9" s="131"/>
      <c r="C9" s="131"/>
      <c r="D9" s="239"/>
      <c r="F9" s="99" t="s">
        <v>147</v>
      </c>
      <c r="H9" s="15" t="s">
        <v>148</v>
      </c>
    </row>
    <row r="10" spans="1:8" ht="20.25" customHeight="1" x14ac:dyDescent="0.25">
      <c r="A10" s="130"/>
      <c r="B10" s="130"/>
      <c r="C10" s="130"/>
      <c r="D10" s="218"/>
      <c r="F10" s="102" t="s">
        <v>149</v>
      </c>
      <c r="H10" s="15" t="s">
        <v>150</v>
      </c>
    </row>
    <row r="11" spans="1:8" ht="20.25" customHeight="1" x14ac:dyDescent="0.25">
      <c r="A11" s="130"/>
      <c r="B11" s="130"/>
      <c r="C11" s="130"/>
      <c r="D11" s="218"/>
      <c r="F11" s="99" t="s">
        <v>151</v>
      </c>
      <c r="H11" s="15" t="s">
        <v>152</v>
      </c>
    </row>
    <row r="12" spans="1:8" ht="20.25" customHeight="1" x14ac:dyDescent="0.25">
      <c r="A12" s="130"/>
      <c r="B12" s="130"/>
      <c r="C12" s="130"/>
      <c r="D12" s="218"/>
      <c r="F12" s="99" t="s">
        <v>153</v>
      </c>
      <c r="H12" s="15" t="s">
        <v>154</v>
      </c>
    </row>
    <row r="13" spans="1:8" ht="20.25" customHeight="1" x14ac:dyDescent="0.25">
      <c r="A13" s="130"/>
      <c r="B13" s="130"/>
      <c r="C13" s="130"/>
      <c r="D13" s="218"/>
      <c r="F13" s="99" t="s">
        <v>155</v>
      </c>
      <c r="H13" s="15" t="s">
        <v>156</v>
      </c>
    </row>
    <row r="14" spans="1:8" ht="20.25" customHeight="1" x14ac:dyDescent="0.25">
      <c r="A14" s="130"/>
      <c r="B14" s="130"/>
      <c r="C14" s="130"/>
      <c r="D14" s="218"/>
      <c r="F14" s="99" t="s">
        <v>157</v>
      </c>
      <c r="H14" s="15" t="s">
        <v>158</v>
      </c>
    </row>
    <row r="15" spans="1:8" ht="20.25" customHeight="1" x14ac:dyDescent="0.25">
      <c r="A15" s="130"/>
      <c r="B15" s="130"/>
      <c r="C15" s="130"/>
      <c r="D15" s="218"/>
      <c r="F15" s="102" t="s">
        <v>159</v>
      </c>
      <c r="H15" s="15" t="s">
        <v>160</v>
      </c>
    </row>
    <row r="16" spans="1:8" ht="20.25" customHeight="1" x14ac:dyDescent="0.25">
      <c r="A16" s="131"/>
      <c r="B16" s="131"/>
      <c r="C16" s="131"/>
      <c r="D16" s="239"/>
      <c r="F16" s="102" t="s">
        <v>146</v>
      </c>
      <c r="H16" s="15" t="s">
        <v>155</v>
      </c>
    </row>
    <row r="17" spans="1:8" ht="20.25" customHeight="1" x14ac:dyDescent="0.25">
      <c r="A17" s="130"/>
      <c r="B17" s="130"/>
      <c r="C17" s="132"/>
      <c r="D17" s="218"/>
      <c r="F17" s="99" t="s">
        <v>161</v>
      </c>
      <c r="H17" s="15" t="s">
        <v>162</v>
      </c>
    </row>
    <row r="18" spans="1:8" ht="20.25" customHeight="1" x14ac:dyDescent="0.25">
      <c r="A18" s="130"/>
      <c r="B18" s="130"/>
      <c r="C18" s="130"/>
      <c r="D18" s="218"/>
      <c r="F18" s="99" t="s">
        <v>163</v>
      </c>
      <c r="H18" s="15" t="s">
        <v>164</v>
      </c>
    </row>
    <row r="19" spans="1:8" ht="20.25" customHeight="1" x14ac:dyDescent="0.25">
      <c r="A19" s="130"/>
      <c r="B19" s="130"/>
      <c r="C19" s="132"/>
      <c r="D19" s="218"/>
      <c r="F19" s="99" t="s">
        <v>158</v>
      </c>
      <c r="H19" s="15" t="s">
        <v>165</v>
      </c>
    </row>
    <row r="20" spans="1:8" ht="20.25" customHeight="1" x14ac:dyDescent="0.25">
      <c r="A20" s="130"/>
      <c r="B20" s="130"/>
      <c r="C20" s="130"/>
      <c r="D20" s="218"/>
      <c r="F20" s="99" t="s">
        <v>162</v>
      </c>
      <c r="H20" s="15" t="s">
        <v>144</v>
      </c>
    </row>
    <row r="21" spans="1:8" ht="20.25" customHeight="1" x14ac:dyDescent="0.25">
      <c r="A21" s="130"/>
      <c r="B21" s="130"/>
      <c r="C21" s="219"/>
      <c r="D21" s="218"/>
      <c r="F21" s="99" t="s">
        <v>139</v>
      </c>
      <c r="H21" s="15" t="s">
        <v>166</v>
      </c>
    </row>
    <row r="22" spans="1:8" ht="20.25" customHeight="1" x14ac:dyDescent="0.25">
      <c r="A22" s="130"/>
      <c r="B22" s="130"/>
      <c r="C22" s="132"/>
      <c r="D22" s="218"/>
      <c r="F22" s="99" t="s">
        <v>136</v>
      </c>
      <c r="H22" s="15" t="s">
        <v>167</v>
      </c>
    </row>
    <row r="23" spans="1:8" ht="20.25" customHeight="1" x14ac:dyDescent="0.25">
      <c r="A23" s="130"/>
      <c r="B23" s="130"/>
      <c r="C23" s="130"/>
      <c r="D23" s="218"/>
      <c r="F23" s="99" t="s">
        <v>167</v>
      </c>
      <c r="H23" s="15" t="s">
        <v>168</v>
      </c>
    </row>
    <row r="24" spans="1:8" ht="20.25" customHeight="1" x14ac:dyDescent="0.25">
      <c r="A24" s="130" t="s">
        <v>169</v>
      </c>
      <c r="B24" s="130" t="s">
        <v>170</v>
      </c>
      <c r="C24" s="132" t="s">
        <v>171</v>
      </c>
      <c r="D24" s="218">
        <v>45180</v>
      </c>
      <c r="F24" s="99" t="s">
        <v>166</v>
      </c>
      <c r="H24" s="15" t="s">
        <v>172</v>
      </c>
    </row>
    <row r="25" spans="1:8" ht="20.25" customHeight="1" x14ac:dyDescent="0.25">
      <c r="A25" s="130" t="s">
        <v>169</v>
      </c>
      <c r="B25" s="130" t="s">
        <v>173</v>
      </c>
      <c r="C25" s="219" t="s">
        <v>174</v>
      </c>
      <c r="D25" s="218">
        <v>45180</v>
      </c>
      <c r="F25" s="99" t="s">
        <v>175</v>
      </c>
      <c r="H25" s="15" t="s">
        <v>176</v>
      </c>
    </row>
    <row r="26" spans="1:8" ht="20.25" customHeight="1" x14ac:dyDescent="0.25">
      <c r="A26" s="130" t="s">
        <v>169</v>
      </c>
      <c r="B26" s="130" t="s">
        <v>177</v>
      </c>
      <c r="C26" s="130" t="s">
        <v>178</v>
      </c>
      <c r="D26" s="218">
        <v>45180</v>
      </c>
      <c r="F26" s="99" t="s">
        <v>179</v>
      </c>
      <c r="H26" s="15" t="s">
        <v>180</v>
      </c>
    </row>
    <row r="27" spans="1:8" ht="20.25" customHeight="1" x14ac:dyDescent="0.25">
      <c r="A27" s="130" t="s">
        <v>169</v>
      </c>
      <c r="B27" s="130" t="s">
        <v>181</v>
      </c>
      <c r="C27" s="130" t="s">
        <v>182</v>
      </c>
      <c r="D27" s="218">
        <v>45180</v>
      </c>
      <c r="F27" s="99" t="s">
        <v>183</v>
      </c>
      <c r="H27" s="15" t="s">
        <v>161</v>
      </c>
    </row>
    <row r="28" spans="1:8" ht="20.25" customHeight="1" x14ac:dyDescent="0.25">
      <c r="A28" s="130" t="s">
        <v>169</v>
      </c>
      <c r="B28" s="130" t="s">
        <v>184</v>
      </c>
      <c r="C28" s="130" t="s">
        <v>185</v>
      </c>
      <c r="D28" s="218">
        <v>45180</v>
      </c>
      <c r="F28" s="99" t="s">
        <v>186</v>
      </c>
      <c r="H28" s="15" t="s">
        <v>187</v>
      </c>
    </row>
    <row r="29" spans="1:8" ht="20.25" customHeight="1" x14ac:dyDescent="0.25">
      <c r="A29" s="130" t="s">
        <v>169</v>
      </c>
      <c r="B29" s="130" t="s">
        <v>188</v>
      </c>
      <c r="C29" s="132" t="s">
        <v>189</v>
      </c>
      <c r="D29" s="218">
        <v>45180</v>
      </c>
      <c r="F29" s="99" t="s">
        <v>168</v>
      </c>
      <c r="H29" s="15" t="s">
        <v>163</v>
      </c>
    </row>
    <row r="30" spans="1:8" ht="20.25" customHeight="1" x14ac:dyDescent="0.25">
      <c r="A30" s="130" t="s">
        <v>169</v>
      </c>
      <c r="B30" s="130" t="s">
        <v>190</v>
      </c>
      <c r="C30" s="130" t="s">
        <v>191</v>
      </c>
      <c r="D30" s="218">
        <v>45180</v>
      </c>
      <c r="F30" s="99" t="s">
        <v>192</v>
      </c>
      <c r="H30" s="15" t="s">
        <v>193</v>
      </c>
    </row>
    <row r="31" spans="1:8" ht="20.25" customHeight="1" x14ac:dyDescent="0.25">
      <c r="A31" s="131"/>
      <c r="B31" s="131"/>
      <c r="C31" s="211"/>
      <c r="D31" s="220">
        <v>45180</v>
      </c>
      <c r="F31" s="99" t="s">
        <v>194</v>
      </c>
      <c r="H31" s="15" t="s">
        <v>183</v>
      </c>
    </row>
    <row r="32" spans="1:8" ht="20.25" customHeight="1" x14ac:dyDescent="0.25">
      <c r="A32" s="130"/>
      <c r="B32" s="130"/>
      <c r="C32" s="132"/>
      <c r="D32" s="212"/>
      <c r="F32" s="99" t="s">
        <v>195</v>
      </c>
      <c r="H32" s="15" t="s">
        <v>157</v>
      </c>
    </row>
    <row r="33" spans="1:8" ht="20.25" customHeight="1" x14ac:dyDescent="0.25">
      <c r="A33" s="131"/>
      <c r="B33" s="131"/>
      <c r="C33" s="211"/>
      <c r="D33" s="205"/>
      <c r="F33" s="99" t="s">
        <v>160</v>
      </c>
      <c r="H33" s="15" t="s">
        <v>138</v>
      </c>
    </row>
    <row r="34" spans="1:8" ht="20.25" customHeight="1" x14ac:dyDescent="0.25">
      <c r="A34" s="130"/>
      <c r="B34" s="130"/>
      <c r="C34" s="132"/>
      <c r="D34" s="159"/>
      <c r="F34" s="99" t="s">
        <v>180</v>
      </c>
      <c r="H34" s="15" t="s">
        <v>196</v>
      </c>
    </row>
    <row r="35" spans="1:8" ht="20.25" customHeight="1" x14ac:dyDescent="0.25">
      <c r="A35" s="130"/>
      <c r="B35" s="130"/>
      <c r="C35" s="130"/>
      <c r="D35" s="159"/>
      <c r="F35" s="99" t="s">
        <v>197</v>
      </c>
      <c r="H35" s="15" t="s">
        <v>198</v>
      </c>
    </row>
    <row r="36" spans="1:8" ht="20.25" customHeight="1" x14ac:dyDescent="0.25">
      <c r="A36" s="130"/>
      <c r="B36" s="189"/>
      <c r="C36" s="130"/>
      <c r="D36" s="159"/>
      <c r="F36" s="99" t="s">
        <v>172</v>
      </c>
      <c r="H36" s="15" t="s">
        <v>149</v>
      </c>
    </row>
    <row r="37" spans="1:8" ht="20.25" customHeight="1" x14ac:dyDescent="0.25">
      <c r="A37" s="130"/>
      <c r="B37" s="130"/>
      <c r="C37" s="132"/>
      <c r="D37" s="153"/>
      <c r="F37" s="99" t="s">
        <v>199</v>
      </c>
      <c r="H37" s="15" t="s">
        <v>200</v>
      </c>
    </row>
    <row r="38" spans="1:8" ht="20.25" customHeight="1" x14ac:dyDescent="0.25">
      <c r="A38" s="130"/>
      <c r="B38" s="130"/>
      <c r="C38" s="132"/>
      <c r="D38" s="159"/>
      <c r="F38" s="99" t="s">
        <v>154</v>
      </c>
      <c r="H38" s="15" t="s">
        <v>199</v>
      </c>
    </row>
    <row r="39" spans="1:8" ht="20.25" customHeight="1" x14ac:dyDescent="0.25">
      <c r="A39" s="130"/>
      <c r="B39" s="130"/>
      <c r="C39" s="132"/>
      <c r="D39" s="159"/>
      <c r="F39" s="99" t="s">
        <v>193</v>
      </c>
      <c r="H39" s="15" t="s">
        <v>186</v>
      </c>
    </row>
    <row r="40" spans="1:8" ht="20.25" customHeight="1" x14ac:dyDescent="0.25">
      <c r="A40" s="130"/>
      <c r="B40" s="130"/>
      <c r="C40" s="130"/>
      <c r="D40" s="159"/>
      <c r="F40" s="99" t="s">
        <v>187</v>
      </c>
      <c r="H40" s="15" t="s">
        <v>195</v>
      </c>
    </row>
    <row r="41" spans="1:8" ht="20.25" customHeight="1" x14ac:dyDescent="0.25">
      <c r="A41" s="191"/>
      <c r="B41" s="191"/>
      <c r="C41" s="191"/>
      <c r="D41" s="159"/>
      <c r="F41" s="99" t="s">
        <v>141</v>
      </c>
      <c r="H41" s="15" t="s">
        <v>201</v>
      </c>
    </row>
    <row r="42" spans="1:8" ht="20.25" customHeight="1" x14ac:dyDescent="0.25">
      <c r="A42" s="130"/>
      <c r="B42" s="130"/>
      <c r="C42" s="132"/>
      <c r="D42" s="159"/>
      <c r="F42" s="99" t="s">
        <v>201</v>
      </c>
      <c r="H42" s="122" t="s">
        <v>202</v>
      </c>
    </row>
    <row r="43" spans="1:8" ht="20.25" customHeight="1" x14ac:dyDescent="0.25">
      <c r="A43" s="188"/>
      <c r="B43" s="188"/>
      <c r="C43" s="190"/>
      <c r="D43" s="153"/>
      <c r="F43" s="99" t="s">
        <v>203</v>
      </c>
      <c r="H43" s="122" t="s">
        <v>175</v>
      </c>
    </row>
    <row r="44" spans="1:8" ht="20.25" customHeight="1" x14ac:dyDescent="0.25">
      <c r="A44" s="180"/>
      <c r="B44" s="180"/>
      <c r="C44" s="181"/>
      <c r="D44" s="159"/>
      <c r="F44" s="99" t="s">
        <v>204</v>
      </c>
      <c r="H44" s="122" t="s">
        <v>205</v>
      </c>
    </row>
    <row r="45" spans="1:8" ht="20.25" customHeight="1" x14ac:dyDescent="0.25">
      <c r="A45" s="180"/>
      <c r="B45" s="180"/>
      <c r="C45" s="181"/>
      <c r="D45" s="159"/>
      <c r="F45" s="99" t="s">
        <v>165</v>
      </c>
      <c r="H45" s="122" t="s">
        <v>206</v>
      </c>
    </row>
    <row r="46" spans="1:8" ht="20.25" customHeight="1" x14ac:dyDescent="0.25">
      <c r="A46" s="180"/>
      <c r="B46" s="180"/>
      <c r="C46" s="181"/>
      <c r="D46" s="159"/>
      <c r="F46" s="99" t="s">
        <v>207</v>
      </c>
      <c r="H46" s="122" t="s">
        <v>159</v>
      </c>
    </row>
    <row r="47" spans="1:8" ht="20.25" customHeight="1" x14ac:dyDescent="0.25">
      <c r="A47" s="180" t="s">
        <v>169</v>
      </c>
      <c r="B47" s="180" t="s">
        <v>208</v>
      </c>
      <c r="C47" s="181" t="s">
        <v>209</v>
      </c>
      <c r="D47" s="159">
        <v>44840</v>
      </c>
      <c r="F47" s="99" t="s">
        <v>210</v>
      </c>
      <c r="H47" s="122" t="s">
        <v>192</v>
      </c>
    </row>
    <row r="48" spans="1:8" ht="20.25" customHeight="1" x14ac:dyDescent="0.25">
      <c r="A48" s="180" t="s">
        <v>169</v>
      </c>
      <c r="B48" s="180" t="s">
        <v>211</v>
      </c>
      <c r="C48" s="181" t="s">
        <v>212</v>
      </c>
      <c r="D48" s="153"/>
      <c r="F48" s="99" t="s">
        <v>213</v>
      </c>
      <c r="H48" s="122" t="s">
        <v>214</v>
      </c>
    </row>
    <row r="49" spans="1:8" ht="20.25" customHeight="1" x14ac:dyDescent="0.25">
      <c r="A49" s="180" t="s">
        <v>169</v>
      </c>
      <c r="B49" s="180" t="s">
        <v>215</v>
      </c>
      <c r="C49" s="181" t="s">
        <v>216</v>
      </c>
      <c r="D49" s="153"/>
      <c r="F49" s="117" t="s">
        <v>217</v>
      </c>
      <c r="H49" s="122" t="s">
        <v>142</v>
      </c>
    </row>
    <row r="50" spans="1:8" ht="20.25" customHeight="1" x14ac:dyDescent="0.25">
      <c r="A50" s="180" t="s">
        <v>169</v>
      </c>
      <c r="B50" s="180" t="s">
        <v>218</v>
      </c>
      <c r="C50" s="181" t="s">
        <v>219</v>
      </c>
      <c r="D50" s="153"/>
      <c r="F50" s="117" t="s">
        <v>220</v>
      </c>
      <c r="H50" s="122" t="s">
        <v>135</v>
      </c>
    </row>
    <row r="51" spans="1:8" ht="20.25" customHeight="1" x14ac:dyDescent="0.25">
      <c r="A51" s="180" t="s">
        <v>169</v>
      </c>
      <c r="B51" s="180" t="s">
        <v>221</v>
      </c>
      <c r="C51" s="181" t="s">
        <v>222</v>
      </c>
      <c r="D51" s="159">
        <v>44992</v>
      </c>
      <c r="F51" s="117" t="s">
        <v>223</v>
      </c>
      <c r="H51" s="122" t="s">
        <v>207</v>
      </c>
    </row>
    <row r="52" spans="1:8" ht="20.25" customHeight="1" x14ac:dyDescent="0.25">
      <c r="A52" s="180" t="s">
        <v>169</v>
      </c>
      <c r="B52" s="180" t="s">
        <v>224</v>
      </c>
      <c r="C52" s="180" t="s">
        <v>225</v>
      </c>
      <c r="D52" s="179">
        <v>45013</v>
      </c>
      <c r="F52" s="117" t="s">
        <v>226</v>
      </c>
      <c r="H52" s="122" t="s">
        <v>217</v>
      </c>
    </row>
    <row r="53" spans="1:8" ht="20.25" customHeight="1" x14ac:dyDescent="0.25">
      <c r="A53" s="180" t="s">
        <v>169</v>
      </c>
      <c r="B53" s="180" t="s">
        <v>227</v>
      </c>
      <c r="C53" s="180" t="s">
        <v>228</v>
      </c>
      <c r="D53" s="179">
        <v>45013</v>
      </c>
      <c r="F53" s="120" t="s">
        <v>152</v>
      </c>
      <c r="H53" s="15" t="s">
        <v>220</v>
      </c>
    </row>
    <row r="54" spans="1:8" ht="20.25" customHeight="1" x14ac:dyDescent="0.25">
      <c r="A54" s="180" t="s">
        <v>169</v>
      </c>
      <c r="B54" s="180" t="s">
        <v>229</v>
      </c>
      <c r="C54" s="181" t="s">
        <v>230</v>
      </c>
      <c r="D54" s="153" t="s">
        <v>24</v>
      </c>
      <c r="F54" s="117" t="s">
        <v>231</v>
      </c>
      <c r="H54" s="15" t="s">
        <v>232</v>
      </c>
    </row>
    <row r="55" spans="1:8" ht="20.25" customHeight="1" x14ac:dyDescent="0.25">
      <c r="A55" s="180" t="s">
        <v>169</v>
      </c>
      <c r="B55" s="180" t="s">
        <v>233</v>
      </c>
      <c r="C55" s="181" t="s">
        <v>234</v>
      </c>
      <c r="D55" s="179">
        <v>45013</v>
      </c>
      <c r="F55" s="117" t="s">
        <v>148</v>
      </c>
      <c r="H55" s="15" t="s">
        <v>203</v>
      </c>
    </row>
    <row r="56" spans="1:8" ht="20.25" customHeight="1" x14ac:dyDescent="0.25">
      <c r="A56" s="180" t="s">
        <v>169</v>
      </c>
      <c r="B56" s="180" t="s">
        <v>235</v>
      </c>
      <c r="C56" s="180" t="s">
        <v>236</v>
      </c>
      <c r="D56" s="153" t="s">
        <v>24</v>
      </c>
      <c r="F56" s="120" t="s">
        <v>214</v>
      </c>
      <c r="H56" s="15" t="s">
        <v>237</v>
      </c>
    </row>
    <row r="57" spans="1:8" ht="20.25" customHeight="1" x14ac:dyDescent="0.25">
      <c r="A57" s="180" t="s">
        <v>169</v>
      </c>
      <c r="B57" s="180" t="s">
        <v>238</v>
      </c>
      <c r="C57" s="180" t="s">
        <v>239</v>
      </c>
      <c r="D57" s="153" t="s">
        <v>24</v>
      </c>
      <c r="F57" s="117" t="s">
        <v>176</v>
      </c>
      <c r="H57" s="15" t="s">
        <v>147</v>
      </c>
    </row>
    <row r="58" spans="1:8" ht="20.25" customHeight="1" x14ac:dyDescent="0.25">
      <c r="A58" s="180" t="s">
        <v>169</v>
      </c>
      <c r="B58" s="180" t="s">
        <v>240</v>
      </c>
      <c r="C58" s="180" t="s">
        <v>241</v>
      </c>
      <c r="D58" s="159">
        <v>44840</v>
      </c>
      <c r="F58" s="117" t="s">
        <v>206</v>
      </c>
      <c r="H58" s="15" t="s">
        <v>151</v>
      </c>
    </row>
    <row r="59" spans="1:8" ht="20.25" customHeight="1" x14ac:dyDescent="0.25">
      <c r="A59" s="180" t="s">
        <v>169</v>
      </c>
      <c r="B59" s="180" t="s">
        <v>242</v>
      </c>
      <c r="C59" s="180" t="s">
        <v>243</v>
      </c>
      <c r="D59" s="159">
        <v>44816</v>
      </c>
      <c r="F59" s="120" t="s">
        <v>150</v>
      </c>
      <c r="H59" s="15" t="s">
        <v>223</v>
      </c>
    </row>
    <row r="60" spans="1:8" ht="20.25" customHeight="1" x14ac:dyDescent="0.25">
      <c r="A60" s="180" t="s">
        <v>169</v>
      </c>
      <c r="B60" s="180" t="s">
        <v>244</v>
      </c>
      <c r="C60" s="180" t="s">
        <v>245</v>
      </c>
      <c r="D60" s="153"/>
      <c r="F60" s="117" t="s">
        <v>237</v>
      </c>
      <c r="H60" s="15" t="s">
        <v>246</v>
      </c>
    </row>
    <row r="61" spans="1:8" ht="20.25" customHeight="1" x14ac:dyDescent="0.25">
      <c r="A61" s="180" t="s">
        <v>169</v>
      </c>
      <c r="B61" s="180" t="s">
        <v>247</v>
      </c>
      <c r="C61" s="180" t="s">
        <v>248</v>
      </c>
      <c r="D61" s="159">
        <v>44840</v>
      </c>
      <c r="F61" s="117" t="s">
        <v>156</v>
      </c>
      <c r="H61" s="15" t="s">
        <v>140</v>
      </c>
    </row>
    <row r="62" spans="1:8" ht="20.25" customHeight="1" x14ac:dyDescent="0.25">
      <c r="A62" s="180" t="s">
        <v>169</v>
      </c>
      <c r="B62" s="180" t="s">
        <v>249</v>
      </c>
      <c r="C62" s="181" t="s">
        <v>250</v>
      </c>
      <c r="D62" s="159">
        <v>44862</v>
      </c>
      <c r="F62" s="118" t="s">
        <v>145</v>
      </c>
      <c r="H62" s="15" t="s">
        <v>226</v>
      </c>
    </row>
    <row r="63" spans="1:8" ht="20.25" customHeight="1" x14ac:dyDescent="0.25">
      <c r="A63" s="180" t="s">
        <v>169</v>
      </c>
      <c r="B63" s="180" t="s">
        <v>251</v>
      </c>
      <c r="C63" s="180" t="s">
        <v>252</v>
      </c>
      <c r="D63" s="153" t="s">
        <v>24</v>
      </c>
      <c r="F63" s="117" t="s">
        <v>196</v>
      </c>
      <c r="H63" s="15" t="s">
        <v>253</v>
      </c>
    </row>
    <row r="64" spans="1:8" ht="20.25" customHeight="1" x14ac:dyDescent="0.25">
      <c r="A64" s="180" t="s">
        <v>169</v>
      </c>
      <c r="B64" s="180" t="s">
        <v>254</v>
      </c>
      <c r="C64" s="180" t="s">
        <v>255</v>
      </c>
      <c r="D64" s="159">
        <v>44840</v>
      </c>
      <c r="F64" s="117" t="s">
        <v>253</v>
      </c>
      <c r="H64" s="15" t="s">
        <v>210</v>
      </c>
    </row>
    <row r="65" spans="1:8" ht="20.25" customHeight="1" x14ac:dyDescent="0.25">
      <c r="A65" s="180" t="s">
        <v>169</v>
      </c>
      <c r="B65" s="180" t="s">
        <v>256</v>
      </c>
      <c r="C65" s="180" t="s">
        <v>257</v>
      </c>
      <c r="D65" s="159">
        <v>44889</v>
      </c>
      <c r="F65" s="117" t="s">
        <v>164</v>
      </c>
      <c r="H65" s="15" t="s">
        <v>231</v>
      </c>
    </row>
    <row r="66" spans="1:8" ht="20.25" customHeight="1" x14ac:dyDescent="0.25">
      <c r="A66" s="180" t="s">
        <v>169</v>
      </c>
      <c r="B66" s="180" t="s">
        <v>258</v>
      </c>
      <c r="C66" s="180" t="s">
        <v>259</v>
      </c>
      <c r="D66" s="159">
        <v>44922</v>
      </c>
      <c r="F66" s="101" t="s">
        <v>202</v>
      </c>
      <c r="H66" s="15" t="s">
        <v>197</v>
      </c>
    </row>
    <row r="67" spans="1:8" ht="20.25" customHeight="1" x14ac:dyDescent="0.25">
      <c r="A67" s="180" t="s">
        <v>169</v>
      </c>
      <c r="B67" s="180" t="s">
        <v>260</v>
      </c>
      <c r="C67" s="180" t="s">
        <v>261</v>
      </c>
      <c r="D67" s="159">
        <v>44961</v>
      </c>
      <c r="F67" s="117" t="s">
        <v>205</v>
      </c>
      <c r="H67" s="15" t="s">
        <v>153</v>
      </c>
    </row>
    <row r="68" spans="1:8" ht="20.25" customHeight="1" x14ac:dyDescent="0.25">
      <c r="A68" s="180" t="s">
        <v>169</v>
      </c>
      <c r="B68" s="180" t="s">
        <v>262</v>
      </c>
      <c r="C68" s="180" t="s">
        <v>263</v>
      </c>
      <c r="D68" s="159">
        <v>44840</v>
      </c>
      <c r="F68" s="117" t="s">
        <v>198</v>
      </c>
      <c r="H68" s="15" t="s">
        <v>179</v>
      </c>
    </row>
    <row r="69" spans="1:8" ht="20.25" customHeight="1" x14ac:dyDescent="0.25">
      <c r="A69" s="180" t="s">
        <v>169</v>
      </c>
      <c r="B69" s="180" t="s">
        <v>264</v>
      </c>
      <c r="C69" s="180" t="s">
        <v>265</v>
      </c>
      <c r="D69" s="159">
        <v>44869</v>
      </c>
      <c r="F69" s="99" t="s">
        <v>200</v>
      </c>
    </row>
    <row r="70" spans="1:8" ht="20.25" customHeight="1" x14ac:dyDescent="0.25">
      <c r="A70" s="180" t="s">
        <v>169</v>
      </c>
      <c r="B70" s="180" t="s">
        <v>266</v>
      </c>
      <c r="C70" s="180" t="s">
        <v>267</v>
      </c>
      <c r="D70" s="159">
        <v>44840</v>
      </c>
      <c r="F70" s="119" t="s">
        <v>232</v>
      </c>
    </row>
    <row r="71" spans="1:8" ht="20.25" customHeight="1" x14ac:dyDescent="0.25">
      <c r="A71" s="180" t="s">
        <v>169</v>
      </c>
      <c r="B71" s="180" t="s">
        <v>268</v>
      </c>
      <c r="C71" s="180" t="s">
        <v>269</v>
      </c>
      <c r="D71" s="159">
        <v>44840</v>
      </c>
      <c r="F71" s="119" t="s">
        <v>246</v>
      </c>
    </row>
    <row r="72" spans="1:8" ht="20.25" customHeight="1" x14ac:dyDescent="0.25">
      <c r="A72" s="180" t="s">
        <v>169</v>
      </c>
      <c r="B72" s="180" t="s">
        <v>190</v>
      </c>
      <c r="C72" s="180" t="s">
        <v>270</v>
      </c>
      <c r="D72" s="159">
        <v>44869</v>
      </c>
    </row>
    <row r="73" spans="1:8" ht="20.25" customHeight="1" x14ac:dyDescent="0.25">
      <c r="A73" s="180" t="s">
        <v>169</v>
      </c>
      <c r="B73" s="180" t="s">
        <v>271</v>
      </c>
      <c r="C73" s="180" t="s">
        <v>272</v>
      </c>
      <c r="D73" s="159">
        <v>44840</v>
      </c>
    </row>
    <row r="74" spans="1:8" ht="20.25" customHeight="1" x14ac:dyDescent="0.25">
      <c r="A74" s="180" t="s">
        <v>169</v>
      </c>
      <c r="B74" s="180" t="s">
        <v>273</v>
      </c>
      <c r="C74" s="180" t="s">
        <v>274</v>
      </c>
      <c r="D74" s="159">
        <v>44840</v>
      </c>
    </row>
    <row r="75" spans="1:8" ht="20.25" customHeight="1" x14ac:dyDescent="0.25">
      <c r="A75" s="180" t="s">
        <v>169</v>
      </c>
      <c r="B75" s="180" t="s">
        <v>275</v>
      </c>
      <c r="C75" s="180" t="s">
        <v>276</v>
      </c>
      <c r="D75" s="159">
        <v>44840</v>
      </c>
    </row>
    <row r="76" spans="1:8" ht="20.25" customHeight="1" x14ac:dyDescent="0.25">
      <c r="A76" s="180" t="s">
        <v>169</v>
      </c>
      <c r="B76" s="180" t="s">
        <v>277</v>
      </c>
      <c r="C76" s="180" t="s">
        <v>278</v>
      </c>
      <c r="D76" s="159">
        <v>44840</v>
      </c>
    </row>
    <row r="77" spans="1:8" ht="20.25" customHeight="1" x14ac:dyDescent="0.25">
      <c r="A77" s="180" t="s">
        <v>169</v>
      </c>
      <c r="B77" s="180" t="s">
        <v>279</v>
      </c>
      <c r="C77" s="180" t="s">
        <v>280</v>
      </c>
      <c r="D77" s="153" t="s">
        <v>24</v>
      </c>
    </row>
    <row r="78" spans="1:8" ht="20.25" customHeight="1" x14ac:dyDescent="0.25">
      <c r="A78" s="180" t="s">
        <v>169</v>
      </c>
      <c r="B78" s="180" t="s">
        <v>281</v>
      </c>
      <c r="C78" s="180" t="s">
        <v>282</v>
      </c>
      <c r="D78" s="159">
        <v>44853</v>
      </c>
    </row>
    <row r="79" spans="1:8" ht="20.25" customHeight="1" x14ac:dyDescent="0.25">
      <c r="A79" s="180" t="s">
        <v>169</v>
      </c>
      <c r="B79" s="180" t="s">
        <v>283</v>
      </c>
      <c r="C79" s="180" t="s">
        <v>284</v>
      </c>
      <c r="D79" s="165">
        <v>45148</v>
      </c>
    </row>
    <row r="80" spans="1:8" ht="20.25" customHeight="1" x14ac:dyDescent="0.25">
      <c r="A80" s="180" t="s">
        <v>169</v>
      </c>
      <c r="B80" s="180" t="s">
        <v>285</v>
      </c>
      <c r="C80" s="181" t="s">
        <v>286</v>
      </c>
      <c r="D80" s="153"/>
    </row>
    <row r="81" spans="1:4" ht="20.25" customHeight="1" x14ac:dyDescent="0.25">
      <c r="A81" s="180" t="s">
        <v>169</v>
      </c>
      <c r="B81" s="180" t="s">
        <v>287</v>
      </c>
      <c r="C81" s="180" t="s">
        <v>288</v>
      </c>
      <c r="D81" s="179">
        <v>45013</v>
      </c>
    </row>
    <row r="82" spans="1:4" ht="20.25" customHeight="1" x14ac:dyDescent="0.25">
      <c r="A82" s="180" t="s">
        <v>169</v>
      </c>
      <c r="B82" s="180" t="s">
        <v>289</v>
      </c>
      <c r="C82" s="180" t="s">
        <v>290</v>
      </c>
      <c r="D82" s="159">
        <v>44961</v>
      </c>
    </row>
    <row r="83" spans="1:4" ht="20.25" customHeight="1" x14ac:dyDescent="0.25">
      <c r="A83" s="180" t="s">
        <v>169</v>
      </c>
      <c r="B83" s="180" t="s">
        <v>291</v>
      </c>
      <c r="C83" s="180" t="s">
        <v>292</v>
      </c>
      <c r="D83" s="159">
        <v>44923</v>
      </c>
    </row>
    <row r="84" spans="1:4" ht="20.25" customHeight="1" x14ac:dyDescent="0.25">
      <c r="A84" s="180" t="s">
        <v>169</v>
      </c>
      <c r="B84" s="180" t="s">
        <v>293</v>
      </c>
      <c r="C84" s="180" t="s">
        <v>294</v>
      </c>
      <c r="D84" s="179">
        <v>45013</v>
      </c>
    </row>
    <row r="85" spans="1:4" ht="20.25" customHeight="1" x14ac:dyDescent="0.25">
      <c r="A85" s="180" t="s">
        <v>169</v>
      </c>
      <c r="B85" s="180" t="s">
        <v>295</v>
      </c>
      <c r="C85" s="180" t="s">
        <v>296</v>
      </c>
      <c r="D85" s="165">
        <v>45148</v>
      </c>
    </row>
    <row r="86" spans="1:4" ht="20.25" customHeight="1" x14ac:dyDescent="0.25">
      <c r="A86" s="180" t="s">
        <v>169</v>
      </c>
      <c r="B86" s="180" t="s">
        <v>297</v>
      </c>
      <c r="C86" s="180" t="s">
        <v>298</v>
      </c>
      <c r="D86" s="162"/>
    </row>
    <row r="87" spans="1:4" ht="20.25" customHeight="1" x14ac:dyDescent="0.25">
      <c r="A87" s="180" t="s">
        <v>169</v>
      </c>
      <c r="B87" s="180" t="s">
        <v>299</v>
      </c>
      <c r="C87" s="180" t="s">
        <v>300</v>
      </c>
      <c r="D87" s="153"/>
    </row>
    <row r="88" spans="1:4" ht="20.25" customHeight="1" x14ac:dyDescent="0.25">
      <c r="A88" s="180" t="s">
        <v>169</v>
      </c>
      <c r="B88" s="180" t="s">
        <v>301</v>
      </c>
      <c r="C88" s="180" t="s">
        <v>302</v>
      </c>
      <c r="D88" s="162"/>
    </row>
    <row r="89" spans="1:4" ht="20.25" customHeight="1" x14ac:dyDescent="0.25">
      <c r="A89" s="180" t="s">
        <v>169</v>
      </c>
      <c r="B89" s="180" t="s">
        <v>303</v>
      </c>
      <c r="C89" s="180" t="s">
        <v>304</v>
      </c>
      <c r="D89" s="162"/>
    </row>
    <row r="90" spans="1:4" ht="20.25" customHeight="1" x14ac:dyDescent="0.25">
      <c r="A90" s="180" t="s">
        <v>169</v>
      </c>
      <c r="B90" s="180" t="s">
        <v>305</v>
      </c>
      <c r="C90" s="180" t="s">
        <v>306</v>
      </c>
      <c r="D90" s="153"/>
    </row>
    <row r="91" spans="1:4" ht="20.25" customHeight="1" x14ac:dyDescent="0.25">
      <c r="A91" s="180" t="s">
        <v>169</v>
      </c>
      <c r="B91" s="180" t="s">
        <v>307</v>
      </c>
      <c r="C91" s="180" t="s">
        <v>308</v>
      </c>
      <c r="D91" s="153"/>
    </row>
    <row r="92" spans="1:4" ht="20.25" customHeight="1" x14ac:dyDescent="0.25">
      <c r="A92" s="180" t="s">
        <v>169</v>
      </c>
      <c r="B92" s="180" t="s">
        <v>309</v>
      </c>
      <c r="C92" s="180" t="s">
        <v>310</v>
      </c>
      <c r="D92" s="166"/>
    </row>
    <row r="93" spans="1:4" ht="20.25" customHeight="1" x14ac:dyDescent="0.25">
      <c r="A93" s="180" t="s">
        <v>169</v>
      </c>
      <c r="B93" s="180" t="s">
        <v>311</v>
      </c>
      <c r="C93" s="180" t="s">
        <v>312</v>
      </c>
      <c r="D93" s="159">
        <v>45056</v>
      </c>
    </row>
    <row r="94" spans="1:4" ht="20.25" customHeight="1" x14ac:dyDescent="0.25">
      <c r="A94" s="180" t="s">
        <v>169</v>
      </c>
      <c r="B94" s="180" t="s">
        <v>313</v>
      </c>
      <c r="C94" s="180" t="s">
        <v>314</v>
      </c>
      <c r="D94" s="179">
        <v>45013</v>
      </c>
    </row>
    <row r="95" spans="1:4" ht="20.25" customHeight="1" x14ac:dyDescent="0.25">
      <c r="A95" s="180" t="s">
        <v>169</v>
      </c>
      <c r="B95" s="180" t="s">
        <v>315</v>
      </c>
      <c r="C95" s="180" t="s">
        <v>316</v>
      </c>
      <c r="D95" s="159">
        <v>45097</v>
      </c>
    </row>
    <row r="96" spans="1:4" ht="20.25" customHeight="1" x14ac:dyDescent="0.25">
      <c r="A96" s="180" t="s">
        <v>169</v>
      </c>
      <c r="B96" s="180" t="s">
        <v>317</v>
      </c>
      <c r="C96" s="180" t="s">
        <v>318</v>
      </c>
      <c r="D96" s="159">
        <v>44816</v>
      </c>
    </row>
    <row r="97" spans="1:4" ht="20.25" customHeight="1" x14ac:dyDescent="0.25">
      <c r="A97" s="180" t="s">
        <v>169</v>
      </c>
      <c r="B97" s="180" t="s">
        <v>319</v>
      </c>
      <c r="C97" s="180" t="s">
        <v>320</v>
      </c>
      <c r="D97" s="153"/>
    </row>
    <row r="98" spans="1:4" ht="20.25" customHeight="1" x14ac:dyDescent="0.25">
      <c r="A98" s="180" t="s">
        <v>169</v>
      </c>
      <c r="B98" s="180" t="s">
        <v>321</v>
      </c>
      <c r="C98" s="180" t="s">
        <v>322</v>
      </c>
      <c r="D98" s="153" t="s">
        <v>24</v>
      </c>
    </row>
    <row r="99" spans="1:4" ht="20.25" customHeight="1" x14ac:dyDescent="0.25">
      <c r="A99" s="180" t="s">
        <v>169</v>
      </c>
      <c r="B99" s="180" t="s">
        <v>323</v>
      </c>
      <c r="C99" s="180" t="s">
        <v>324</v>
      </c>
      <c r="D99" s="153"/>
    </row>
    <row r="100" spans="1:4" ht="20.25" customHeight="1" x14ac:dyDescent="0.25">
      <c r="A100" s="180" t="s">
        <v>169</v>
      </c>
      <c r="B100" s="180" t="s">
        <v>325</v>
      </c>
      <c r="C100" s="180" t="s">
        <v>326</v>
      </c>
      <c r="D100" s="153"/>
    </row>
    <row r="101" spans="1:4" ht="20.25" customHeight="1" x14ac:dyDescent="0.25">
      <c r="A101" s="180" t="s">
        <v>169</v>
      </c>
      <c r="B101" s="180" t="s">
        <v>327</v>
      </c>
      <c r="C101" s="180" t="s">
        <v>328</v>
      </c>
      <c r="D101" s="159">
        <v>44877</v>
      </c>
    </row>
    <row r="102" spans="1:4" ht="20.25" customHeight="1" x14ac:dyDescent="0.25">
      <c r="A102" s="180" t="s">
        <v>169</v>
      </c>
      <c r="B102" s="180" t="s">
        <v>329</v>
      </c>
      <c r="C102" s="180" t="s">
        <v>330</v>
      </c>
      <c r="D102" s="159">
        <v>44876</v>
      </c>
    </row>
    <row r="103" spans="1:4" ht="20.25" customHeight="1" x14ac:dyDescent="0.25">
      <c r="A103" s="180" t="s">
        <v>169</v>
      </c>
      <c r="B103" s="180" t="s">
        <v>331</v>
      </c>
      <c r="C103" s="180" t="s">
        <v>332</v>
      </c>
      <c r="D103" s="159">
        <v>44910</v>
      </c>
    </row>
    <row r="104" spans="1:4" ht="20.25" customHeight="1" x14ac:dyDescent="0.25">
      <c r="A104" s="180" t="s">
        <v>169</v>
      </c>
      <c r="B104" s="180" t="s">
        <v>333</v>
      </c>
      <c r="C104" s="180" t="s">
        <v>334</v>
      </c>
      <c r="D104" s="165">
        <v>45148</v>
      </c>
    </row>
    <row r="105" spans="1:4" ht="20.25" customHeight="1" x14ac:dyDescent="0.25">
      <c r="A105" s="180" t="s">
        <v>169</v>
      </c>
      <c r="B105" s="180" t="s">
        <v>335</v>
      </c>
      <c r="C105" s="180" t="s">
        <v>336</v>
      </c>
      <c r="D105" s="165">
        <v>45065</v>
      </c>
    </row>
    <row r="106" spans="1:4" ht="20.25" customHeight="1" x14ac:dyDescent="0.25">
      <c r="A106" s="180" t="s">
        <v>169</v>
      </c>
      <c r="B106" s="180" t="s">
        <v>337</v>
      </c>
      <c r="C106" s="180" t="s">
        <v>338</v>
      </c>
      <c r="D106" s="165">
        <v>45049</v>
      </c>
    </row>
    <row r="107" spans="1:4" ht="20.25" customHeight="1" x14ac:dyDescent="0.25">
      <c r="A107" s="180" t="s">
        <v>169</v>
      </c>
      <c r="B107" s="180" t="s">
        <v>339</v>
      </c>
      <c r="C107" s="180" t="s">
        <v>340</v>
      </c>
      <c r="D107" s="165">
        <v>45065</v>
      </c>
    </row>
    <row r="108" spans="1:4" ht="20.25" customHeight="1" x14ac:dyDescent="0.25">
      <c r="A108" s="180" t="s">
        <v>169</v>
      </c>
      <c r="B108" s="180" t="s">
        <v>341</v>
      </c>
      <c r="C108" s="180" t="s">
        <v>342</v>
      </c>
      <c r="D108" s="159">
        <v>44922</v>
      </c>
    </row>
    <row r="109" spans="1:4" ht="20.25" customHeight="1" x14ac:dyDescent="0.25">
      <c r="A109" s="180" t="s">
        <v>169</v>
      </c>
      <c r="B109" s="180" t="s">
        <v>343</v>
      </c>
      <c r="C109" s="180" t="s">
        <v>344</v>
      </c>
      <c r="D109" s="159">
        <v>44961</v>
      </c>
    </row>
    <row r="110" spans="1:4" ht="20.25" customHeight="1" x14ac:dyDescent="0.25">
      <c r="A110" s="180" t="s">
        <v>169</v>
      </c>
      <c r="B110" s="180" t="s">
        <v>345</v>
      </c>
      <c r="C110" s="180" t="s">
        <v>346</v>
      </c>
      <c r="D110" s="153" t="s">
        <v>24</v>
      </c>
    </row>
    <row r="111" spans="1:4" ht="20.25" customHeight="1" x14ac:dyDescent="0.25">
      <c r="A111" s="180" t="s">
        <v>169</v>
      </c>
      <c r="B111" s="180" t="s">
        <v>347</v>
      </c>
      <c r="C111" s="180" t="s">
        <v>348</v>
      </c>
      <c r="D111" s="165">
        <v>45049</v>
      </c>
    </row>
    <row r="112" spans="1:4" ht="20.25" customHeight="1" x14ac:dyDescent="0.25">
      <c r="A112" s="180" t="s">
        <v>169</v>
      </c>
      <c r="B112" s="182" t="s">
        <v>349</v>
      </c>
      <c r="C112" s="183" t="s">
        <v>350</v>
      </c>
      <c r="D112" s="153" t="s">
        <v>24</v>
      </c>
    </row>
    <row r="113" spans="1:4" ht="20.25" customHeight="1" x14ac:dyDescent="0.25">
      <c r="A113" s="180" t="s">
        <v>169</v>
      </c>
      <c r="B113" s="182" t="s">
        <v>351</v>
      </c>
      <c r="C113" s="184" t="s">
        <v>352</v>
      </c>
      <c r="D113" s="153" t="s">
        <v>24</v>
      </c>
    </row>
    <row r="114" spans="1:4" ht="20.25" customHeight="1" x14ac:dyDescent="0.25">
      <c r="B114" s="185"/>
      <c r="C114" s="186"/>
      <c r="D114" s="153" t="s">
        <v>24</v>
      </c>
    </row>
    <row r="115" spans="1:4" ht="20.25" customHeight="1" x14ac:dyDescent="0.25">
      <c r="B115" s="125"/>
      <c r="C115" s="187"/>
      <c r="D115" s="159">
        <v>44910</v>
      </c>
    </row>
    <row r="116" spans="1:4" ht="20.25" customHeight="1" x14ac:dyDescent="0.25">
      <c r="B116" s="125"/>
      <c r="C116" s="187"/>
      <c r="D116" s="159">
        <v>44840</v>
      </c>
    </row>
    <row r="117" spans="1:4" ht="20.25" customHeight="1" x14ac:dyDescent="0.25">
      <c r="B117" s="125"/>
      <c r="C117" s="187"/>
      <c r="D117" s="153" t="s">
        <v>24</v>
      </c>
    </row>
    <row r="118" spans="1:4" ht="20.25" customHeight="1" x14ac:dyDescent="0.25">
      <c r="B118" s="125"/>
      <c r="C118" s="187"/>
      <c r="D118" s="153" t="s">
        <v>24</v>
      </c>
    </row>
    <row r="119" spans="1:4" ht="20.25" customHeight="1" x14ac:dyDescent="0.25">
      <c r="B119" s="125"/>
      <c r="C119" s="187"/>
      <c r="D119" s="159">
        <v>44877</v>
      </c>
    </row>
    <row r="120" spans="1:4" ht="20.25" customHeight="1" x14ac:dyDescent="0.25">
      <c r="B120" s="125"/>
      <c r="C120" s="187"/>
      <c r="D120" s="153" t="s">
        <v>24</v>
      </c>
    </row>
    <row r="121" spans="1:4" ht="20.25" customHeight="1" x14ac:dyDescent="0.25">
      <c r="B121" s="125"/>
      <c r="D121" s="153" t="s">
        <v>24</v>
      </c>
    </row>
    <row r="122" spans="1:4" ht="20.25" customHeight="1" x14ac:dyDescent="0.25">
      <c r="B122" s="125"/>
      <c r="D122" s="159">
        <v>44840</v>
      </c>
    </row>
    <row r="123" spans="1:4" ht="20.25" customHeight="1" x14ac:dyDescent="0.25">
      <c r="B123" s="125"/>
      <c r="D123" s="153" t="s">
        <v>24</v>
      </c>
    </row>
    <row r="124" spans="1:4" ht="20.25" customHeight="1" x14ac:dyDescent="0.25">
      <c r="B124" s="125"/>
      <c r="D124" s="153" t="s">
        <v>24</v>
      </c>
    </row>
    <row r="125" spans="1:4" ht="20.25" customHeight="1" x14ac:dyDescent="0.25">
      <c r="B125" s="125"/>
      <c r="D125" s="153" t="s">
        <v>24</v>
      </c>
    </row>
    <row r="126" spans="1:4" ht="20.25" customHeight="1" x14ac:dyDescent="0.25">
      <c r="B126" s="125"/>
      <c r="D126" s="153" t="s">
        <v>24</v>
      </c>
    </row>
    <row r="127" spans="1:4" ht="20.25" customHeight="1" x14ac:dyDescent="0.25">
      <c r="B127" s="136" t="s">
        <v>353</v>
      </c>
      <c r="D127" s="153" t="s">
        <v>24</v>
      </c>
    </row>
    <row r="128" spans="1:4" ht="20.25" customHeight="1" x14ac:dyDescent="0.25">
      <c r="B128" s="136" t="s">
        <v>208</v>
      </c>
      <c r="D128" s="153" t="s">
        <v>24</v>
      </c>
    </row>
    <row r="129" spans="2:4" ht="20.25" customHeight="1" x14ac:dyDescent="0.25">
      <c r="B129" s="125" t="s">
        <v>354</v>
      </c>
      <c r="D129" s="153" t="s">
        <v>24</v>
      </c>
    </row>
    <row r="130" spans="2:4" ht="20.25" customHeight="1" x14ac:dyDescent="0.25">
      <c r="B130" s="125" t="s">
        <v>355</v>
      </c>
      <c r="D130" s="153" t="s">
        <v>24</v>
      </c>
    </row>
    <row r="131" spans="2:4" ht="20.25" customHeight="1" x14ac:dyDescent="0.25">
      <c r="B131" s="125" t="s">
        <v>356</v>
      </c>
      <c r="D131" s="153" t="s">
        <v>24</v>
      </c>
    </row>
    <row r="132" spans="2:4" ht="20.25" customHeight="1" x14ac:dyDescent="0.25">
      <c r="B132" s="125" t="s">
        <v>357</v>
      </c>
      <c r="D132" s="153"/>
    </row>
    <row r="133" spans="2:4" ht="20.25" customHeight="1" x14ac:dyDescent="0.25">
      <c r="B133" s="125" t="s">
        <v>358</v>
      </c>
      <c r="D133" s="153"/>
    </row>
    <row r="134" spans="2:4" ht="20.25" customHeight="1" x14ac:dyDescent="0.25">
      <c r="B134" s="125" t="s">
        <v>359</v>
      </c>
      <c r="D134" s="179">
        <v>45013</v>
      </c>
    </row>
    <row r="135" spans="2:4" ht="20.25" customHeight="1" x14ac:dyDescent="0.25">
      <c r="B135" s="125" t="s">
        <v>360</v>
      </c>
      <c r="D135" s="179">
        <v>45013</v>
      </c>
    </row>
    <row r="136" spans="2:4" ht="20.25" customHeight="1" x14ac:dyDescent="0.25">
      <c r="B136" s="125" t="s">
        <v>361</v>
      </c>
      <c r="D136" s="153" t="s">
        <v>24</v>
      </c>
    </row>
    <row r="137" spans="2:4" ht="20.25" customHeight="1" x14ac:dyDescent="0.25">
      <c r="B137" s="136" t="s">
        <v>211</v>
      </c>
      <c r="D137" s="153" t="s">
        <v>24</v>
      </c>
    </row>
    <row r="138" spans="2:4" ht="20.25" customHeight="1" x14ac:dyDescent="0.25">
      <c r="B138" s="125" t="s">
        <v>362</v>
      </c>
      <c r="D138" s="159">
        <v>44853</v>
      </c>
    </row>
    <row r="139" spans="2:4" ht="20.25" customHeight="1" x14ac:dyDescent="0.25">
      <c r="B139" s="125" t="s">
        <v>363</v>
      </c>
      <c r="D139" s="159">
        <v>44840</v>
      </c>
    </row>
    <row r="140" spans="2:4" ht="20.25" customHeight="1" x14ac:dyDescent="0.25">
      <c r="B140" s="125" t="s">
        <v>364</v>
      </c>
      <c r="D140" s="159">
        <v>44840</v>
      </c>
    </row>
    <row r="141" spans="2:4" ht="20.25" customHeight="1" x14ac:dyDescent="0.25">
      <c r="B141" s="125" t="s">
        <v>365</v>
      </c>
      <c r="D141" s="161"/>
    </row>
    <row r="142" spans="2:4" ht="20.25" customHeight="1" x14ac:dyDescent="0.25">
      <c r="B142" s="136" t="s">
        <v>215</v>
      </c>
      <c r="D142" s="159">
        <v>44910</v>
      </c>
    </row>
    <row r="143" spans="2:4" ht="20.25" customHeight="1" x14ac:dyDescent="0.25">
      <c r="B143" s="125" t="s">
        <v>366</v>
      </c>
      <c r="D143" s="159">
        <v>44961</v>
      </c>
    </row>
    <row r="144" spans="2:4" ht="20.25" customHeight="1" x14ac:dyDescent="0.25">
      <c r="B144" s="125" t="s">
        <v>367</v>
      </c>
      <c r="D144" s="153" t="s">
        <v>24</v>
      </c>
    </row>
    <row r="145" spans="2:4" ht="20.25" customHeight="1" x14ac:dyDescent="0.25">
      <c r="B145" s="125" t="s">
        <v>368</v>
      </c>
      <c r="D145" s="153" t="s">
        <v>24</v>
      </c>
    </row>
    <row r="146" spans="2:4" ht="20.25" customHeight="1" x14ac:dyDescent="0.25">
      <c r="B146" s="136" t="s">
        <v>218</v>
      </c>
      <c r="D146" s="159">
        <v>44862</v>
      </c>
    </row>
    <row r="147" spans="2:4" ht="20.25" customHeight="1" x14ac:dyDescent="0.25">
      <c r="B147" s="125" t="s">
        <v>369</v>
      </c>
      <c r="D147" s="159">
        <v>44877</v>
      </c>
    </row>
    <row r="148" spans="2:4" ht="20.25" customHeight="1" x14ac:dyDescent="0.25">
      <c r="B148" s="125" t="s">
        <v>370</v>
      </c>
      <c r="D148" s="159">
        <v>44840</v>
      </c>
    </row>
    <row r="149" spans="2:4" ht="20.25" customHeight="1" x14ac:dyDescent="0.25">
      <c r="B149" s="136" t="s">
        <v>221</v>
      </c>
      <c r="D149" s="153" t="s">
        <v>24</v>
      </c>
    </row>
    <row r="150" spans="2:4" ht="20.25" customHeight="1" x14ac:dyDescent="0.25">
      <c r="B150" s="125" t="s">
        <v>224</v>
      </c>
      <c r="D150" s="159">
        <v>44840</v>
      </c>
    </row>
    <row r="151" spans="2:4" ht="20.25" customHeight="1" x14ac:dyDescent="0.25">
      <c r="B151" s="125" t="s">
        <v>371</v>
      </c>
      <c r="D151" s="153" t="s">
        <v>24</v>
      </c>
    </row>
    <row r="152" spans="2:4" ht="20.25" customHeight="1" x14ac:dyDescent="0.25">
      <c r="B152" s="125" t="s">
        <v>372</v>
      </c>
      <c r="D152" s="153" t="s">
        <v>24</v>
      </c>
    </row>
    <row r="153" spans="2:4" ht="20.25" customHeight="1" x14ac:dyDescent="0.25">
      <c r="B153" s="125" t="s">
        <v>373</v>
      </c>
      <c r="D153" s="159">
        <v>44840</v>
      </c>
    </row>
    <row r="154" spans="2:4" ht="20.25" customHeight="1" x14ac:dyDescent="0.25">
      <c r="B154" s="125" t="s">
        <v>374</v>
      </c>
      <c r="D154" s="159">
        <v>44877</v>
      </c>
    </row>
    <row r="155" spans="2:4" ht="20.25" customHeight="1" x14ac:dyDescent="0.25">
      <c r="B155" s="125" t="s">
        <v>188</v>
      </c>
      <c r="D155" s="159">
        <v>44890</v>
      </c>
    </row>
    <row r="156" spans="2:4" ht="20.25" customHeight="1" x14ac:dyDescent="0.25">
      <c r="B156" s="125" t="s">
        <v>375</v>
      </c>
      <c r="D156" s="159">
        <v>45013</v>
      </c>
    </row>
    <row r="157" spans="2:4" ht="20.25" customHeight="1" x14ac:dyDescent="0.25">
      <c r="B157" s="125" t="s">
        <v>376</v>
      </c>
      <c r="D157" s="159">
        <v>45013</v>
      </c>
    </row>
    <row r="158" spans="2:4" ht="20.25" customHeight="1" x14ac:dyDescent="0.25">
      <c r="B158" s="125" t="s">
        <v>377</v>
      </c>
      <c r="D158" s="159"/>
    </row>
    <row r="159" spans="2:4" ht="20.25" customHeight="1" x14ac:dyDescent="0.25">
      <c r="B159" s="125" t="s">
        <v>378</v>
      </c>
      <c r="D159" s="159"/>
    </row>
    <row r="160" spans="2:4" ht="20.25" customHeight="1" x14ac:dyDescent="0.25">
      <c r="B160" s="125" t="s">
        <v>379</v>
      </c>
      <c r="D160" s="169"/>
    </row>
    <row r="161" spans="2:4" ht="20.25" customHeight="1" x14ac:dyDescent="0.25">
      <c r="B161" s="125" t="s">
        <v>380</v>
      </c>
      <c r="D161" s="169"/>
    </row>
    <row r="162" spans="2:4" ht="20.25" customHeight="1" x14ac:dyDescent="0.25">
      <c r="B162" s="125" t="s">
        <v>381</v>
      </c>
      <c r="D162" s="169"/>
    </row>
    <row r="163" spans="2:4" ht="20.25" customHeight="1" x14ac:dyDescent="0.25">
      <c r="B163" s="136" t="s">
        <v>227</v>
      </c>
      <c r="D163" s="169"/>
    </row>
    <row r="164" spans="2:4" ht="20.25" customHeight="1" x14ac:dyDescent="0.25">
      <c r="B164" s="125" t="s">
        <v>382</v>
      </c>
      <c r="D164" s="169"/>
    </row>
    <row r="165" spans="2:4" ht="20.25" customHeight="1" x14ac:dyDescent="0.25">
      <c r="B165" s="136" t="s">
        <v>229</v>
      </c>
      <c r="D165" s="169"/>
    </row>
    <row r="166" spans="2:4" ht="20.25" customHeight="1" x14ac:dyDescent="0.25">
      <c r="B166" s="125" t="s">
        <v>383</v>
      </c>
      <c r="D166" s="165">
        <v>45105</v>
      </c>
    </row>
    <row r="167" spans="2:4" ht="20.25" customHeight="1" x14ac:dyDescent="0.25">
      <c r="B167" s="125" t="s">
        <v>384</v>
      </c>
      <c r="D167" s="166"/>
    </row>
    <row r="168" spans="2:4" ht="20.25" customHeight="1" x14ac:dyDescent="0.25">
      <c r="B168" s="125" t="s">
        <v>385</v>
      </c>
      <c r="D168" s="169"/>
    </row>
    <row r="169" spans="2:4" ht="20.25" customHeight="1" x14ac:dyDescent="0.25">
      <c r="B169" s="125" t="s">
        <v>386</v>
      </c>
      <c r="D169" s="169"/>
    </row>
    <row r="170" spans="2:4" ht="20.25" customHeight="1" x14ac:dyDescent="0.25">
      <c r="B170" s="125" t="s">
        <v>387</v>
      </c>
      <c r="D170" s="169"/>
    </row>
    <row r="171" spans="2:4" ht="20.25" customHeight="1" x14ac:dyDescent="0.25">
      <c r="B171" s="125" t="s">
        <v>388</v>
      </c>
      <c r="D171" s="165">
        <v>45105</v>
      </c>
    </row>
    <row r="172" spans="2:4" ht="20.25" customHeight="1" x14ac:dyDescent="0.25">
      <c r="B172" s="125" t="s">
        <v>389</v>
      </c>
      <c r="D172" s="169"/>
    </row>
    <row r="173" spans="2:4" ht="20.25" customHeight="1" x14ac:dyDescent="0.25">
      <c r="B173" s="125" t="s">
        <v>390</v>
      </c>
      <c r="D173" s="169"/>
    </row>
    <row r="174" spans="2:4" ht="20.25" customHeight="1" x14ac:dyDescent="0.25">
      <c r="B174" s="125" t="s">
        <v>391</v>
      </c>
      <c r="D174" s="165">
        <v>45049</v>
      </c>
    </row>
    <row r="175" spans="2:4" ht="20.25" customHeight="1" x14ac:dyDescent="0.25">
      <c r="B175" s="125" t="s">
        <v>392</v>
      </c>
      <c r="D175" s="169"/>
    </row>
    <row r="176" spans="2:4" ht="20.25" customHeight="1" x14ac:dyDescent="0.25">
      <c r="B176" s="125" t="s">
        <v>233</v>
      </c>
      <c r="D176" s="169"/>
    </row>
    <row r="177" spans="2:4" ht="20.25" customHeight="1" x14ac:dyDescent="0.25">
      <c r="B177" s="125" t="s">
        <v>393</v>
      </c>
      <c r="D177" s="169"/>
    </row>
    <row r="178" spans="2:4" ht="20.25" customHeight="1" x14ac:dyDescent="0.25">
      <c r="B178" s="125" t="s">
        <v>394</v>
      </c>
      <c r="D178" s="169"/>
    </row>
    <row r="179" spans="2:4" ht="20.25" customHeight="1" x14ac:dyDescent="0.25">
      <c r="B179" s="125" t="s">
        <v>395</v>
      </c>
      <c r="D179" s="169"/>
    </row>
    <row r="180" spans="2:4" ht="20.25" customHeight="1" x14ac:dyDescent="0.25">
      <c r="B180" s="125" t="s">
        <v>396</v>
      </c>
      <c r="D180" s="159">
        <v>45056</v>
      </c>
    </row>
    <row r="181" spans="2:4" ht="20.25" customHeight="1" x14ac:dyDescent="0.25">
      <c r="B181" s="125" t="s">
        <v>397</v>
      </c>
      <c r="D181" s="159">
        <v>45056</v>
      </c>
    </row>
    <row r="182" spans="2:4" ht="20.25" customHeight="1" x14ac:dyDescent="0.25">
      <c r="B182" s="124" t="s">
        <v>398</v>
      </c>
      <c r="D182" s="159">
        <v>45056</v>
      </c>
    </row>
    <row r="183" spans="2:4" ht="20.25" customHeight="1" x14ac:dyDescent="0.25">
      <c r="B183" s="125" t="s">
        <v>399</v>
      </c>
      <c r="D183" s="169"/>
    </row>
    <row r="184" spans="2:4" ht="20.25" customHeight="1" x14ac:dyDescent="0.25">
      <c r="B184" s="125" t="s">
        <v>235</v>
      </c>
      <c r="D184" s="169"/>
    </row>
    <row r="185" spans="2:4" ht="20.25" customHeight="1" x14ac:dyDescent="0.25">
      <c r="B185" s="125" t="s">
        <v>400</v>
      </c>
      <c r="D185" s="169"/>
    </row>
    <row r="186" spans="2:4" ht="20.25" customHeight="1" x14ac:dyDescent="0.25">
      <c r="B186" s="125" t="s">
        <v>401</v>
      </c>
      <c r="D186" s="169"/>
    </row>
    <row r="187" spans="2:4" ht="20.25" customHeight="1" x14ac:dyDescent="0.25">
      <c r="B187" s="125" t="s">
        <v>402</v>
      </c>
      <c r="D187" s="169"/>
    </row>
    <row r="188" spans="2:4" ht="20.25" customHeight="1" x14ac:dyDescent="0.25">
      <c r="B188" s="125" t="s">
        <v>403</v>
      </c>
      <c r="D188" s="169"/>
    </row>
    <row r="189" spans="2:4" ht="20.25" customHeight="1" x14ac:dyDescent="0.25">
      <c r="B189" s="136" t="s">
        <v>238</v>
      </c>
      <c r="D189" s="169"/>
    </row>
    <row r="190" spans="2:4" ht="20.25" customHeight="1" x14ac:dyDescent="0.25">
      <c r="B190" s="125" t="s">
        <v>404</v>
      </c>
      <c r="D190" s="169"/>
    </row>
    <row r="191" spans="2:4" ht="20.25" customHeight="1" x14ac:dyDescent="0.25">
      <c r="B191" s="125" t="s">
        <v>405</v>
      </c>
      <c r="D191" s="169"/>
    </row>
    <row r="192" spans="2:4" ht="20.25" customHeight="1" x14ac:dyDescent="0.25">
      <c r="B192" s="125" t="s">
        <v>406</v>
      </c>
      <c r="D192" s="166"/>
    </row>
    <row r="193" spans="2:4" ht="20.25" customHeight="1" x14ac:dyDescent="0.25">
      <c r="B193" s="125" t="s">
        <v>407</v>
      </c>
      <c r="D193" s="159">
        <v>45056</v>
      </c>
    </row>
    <row r="194" spans="2:4" ht="20.25" customHeight="1" x14ac:dyDescent="0.25">
      <c r="B194" s="125" t="s">
        <v>408</v>
      </c>
      <c r="D194" s="165">
        <v>45148</v>
      </c>
    </row>
    <row r="195" spans="2:4" ht="20.25" customHeight="1" x14ac:dyDescent="0.25">
      <c r="B195" s="125" t="s">
        <v>409</v>
      </c>
      <c r="D195" s="162"/>
    </row>
    <row r="196" spans="2:4" ht="20.25" customHeight="1" x14ac:dyDescent="0.25">
      <c r="B196" s="125" t="s">
        <v>240</v>
      </c>
      <c r="D196" s="162"/>
    </row>
    <row r="197" spans="2:4" ht="20.25" customHeight="1" x14ac:dyDescent="0.25">
      <c r="B197" s="125" t="s">
        <v>410</v>
      </c>
      <c r="D197" s="162"/>
    </row>
    <row r="198" spans="2:4" ht="20.25" customHeight="1" x14ac:dyDescent="0.25">
      <c r="B198" s="125" t="s">
        <v>411</v>
      </c>
      <c r="D198" s="162"/>
    </row>
    <row r="199" spans="2:4" ht="20.25" customHeight="1" x14ac:dyDescent="0.25">
      <c r="B199" s="125" t="s">
        <v>412</v>
      </c>
      <c r="D199" s="162"/>
    </row>
    <row r="200" spans="2:4" ht="20.25" customHeight="1" x14ac:dyDescent="0.25">
      <c r="B200" s="125" t="s">
        <v>413</v>
      </c>
      <c r="D200" s="162"/>
    </row>
    <row r="201" spans="2:4" ht="20.25" customHeight="1" x14ac:dyDescent="0.25">
      <c r="B201" s="125" t="s">
        <v>414</v>
      </c>
      <c r="D201" s="162"/>
    </row>
    <row r="202" spans="2:4" ht="20.25" customHeight="1" x14ac:dyDescent="0.25">
      <c r="B202" s="125" t="s">
        <v>415</v>
      </c>
      <c r="D202" s="162"/>
    </row>
    <row r="203" spans="2:4" ht="20.25" customHeight="1" x14ac:dyDescent="0.25">
      <c r="B203" s="125" t="s">
        <v>242</v>
      </c>
      <c r="D203" s="162"/>
    </row>
    <row r="204" spans="2:4" ht="20.25" customHeight="1" x14ac:dyDescent="0.25">
      <c r="B204" s="125" t="s">
        <v>244</v>
      </c>
      <c r="D204" s="162"/>
    </row>
    <row r="205" spans="2:4" ht="20.25" customHeight="1" x14ac:dyDescent="0.25">
      <c r="B205" s="125" t="s">
        <v>416</v>
      </c>
      <c r="D205" s="162"/>
    </row>
    <row r="206" spans="2:4" ht="20.25" customHeight="1" x14ac:dyDescent="0.25">
      <c r="B206" s="125" t="s">
        <v>417</v>
      </c>
      <c r="D206" s="162"/>
    </row>
    <row r="207" spans="2:4" ht="20.25" customHeight="1" x14ac:dyDescent="0.25">
      <c r="B207" s="125" t="s">
        <v>418</v>
      </c>
      <c r="D207" s="162"/>
    </row>
    <row r="208" spans="2:4" ht="20.25" customHeight="1" x14ac:dyDescent="0.25">
      <c r="B208" s="136" t="s">
        <v>247</v>
      </c>
      <c r="D208" s="162"/>
    </row>
    <row r="209" spans="2:4" ht="20.25" customHeight="1" x14ac:dyDescent="0.25">
      <c r="B209" s="125" t="s">
        <v>419</v>
      </c>
      <c r="D209" s="162"/>
    </row>
    <row r="210" spans="2:4" ht="20.25" customHeight="1" x14ac:dyDescent="0.25">
      <c r="B210" s="125" t="s">
        <v>420</v>
      </c>
      <c r="D210" s="162"/>
    </row>
    <row r="211" spans="2:4" ht="20.25" customHeight="1" x14ac:dyDescent="0.25">
      <c r="B211" s="125" t="s">
        <v>421</v>
      </c>
      <c r="D211" s="162"/>
    </row>
    <row r="212" spans="2:4" ht="20.25" customHeight="1" x14ac:dyDescent="0.25">
      <c r="B212" s="125" t="s">
        <v>422</v>
      </c>
      <c r="D212" s="162"/>
    </row>
    <row r="213" spans="2:4" ht="20.25" customHeight="1" x14ac:dyDescent="0.25">
      <c r="B213" s="125" t="s">
        <v>423</v>
      </c>
      <c r="D213" s="162"/>
    </row>
    <row r="214" spans="2:4" ht="20.25" customHeight="1" x14ac:dyDescent="0.25">
      <c r="B214" s="125" t="s">
        <v>424</v>
      </c>
      <c r="D214" s="165">
        <v>45105</v>
      </c>
    </row>
    <row r="215" spans="2:4" ht="20.25" customHeight="1" x14ac:dyDescent="0.25">
      <c r="B215" s="125" t="s">
        <v>425</v>
      </c>
      <c r="D215" s="159">
        <v>44992</v>
      </c>
    </row>
    <row r="216" spans="2:4" ht="20.25" customHeight="1" x14ac:dyDescent="0.25">
      <c r="B216" s="136" t="s">
        <v>249</v>
      </c>
      <c r="D216" s="159">
        <v>45056</v>
      </c>
    </row>
    <row r="217" spans="2:4" ht="20.25" customHeight="1" x14ac:dyDescent="0.25">
      <c r="B217" s="125" t="s">
        <v>426</v>
      </c>
      <c r="D217" s="159">
        <v>44992</v>
      </c>
    </row>
    <row r="218" spans="2:4" ht="20.25" customHeight="1" x14ac:dyDescent="0.25">
      <c r="B218" s="125" t="s">
        <v>427</v>
      </c>
      <c r="D218" s="159">
        <v>45056</v>
      </c>
    </row>
    <row r="219" spans="2:4" ht="20.25" customHeight="1" x14ac:dyDescent="0.25">
      <c r="B219" s="125" t="s">
        <v>428</v>
      </c>
      <c r="D219" s="168">
        <v>45111</v>
      </c>
    </row>
    <row r="220" spans="2:4" ht="20.25" customHeight="1" x14ac:dyDescent="0.25">
      <c r="B220" s="125" t="s">
        <v>429</v>
      </c>
      <c r="D220" s="159">
        <v>45056</v>
      </c>
    </row>
    <row r="221" spans="2:4" ht="20.25" customHeight="1" x14ac:dyDescent="0.25">
      <c r="B221" s="136" t="s">
        <v>430</v>
      </c>
      <c r="D221" s="162"/>
    </row>
    <row r="222" spans="2:4" ht="20.25" customHeight="1" x14ac:dyDescent="0.25">
      <c r="B222" s="125" t="s">
        <v>431</v>
      </c>
      <c r="D222" s="162"/>
    </row>
    <row r="223" spans="2:4" ht="20.25" customHeight="1" x14ac:dyDescent="0.25">
      <c r="B223" s="125" t="s">
        <v>432</v>
      </c>
      <c r="D223" s="159">
        <v>45056</v>
      </c>
    </row>
    <row r="224" spans="2:4" ht="20.25" customHeight="1" x14ac:dyDescent="0.25">
      <c r="B224" s="125" t="s">
        <v>433</v>
      </c>
      <c r="D224" s="159">
        <v>45056</v>
      </c>
    </row>
    <row r="225" spans="2:4" ht="20.25" customHeight="1" x14ac:dyDescent="0.25">
      <c r="B225" s="125" t="s">
        <v>434</v>
      </c>
      <c r="D225" s="159">
        <v>45056</v>
      </c>
    </row>
    <row r="226" spans="2:4" ht="20.25" customHeight="1" x14ac:dyDescent="0.25">
      <c r="B226" s="125" t="s">
        <v>435</v>
      </c>
      <c r="D226" s="159">
        <v>45097</v>
      </c>
    </row>
    <row r="227" spans="2:4" ht="20.25" customHeight="1" x14ac:dyDescent="0.25">
      <c r="B227" s="125" t="s">
        <v>436</v>
      </c>
      <c r="D227" s="168">
        <v>45111</v>
      </c>
    </row>
    <row r="228" spans="2:4" ht="20.25" customHeight="1" x14ac:dyDescent="0.25">
      <c r="B228" s="125" t="s">
        <v>437</v>
      </c>
      <c r="D228" s="168">
        <v>45111</v>
      </c>
    </row>
    <row r="229" spans="2:4" ht="20.25" customHeight="1" x14ac:dyDescent="0.25">
      <c r="B229" s="125" t="s">
        <v>438</v>
      </c>
      <c r="D229" s="168">
        <v>45111</v>
      </c>
    </row>
    <row r="230" spans="2:4" ht="20.25" customHeight="1" x14ac:dyDescent="0.25">
      <c r="B230" s="125" t="s">
        <v>439</v>
      </c>
      <c r="D230" s="159">
        <v>45097</v>
      </c>
    </row>
    <row r="231" spans="2:4" ht="20.25" customHeight="1" x14ac:dyDescent="0.25">
      <c r="B231" s="125" t="s">
        <v>440</v>
      </c>
      <c r="D231" s="168">
        <v>45111</v>
      </c>
    </row>
    <row r="232" spans="2:4" ht="20.25" customHeight="1" x14ac:dyDescent="0.25">
      <c r="B232" s="125" t="s">
        <v>441</v>
      </c>
      <c r="D232" s="168">
        <v>45111</v>
      </c>
    </row>
    <row r="233" spans="2:4" ht="20.25" customHeight="1" x14ac:dyDescent="0.25">
      <c r="B233" s="125" t="s">
        <v>442</v>
      </c>
      <c r="D233" s="159">
        <v>45097</v>
      </c>
    </row>
    <row r="234" spans="2:4" ht="20.25" customHeight="1" x14ac:dyDescent="0.25">
      <c r="B234" s="125" t="s">
        <v>251</v>
      </c>
      <c r="D234" s="159">
        <v>45097</v>
      </c>
    </row>
    <row r="235" spans="2:4" ht="20.25" customHeight="1" x14ac:dyDescent="0.25">
      <c r="B235" s="125" t="s">
        <v>443</v>
      </c>
      <c r="D235" s="159">
        <v>45097</v>
      </c>
    </row>
    <row r="236" spans="2:4" ht="20.25" customHeight="1" x14ac:dyDescent="0.25">
      <c r="B236" s="125" t="s">
        <v>444</v>
      </c>
      <c r="D236" s="166"/>
    </row>
    <row r="237" spans="2:4" ht="20.25" customHeight="1" x14ac:dyDescent="0.25">
      <c r="B237" s="125" t="s">
        <v>445</v>
      </c>
      <c r="D237" s="168">
        <v>45111</v>
      </c>
    </row>
    <row r="238" spans="2:4" ht="20.25" customHeight="1" x14ac:dyDescent="0.25">
      <c r="B238" s="125" t="s">
        <v>446</v>
      </c>
      <c r="D238" s="159">
        <v>45097</v>
      </c>
    </row>
    <row r="239" spans="2:4" ht="20.25" customHeight="1" x14ac:dyDescent="0.25">
      <c r="B239" s="125" t="s">
        <v>447</v>
      </c>
      <c r="D239" s="165">
        <v>45148</v>
      </c>
    </row>
    <row r="240" spans="2:4" ht="20.25" customHeight="1" x14ac:dyDescent="0.25">
      <c r="B240" s="125" t="s">
        <v>448</v>
      </c>
      <c r="D240" s="168">
        <v>45111</v>
      </c>
    </row>
    <row r="241" spans="2:4" ht="20.25" customHeight="1" x14ac:dyDescent="0.25">
      <c r="B241" s="125" t="s">
        <v>449</v>
      </c>
      <c r="D241" s="169"/>
    </row>
    <row r="242" spans="2:4" ht="20.25" customHeight="1" x14ac:dyDescent="0.25">
      <c r="B242" s="125" t="s">
        <v>450</v>
      </c>
      <c r="D242" s="159">
        <v>44992</v>
      </c>
    </row>
    <row r="243" spans="2:4" ht="20.25" customHeight="1" x14ac:dyDescent="0.25">
      <c r="B243" s="125" t="s">
        <v>451</v>
      </c>
      <c r="D243" s="159">
        <v>45097</v>
      </c>
    </row>
    <row r="244" spans="2:4" ht="20.25" customHeight="1" x14ac:dyDescent="0.25">
      <c r="B244" s="125" t="s">
        <v>452</v>
      </c>
      <c r="D244" s="159">
        <v>45097</v>
      </c>
    </row>
    <row r="245" spans="2:4" ht="20.25" customHeight="1" x14ac:dyDescent="0.25">
      <c r="B245" s="125" t="s">
        <v>453</v>
      </c>
      <c r="D245" s="159">
        <v>45097</v>
      </c>
    </row>
    <row r="246" spans="2:4" ht="20.25" customHeight="1" x14ac:dyDescent="0.25">
      <c r="B246" s="125" t="s">
        <v>454</v>
      </c>
      <c r="D246" s="169"/>
    </row>
    <row r="247" spans="2:4" ht="20.25" customHeight="1" x14ac:dyDescent="0.25">
      <c r="B247" s="125" t="s">
        <v>455</v>
      </c>
      <c r="D247" s="169"/>
    </row>
    <row r="248" spans="2:4" ht="20.25" customHeight="1" x14ac:dyDescent="0.25">
      <c r="B248" s="125" t="s">
        <v>456</v>
      </c>
      <c r="D248" s="159">
        <v>45097</v>
      </c>
    </row>
    <row r="249" spans="2:4" ht="20.25" customHeight="1" x14ac:dyDescent="0.25">
      <c r="B249" s="125" t="s">
        <v>457</v>
      </c>
      <c r="D249" s="159">
        <v>45097</v>
      </c>
    </row>
    <row r="250" spans="2:4" ht="20.25" customHeight="1" x14ac:dyDescent="0.25">
      <c r="B250" s="125" t="s">
        <v>458</v>
      </c>
      <c r="D250" s="168">
        <v>45111</v>
      </c>
    </row>
    <row r="251" spans="2:4" ht="20.25" customHeight="1" x14ac:dyDescent="0.25">
      <c r="B251" s="125" t="s">
        <v>459</v>
      </c>
      <c r="D251" s="159">
        <v>44961</v>
      </c>
    </row>
    <row r="252" spans="2:4" ht="20.25" customHeight="1" x14ac:dyDescent="0.25">
      <c r="B252" s="125" t="s">
        <v>460</v>
      </c>
      <c r="D252" s="159">
        <v>45097</v>
      </c>
    </row>
    <row r="253" spans="2:4" ht="20.25" customHeight="1" x14ac:dyDescent="0.25">
      <c r="B253" s="125" t="s">
        <v>461</v>
      </c>
      <c r="D253" s="165">
        <v>45148</v>
      </c>
    </row>
    <row r="254" spans="2:4" ht="20.25" customHeight="1" x14ac:dyDescent="0.25">
      <c r="B254" s="125" t="s">
        <v>462</v>
      </c>
      <c r="D254" s="168">
        <v>45111</v>
      </c>
    </row>
    <row r="255" spans="2:4" ht="20.25" customHeight="1" x14ac:dyDescent="0.25">
      <c r="B255" s="125" t="s">
        <v>463</v>
      </c>
      <c r="D255" s="169"/>
    </row>
    <row r="256" spans="2:4" ht="20.25" customHeight="1" x14ac:dyDescent="0.25">
      <c r="B256" s="125" t="s">
        <v>464</v>
      </c>
      <c r="D256" s="169"/>
    </row>
    <row r="257" spans="2:4" ht="20.25" customHeight="1" x14ac:dyDescent="0.25">
      <c r="B257" s="125" t="s">
        <v>465</v>
      </c>
      <c r="D257" s="169"/>
    </row>
    <row r="258" spans="2:4" ht="20.25" customHeight="1" x14ac:dyDescent="0.25">
      <c r="B258" s="125" t="s">
        <v>466</v>
      </c>
      <c r="D258" s="159">
        <v>45097</v>
      </c>
    </row>
    <row r="259" spans="2:4" ht="20.25" customHeight="1" x14ac:dyDescent="0.25">
      <c r="B259" s="125" t="s">
        <v>467</v>
      </c>
      <c r="D259" s="165">
        <v>45148</v>
      </c>
    </row>
    <row r="260" spans="2:4" ht="20.25" customHeight="1" x14ac:dyDescent="0.25">
      <c r="B260" s="125" t="s">
        <v>468</v>
      </c>
      <c r="D260" s="168">
        <v>45111</v>
      </c>
    </row>
    <row r="261" spans="2:4" ht="20.25" customHeight="1" x14ac:dyDescent="0.25">
      <c r="B261" s="125" t="s">
        <v>469</v>
      </c>
      <c r="D261" s="165">
        <v>45148</v>
      </c>
    </row>
    <row r="262" spans="2:4" ht="20.25" customHeight="1" x14ac:dyDescent="0.25">
      <c r="B262" s="125" t="s">
        <v>470</v>
      </c>
      <c r="D262" s="165">
        <v>45148</v>
      </c>
    </row>
    <row r="263" spans="2:4" ht="20.25" customHeight="1" x14ac:dyDescent="0.25">
      <c r="B263" s="125" t="s">
        <v>254</v>
      </c>
      <c r="D263" s="159">
        <v>45097</v>
      </c>
    </row>
    <row r="264" spans="2:4" ht="20.25" customHeight="1" x14ac:dyDescent="0.25">
      <c r="B264" s="125" t="s">
        <v>471</v>
      </c>
      <c r="D264" s="169"/>
    </row>
    <row r="265" spans="2:4" ht="20.25" customHeight="1" x14ac:dyDescent="0.25">
      <c r="B265" s="125" t="s">
        <v>472</v>
      </c>
      <c r="D265" s="168">
        <v>45111</v>
      </c>
    </row>
    <row r="266" spans="2:4" ht="20.25" customHeight="1" x14ac:dyDescent="0.25">
      <c r="B266" s="125" t="s">
        <v>473</v>
      </c>
      <c r="D266" s="168">
        <v>45111</v>
      </c>
    </row>
    <row r="267" spans="2:4" ht="20.25" customHeight="1" x14ac:dyDescent="0.25">
      <c r="B267" s="125" t="s">
        <v>474</v>
      </c>
      <c r="D267" s="159">
        <v>45097</v>
      </c>
    </row>
    <row r="268" spans="2:4" ht="20.25" customHeight="1" x14ac:dyDescent="0.25">
      <c r="B268" s="125" t="s">
        <v>256</v>
      </c>
      <c r="D268" s="168">
        <v>45111</v>
      </c>
    </row>
    <row r="269" spans="2:4" ht="20.25" customHeight="1" x14ac:dyDescent="0.25">
      <c r="B269" s="125" t="s">
        <v>475</v>
      </c>
      <c r="D269" s="168">
        <v>45111</v>
      </c>
    </row>
    <row r="270" spans="2:4" ht="20.25" customHeight="1" x14ac:dyDescent="0.25">
      <c r="B270" s="125" t="s">
        <v>476</v>
      </c>
      <c r="D270" s="159">
        <v>45097</v>
      </c>
    </row>
    <row r="271" spans="2:4" ht="20.25" customHeight="1" x14ac:dyDescent="0.25">
      <c r="B271" s="125" t="s">
        <v>477</v>
      </c>
      <c r="D271" s="159">
        <v>44992</v>
      </c>
    </row>
    <row r="272" spans="2:4" ht="20.25" customHeight="1" x14ac:dyDescent="0.25">
      <c r="B272" s="125" t="s">
        <v>478</v>
      </c>
      <c r="D272" s="203"/>
    </row>
    <row r="273" spans="2:4" ht="20.25" customHeight="1" x14ac:dyDescent="0.25">
      <c r="B273" s="125" t="s">
        <v>258</v>
      </c>
      <c r="D273" s="169"/>
    </row>
    <row r="274" spans="2:4" ht="20.25" customHeight="1" x14ac:dyDescent="0.25">
      <c r="B274" s="125" t="s">
        <v>260</v>
      </c>
      <c r="D274" s="168">
        <v>45111</v>
      </c>
    </row>
    <row r="275" spans="2:4" ht="20.25" customHeight="1" x14ac:dyDescent="0.25">
      <c r="B275" s="125" t="s">
        <v>262</v>
      </c>
      <c r="D275" s="169"/>
    </row>
    <row r="276" spans="2:4" ht="20.25" customHeight="1" x14ac:dyDescent="0.25">
      <c r="B276" s="125" t="s">
        <v>479</v>
      </c>
      <c r="D276" s="166"/>
    </row>
    <row r="277" spans="2:4" ht="20.25" customHeight="1" x14ac:dyDescent="0.25">
      <c r="B277" s="125" t="s">
        <v>480</v>
      </c>
      <c r="D277" s="169"/>
    </row>
    <row r="278" spans="2:4" ht="20.25" customHeight="1" x14ac:dyDescent="0.25">
      <c r="B278" s="125" t="s">
        <v>481</v>
      </c>
      <c r="D278" s="169"/>
    </row>
    <row r="279" spans="2:4" ht="20.25" customHeight="1" x14ac:dyDescent="0.25">
      <c r="B279" s="125" t="s">
        <v>482</v>
      </c>
      <c r="D279" s="165">
        <v>45105</v>
      </c>
    </row>
    <row r="280" spans="2:4" ht="20.25" customHeight="1" x14ac:dyDescent="0.25">
      <c r="B280" s="125" t="s">
        <v>483</v>
      </c>
      <c r="D280" s="159">
        <v>44992</v>
      </c>
    </row>
    <row r="281" spans="2:4" ht="20.25" customHeight="1" x14ac:dyDescent="0.25">
      <c r="B281" s="125" t="s">
        <v>484</v>
      </c>
      <c r="D281" s="165">
        <v>45148</v>
      </c>
    </row>
    <row r="282" spans="2:4" ht="20.25" customHeight="1" x14ac:dyDescent="0.25">
      <c r="B282" s="125" t="s">
        <v>485</v>
      </c>
      <c r="D282" s="153"/>
    </row>
    <row r="283" spans="2:4" ht="20.25" customHeight="1" x14ac:dyDescent="0.25">
      <c r="B283" s="125" t="s">
        <v>486</v>
      </c>
      <c r="D283" s="203"/>
    </row>
    <row r="284" spans="2:4" ht="20.25" customHeight="1" x14ac:dyDescent="0.25">
      <c r="B284" s="125" t="s">
        <v>487</v>
      </c>
      <c r="D284" s="203"/>
    </row>
    <row r="285" spans="2:4" ht="20.25" customHeight="1" x14ac:dyDescent="0.25">
      <c r="B285" s="125" t="s">
        <v>264</v>
      </c>
      <c r="D285" s="159">
        <v>45097</v>
      </c>
    </row>
    <row r="286" spans="2:4" ht="20.25" customHeight="1" x14ac:dyDescent="0.25">
      <c r="B286" s="125" t="s">
        <v>488</v>
      </c>
      <c r="D286" s="165">
        <v>45105</v>
      </c>
    </row>
    <row r="287" spans="2:4" ht="20.25" customHeight="1" x14ac:dyDescent="0.25">
      <c r="B287" s="125" t="s">
        <v>489</v>
      </c>
      <c r="D287" s="159">
        <v>45097</v>
      </c>
    </row>
    <row r="288" spans="2:4" ht="20.25" customHeight="1" x14ac:dyDescent="0.25">
      <c r="B288" s="125" t="s">
        <v>490</v>
      </c>
      <c r="D288" s="159">
        <v>44992</v>
      </c>
    </row>
    <row r="289" spans="2:4" ht="20.25" customHeight="1" x14ac:dyDescent="0.25">
      <c r="B289" s="125" t="s">
        <v>266</v>
      </c>
      <c r="D289" s="169"/>
    </row>
    <row r="290" spans="2:4" ht="20.25" customHeight="1" x14ac:dyDescent="0.25">
      <c r="B290" s="125" t="s">
        <v>491</v>
      </c>
      <c r="D290" s="169"/>
    </row>
    <row r="291" spans="2:4" ht="20.25" customHeight="1" x14ac:dyDescent="0.25">
      <c r="B291" s="125" t="s">
        <v>492</v>
      </c>
      <c r="D291" s="169"/>
    </row>
    <row r="292" spans="2:4" ht="20.25" customHeight="1" x14ac:dyDescent="0.25">
      <c r="B292" s="125" t="s">
        <v>493</v>
      </c>
      <c r="D292" s="165">
        <v>45105</v>
      </c>
    </row>
    <row r="293" spans="2:4" ht="20.25" customHeight="1" x14ac:dyDescent="0.25">
      <c r="B293" s="125" t="s">
        <v>494</v>
      </c>
      <c r="D293" s="165">
        <v>45105</v>
      </c>
    </row>
    <row r="294" spans="2:4" ht="20.25" customHeight="1" x14ac:dyDescent="0.25">
      <c r="B294" s="125" t="s">
        <v>495</v>
      </c>
      <c r="D294" s="165">
        <v>45148</v>
      </c>
    </row>
    <row r="295" spans="2:4" ht="20.25" customHeight="1" x14ac:dyDescent="0.25">
      <c r="B295" s="125" t="s">
        <v>268</v>
      </c>
      <c r="D295" s="165">
        <v>45148</v>
      </c>
    </row>
    <row r="296" spans="2:4" ht="20.25" customHeight="1" x14ac:dyDescent="0.25">
      <c r="B296" s="125" t="s">
        <v>190</v>
      </c>
      <c r="D296" s="165">
        <v>45148</v>
      </c>
    </row>
    <row r="297" spans="2:4" ht="20.25" customHeight="1" x14ac:dyDescent="0.25">
      <c r="B297" s="125" t="s">
        <v>271</v>
      </c>
      <c r="D297" s="203"/>
    </row>
    <row r="298" spans="2:4" ht="20.25" customHeight="1" x14ac:dyDescent="0.25">
      <c r="B298" s="125" t="s">
        <v>273</v>
      </c>
      <c r="D298" s="169"/>
    </row>
    <row r="299" spans="2:4" ht="20.25" customHeight="1" x14ac:dyDescent="0.25">
      <c r="B299" s="125" t="s">
        <v>275</v>
      </c>
      <c r="D299" s="169"/>
    </row>
    <row r="300" spans="2:4" ht="20.25" customHeight="1" x14ac:dyDescent="0.25">
      <c r="B300" s="125" t="s">
        <v>496</v>
      </c>
      <c r="D300" s="169"/>
    </row>
    <row r="301" spans="2:4" ht="20.25" customHeight="1" x14ac:dyDescent="0.25">
      <c r="B301" s="125" t="s">
        <v>497</v>
      </c>
      <c r="D301" s="169"/>
    </row>
    <row r="302" spans="2:4" ht="20.25" customHeight="1" x14ac:dyDescent="0.25">
      <c r="B302" s="125" t="s">
        <v>277</v>
      </c>
      <c r="D302" s="169"/>
    </row>
    <row r="303" spans="2:4" ht="20.25" customHeight="1" x14ac:dyDescent="0.25">
      <c r="B303" s="125" t="s">
        <v>279</v>
      </c>
      <c r="D303" s="169"/>
    </row>
    <row r="304" spans="2:4" ht="20.25" customHeight="1" x14ac:dyDescent="0.25">
      <c r="B304" s="125" t="s">
        <v>498</v>
      </c>
      <c r="D304" s="169"/>
    </row>
    <row r="305" spans="2:4" ht="20.25" customHeight="1" x14ac:dyDescent="0.25">
      <c r="B305" s="125" t="s">
        <v>499</v>
      </c>
      <c r="D305" s="153" t="s">
        <v>24</v>
      </c>
    </row>
    <row r="306" spans="2:4" ht="20.25" customHeight="1" x14ac:dyDescent="0.25">
      <c r="B306" s="125" t="s">
        <v>500</v>
      </c>
      <c r="D306" s="169"/>
    </row>
    <row r="307" spans="2:4" ht="20.25" customHeight="1" x14ac:dyDescent="0.25">
      <c r="B307" s="124" t="s">
        <v>501</v>
      </c>
      <c r="D307" s="168">
        <v>45111</v>
      </c>
    </row>
    <row r="308" spans="2:4" ht="20.25" customHeight="1" x14ac:dyDescent="0.25">
      <c r="B308" s="125" t="s">
        <v>502</v>
      </c>
      <c r="D308" s="168">
        <v>45111</v>
      </c>
    </row>
    <row r="309" spans="2:4" ht="20.25" customHeight="1" x14ac:dyDescent="0.25">
      <c r="B309" s="125" t="s">
        <v>503</v>
      </c>
      <c r="D309" s="168">
        <v>45111</v>
      </c>
    </row>
    <row r="310" spans="2:4" ht="20.25" customHeight="1" x14ac:dyDescent="0.25">
      <c r="B310" s="125" t="s">
        <v>504</v>
      </c>
      <c r="D310" s="169"/>
    </row>
    <row r="311" spans="2:4" ht="20.25" customHeight="1" x14ac:dyDescent="0.25">
      <c r="B311" s="125" t="s">
        <v>505</v>
      </c>
      <c r="D311" s="159">
        <v>45097</v>
      </c>
    </row>
    <row r="312" spans="2:4" ht="20.25" customHeight="1" x14ac:dyDescent="0.25">
      <c r="B312" s="125" t="s">
        <v>506</v>
      </c>
      <c r="D312" s="169"/>
    </row>
    <row r="313" spans="2:4" ht="20.25" customHeight="1" x14ac:dyDescent="0.25">
      <c r="B313" s="125" t="s">
        <v>507</v>
      </c>
      <c r="D313" s="169"/>
    </row>
    <row r="314" spans="2:4" ht="20.25" customHeight="1" x14ac:dyDescent="0.25">
      <c r="B314" s="125" t="s">
        <v>508</v>
      </c>
      <c r="D314" s="169"/>
    </row>
    <row r="315" spans="2:4" ht="20.25" customHeight="1" x14ac:dyDescent="0.25">
      <c r="B315" s="125" t="s">
        <v>509</v>
      </c>
      <c r="D315" s="168">
        <v>45111</v>
      </c>
    </row>
    <row r="316" spans="2:4" ht="20.25" customHeight="1" x14ac:dyDescent="0.25">
      <c r="B316" s="125" t="s">
        <v>510</v>
      </c>
      <c r="D316" s="168">
        <v>45111</v>
      </c>
    </row>
    <row r="317" spans="2:4" ht="20.25" customHeight="1" x14ac:dyDescent="0.25">
      <c r="B317" s="125" t="s">
        <v>511</v>
      </c>
      <c r="D317" s="166"/>
    </row>
    <row r="318" spans="2:4" ht="20.25" customHeight="1" x14ac:dyDescent="0.25">
      <c r="B318" s="125" t="s">
        <v>512</v>
      </c>
      <c r="D318" s="165" t="s">
        <v>24</v>
      </c>
    </row>
    <row r="319" spans="2:4" ht="20.25" customHeight="1" x14ac:dyDescent="0.25">
      <c r="B319" s="125" t="s">
        <v>513</v>
      </c>
      <c r="D319" s="169"/>
    </row>
    <row r="320" spans="2:4" ht="20.25" customHeight="1" x14ac:dyDescent="0.25">
      <c r="B320" s="125" t="s">
        <v>514</v>
      </c>
      <c r="D320" s="168">
        <v>45111</v>
      </c>
    </row>
    <row r="321" spans="2:4" ht="20.25" customHeight="1" x14ac:dyDescent="0.25">
      <c r="B321" s="125" t="s">
        <v>161</v>
      </c>
      <c r="D321" s="169"/>
    </row>
    <row r="322" spans="2:4" ht="20.25" customHeight="1" x14ac:dyDescent="0.25">
      <c r="B322" s="125" t="s">
        <v>163</v>
      </c>
      <c r="D322" s="168">
        <v>45111</v>
      </c>
    </row>
    <row r="323" spans="2:4" ht="20.25" customHeight="1" x14ac:dyDescent="0.25">
      <c r="B323" s="125" t="s">
        <v>515</v>
      </c>
      <c r="D323" s="169"/>
    </row>
    <row r="324" spans="2:4" ht="20.25" customHeight="1" x14ac:dyDescent="0.25">
      <c r="B324" s="125" t="s">
        <v>516</v>
      </c>
      <c r="D324" s="169"/>
    </row>
    <row r="325" spans="2:4" ht="20.25" customHeight="1" x14ac:dyDescent="0.25">
      <c r="B325" s="125" t="s">
        <v>517</v>
      </c>
      <c r="D325" s="165" t="s">
        <v>24</v>
      </c>
    </row>
    <row r="326" spans="2:4" ht="20.25" customHeight="1" x14ac:dyDescent="0.25">
      <c r="B326" s="125" t="s">
        <v>518</v>
      </c>
      <c r="D326" s="165" t="s">
        <v>24</v>
      </c>
    </row>
    <row r="327" spans="2:4" ht="20.25" customHeight="1" x14ac:dyDescent="0.25">
      <c r="B327" s="125" t="s">
        <v>519</v>
      </c>
      <c r="D327" s="165">
        <v>45105</v>
      </c>
    </row>
    <row r="328" spans="2:4" ht="20.25" customHeight="1" x14ac:dyDescent="0.25">
      <c r="B328" s="125" t="s">
        <v>520</v>
      </c>
      <c r="D328" s="169"/>
    </row>
    <row r="329" spans="2:4" ht="20.25" customHeight="1" x14ac:dyDescent="0.25">
      <c r="B329" s="125" t="s">
        <v>521</v>
      </c>
      <c r="D329" s="169"/>
    </row>
    <row r="330" spans="2:4" ht="20.25" customHeight="1" x14ac:dyDescent="0.25">
      <c r="B330" s="125" t="s">
        <v>522</v>
      </c>
      <c r="D330" s="166"/>
    </row>
    <row r="331" spans="2:4" ht="20.25" customHeight="1" x14ac:dyDescent="0.25">
      <c r="B331" s="125" t="s">
        <v>523</v>
      </c>
      <c r="D331" s="169"/>
    </row>
    <row r="332" spans="2:4" ht="20.25" customHeight="1" x14ac:dyDescent="0.25">
      <c r="B332" s="125" t="s">
        <v>524</v>
      </c>
      <c r="D332" s="159">
        <v>44961</v>
      </c>
    </row>
    <row r="333" spans="2:4" ht="20.25" customHeight="1" x14ac:dyDescent="0.25">
      <c r="B333" s="125" t="s">
        <v>525</v>
      </c>
      <c r="D333" s="169"/>
    </row>
    <row r="334" spans="2:4" ht="20.25" customHeight="1" x14ac:dyDescent="0.25">
      <c r="B334" s="125" t="s">
        <v>526</v>
      </c>
      <c r="D334" s="169"/>
    </row>
    <row r="335" spans="2:4" ht="20.25" customHeight="1" x14ac:dyDescent="0.25">
      <c r="B335" s="125" t="s">
        <v>527</v>
      </c>
      <c r="D335" s="169"/>
    </row>
    <row r="336" spans="2:4" ht="20.25" customHeight="1" x14ac:dyDescent="0.25">
      <c r="B336" s="125" t="s">
        <v>158</v>
      </c>
      <c r="D336" s="165">
        <v>45148</v>
      </c>
    </row>
    <row r="337" spans="2:4" ht="20.25" customHeight="1" x14ac:dyDescent="0.25">
      <c r="B337" s="136" t="s">
        <v>528</v>
      </c>
      <c r="D337" s="169"/>
    </row>
    <row r="338" spans="2:4" ht="20.25" customHeight="1" x14ac:dyDescent="0.25">
      <c r="B338" s="136" t="s">
        <v>281</v>
      </c>
      <c r="D338" s="159">
        <v>45097</v>
      </c>
    </row>
    <row r="339" spans="2:4" ht="20.25" customHeight="1" x14ac:dyDescent="0.25">
      <c r="B339" s="125" t="s">
        <v>529</v>
      </c>
      <c r="D339" s="165">
        <v>45105</v>
      </c>
    </row>
    <row r="340" spans="2:4" ht="20.25" customHeight="1" x14ac:dyDescent="0.25">
      <c r="B340" s="125" t="s">
        <v>530</v>
      </c>
      <c r="D340" s="169"/>
    </row>
    <row r="341" spans="2:4" ht="20.25" customHeight="1" x14ac:dyDescent="0.25">
      <c r="B341" s="125" t="s">
        <v>531</v>
      </c>
      <c r="D341" s="169"/>
    </row>
    <row r="342" spans="2:4" ht="20.25" customHeight="1" x14ac:dyDescent="0.25">
      <c r="B342" s="125" t="s">
        <v>532</v>
      </c>
      <c r="D342" s="169"/>
    </row>
    <row r="343" spans="2:4" ht="20.25" customHeight="1" x14ac:dyDescent="0.25">
      <c r="B343" s="125" t="s">
        <v>533</v>
      </c>
      <c r="D343" s="159">
        <v>45097</v>
      </c>
    </row>
    <row r="344" spans="2:4" ht="20.25" customHeight="1" x14ac:dyDescent="0.25">
      <c r="B344" s="125" t="s">
        <v>534</v>
      </c>
      <c r="D344" s="169"/>
    </row>
    <row r="345" spans="2:4" ht="20.25" customHeight="1" x14ac:dyDescent="0.25">
      <c r="B345" s="125" t="s">
        <v>535</v>
      </c>
      <c r="D345" s="169"/>
    </row>
    <row r="346" spans="2:4" ht="20.25" customHeight="1" x14ac:dyDescent="0.25">
      <c r="B346" s="125" t="s">
        <v>536</v>
      </c>
      <c r="D346" s="169"/>
    </row>
    <row r="347" spans="2:4" ht="20.25" customHeight="1" x14ac:dyDescent="0.25">
      <c r="B347" s="125" t="s">
        <v>537</v>
      </c>
      <c r="D347" s="169"/>
    </row>
    <row r="348" spans="2:4" ht="20.25" customHeight="1" x14ac:dyDescent="0.25">
      <c r="B348" s="136" t="s">
        <v>538</v>
      </c>
      <c r="D348" s="169"/>
    </row>
    <row r="349" spans="2:4" ht="20.25" customHeight="1" x14ac:dyDescent="0.25">
      <c r="B349" s="125" t="s">
        <v>162</v>
      </c>
      <c r="D349" s="169"/>
    </row>
    <row r="350" spans="2:4" ht="20.25" customHeight="1" x14ac:dyDescent="0.25">
      <c r="B350" s="125" t="s">
        <v>539</v>
      </c>
      <c r="D350" s="169"/>
    </row>
    <row r="351" spans="2:4" ht="20.25" customHeight="1" x14ac:dyDescent="0.25">
      <c r="B351" s="136" t="s">
        <v>540</v>
      </c>
      <c r="D351" s="169"/>
    </row>
    <row r="352" spans="2:4" ht="20.25" customHeight="1" x14ac:dyDescent="0.25">
      <c r="B352" s="125" t="s">
        <v>541</v>
      </c>
      <c r="D352" s="169"/>
    </row>
    <row r="353" spans="2:4" ht="20.25" customHeight="1" x14ac:dyDescent="0.25">
      <c r="B353" s="125" t="s">
        <v>542</v>
      </c>
      <c r="D353" s="169"/>
    </row>
    <row r="354" spans="2:4" ht="20.25" customHeight="1" x14ac:dyDescent="0.25">
      <c r="B354" s="125" t="s">
        <v>543</v>
      </c>
      <c r="D354" s="168">
        <v>45111</v>
      </c>
    </row>
    <row r="355" spans="2:4" ht="20.25" customHeight="1" x14ac:dyDescent="0.25">
      <c r="B355" s="125" t="s">
        <v>544</v>
      </c>
      <c r="D355" s="169"/>
    </row>
    <row r="356" spans="2:4" ht="20.25" customHeight="1" x14ac:dyDescent="0.25">
      <c r="B356" s="125" t="s">
        <v>545</v>
      </c>
      <c r="D356" s="153" t="s">
        <v>24</v>
      </c>
    </row>
    <row r="357" spans="2:4" ht="20.25" customHeight="1" x14ac:dyDescent="0.25">
      <c r="B357" s="125" t="s">
        <v>546</v>
      </c>
      <c r="D357" s="169"/>
    </row>
    <row r="358" spans="2:4" ht="20.25" customHeight="1" x14ac:dyDescent="0.25">
      <c r="B358" s="125" t="s">
        <v>139</v>
      </c>
      <c r="D358" s="169"/>
    </row>
    <row r="359" spans="2:4" ht="20.25" customHeight="1" x14ac:dyDescent="0.25">
      <c r="B359" s="125" t="s">
        <v>547</v>
      </c>
      <c r="D359" s="169"/>
    </row>
    <row r="360" spans="2:4" ht="20.25" customHeight="1" x14ac:dyDescent="0.25">
      <c r="B360" s="125" t="s">
        <v>548</v>
      </c>
      <c r="D360" s="169"/>
    </row>
    <row r="361" spans="2:4" ht="20.25" customHeight="1" x14ac:dyDescent="0.25">
      <c r="B361" s="125" t="s">
        <v>549</v>
      </c>
      <c r="D361" s="169"/>
    </row>
    <row r="362" spans="2:4" ht="20.25" customHeight="1" x14ac:dyDescent="0.25">
      <c r="B362" s="125" t="s">
        <v>550</v>
      </c>
      <c r="D362" s="169"/>
    </row>
    <row r="363" spans="2:4" ht="20.25" customHeight="1" x14ac:dyDescent="0.25">
      <c r="B363" s="125" t="s">
        <v>136</v>
      </c>
      <c r="D363" s="169"/>
    </row>
    <row r="364" spans="2:4" ht="20.25" customHeight="1" x14ac:dyDescent="0.25">
      <c r="B364" s="136" t="s">
        <v>283</v>
      </c>
      <c r="D364" s="169"/>
    </row>
    <row r="365" spans="2:4" ht="20.25" customHeight="1" x14ac:dyDescent="0.25">
      <c r="B365" s="125" t="s">
        <v>551</v>
      </c>
      <c r="D365" s="169"/>
    </row>
    <row r="366" spans="2:4" ht="20.25" customHeight="1" x14ac:dyDescent="0.25">
      <c r="B366" s="125" t="s">
        <v>552</v>
      </c>
      <c r="D366" s="169"/>
    </row>
    <row r="367" spans="2:4" ht="20.25" customHeight="1" x14ac:dyDescent="0.25">
      <c r="B367" s="125" t="s">
        <v>553</v>
      </c>
      <c r="D367" s="169"/>
    </row>
    <row r="368" spans="2:4" ht="20.25" customHeight="1" x14ac:dyDescent="0.25">
      <c r="B368" s="125" t="s">
        <v>554</v>
      </c>
      <c r="D368" s="169"/>
    </row>
    <row r="369" spans="2:4" ht="20.25" customHeight="1" x14ac:dyDescent="0.25">
      <c r="B369" s="125" t="s">
        <v>555</v>
      </c>
      <c r="D369" s="169"/>
    </row>
    <row r="370" spans="2:4" ht="20.25" customHeight="1" x14ac:dyDescent="0.25">
      <c r="B370" s="125" t="s">
        <v>556</v>
      </c>
      <c r="D370" s="169"/>
    </row>
    <row r="371" spans="2:4" ht="20.25" customHeight="1" x14ac:dyDescent="0.25">
      <c r="B371" s="136" t="s">
        <v>285</v>
      </c>
      <c r="D371" s="169"/>
    </row>
    <row r="372" spans="2:4" ht="20.25" customHeight="1" x14ac:dyDescent="0.25">
      <c r="B372" s="136" t="s">
        <v>557</v>
      </c>
      <c r="D372" s="169"/>
    </row>
    <row r="373" spans="2:4" ht="20.25" customHeight="1" x14ac:dyDescent="0.25">
      <c r="B373" s="125" t="s">
        <v>558</v>
      </c>
      <c r="D373" s="169"/>
    </row>
    <row r="374" spans="2:4" ht="20.25" customHeight="1" x14ac:dyDescent="0.25">
      <c r="B374" s="125" t="s">
        <v>559</v>
      </c>
      <c r="D374" s="169"/>
    </row>
    <row r="375" spans="2:4" ht="20.25" customHeight="1" x14ac:dyDescent="0.25">
      <c r="B375" s="125" t="s">
        <v>167</v>
      </c>
      <c r="D375" s="169"/>
    </row>
    <row r="376" spans="2:4" ht="20.25" customHeight="1" x14ac:dyDescent="0.25">
      <c r="B376" s="125" t="s">
        <v>560</v>
      </c>
      <c r="D376" s="169"/>
    </row>
    <row r="377" spans="2:4" ht="20.25" customHeight="1" x14ac:dyDescent="0.25">
      <c r="B377" s="125" t="s">
        <v>561</v>
      </c>
      <c r="D377" s="169"/>
    </row>
    <row r="378" spans="2:4" ht="20.25" customHeight="1" x14ac:dyDescent="0.25">
      <c r="B378" s="125" t="s">
        <v>562</v>
      </c>
      <c r="D378" s="169"/>
    </row>
    <row r="379" spans="2:4" ht="20.25" customHeight="1" x14ac:dyDescent="0.25">
      <c r="B379" s="125" t="s">
        <v>563</v>
      </c>
      <c r="D379" s="169"/>
    </row>
    <row r="380" spans="2:4" ht="20.25" customHeight="1" x14ac:dyDescent="0.25">
      <c r="B380" s="125" t="s">
        <v>564</v>
      </c>
      <c r="D380" s="169"/>
    </row>
    <row r="381" spans="2:4" ht="20.25" customHeight="1" x14ac:dyDescent="0.25">
      <c r="B381" s="136" t="s">
        <v>565</v>
      </c>
      <c r="D381" s="169"/>
    </row>
    <row r="382" spans="2:4" ht="20.25" customHeight="1" x14ac:dyDescent="0.25">
      <c r="B382" s="136" t="s">
        <v>566</v>
      </c>
      <c r="D382" s="169"/>
    </row>
    <row r="383" spans="2:4" ht="20.25" customHeight="1" x14ac:dyDescent="0.25">
      <c r="B383" s="125" t="s">
        <v>567</v>
      </c>
      <c r="D383" s="169"/>
    </row>
    <row r="384" spans="2:4" ht="20.25" customHeight="1" x14ac:dyDescent="0.25">
      <c r="B384" s="125" t="s">
        <v>166</v>
      </c>
      <c r="D384" s="165">
        <v>45148</v>
      </c>
    </row>
    <row r="385" spans="2:4" ht="20.25" customHeight="1" x14ac:dyDescent="0.25">
      <c r="B385" s="136" t="s">
        <v>568</v>
      </c>
      <c r="D385" s="170"/>
    </row>
    <row r="386" spans="2:4" ht="20.25" customHeight="1" x14ac:dyDescent="0.25">
      <c r="B386" s="125" t="s">
        <v>569</v>
      </c>
      <c r="D386" s="162"/>
    </row>
    <row r="387" spans="2:4" ht="20.25" customHeight="1" x14ac:dyDescent="0.25">
      <c r="B387" s="125" t="s">
        <v>570</v>
      </c>
      <c r="D387" s="203"/>
    </row>
    <row r="388" spans="2:4" ht="20.25" customHeight="1" x14ac:dyDescent="0.25">
      <c r="B388" s="125" t="s">
        <v>571</v>
      </c>
      <c r="D388" s="159">
        <v>44961</v>
      </c>
    </row>
    <row r="389" spans="2:4" ht="20.25" customHeight="1" x14ac:dyDescent="0.25">
      <c r="B389" s="125" t="s">
        <v>572</v>
      </c>
      <c r="D389" s="159">
        <v>44992</v>
      </c>
    </row>
    <row r="390" spans="2:4" ht="20.25" customHeight="1" x14ac:dyDescent="0.25">
      <c r="B390" s="125" t="s">
        <v>573</v>
      </c>
      <c r="D390" s="165">
        <v>45105</v>
      </c>
    </row>
    <row r="391" spans="2:4" ht="20.25" customHeight="1" x14ac:dyDescent="0.25">
      <c r="B391" s="125" t="s">
        <v>175</v>
      </c>
      <c r="D391" s="159">
        <v>44961</v>
      </c>
    </row>
    <row r="392" spans="2:4" ht="20.25" customHeight="1" x14ac:dyDescent="0.25">
      <c r="B392" s="125" t="s">
        <v>574</v>
      </c>
      <c r="D392" s="159">
        <v>44961</v>
      </c>
    </row>
    <row r="393" spans="2:4" ht="20.25" customHeight="1" x14ac:dyDescent="0.25">
      <c r="B393" s="125" t="s">
        <v>575</v>
      </c>
      <c r="D393" s="169"/>
    </row>
    <row r="394" spans="2:4" ht="20.25" customHeight="1" x14ac:dyDescent="0.25">
      <c r="B394" s="125" t="s">
        <v>576</v>
      </c>
      <c r="D394" s="159">
        <v>44992</v>
      </c>
    </row>
    <row r="395" spans="2:4" ht="20.25" customHeight="1" x14ac:dyDescent="0.25">
      <c r="B395" s="125" t="s">
        <v>577</v>
      </c>
      <c r="D395" s="159">
        <v>44961</v>
      </c>
    </row>
    <row r="396" spans="2:4" ht="20.25" customHeight="1" x14ac:dyDescent="0.25">
      <c r="B396" s="125" t="s">
        <v>578</v>
      </c>
      <c r="D396" s="159">
        <v>44961</v>
      </c>
    </row>
    <row r="397" spans="2:4" ht="20.25" customHeight="1" x14ac:dyDescent="0.25">
      <c r="B397" s="125" t="s">
        <v>287</v>
      </c>
      <c r="D397" s="159">
        <v>44961</v>
      </c>
    </row>
    <row r="398" spans="2:4" ht="20.25" customHeight="1" x14ac:dyDescent="0.25">
      <c r="B398" s="125" t="s">
        <v>289</v>
      </c>
      <c r="D398" s="159">
        <v>44961</v>
      </c>
    </row>
    <row r="399" spans="2:4" ht="20.25" customHeight="1" x14ac:dyDescent="0.25">
      <c r="B399" s="125" t="s">
        <v>291</v>
      </c>
      <c r="D399" s="169"/>
    </row>
    <row r="400" spans="2:4" ht="20.25" customHeight="1" x14ac:dyDescent="0.25">
      <c r="B400" s="125" t="s">
        <v>293</v>
      </c>
      <c r="D400" s="159">
        <v>44961</v>
      </c>
    </row>
    <row r="401" spans="2:4" ht="20.25" customHeight="1" x14ac:dyDescent="0.25">
      <c r="B401" s="125" t="s">
        <v>579</v>
      </c>
      <c r="D401" s="169"/>
    </row>
    <row r="402" spans="2:4" ht="20.25" customHeight="1" x14ac:dyDescent="0.25">
      <c r="B402" s="125" t="s">
        <v>580</v>
      </c>
      <c r="D402" s="169"/>
    </row>
    <row r="403" spans="2:4" ht="20.25" customHeight="1" x14ac:dyDescent="0.25">
      <c r="B403" s="125" t="s">
        <v>581</v>
      </c>
      <c r="D403" s="165">
        <v>45106</v>
      </c>
    </row>
    <row r="404" spans="2:4" ht="20.25" customHeight="1" x14ac:dyDescent="0.25">
      <c r="B404" s="125" t="s">
        <v>582</v>
      </c>
      <c r="D404" s="169"/>
    </row>
    <row r="405" spans="2:4" ht="20.25" customHeight="1" x14ac:dyDescent="0.25">
      <c r="B405" s="125" t="s">
        <v>583</v>
      </c>
      <c r="D405" s="165">
        <v>45105</v>
      </c>
    </row>
    <row r="406" spans="2:4" ht="20.25" customHeight="1" x14ac:dyDescent="0.25">
      <c r="B406" s="125" t="s">
        <v>584</v>
      </c>
      <c r="D406" s="165">
        <v>45148</v>
      </c>
    </row>
    <row r="407" spans="2:4" ht="20.25" customHeight="1" x14ac:dyDescent="0.25">
      <c r="B407" s="125" t="s">
        <v>179</v>
      </c>
      <c r="D407" s="169"/>
    </row>
    <row r="408" spans="2:4" ht="20.25" customHeight="1" x14ac:dyDescent="0.25">
      <c r="B408" s="125" t="s">
        <v>585</v>
      </c>
      <c r="D408" s="169"/>
    </row>
    <row r="409" spans="2:4" ht="20.25" customHeight="1" x14ac:dyDescent="0.25">
      <c r="B409" s="125" t="s">
        <v>586</v>
      </c>
      <c r="D409" s="165">
        <v>45105</v>
      </c>
    </row>
    <row r="410" spans="2:4" ht="20.25" customHeight="1" x14ac:dyDescent="0.25">
      <c r="B410" s="125" t="s">
        <v>587</v>
      </c>
      <c r="D410" s="153" t="s">
        <v>24</v>
      </c>
    </row>
    <row r="411" spans="2:4" ht="20.25" customHeight="1" x14ac:dyDescent="0.25">
      <c r="B411" s="125" t="s">
        <v>588</v>
      </c>
      <c r="D411" s="165">
        <v>45148</v>
      </c>
    </row>
    <row r="412" spans="2:4" ht="20.25" customHeight="1" x14ac:dyDescent="0.25">
      <c r="B412" s="125" t="s">
        <v>589</v>
      </c>
      <c r="D412" s="169"/>
    </row>
    <row r="413" spans="2:4" ht="20.25" customHeight="1" x14ac:dyDescent="0.25">
      <c r="B413" s="136" t="s">
        <v>295</v>
      </c>
      <c r="D413" s="203"/>
    </row>
    <row r="414" spans="2:4" ht="20.25" customHeight="1" x14ac:dyDescent="0.25">
      <c r="B414" s="125" t="s">
        <v>297</v>
      </c>
      <c r="D414" s="165">
        <v>45148</v>
      </c>
    </row>
    <row r="415" spans="2:4" ht="20.25" customHeight="1" x14ac:dyDescent="0.25">
      <c r="B415" s="125" t="s">
        <v>590</v>
      </c>
      <c r="D415" s="165">
        <v>45148</v>
      </c>
    </row>
    <row r="416" spans="2:4" ht="20.25" customHeight="1" x14ac:dyDescent="0.25">
      <c r="B416" s="125" t="s">
        <v>591</v>
      </c>
      <c r="D416" s="165">
        <v>45148</v>
      </c>
    </row>
    <row r="417" spans="2:4" ht="20.25" customHeight="1" x14ac:dyDescent="0.25">
      <c r="B417" s="125" t="s">
        <v>592</v>
      </c>
      <c r="D417" s="166"/>
    </row>
    <row r="418" spans="2:4" ht="20.25" customHeight="1" x14ac:dyDescent="0.25">
      <c r="B418" s="125" t="s">
        <v>593</v>
      </c>
      <c r="D418" s="165">
        <v>45148</v>
      </c>
    </row>
    <row r="419" spans="2:4" ht="20.25" customHeight="1" x14ac:dyDescent="0.25">
      <c r="B419" s="125" t="s">
        <v>594</v>
      </c>
      <c r="D419" s="165">
        <v>45148</v>
      </c>
    </row>
    <row r="420" spans="2:4" ht="20.25" customHeight="1" x14ac:dyDescent="0.25">
      <c r="B420" s="125" t="s">
        <v>183</v>
      </c>
      <c r="D420" s="165">
        <v>45148</v>
      </c>
    </row>
    <row r="421" spans="2:4" ht="20.25" customHeight="1" x14ac:dyDescent="0.25">
      <c r="B421" s="125" t="s">
        <v>595</v>
      </c>
      <c r="D421" s="165">
        <v>45105</v>
      </c>
    </row>
    <row r="422" spans="2:4" ht="20.25" customHeight="1" x14ac:dyDescent="0.25">
      <c r="B422" s="125" t="s">
        <v>596</v>
      </c>
      <c r="D422" s="159">
        <v>44961</v>
      </c>
    </row>
    <row r="423" spans="2:4" ht="20.25" customHeight="1" x14ac:dyDescent="0.25">
      <c r="B423" s="125" t="s">
        <v>597</v>
      </c>
      <c r="D423" s="159">
        <v>44961</v>
      </c>
    </row>
    <row r="424" spans="2:4" ht="20.25" customHeight="1" x14ac:dyDescent="0.25">
      <c r="B424" s="125" t="s">
        <v>598</v>
      </c>
      <c r="D424" s="159">
        <v>44992</v>
      </c>
    </row>
    <row r="425" spans="2:4" ht="20.25" customHeight="1" x14ac:dyDescent="0.25">
      <c r="B425" s="125" t="s">
        <v>599</v>
      </c>
      <c r="D425" s="159">
        <v>44992</v>
      </c>
    </row>
    <row r="426" spans="2:4" ht="20.25" customHeight="1" x14ac:dyDescent="0.25">
      <c r="B426" s="125" t="s">
        <v>600</v>
      </c>
      <c r="D426" s="169"/>
    </row>
    <row r="427" spans="2:4" ht="20.25" customHeight="1" x14ac:dyDescent="0.25">
      <c r="B427" s="125" t="s">
        <v>601</v>
      </c>
      <c r="D427" s="169"/>
    </row>
    <row r="428" spans="2:4" ht="20.25" customHeight="1" x14ac:dyDescent="0.25">
      <c r="B428" s="136" t="s">
        <v>602</v>
      </c>
      <c r="D428" s="169"/>
    </row>
    <row r="429" spans="2:4" ht="20.25" customHeight="1" x14ac:dyDescent="0.25">
      <c r="B429" s="136" t="s">
        <v>603</v>
      </c>
      <c r="D429" s="165">
        <v>45105</v>
      </c>
    </row>
    <row r="430" spans="2:4" ht="20.25" customHeight="1" x14ac:dyDescent="0.25">
      <c r="B430" s="125" t="s">
        <v>604</v>
      </c>
      <c r="D430" s="159">
        <v>44961</v>
      </c>
    </row>
    <row r="431" spans="2:4" ht="20.25" customHeight="1" x14ac:dyDescent="0.25">
      <c r="B431" s="125" t="s">
        <v>605</v>
      </c>
      <c r="D431" s="159">
        <v>44961</v>
      </c>
    </row>
    <row r="432" spans="2:4" ht="20.25" customHeight="1" x14ac:dyDescent="0.25">
      <c r="B432" s="125" t="s">
        <v>606</v>
      </c>
      <c r="D432" s="165">
        <v>45105</v>
      </c>
    </row>
    <row r="433" spans="2:4" ht="20.25" customHeight="1" x14ac:dyDescent="0.25">
      <c r="B433" s="125" t="s">
        <v>607</v>
      </c>
      <c r="D433" s="159">
        <v>44961</v>
      </c>
    </row>
    <row r="434" spans="2:4" ht="20.25" customHeight="1" x14ac:dyDescent="0.25">
      <c r="B434" s="125" t="s">
        <v>608</v>
      </c>
      <c r="D434" s="165">
        <v>45105</v>
      </c>
    </row>
    <row r="435" spans="2:4" ht="20.25" customHeight="1" x14ac:dyDescent="0.25">
      <c r="B435" s="125" t="s">
        <v>609</v>
      </c>
      <c r="D435" s="159">
        <v>44961</v>
      </c>
    </row>
    <row r="436" spans="2:4" ht="20.25" customHeight="1" x14ac:dyDescent="0.25">
      <c r="B436" s="125" t="s">
        <v>610</v>
      </c>
      <c r="D436" s="169"/>
    </row>
    <row r="437" spans="2:4" ht="20.25" customHeight="1" x14ac:dyDescent="0.25">
      <c r="B437" s="125" t="s">
        <v>611</v>
      </c>
      <c r="D437" s="169"/>
    </row>
    <row r="438" spans="2:4" ht="20.25" customHeight="1" x14ac:dyDescent="0.25">
      <c r="B438" s="125" t="s">
        <v>299</v>
      </c>
      <c r="D438" s="159">
        <v>44992</v>
      </c>
    </row>
    <row r="439" spans="2:4" ht="20.25" customHeight="1" x14ac:dyDescent="0.25">
      <c r="B439" s="125" t="s">
        <v>612</v>
      </c>
      <c r="D439" s="169"/>
    </row>
    <row r="440" spans="2:4" ht="20.25" customHeight="1" x14ac:dyDescent="0.25">
      <c r="B440" s="125" t="s">
        <v>613</v>
      </c>
      <c r="D440" s="169"/>
    </row>
    <row r="441" spans="2:4" ht="20.25" customHeight="1" x14ac:dyDescent="0.25">
      <c r="B441" s="125" t="s">
        <v>614</v>
      </c>
      <c r="D441" s="165">
        <v>45148</v>
      </c>
    </row>
    <row r="442" spans="2:4" ht="20.25" customHeight="1" x14ac:dyDescent="0.25">
      <c r="B442" s="125" t="s">
        <v>615</v>
      </c>
      <c r="D442" s="159">
        <v>44889</v>
      </c>
    </row>
    <row r="443" spans="2:4" ht="20.25" customHeight="1" x14ac:dyDescent="0.25">
      <c r="B443" s="125" t="s">
        <v>616</v>
      </c>
      <c r="D443" s="159">
        <v>44889</v>
      </c>
    </row>
    <row r="444" spans="2:4" ht="20.25" customHeight="1" x14ac:dyDescent="0.25">
      <c r="B444" s="125" t="s">
        <v>617</v>
      </c>
      <c r="D444" s="159">
        <v>44992</v>
      </c>
    </row>
    <row r="445" spans="2:4" ht="20.25" customHeight="1" x14ac:dyDescent="0.25">
      <c r="B445" s="125" t="s">
        <v>618</v>
      </c>
      <c r="D445" s="168">
        <v>45111</v>
      </c>
    </row>
    <row r="446" spans="2:4" ht="20.25" customHeight="1" x14ac:dyDescent="0.25">
      <c r="B446" s="125" t="s">
        <v>619</v>
      </c>
      <c r="D446" s="153" t="s">
        <v>24</v>
      </c>
    </row>
    <row r="447" spans="2:4" ht="20.25" customHeight="1" x14ac:dyDescent="0.25">
      <c r="B447" s="125" t="s">
        <v>186</v>
      </c>
      <c r="D447" s="153" t="s">
        <v>24</v>
      </c>
    </row>
    <row r="448" spans="2:4" ht="20.25" customHeight="1" x14ac:dyDescent="0.25">
      <c r="B448" s="125" t="s">
        <v>620</v>
      </c>
      <c r="D448" s="153" t="s">
        <v>24</v>
      </c>
    </row>
    <row r="449" spans="2:4" ht="20.25" customHeight="1" x14ac:dyDescent="0.25">
      <c r="B449" s="125" t="s">
        <v>621</v>
      </c>
      <c r="D449" s="169"/>
    </row>
    <row r="450" spans="2:4" ht="20.25" customHeight="1" x14ac:dyDescent="0.25">
      <c r="B450" s="125" t="s">
        <v>622</v>
      </c>
      <c r="D450" s="169"/>
    </row>
    <row r="451" spans="2:4" ht="20.25" customHeight="1" x14ac:dyDescent="0.25">
      <c r="B451" s="125" t="s">
        <v>623</v>
      </c>
      <c r="D451" s="169"/>
    </row>
    <row r="452" spans="2:4" ht="20.25" customHeight="1" x14ac:dyDescent="0.25">
      <c r="B452" s="125" t="s">
        <v>624</v>
      </c>
      <c r="D452" s="169"/>
    </row>
    <row r="453" spans="2:4" ht="20.25" customHeight="1" x14ac:dyDescent="0.25">
      <c r="B453" s="125" t="s">
        <v>168</v>
      </c>
      <c r="D453" s="159">
        <v>44816</v>
      </c>
    </row>
    <row r="454" spans="2:4" ht="20.25" customHeight="1" x14ac:dyDescent="0.25">
      <c r="B454" s="125" t="s">
        <v>625</v>
      </c>
      <c r="D454" s="159">
        <v>44910</v>
      </c>
    </row>
    <row r="455" spans="2:4" ht="20.25" customHeight="1" x14ac:dyDescent="0.25">
      <c r="B455" s="125" t="s">
        <v>626</v>
      </c>
      <c r="D455" s="159">
        <v>44816</v>
      </c>
    </row>
    <row r="456" spans="2:4" ht="20.25" customHeight="1" x14ac:dyDescent="0.25">
      <c r="B456" s="125" t="s">
        <v>627</v>
      </c>
      <c r="D456" s="153" t="s">
        <v>24</v>
      </c>
    </row>
    <row r="457" spans="2:4" ht="20.25" customHeight="1" x14ac:dyDescent="0.25">
      <c r="B457" s="125" t="s">
        <v>628</v>
      </c>
      <c r="D457" s="159">
        <v>44923</v>
      </c>
    </row>
    <row r="458" spans="2:4" ht="20.25" customHeight="1" x14ac:dyDescent="0.25">
      <c r="B458" s="125" t="s">
        <v>192</v>
      </c>
      <c r="D458" s="153"/>
    </row>
    <row r="459" spans="2:4" ht="20.25" customHeight="1" x14ac:dyDescent="0.25">
      <c r="B459" s="125" t="s">
        <v>629</v>
      </c>
      <c r="D459" s="159">
        <v>45013</v>
      </c>
    </row>
    <row r="460" spans="2:4" ht="20.25" customHeight="1" x14ac:dyDescent="0.25">
      <c r="B460" s="125" t="s">
        <v>630</v>
      </c>
      <c r="D460" s="159">
        <v>44923</v>
      </c>
    </row>
    <row r="461" spans="2:4" ht="20.25" customHeight="1" x14ac:dyDescent="0.25">
      <c r="B461" s="125" t="s">
        <v>194</v>
      </c>
      <c r="D461" s="159">
        <v>44923</v>
      </c>
    </row>
    <row r="462" spans="2:4" ht="20.25" customHeight="1" x14ac:dyDescent="0.25">
      <c r="B462" s="125" t="s">
        <v>195</v>
      </c>
      <c r="D462" s="159">
        <v>44816</v>
      </c>
    </row>
    <row r="463" spans="2:4" ht="20.25" customHeight="1" x14ac:dyDescent="0.25">
      <c r="B463" s="125" t="s">
        <v>301</v>
      </c>
      <c r="D463" s="153" t="s">
        <v>24</v>
      </c>
    </row>
    <row r="464" spans="2:4" ht="20.25" customHeight="1" x14ac:dyDescent="0.25">
      <c r="B464" s="125" t="s">
        <v>631</v>
      </c>
      <c r="D464" s="153" t="s">
        <v>24</v>
      </c>
    </row>
    <row r="465" spans="2:4" ht="20.25" customHeight="1" x14ac:dyDescent="0.25">
      <c r="B465" s="125" t="s">
        <v>160</v>
      </c>
      <c r="D465" s="159">
        <v>44816</v>
      </c>
    </row>
    <row r="466" spans="2:4" ht="20.25" customHeight="1" x14ac:dyDescent="0.25">
      <c r="B466" s="125" t="s">
        <v>632</v>
      </c>
      <c r="D466" s="159">
        <v>44816</v>
      </c>
    </row>
    <row r="467" spans="2:4" ht="20.25" customHeight="1" x14ac:dyDescent="0.25">
      <c r="B467" s="125" t="s">
        <v>180</v>
      </c>
      <c r="D467" s="159">
        <v>44816</v>
      </c>
    </row>
    <row r="468" spans="2:4" ht="20.25" customHeight="1" x14ac:dyDescent="0.25">
      <c r="B468" s="125" t="s">
        <v>633</v>
      </c>
      <c r="D468" s="153" t="s">
        <v>24</v>
      </c>
    </row>
    <row r="469" spans="2:4" ht="20.25" customHeight="1" x14ac:dyDescent="0.25">
      <c r="B469" s="125" t="s">
        <v>634</v>
      </c>
      <c r="D469" s="179">
        <v>45034</v>
      </c>
    </row>
    <row r="470" spans="2:4" ht="20.25" customHeight="1" x14ac:dyDescent="0.25">
      <c r="B470" s="125" t="s">
        <v>635</v>
      </c>
      <c r="D470" s="159">
        <v>44992</v>
      </c>
    </row>
    <row r="471" spans="2:4" ht="20.25" customHeight="1" x14ac:dyDescent="0.25">
      <c r="B471" s="125" t="s">
        <v>636</v>
      </c>
      <c r="D471" s="159">
        <v>44992</v>
      </c>
    </row>
    <row r="472" spans="2:4" ht="20.25" customHeight="1" x14ac:dyDescent="0.25">
      <c r="B472" s="125" t="s">
        <v>197</v>
      </c>
      <c r="D472" s="179">
        <v>45034</v>
      </c>
    </row>
    <row r="473" spans="2:4" ht="20.25" customHeight="1" x14ac:dyDescent="0.25">
      <c r="B473" s="125" t="s">
        <v>637</v>
      </c>
      <c r="D473" s="153" t="s">
        <v>24</v>
      </c>
    </row>
    <row r="474" spans="2:4" ht="20.25" customHeight="1" x14ac:dyDescent="0.25">
      <c r="B474" s="125" t="s">
        <v>638</v>
      </c>
      <c r="D474" s="153" t="s">
        <v>24</v>
      </c>
    </row>
    <row r="475" spans="2:4" ht="20.25" customHeight="1" x14ac:dyDescent="0.25">
      <c r="B475" s="125" t="s">
        <v>172</v>
      </c>
      <c r="D475" s="153" t="s">
        <v>24</v>
      </c>
    </row>
    <row r="476" spans="2:4" ht="20.25" customHeight="1" x14ac:dyDescent="0.25">
      <c r="B476" s="125" t="s">
        <v>199</v>
      </c>
      <c r="D476" s="159">
        <v>44862</v>
      </c>
    </row>
    <row r="477" spans="2:4" ht="20.25" customHeight="1" x14ac:dyDescent="0.25">
      <c r="B477" s="136" t="s">
        <v>154</v>
      </c>
      <c r="D477" s="153" t="s">
        <v>24</v>
      </c>
    </row>
    <row r="478" spans="2:4" ht="20.25" customHeight="1" x14ac:dyDescent="0.25">
      <c r="B478" s="125" t="s">
        <v>639</v>
      </c>
      <c r="D478" s="159">
        <v>44862</v>
      </c>
    </row>
    <row r="479" spans="2:4" ht="20.25" customHeight="1" x14ac:dyDescent="0.25">
      <c r="B479" s="125" t="s">
        <v>193</v>
      </c>
      <c r="D479" s="179">
        <v>45040</v>
      </c>
    </row>
    <row r="480" spans="2:4" ht="20.25" customHeight="1" x14ac:dyDescent="0.25">
      <c r="B480" s="125" t="s">
        <v>187</v>
      </c>
      <c r="D480" s="153" t="s">
        <v>24</v>
      </c>
    </row>
    <row r="481" spans="2:4" ht="20.25" customHeight="1" x14ac:dyDescent="0.25">
      <c r="B481" s="125" t="s">
        <v>640</v>
      </c>
      <c r="D481" s="153" t="s">
        <v>24</v>
      </c>
    </row>
    <row r="482" spans="2:4" ht="20.25" customHeight="1" x14ac:dyDescent="0.25">
      <c r="B482" s="125" t="s">
        <v>641</v>
      </c>
      <c r="D482" s="153" t="s">
        <v>24</v>
      </c>
    </row>
    <row r="483" spans="2:4" ht="20.25" customHeight="1" x14ac:dyDescent="0.25">
      <c r="B483" s="125" t="s">
        <v>642</v>
      </c>
      <c r="D483" s="153" t="s">
        <v>24</v>
      </c>
    </row>
    <row r="484" spans="2:4" ht="20.25" customHeight="1" x14ac:dyDescent="0.25">
      <c r="B484" s="125" t="s">
        <v>643</v>
      </c>
      <c r="D484" s="159">
        <v>44910</v>
      </c>
    </row>
    <row r="485" spans="2:4" ht="20.25" customHeight="1" x14ac:dyDescent="0.25">
      <c r="B485" s="125" t="s">
        <v>141</v>
      </c>
      <c r="D485" s="179">
        <v>45034</v>
      </c>
    </row>
    <row r="486" spans="2:4" ht="20.25" customHeight="1" x14ac:dyDescent="0.25">
      <c r="B486" s="125" t="s">
        <v>644</v>
      </c>
      <c r="D486" s="159">
        <v>44923</v>
      </c>
    </row>
    <row r="487" spans="2:4" ht="20.25" customHeight="1" x14ac:dyDescent="0.25">
      <c r="B487" s="125" t="s">
        <v>201</v>
      </c>
      <c r="D487" s="159">
        <v>44816</v>
      </c>
    </row>
    <row r="488" spans="2:4" ht="20.25" customHeight="1" x14ac:dyDescent="0.25">
      <c r="B488" s="125" t="s">
        <v>203</v>
      </c>
      <c r="D488" s="159">
        <v>44925</v>
      </c>
    </row>
    <row r="489" spans="2:4" ht="20.25" customHeight="1" x14ac:dyDescent="0.25">
      <c r="B489" s="125" t="s">
        <v>645</v>
      </c>
      <c r="D489" s="159">
        <v>44816</v>
      </c>
    </row>
    <row r="490" spans="2:4" ht="20.25" customHeight="1" x14ac:dyDescent="0.25">
      <c r="B490" s="125" t="s">
        <v>646</v>
      </c>
      <c r="D490" s="159">
        <v>44816</v>
      </c>
    </row>
    <row r="491" spans="2:4" ht="20.25" customHeight="1" x14ac:dyDescent="0.25">
      <c r="B491" s="125" t="s">
        <v>647</v>
      </c>
      <c r="D491" s="159">
        <v>44816</v>
      </c>
    </row>
    <row r="492" spans="2:4" ht="20.25" customHeight="1" x14ac:dyDescent="0.25">
      <c r="B492" s="125" t="s">
        <v>648</v>
      </c>
      <c r="D492" s="165">
        <v>45065</v>
      </c>
    </row>
    <row r="493" spans="2:4" ht="20.25" customHeight="1" x14ac:dyDescent="0.25">
      <c r="B493" s="125" t="s">
        <v>649</v>
      </c>
      <c r="D493" s="165">
        <v>45148</v>
      </c>
    </row>
    <row r="494" spans="2:4" ht="20.25" customHeight="1" x14ac:dyDescent="0.25">
      <c r="B494" s="125" t="s">
        <v>650</v>
      </c>
      <c r="D494" s="159">
        <v>44922</v>
      </c>
    </row>
    <row r="495" spans="2:4" ht="20.25" customHeight="1" x14ac:dyDescent="0.25">
      <c r="B495" s="125" t="s">
        <v>651</v>
      </c>
      <c r="D495" s="159">
        <v>44910</v>
      </c>
    </row>
    <row r="496" spans="2:4" ht="20.25" customHeight="1" x14ac:dyDescent="0.25">
      <c r="B496" s="125" t="s">
        <v>652</v>
      </c>
      <c r="D496" s="159">
        <v>44816</v>
      </c>
    </row>
    <row r="497" spans="2:4" ht="20.25" customHeight="1" x14ac:dyDescent="0.25">
      <c r="B497" s="125" t="s">
        <v>653</v>
      </c>
      <c r="D497" s="159">
        <v>44816</v>
      </c>
    </row>
    <row r="498" spans="2:4" ht="20.25" customHeight="1" x14ac:dyDescent="0.25">
      <c r="B498" s="125" t="s">
        <v>654</v>
      </c>
      <c r="D498" s="159">
        <v>44816</v>
      </c>
    </row>
    <row r="499" spans="2:4" ht="20.25" customHeight="1" x14ac:dyDescent="0.25">
      <c r="B499" s="125" t="s">
        <v>655</v>
      </c>
      <c r="D499" s="159">
        <v>44816</v>
      </c>
    </row>
    <row r="500" spans="2:4" ht="20.25" customHeight="1" x14ac:dyDescent="0.25">
      <c r="B500" s="125" t="s">
        <v>656</v>
      </c>
      <c r="D500" s="159">
        <v>44923</v>
      </c>
    </row>
    <row r="501" spans="2:4" ht="20.25" customHeight="1" x14ac:dyDescent="0.25">
      <c r="B501" s="125" t="s">
        <v>657</v>
      </c>
      <c r="D501" s="169"/>
    </row>
    <row r="502" spans="2:4" ht="20.25" customHeight="1" x14ac:dyDescent="0.25">
      <c r="B502" s="125" t="s">
        <v>658</v>
      </c>
      <c r="D502" s="210" t="s">
        <v>24</v>
      </c>
    </row>
    <row r="503" spans="2:4" ht="20.25" customHeight="1" x14ac:dyDescent="0.25">
      <c r="B503" s="125" t="s">
        <v>659</v>
      </c>
      <c r="D503" s="210" t="s">
        <v>24</v>
      </c>
    </row>
    <row r="504" spans="2:4" ht="20.25" customHeight="1" x14ac:dyDescent="0.25">
      <c r="B504" s="125" t="s">
        <v>660</v>
      </c>
      <c r="D504" s="179">
        <v>45013</v>
      </c>
    </row>
    <row r="505" spans="2:4" ht="20.25" customHeight="1" x14ac:dyDescent="0.25">
      <c r="B505" s="125" t="s">
        <v>661</v>
      </c>
      <c r="D505" s="159">
        <v>44889</v>
      </c>
    </row>
    <row r="506" spans="2:4" ht="20.25" customHeight="1" x14ac:dyDescent="0.25">
      <c r="B506" s="125" t="s">
        <v>662</v>
      </c>
      <c r="D506" s="161"/>
    </row>
    <row r="507" spans="2:4" ht="20.25" customHeight="1" x14ac:dyDescent="0.25">
      <c r="B507" s="125" t="s">
        <v>663</v>
      </c>
      <c r="D507" s="159">
        <v>44877</v>
      </c>
    </row>
    <row r="508" spans="2:4" ht="20.25" customHeight="1" x14ac:dyDescent="0.25">
      <c r="B508" s="125" t="s">
        <v>664</v>
      </c>
      <c r="D508" s="153" t="s">
        <v>24</v>
      </c>
    </row>
    <row r="509" spans="2:4" ht="20.25" customHeight="1" x14ac:dyDescent="0.25">
      <c r="B509" s="125" t="s">
        <v>665</v>
      </c>
      <c r="D509" s="153" t="s">
        <v>24</v>
      </c>
    </row>
    <row r="510" spans="2:4" ht="20.25" customHeight="1" x14ac:dyDescent="0.25">
      <c r="B510" s="125" t="s">
        <v>666</v>
      </c>
      <c r="D510" s="153" t="s">
        <v>24</v>
      </c>
    </row>
    <row r="511" spans="2:4" ht="20.25" customHeight="1" x14ac:dyDescent="0.25">
      <c r="B511" s="125" t="s">
        <v>667</v>
      </c>
      <c r="D511" s="153" t="s">
        <v>24</v>
      </c>
    </row>
    <row r="512" spans="2:4" ht="20.25" customHeight="1" x14ac:dyDescent="0.25">
      <c r="B512" s="125" t="s">
        <v>668</v>
      </c>
      <c r="D512" s="159">
        <v>44889</v>
      </c>
    </row>
    <row r="513" spans="2:4" ht="20.25" customHeight="1" x14ac:dyDescent="0.25">
      <c r="B513" s="125" t="s">
        <v>669</v>
      </c>
      <c r="D513" s="159">
        <v>44862</v>
      </c>
    </row>
    <row r="514" spans="2:4" ht="20.25" customHeight="1" x14ac:dyDescent="0.25">
      <c r="B514" s="125" t="s">
        <v>670</v>
      </c>
      <c r="D514" s="159">
        <v>44869</v>
      </c>
    </row>
    <row r="515" spans="2:4" ht="20.25" customHeight="1" x14ac:dyDescent="0.25">
      <c r="B515" s="125" t="s">
        <v>671</v>
      </c>
      <c r="D515" s="153" t="s">
        <v>24</v>
      </c>
    </row>
    <row r="516" spans="2:4" ht="20.25" customHeight="1" x14ac:dyDescent="0.25">
      <c r="B516" s="125" t="s">
        <v>672</v>
      </c>
      <c r="D516" s="153" t="s">
        <v>24</v>
      </c>
    </row>
    <row r="517" spans="2:4" ht="20.25" customHeight="1" x14ac:dyDescent="0.25">
      <c r="B517" s="125" t="s">
        <v>673</v>
      </c>
      <c r="D517" s="153" t="s">
        <v>24</v>
      </c>
    </row>
    <row r="518" spans="2:4" ht="20.25" customHeight="1" x14ac:dyDescent="0.25">
      <c r="B518" s="125" t="s">
        <v>204</v>
      </c>
      <c r="D518" s="179">
        <v>45014</v>
      </c>
    </row>
    <row r="519" spans="2:4" ht="20.25" customHeight="1" x14ac:dyDescent="0.25">
      <c r="B519" s="125" t="s">
        <v>165</v>
      </c>
      <c r="D519" s="165">
        <v>45065</v>
      </c>
    </row>
    <row r="520" spans="2:4" ht="20.25" customHeight="1" x14ac:dyDescent="0.25">
      <c r="B520" s="125" t="s">
        <v>674</v>
      </c>
      <c r="D520" s="159">
        <v>45056</v>
      </c>
    </row>
    <row r="521" spans="2:4" ht="20.25" customHeight="1" x14ac:dyDescent="0.25">
      <c r="B521" s="125" t="s">
        <v>675</v>
      </c>
      <c r="D521" s="165">
        <v>45049</v>
      </c>
    </row>
    <row r="522" spans="2:4" ht="20.25" customHeight="1" x14ac:dyDescent="0.25">
      <c r="B522" s="125" t="s">
        <v>676</v>
      </c>
      <c r="D522" s="159">
        <v>45056</v>
      </c>
    </row>
    <row r="523" spans="2:4" ht="20.25" customHeight="1" x14ac:dyDescent="0.25">
      <c r="B523" s="125" t="s">
        <v>207</v>
      </c>
      <c r="D523" s="153" t="s">
        <v>24</v>
      </c>
    </row>
    <row r="524" spans="2:4" ht="20.25" customHeight="1" x14ac:dyDescent="0.25">
      <c r="B524" s="125" t="s">
        <v>677</v>
      </c>
      <c r="D524" s="159">
        <v>44862</v>
      </c>
    </row>
    <row r="525" spans="2:4" ht="20.25" customHeight="1" x14ac:dyDescent="0.25">
      <c r="B525" s="125" t="s">
        <v>678</v>
      </c>
      <c r="D525" s="159">
        <v>44910</v>
      </c>
    </row>
    <row r="526" spans="2:4" ht="20.25" customHeight="1" x14ac:dyDescent="0.25">
      <c r="B526" s="125" t="s">
        <v>679</v>
      </c>
      <c r="D526" s="153" t="s">
        <v>24</v>
      </c>
    </row>
    <row r="527" spans="2:4" ht="20.25" customHeight="1" x14ac:dyDescent="0.25">
      <c r="B527" s="125" t="s">
        <v>680</v>
      </c>
      <c r="D527" s="153" t="s">
        <v>24</v>
      </c>
    </row>
    <row r="528" spans="2:4" ht="20.25" customHeight="1" x14ac:dyDescent="0.25">
      <c r="B528" s="125" t="s">
        <v>681</v>
      </c>
      <c r="D528" s="159">
        <v>44890</v>
      </c>
    </row>
    <row r="529" spans="2:4" ht="20.25" customHeight="1" x14ac:dyDescent="0.25">
      <c r="B529" s="125" t="s">
        <v>303</v>
      </c>
      <c r="D529" s="159">
        <v>44869</v>
      </c>
    </row>
    <row r="530" spans="2:4" ht="20.25" customHeight="1" x14ac:dyDescent="0.25">
      <c r="B530" s="125" t="s">
        <v>682</v>
      </c>
      <c r="D530" s="159">
        <v>44867</v>
      </c>
    </row>
    <row r="531" spans="2:4" ht="20.25" customHeight="1" x14ac:dyDescent="0.25">
      <c r="B531" s="125" t="s">
        <v>683</v>
      </c>
      <c r="D531" s="153" t="s">
        <v>24</v>
      </c>
    </row>
    <row r="532" spans="2:4" ht="20.25" customHeight="1" x14ac:dyDescent="0.25">
      <c r="B532" s="125" t="s">
        <v>210</v>
      </c>
      <c r="D532" s="153" t="s">
        <v>24</v>
      </c>
    </row>
    <row r="533" spans="2:4" ht="20.25" customHeight="1" x14ac:dyDescent="0.25">
      <c r="B533" s="136" t="s">
        <v>684</v>
      </c>
      <c r="D533" s="153" t="s">
        <v>24</v>
      </c>
    </row>
    <row r="534" spans="2:4" ht="20.25" customHeight="1" x14ac:dyDescent="0.25">
      <c r="B534" s="125" t="s">
        <v>685</v>
      </c>
      <c r="D534" s="165">
        <v>45049</v>
      </c>
    </row>
    <row r="535" spans="2:4" ht="20.25" customHeight="1" x14ac:dyDescent="0.25">
      <c r="B535" s="125" t="s">
        <v>686</v>
      </c>
      <c r="D535" s="159">
        <v>44923</v>
      </c>
    </row>
    <row r="536" spans="2:4" ht="20.25" customHeight="1" x14ac:dyDescent="0.25">
      <c r="B536" s="125" t="s">
        <v>687</v>
      </c>
      <c r="D536" s="153" t="s">
        <v>24</v>
      </c>
    </row>
    <row r="537" spans="2:4" ht="20.25" customHeight="1" x14ac:dyDescent="0.25">
      <c r="B537" s="125" t="s">
        <v>213</v>
      </c>
      <c r="D537" s="159">
        <v>44877</v>
      </c>
    </row>
    <row r="538" spans="2:4" ht="20.25" customHeight="1" x14ac:dyDescent="0.25">
      <c r="B538" s="125" t="s">
        <v>688</v>
      </c>
      <c r="D538" s="159">
        <v>44862</v>
      </c>
    </row>
    <row r="539" spans="2:4" ht="20.25" customHeight="1" x14ac:dyDescent="0.25">
      <c r="B539" s="136" t="s">
        <v>689</v>
      </c>
      <c r="D539" s="159">
        <v>44862</v>
      </c>
    </row>
    <row r="540" spans="2:4" ht="20.25" customHeight="1" x14ac:dyDescent="0.25">
      <c r="B540" s="125" t="s">
        <v>690</v>
      </c>
      <c r="D540" s="153" t="s">
        <v>24</v>
      </c>
    </row>
    <row r="541" spans="2:4" ht="20.25" customHeight="1" x14ac:dyDescent="0.25">
      <c r="B541" s="125" t="s">
        <v>691</v>
      </c>
      <c r="D541" s="159">
        <v>44889</v>
      </c>
    </row>
    <row r="542" spans="2:4" ht="20.25" customHeight="1" x14ac:dyDescent="0.25">
      <c r="B542" s="125" t="s">
        <v>217</v>
      </c>
      <c r="D542" s="153" t="s">
        <v>24</v>
      </c>
    </row>
    <row r="543" spans="2:4" ht="20.25" customHeight="1" x14ac:dyDescent="0.25">
      <c r="B543" s="125" t="s">
        <v>692</v>
      </c>
      <c r="D543" s="153" t="s">
        <v>24</v>
      </c>
    </row>
    <row r="544" spans="2:4" ht="20.25" customHeight="1" x14ac:dyDescent="0.25">
      <c r="B544" s="125" t="s">
        <v>693</v>
      </c>
      <c r="D544" s="153" t="s">
        <v>24</v>
      </c>
    </row>
    <row r="545" spans="2:4" ht="20.25" customHeight="1" x14ac:dyDescent="0.25">
      <c r="B545" s="125" t="s">
        <v>694</v>
      </c>
      <c r="D545" s="159">
        <v>44862</v>
      </c>
    </row>
    <row r="546" spans="2:4" ht="20.25" customHeight="1" x14ac:dyDescent="0.25">
      <c r="B546" s="125" t="s">
        <v>695</v>
      </c>
      <c r="D546" s="159">
        <v>44862</v>
      </c>
    </row>
    <row r="547" spans="2:4" ht="20.25" customHeight="1" x14ac:dyDescent="0.25">
      <c r="B547" s="125" t="s">
        <v>696</v>
      </c>
      <c r="D547" s="159">
        <v>44889</v>
      </c>
    </row>
    <row r="548" spans="2:4" ht="20.25" customHeight="1" x14ac:dyDescent="0.25">
      <c r="B548" s="125" t="s">
        <v>305</v>
      </c>
      <c r="D548" s="159">
        <v>44869</v>
      </c>
    </row>
    <row r="549" spans="2:4" ht="20.25" customHeight="1" x14ac:dyDescent="0.25">
      <c r="B549" s="125" t="s">
        <v>697</v>
      </c>
      <c r="D549" s="167">
        <v>45013</v>
      </c>
    </row>
    <row r="550" spans="2:4" ht="20.25" customHeight="1" x14ac:dyDescent="0.25">
      <c r="B550" s="125" t="s">
        <v>698</v>
      </c>
      <c r="D550" s="167">
        <v>45013</v>
      </c>
    </row>
    <row r="551" spans="2:4" ht="20.25" customHeight="1" x14ac:dyDescent="0.25">
      <c r="B551" s="125" t="s">
        <v>699</v>
      </c>
      <c r="D551" s="159">
        <v>44816</v>
      </c>
    </row>
    <row r="552" spans="2:4" ht="20.25" customHeight="1" x14ac:dyDescent="0.25">
      <c r="B552" s="125" t="s">
        <v>700</v>
      </c>
      <c r="D552" s="153" t="s">
        <v>24</v>
      </c>
    </row>
    <row r="553" spans="2:4" ht="20.25" customHeight="1" x14ac:dyDescent="0.25">
      <c r="B553" s="125" t="s">
        <v>701</v>
      </c>
      <c r="D553" s="153" t="s">
        <v>24</v>
      </c>
    </row>
    <row r="554" spans="2:4" ht="20.25" customHeight="1" x14ac:dyDescent="0.25">
      <c r="B554" s="125" t="s">
        <v>702</v>
      </c>
      <c r="D554" s="153" t="s">
        <v>24</v>
      </c>
    </row>
    <row r="555" spans="2:4" ht="20.25" customHeight="1" x14ac:dyDescent="0.25">
      <c r="B555" s="125" t="s">
        <v>703</v>
      </c>
      <c r="D555" s="153" t="s">
        <v>24</v>
      </c>
    </row>
    <row r="556" spans="2:4" ht="20.25" customHeight="1" x14ac:dyDescent="0.25">
      <c r="B556" s="125" t="s">
        <v>307</v>
      </c>
      <c r="D556" s="153" t="s">
        <v>24</v>
      </c>
    </row>
    <row r="557" spans="2:4" ht="20.25" customHeight="1" x14ac:dyDescent="0.25">
      <c r="B557" s="125" t="s">
        <v>309</v>
      </c>
      <c r="D557" s="153" t="s">
        <v>24</v>
      </c>
    </row>
    <row r="558" spans="2:4" ht="20.25" customHeight="1" x14ac:dyDescent="0.25">
      <c r="B558" s="125" t="s">
        <v>704</v>
      </c>
      <c r="D558" s="153" t="s">
        <v>24</v>
      </c>
    </row>
    <row r="559" spans="2:4" ht="20.25" customHeight="1" x14ac:dyDescent="0.25">
      <c r="B559" s="125" t="s">
        <v>705</v>
      </c>
      <c r="D559" s="153" t="s">
        <v>24</v>
      </c>
    </row>
    <row r="560" spans="2:4" ht="20.25" customHeight="1" x14ac:dyDescent="0.25">
      <c r="B560" s="125" t="s">
        <v>706</v>
      </c>
      <c r="D560" s="159">
        <v>44869</v>
      </c>
    </row>
    <row r="561" spans="2:4" ht="20.25" customHeight="1" x14ac:dyDescent="0.25">
      <c r="B561" s="125" t="s">
        <v>707</v>
      </c>
      <c r="D561" s="159">
        <v>44862</v>
      </c>
    </row>
    <row r="562" spans="2:4" ht="20.25" customHeight="1" x14ac:dyDescent="0.25">
      <c r="B562" s="125" t="s">
        <v>311</v>
      </c>
      <c r="D562" s="159">
        <v>44869</v>
      </c>
    </row>
    <row r="563" spans="2:4" ht="20.25" customHeight="1" x14ac:dyDescent="0.25">
      <c r="B563" s="125" t="s">
        <v>708</v>
      </c>
      <c r="D563" s="153" t="s">
        <v>24</v>
      </c>
    </row>
    <row r="564" spans="2:4" ht="20.25" customHeight="1" x14ac:dyDescent="0.25">
      <c r="B564" s="125" t="s">
        <v>709</v>
      </c>
      <c r="D564" s="153" t="s">
        <v>24</v>
      </c>
    </row>
    <row r="565" spans="2:4" ht="20.25" customHeight="1" x14ac:dyDescent="0.25">
      <c r="B565" s="125" t="s">
        <v>710</v>
      </c>
      <c r="D565" s="153" t="s">
        <v>24</v>
      </c>
    </row>
    <row r="566" spans="2:4" ht="20.25" customHeight="1" x14ac:dyDescent="0.25">
      <c r="B566" s="125" t="s">
        <v>711</v>
      </c>
      <c r="D566" s="159">
        <v>44889</v>
      </c>
    </row>
    <row r="567" spans="2:4" ht="20.25" customHeight="1" x14ac:dyDescent="0.25">
      <c r="B567" s="125" t="s">
        <v>712</v>
      </c>
      <c r="D567" s="159">
        <v>44910</v>
      </c>
    </row>
    <row r="568" spans="2:4" ht="20.25" customHeight="1" x14ac:dyDescent="0.25">
      <c r="B568" s="125" t="s">
        <v>713</v>
      </c>
      <c r="D568" s="159">
        <v>44869</v>
      </c>
    </row>
    <row r="569" spans="2:4" ht="20.25" customHeight="1" x14ac:dyDescent="0.25">
      <c r="B569" s="125" t="s">
        <v>714</v>
      </c>
      <c r="D569" s="159">
        <v>44889</v>
      </c>
    </row>
    <row r="570" spans="2:4" ht="20.25" customHeight="1" x14ac:dyDescent="0.25">
      <c r="B570" s="125" t="s">
        <v>715</v>
      </c>
      <c r="D570" s="159">
        <v>44910</v>
      </c>
    </row>
    <row r="571" spans="2:4" ht="20.25" customHeight="1" x14ac:dyDescent="0.25">
      <c r="B571" s="125" t="s">
        <v>716</v>
      </c>
      <c r="D571" s="159">
        <v>44889</v>
      </c>
    </row>
    <row r="572" spans="2:4" ht="20.25" customHeight="1" x14ac:dyDescent="0.25">
      <c r="B572" s="125" t="s">
        <v>717</v>
      </c>
      <c r="D572" s="159">
        <v>44910</v>
      </c>
    </row>
    <row r="573" spans="2:4" ht="20.25" customHeight="1" x14ac:dyDescent="0.25">
      <c r="B573" s="125" t="s">
        <v>718</v>
      </c>
      <c r="D573" s="159">
        <v>44877</v>
      </c>
    </row>
    <row r="574" spans="2:4" ht="20.25" customHeight="1" x14ac:dyDescent="0.25">
      <c r="B574" s="125" t="s">
        <v>220</v>
      </c>
      <c r="D574" s="159">
        <v>44862</v>
      </c>
    </row>
    <row r="575" spans="2:4" ht="20.25" customHeight="1" x14ac:dyDescent="0.25">
      <c r="B575" s="125" t="s">
        <v>719</v>
      </c>
      <c r="D575" s="153" t="s">
        <v>24</v>
      </c>
    </row>
    <row r="576" spans="2:4" ht="20.25" customHeight="1" x14ac:dyDescent="0.25">
      <c r="B576" s="125" t="s">
        <v>720</v>
      </c>
      <c r="D576" s="153" t="s">
        <v>24</v>
      </c>
    </row>
    <row r="577" spans="2:4" ht="20.25" customHeight="1" x14ac:dyDescent="0.25">
      <c r="B577" s="125" t="s">
        <v>721</v>
      </c>
      <c r="D577" s="153" t="s">
        <v>24</v>
      </c>
    </row>
    <row r="578" spans="2:4" ht="20.25" customHeight="1" x14ac:dyDescent="0.25">
      <c r="B578" s="125" t="s">
        <v>722</v>
      </c>
      <c r="D578" s="153" t="s">
        <v>24</v>
      </c>
    </row>
    <row r="579" spans="2:4" ht="20.25" customHeight="1" x14ac:dyDescent="0.25">
      <c r="B579" s="125" t="s">
        <v>723</v>
      </c>
      <c r="D579" s="159">
        <v>44816</v>
      </c>
    </row>
    <row r="580" spans="2:4" ht="20.25" customHeight="1" x14ac:dyDescent="0.25">
      <c r="B580" s="125" t="s">
        <v>724</v>
      </c>
      <c r="D580" s="159">
        <v>44961</v>
      </c>
    </row>
    <row r="581" spans="2:4" ht="20.25" customHeight="1" x14ac:dyDescent="0.25">
      <c r="B581" s="125" t="s">
        <v>725</v>
      </c>
      <c r="D581" s="153" t="s">
        <v>24</v>
      </c>
    </row>
    <row r="582" spans="2:4" ht="20.25" customHeight="1" x14ac:dyDescent="0.25">
      <c r="B582" s="125" t="s">
        <v>726</v>
      </c>
      <c r="D582" s="159">
        <v>44889</v>
      </c>
    </row>
    <row r="583" spans="2:4" ht="20.25" customHeight="1" x14ac:dyDescent="0.25">
      <c r="B583" s="125" t="s">
        <v>223</v>
      </c>
      <c r="D583" s="159">
        <v>44816</v>
      </c>
    </row>
    <row r="584" spans="2:4" ht="20.25" customHeight="1" x14ac:dyDescent="0.25">
      <c r="B584" s="125" t="s">
        <v>727</v>
      </c>
      <c r="D584" s="159">
        <v>44961</v>
      </c>
    </row>
    <row r="585" spans="2:4" ht="20.25" customHeight="1" x14ac:dyDescent="0.25">
      <c r="B585" s="125" t="s">
        <v>728</v>
      </c>
      <c r="D585" s="159">
        <v>44910</v>
      </c>
    </row>
    <row r="586" spans="2:4" ht="20.25" customHeight="1" x14ac:dyDescent="0.25">
      <c r="B586" s="125" t="s">
        <v>729</v>
      </c>
      <c r="D586" s="159">
        <v>44889</v>
      </c>
    </row>
    <row r="587" spans="2:4" ht="20.25" customHeight="1" x14ac:dyDescent="0.25">
      <c r="B587" s="129" t="s">
        <v>730</v>
      </c>
      <c r="D587" s="159">
        <v>44816</v>
      </c>
    </row>
    <row r="588" spans="2:4" ht="20.25" customHeight="1" x14ac:dyDescent="0.25">
      <c r="B588" s="125" t="s">
        <v>731</v>
      </c>
      <c r="D588" s="159">
        <v>44889</v>
      </c>
    </row>
    <row r="589" spans="2:4" ht="20.25" customHeight="1" x14ac:dyDescent="0.25">
      <c r="B589" s="125" t="s">
        <v>732</v>
      </c>
      <c r="D589" s="159">
        <v>44816</v>
      </c>
    </row>
    <row r="590" spans="2:4" ht="20.25" customHeight="1" x14ac:dyDescent="0.25">
      <c r="B590" s="125" t="s">
        <v>733</v>
      </c>
      <c r="D590" s="153" t="s">
        <v>24</v>
      </c>
    </row>
    <row r="591" spans="2:4" ht="20.25" customHeight="1" x14ac:dyDescent="0.25">
      <c r="B591" s="125" t="s">
        <v>734</v>
      </c>
      <c r="D591" s="153" t="s">
        <v>24</v>
      </c>
    </row>
    <row r="592" spans="2:4" ht="20.25" customHeight="1" x14ac:dyDescent="0.25">
      <c r="B592" s="125" t="s">
        <v>313</v>
      </c>
      <c r="D592" s="153" t="s">
        <v>24</v>
      </c>
    </row>
    <row r="593" spans="2:4" ht="20.25" customHeight="1" x14ac:dyDescent="0.25">
      <c r="B593" s="125" t="s">
        <v>315</v>
      </c>
      <c r="D593" s="159">
        <v>44889</v>
      </c>
    </row>
    <row r="594" spans="2:4" ht="20.25" customHeight="1" x14ac:dyDescent="0.25">
      <c r="B594" s="125" t="s">
        <v>735</v>
      </c>
      <c r="D594" s="153" t="s">
        <v>24</v>
      </c>
    </row>
    <row r="595" spans="2:4" ht="20.25" customHeight="1" x14ac:dyDescent="0.25">
      <c r="B595" s="125" t="s">
        <v>317</v>
      </c>
      <c r="D595" s="153" t="s">
        <v>24</v>
      </c>
    </row>
    <row r="596" spans="2:4" ht="20.25" customHeight="1" x14ac:dyDescent="0.25">
      <c r="B596" s="125" t="s">
        <v>736</v>
      </c>
      <c r="D596" s="159">
        <v>44889</v>
      </c>
    </row>
    <row r="597" spans="2:4" ht="20.25" customHeight="1" x14ac:dyDescent="0.25">
      <c r="B597" s="125" t="s">
        <v>737</v>
      </c>
      <c r="D597" s="159">
        <v>44889</v>
      </c>
    </row>
    <row r="598" spans="2:4" ht="20.25" customHeight="1" x14ac:dyDescent="0.25">
      <c r="B598" s="125" t="s">
        <v>738</v>
      </c>
      <c r="D598" s="159"/>
    </row>
    <row r="599" spans="2:4" ht="20.25" customHeight="1" x14ac:dyDescent="0.25">
      <c r="B599" s="125" t="s">
        <v>739</v>
      </c>
      <c r="D599" s="159">
        <v>45097</v>
      </c>
    </row>
    <row r="600" spans="2:4" ht="20.25" customHeight="1" x14ac:dyDescent="0.25">
      <c r="B600" s="125" t="s">
        <v>226</v>
      </c>
      <c r="D600" s="159">
        <v>44910</v>
      </c>
    </row>
    <row r="601" spans="2:4" ht="20.25" customHeight="1" x14ac:dyDescent="0.25">
      <c r="B601" s="124" t="s">
        <v>152</v>
      </c>
      <c r="D601" s="159">
        <v>44923</v>
      </c>
    </row>
    <row r="602" spans="2:4" ht="20.25" customHeight="1" x14ac:dyDescent="0.25">
      <c r="B602" s="125" t="s">
        <v>740</v>
      </c>
      <c r="D602" s="159">
        <v>44923</v>
      </c>
    </row>
    <row r="603" spans="2:4" ht="20.25" customHeight="1" x14ac:dyDescent="0.25">
      <c r="B603" s="125" t="s">
        <v>741</v>
      </c>
      <c r="D603" s="159">
        <v>44910</v>
      </c>
    </row>
    <row r="604" spans="2:4" ht="20.25" customHeight="1" x14ac:dyDescent="0.25">
      <c r="B604" s="125" t="s">
        <v>742</v>
      </c>
      <c r="D604" s="159">
        <v>44910</v>
      </c>
    </row>
    <row r="605" spans="2:4" ht="20.25" customHeight="1" x14ac:dyDescent="0.25">
      <c r="B605" s="125" t="s">
        <v>231</v>
      </c>
      <c r="D605" s="153" t="s">
        <v>24</v>
      </c>
    </row>
    <row r="606" spans="2:4" ht="20.25" customHeight="1" x14ac:dyDescent="0.25">
      <c r="B606" s="125" t="s">
        <v>743</v>
      </c>
      <c r="D606" s="159">
        <v>44923</v>
      </c>
    </row>
    <row r="607" spans="2:4" ht="20.25" customHeight="1" x14ac:dyDescent="0.25">
      <c r="B607" s="125" t="s">
        <v>744</v>
      </c>
      <c r="D607" s="159">
        <v>44910</v>
      </c>
    </row>
    <row r="608" spans="2:4" ht="20.25" customHeight="1" x14ac:dyDescent="0.25">
      <c r="B608" s="125" t="s">
        <v>148</v>
      </c>
      <c r="D608" s="159">
        <v>44923</v>
      </c>
    </row>
    <row r="609" spans="2:4" ht="20.25" customHeight="1" x14ac:dyDescent="0.25">
      <c r="B609" s="125" t="s">
        <v>745</v>
      </c>
      <c r="D609" s="159">
        <v>44910</v>
      </c>
    </row>
    <row r="610" spans="2:4" ht="20.25" customHeight="1" x14ac:dyDescent="0.25">
      <c r="B610" s="125" t="s">
        <v>319</v>
      </c>
      <c r="D610" s="159">
        <v>44910</v>
      </c>
    </row>
    <row r="611" spans="2:4" ht="20.25" customHeight="1" x14ac:dyDescent="0.25">
      <c r="B611" s="125" t="s">
        <v>321</v>
      </c>
      <c r="D611" s="159">
        <v>44869</v>
      </c>
    </row>
    <row r="612" spans="2:4" ht="20.25" customHeight="1" x14ac:dyDescent="0.25">
      <c r="B612" s="125" t="s">
        <v>746</v>
      </c>
      <c r="D612" s="159">
        <v>44869</v>
      </c>
    </row>
    <row r="613" spans="2:4" ht="20.25" customHeight="1" x14ac:dyDescent="0.25">
      <c r="B613" s="125" t="s">
        <v>747</v>
      </c>
      <c r="D613" s="159">
        <v>44876</v>
      </c>
    </row>
    <row r="614" spans="2:4" ht="20.25" customHeight="1" x14ac:dyDescent="0.25">
      <c r="B614" s="124" t="s">
        <v>214</v>
      </c>
      <c r="D614" s="153" t="s">
        <v>24</v>
      </c>
    </row>
    <row r="615" spans="2:4" ht="20.25" customHeight="1" x14ac:dyDescent="0.25">
      <c r="B615" s="125" t="s">
        <v>748</v>
      </c>
      <c r="D615" s="159">
        <v>44869</v>
      </c>
    </row>
    <row r="616" spans="2:4" ht="20.25" customHeight="1" x14ac:dyDescent="0.25">
      <c r="B616" s="125" t="s">
        <v>749</v>
      </c>
      <c r="D616" s="153" t="s">
        <v>24</v>
      </c>
    </row>
    <row r="617" spans="2:4" ht="20.25" customHeight="1" x14ac:dyDescent="0.25">
      <c r="B617" s="125" t="s">
        <v>750</v>
      </c>
      <c r="D617" s="153" t="s">
        <v>24</v>
      </c>
    </row>
    <row r="618" spans="2:4" ht="20.25" customHeight="1" x14ac:dyDescent="0.25">
      <c r="B618" s="125" t="s">
        <v>751</v>
      </c>
      <c r="D618" s="153" t="s">
        <v>24</v>
      </c>
    </row>
    <row r="619" spans="2:4" ht="20.25" customHeight="1" x14ac:dyDescent="0.25">
      <c r="B619" s="125" t="s">
        <v>323</v>
      </c>
      <c r="D619" s="153" t="s">
        <v>24</v>
      </c>
    </row>
    <row r="620" spans="2:4" ht="20.25" customHeight="1" x14ac:dyDescent="0.25">
      <c r="B620" s="125" t="s">
        <v>752</v>
      </c>
      <c r="D620" s="153" t="s">
        <v>24</v>
      </c>
    </row>
    <row r="621" spans="2:4" ht="20.25" customHeight="1" x14ac:dyDescent="0.25">
      <c r="B621" s="125" t="s">
        <v>753</v>
      </c>
      <c r="D621" s="153" t="s">
        <v>24</v>
      </c>
    </row>
    <row r="622" spans="2:4" ht="20.25" customHeight="1" x14ac:dyDescent="0.25">
      <c r="B622" s="125" t="s">
        <v>754</v>
      </c>
      <c r="D622" s="153" t="s">
        <v>24</v>
      </c>
    </row>
    <row r="623" spans="2:4" ht="20.25" customHeight="1" x14ac:dyDescent="0.25">
      <c r="B623" s="125" t="s">
        <v>755</v>
      </c>
      <c r="D623" s="153" t="s">
        <v>24</v>
      </c>
    </row>
    <row r="624" spans="2:4" ht="20.25" customHeight="1" x14ac:dyDescent="0.25">
      <c r="B624" s="125" t="s">
        <v>756</v>
      </c>
      <c r="D624" s="153" t="s">
        <v>24</v>
      </c>
    </row>
    <row r="625" spans="2:4" ht="20.25" customHeight="1" x14ac:dyDescent="0.25">
      <c r="B625" s="125" t="s">
        <v>757</v>
      </c>
      <c r="D625" s="153" t="s">
        <v>24</v>
      </c>
    </row>
    <row r="626" spans="2:4" ht="20.25" customHeight="1" x14ac:dyDescent="0.25">
      <c r="B626" s="125" t="s">
        <v>758</v>
      </c>
      <c r="D626" s="153" t="s">
        <v>24</v>
      </c>
    </row>
    <row r="627" spans="2:4" ht="20.25" customHeight="1" x14ac:dyDescent="0.25">
      <c r="B627" s="125" t="s">
        <v>759</v>
      </c>
      <c r="D627" s="153" t="s">
        <v>24</v>
      </c>
    </row>
    <row r="628" spans="2:4" ht="20.25" customHeight="1" x14ac:dyDescent="0.25">
      <c r="B628" s="125" t="s">
        <v>760</v>
      </c>
      <c r="D628" s="153" t="s">
        <v>24</v>
      </c>
    </row>
    <row r="629" spans="2:4" ht="20.25" customHeight="1" x14ac:dyDescent="0.25">
      <c r="B629" s="125" t="s">
        <v>761</v>
      </c>
      <c r="D629" s="159">
        <v>44910</v>
      </c>
    </row>
    <row r="630" spans="2:4" ht="20.25" customHeight="1" x14ac:dyDescent="0.25">
      <c r="B630" s="125" t="s">
        <v>176</v>
      </c>
      <c r="D630" s="153" t="s">
        <v>24</v>
      </c>
    </row>
    <row r="631" spans="2:4" ht="20.25" customHeight="1" x14ac:dyDescent="0.25">
      <c r="B631" s="125" t="s">
        <v>762</v>
      </c>
      <c r="D631" s="159">
        <v>44910</v>
      </c>
    </row>
    <row r="632" spans="2:4" ht="20.25" customHeight="1" x14ac:dyDescent="0.25">
      <c r="B632" s="125" t="s">
        <v>763</v>
      </c>
      <c r="D632" s="153" t="s">
        <v>24</v>
      </c>
    </row>
    <row r="633" spans="2:4" ht="20.25" customHeight="1" x14ac:dyDescent="0.25">
      <c r="B633" s="125" t="s">
        <v>764</v>
      </c>
      <c r="D633" s="159">
        <v>44910</v>
      </c>
    </row>
    <row r="634" spans="2:4" ht="20.25" customHeight="1" x14ac:dyDescent="0.25">
      <c r="B634" s="125" t="s">
        <v>765</v>
      </c>
      <c r="D634" s="153" t="s">
        <v>24</v>
      </c>
    </row>
    <row r="635" spans="2:4" ht="20.25" customHeight="1" x14ac:dyDescent="0.25">
      <c r="B635" s="129" t="s">
        <v>766</v>
      </c>
      <c r="D635" s="153" t="s">
        <v>24</v>
      </c>
    </row>
    <row r="636" spans="2:4" ht="20.25" customHeight="1" x14ac:dyDescent="0.25">
      <c r="B636" s="125" t="s">
        <v>767</v>
      </c>
      <c r="D636" s="153" t="s">
        <v>24</v>
      </c>
    </row>
    <row r="637" spans="2:4" ht="20.25" customHeight="1" x14ac:dyDescent="0.25">
      <c r="B637" s="125" t="s">
        <v>768</v>
      </c>
      <c r="D637" s="153" t="s">
        <v>24</v>
      </c>
    </row>
    <row r="638" spans="2:4" ht="20.25" customHeight="1" x14ac:dyDescent="0.25">
      <c r="B638" s="125" t="s">
        <v>206</v>
      </c>
      <c r="D638" s="165">
        <v>45065</v>
      </c>
    </row>
    <row r="639" spans="2:4" ht="20.25" customHeight="1" x14ac:dyDescent="0.25">
      <c r="B639" s="125" t="s">
        <v>769</v>
      </c>
      <c r="D639" s="165">
        <v>45148</v>
      </c>
    </row>
    <row r="640" spans="2:4" ht="20.25" customHeight="1" x14ac:dyDescent="0.25">
      <c r="B640" s="125" t="s">
        <v>770</v>
      </c>
      <c r="D640" s="159">
        <v>44910</v>
      </c>
    </row>
    <row r="641" spans="2:4" ht="20.25" customHeight="1" x14ac:dyDescent="0.25">
      <c r="B641" s="125" t="s">
        <v>771</v>
      </c>
      <c r="D641" s="179">
        <v>45040</v>
      </c>
    </row>
    <row r="642" spans="2:4" ht="20.25" customHeight="1" x14ac:dyDescent="0.25">
      <c r="B642" s="125" t="s">
        <v>772</v>
      </c>
      <c r="D642" s="153" t="s">
        <v>24</v>
      </c>
    </row>
    <row r="643" spans="2:4" ht="20.25" customHeight="1" x14ac:dyDescent="0.25">
      <c r="B643" s="125" t="s">
        <v>773</v>
      </c>
      <c r="D643" s="165">
        <v>45065</v>
      </c>
    </row>
    <row r="644" spans="2:4" ht="20.25" customHeight="1" x14ac:dyDescent="0.25">
      <c r="B644" s="125" t="s">
        <v>774</v>
      </c>
      <c r="D644" s="153" t="s">
        <v>24</v>
      </c>
    </row>
    <row r="645" spans="2:4" ht="20.25" customHeight="1" x14ac:dyDescent="0.25">
      <c r="B645" s="125" t="s">
        <v>775</v>
      </c>
      <c r="D645" s="179">
        <v>45040</v>
      </c>
    </row>
    <row r="646" spans="2:4" ht="20.25" customHeight="1" x14ac:dyDescent="0.25">
      <c r="B646" s="125" t="s">
        <v>776</v>
      </c>
      <c r="D646" s="159">
        <v>44923</v>
      </c>
    </row>
    <row r="647" spans="2:4" ht="20.25" customHeight="1" x14ac:dyDescent="0.25">
      <c r="B647" s="125" t="s">
        <v>777</v>
      </c>
      <c r="D647" s="165">
        <v>45065</v>
      </c>
    </row>
    <row r="648" spans="2:4" ht="20.25" customHeight="1" x14ac:dyDescent="0.25">
      <c r="B648" s="125" t="s">
        <v>778</v>
      </c>
      <c r="D648" s="153" t="s">
        <v>24</v>
      </c>
    </row>
    <row r="649" spans="2:4" ht="20.25" customHeight="1" x14ac:dyDescent="0.25">
      <c r="B649" s="125" t="s">
        <v>779</v>
      </c>
      <c r="D649" s="153" t="s">
        <v>24</v>
      </c>
    </row>
    <row r="650" spans="2:4" ht="20.25" customHeight="1" x14ac:dyDescent="0.25">
      <c r="B650" s="125" t="s">
        <v>780</v>
      </c>
      <c r="D650" s="159">
        <v>44910</v>
      </c>
    </row>
    <row r="651" spans="2:4" ht="20.25" customHeight="1" x14ac:dyDescent="0.25">
      <c r="B651" s="125" t="s">
        <v>781</v>
      </c>
      <c r="D651" s="159">
        <v>44923</v>
      </c>
    </row>
    <row r="652" spans="2:4" ht="20.25" customHeight="1" x14ac:dyDescent="0.25">
      <c r="B652" s="125" t="s">
        <v>782</v>
      </c>
      <c r="D652" s="159">
        <v>44910</v>
      </c>
    </row>
    <row r="653" spans="2:4" ht="20.25" customHeight="1" x14ac:dyDescent="0.25">
      <c r="B653" s="124" t="s">
        <v>150</v>
      </c>
      <c r="D653" s="159">
        <v>44869</v>
      </c>
    </row>
    <row r="654" spans="2:4" ht="20.25" customHeight="1" x14ac:dyDescent="0.25">
      <c r="B654" s="125" t="s">
        <v>783</v>
      </c>
      <c r="D654" s="159">
        <v>44910</v>
      </c>
    </row>
    <row r="655" spans="2:4" ht="20.25" customHeight="1" x14ac:dyDescent="0.25">
      <c r="B655" s="125" t="s">
        <v>784</v>
      </c>
      <c r="D655" s="153"/>
    </row>
    <row r="656" spans="2:4" ht="20.25" customHeight="1" x14ac:dyDescent="0.25">
      <c r="B656" s="125" t="s">
        <v>785</v>
      </c>
      <c r="D656" s="159">
        <v>44910</v>
      </c>
    </row>
    <row r="657" spans="2:4" ht="20.25" customHeight="1" x14ac:dyDescent="0.25">
      <c r="B657" s="125" t="s">
        <v>325</v>
      </c>
      <c r="D657" s="153" t="s">
        <v>24</v>
      </c>
    </row>
    <row r="658" spans="2:4" ht="20.25" customHeight="1" x14ac:dyDescent="0.25">
      <c r="B658" s="125" t="s">
        <v>786</v>
      </c>
      <c r="D658" s="159">
        <v>44923</v>
      </c>
    </row>
    <row r="659" spans="2:4" ht="20.25" customHeight="1" x14ac:dyDescent="0.25">
      <c r="B659" s="125" t="s">
        <v>787</v>
      </c>
      <c r="D659" s="159">
        <v>44910</v>
      </c>
    </row>
    <row r="660" spans="2:4" ht="20.25" customHeight="1" x14ac:dyDescent="0.25">
      <c r="B660" s="125" t="s">
        <v>788</v>
      </c>
      <c r="D660" s="159">
        <v>44910</v>
      </c>
    </row>
    <row r="661" spans="2:4" ht="20.25" customHeight="1" x14ac:dyDescent="0.25">
      <c r="B661" s="125" t="s">
        <v>789</v>
      </c>
      <c r="D661" s="153"/>
    </row>
    <row r="662" spans="2:4" ht="20.25" customHeight="1" x14ac:dyDescent="0.25">
      <c r="B662" s="125" t="s">
        <v>790</v>
      </c>
      <c r="D662" s="169"/>
    </row>
    <row r="663" spans="2:4" ht="20.25" customHeight="1" x14ac:dyDescent="0.25">
      <c r="B663" s="125" t="s">
        <v>237</v>
      </c>
      <c r="D663" s="169"/>
    </row>
    <row r="664" spans="2:4" ht="20.25" customHeight="1" x14ac:dyDescent="0.25">
      <c r="B664" s="125" t="s">
        <v>791</v>
      </c>
      <c r="D664" s="169"/>
    </row>
    <row r="665" spans="2:4" ht="20.25" customHeight="1" x14ac:dyDescent="0.25">
      <c r="B665" s="125" t="s">
        <v>792</v>
      </c>
      <c r="D665" s="169"/>
    </row>
    <row r="666" spans="2:4" ht="20.25" customHeight="1" x14ac:dyDescent="0.25">
      <c r="B666" s="125" t="s">
        <v>793</v>
      </c>
      <c r="D666" s="169"/>
    </row>
    <row r="667" spans="2:4" ht="20.25" customHeight="1" x14ac:dyDescent="0.25">
      <c r="B667" s="125" t="s">
        <v>794</v>
      </c>
      <c r="D667" s="169"/>
    </row>
    <row r="668" spans="2:4" ht="20.25" customHeight="1" x14ac:dyDescent="0.25">
      <c r="B668" s="125" t="s">
        <v>795</v>
      </c>
      <c r="D668" s="169"/>
    </row>
    <row r="669" spans="2:4" ht="20.25" customHeight="1" x14ac:dyDescent="0.25">
      <c r="B669" s="125" t="s">
        <v>156</v>
      </c>
      <c r="D669" s="169"/>
    </row>
    <row r="670" spans="2:4" ht="20.25" customHeight="1" x14ac:dyDescent="0.25">
      <c r="B670" s="125" t="s">
        <v>796</v>
      </c>
      <c r="D670" s="169"/>
    </row>
    <row r="671" spans="2:4" ht="20.25" customHeight="1" x14ac:dyDescent="0.25">
      <c r="B671" s="125" t="s">
        <v>797</v>
      </c>
      <c r="D671" s="169"/>
    </row>
    <row r="672" spans="2:4" ht="20.25" customHeight="1" x14ac:dyDescent="0.25">
      <c r="B672" s="129" t="s">
        <v>798</v>
      </c>
      <c r="D672" s="169"/>
    </row>
    <row r="673" spans="2:4" ht="20.25" customHeight="1" x14ac:dyDescent="0.25">
      <c r="B673" s="125" t="s">
        <v>799</v>
      </c>
      <c r="D673" s="169"/>
    </row>
    <row r="674" spans="2:4" ht="20.25" customHeight="1" x14ac:dyDescent="0.25">
      <c r="B674" s="125" t="s">
        <v>800</v>
      </c>
      <c r="D674" s="169"/>
    </row>
    <row r="675" spans="2:4" ht="20.25" customHeight="1" x14ac:dyDescent="0.25">
      <c r="B675" s="129" t="s">
        <v>145</v>
      </c>
      <c r="D675" s="169"/>
    </row>
    <row r="676" spans="2:4" ht="20.25" customHeight="1" x14ac:dyDescent="0.25">
      <c r="B676" s="125" t="s">
        <v>801</v>
      </c>
      <c r="D676" s="169"/>
    </row>
    <row r="677" spans="2:4" ht="20.25" customHeight="1" x14ac:dyDescent="0.25">
      <c r="B677" s="125" t="s">
        <v>802</v>
      </c>
      <c r="D677" s="169"/>
    </row>
    <row r="678" spans="2:4" ht="20.25" customHeight="1" x14ac:dyDescent="0.25">
      <c r="B678" s="125" t="s">
        <v>803</v>
      </c>
      <c r="D678" s="169"/>
    </row>
    <row r="679" spans="2:4" ht="20.25" customHeight="1" x14ac:dyDescent="0.25">
      <c r="B679" s="125" t="s">
        <v>804</v>
      </c>
      <c r="D679" s="169"/>
    </row>
    <row r="680" spans="2:4" ht="20.25" customHeight="1" x14ac:dyDescent="0.25">
      <c r="B680" s="129" t="s">
        <v>805</v>
      </c>
      <c r="D680" s="169"/>
    </row>
    <row r="681" spans="2:4" ht="20.25" customHeight="1" x14ac:dyDescent="0.25">
      <c r="B681" s="125" t="s">
        <v>806</v>
      </c>
      <c r="D681" s="169"/>
    </row>
    <row r="682" spans="2:4" ht="20.25" customHeight="1" x14ac:dyDescent="0.25">
      <c r="B682" s="125" t="s">
        <v>807</v>
      </c>
      <c r="D682" s="169"/>
    </row>
    <row r="683" spans="2:4" ht="20.25" customHeight="1" x14ac:dyDescent="0.25">
      <c r="B683" s="136" t="s">
        <v>327</v>
      </c>
      <c r="D683" s="169"/>
    </row>
    <row r="684" spans="2:4" ht="20.25" customHeight="1" x14ac:dyDescent="0.25">
      <c r="B684" s="129" t="s">
        <v>808</v>
      </c>
      <c r="D684" s="153" t="s">
        <v>24</v>
      </c>
    </row>
    <row r="685" spans="2:4" ht="20.25" customHeight="1" x14ac:dyDescent="0.25">
      <c r="B685" s="125" t="s">
        <v>809</v>
      </c>
      <c r="D685" s="153" t="s">
        <v>24</v>
      </c>
    </row>
    <row r="686" spans="2:4" ht="20.25" customHeight="1" x14ac:dyDescent="0.25">
      <c r="B686" s="125" t="s">
        <v>329</v>
      </c>
      <c r="D686" s="153" t="s">
        <v>24</v>
      </c>
    </row>
    <row r="687" spans="2:4" ht="20.25" customHeight="1" x14ac:dyDescent="0.25">
      <c r="B687" s="125" t="s">
        <v>331</v>
      </c>
      <c r="D687" s="169" t="s">
        <v>24</v>
      </c>
    </row>
    <row r="688" spans="2:4" ht="20.25" customHeight="1" x14ac:dyDescent="0.25">
      <c r="B688" s="125" t="s">
        <v>810</v>
      </c>
      <c r="D688" s="169"/>
    </row>
    <row r="689" spans="2:4" ht="20.25" customHeight="1" x14ac:dyDescent="0.25">
      <c r="B689" s="125" t="s">
        <v>333</v>
      </c>
      <c r="D689" s="169"/>
    </row>
    <row r="690" spans="2:4" ht="20.25" customHeight="1" x14ac:dyDescent="0.25">
      <c r="B690" s="125" t="s">
        <v>811</v>
      </c>
      <c r="D690" s="169"/>
    </row>
    <row r="691" spans="2:4" ht="20.25" customHeight="1" x14ac:dyDescent="0.25">
      <c r="B691" s="125" t="s">
        <v>812</v>
      </c>
      <c r="D691" s="169"/>
    </row>
    <row r="692" spans="2:4" ht="20.25" customHeight="1" x14ac:dyDescent="0.25">
      <c r="B692" s="125" t="s">
        <v>196</v>
      </c>
      <c r="D692" s="169"/>
    </row>
    <row r="693" spans="2:4" ht="20.25" customHeight="1" x14ac:dyDescent="0.25">
      <c r="B693" s="125" t="s">
        <v>253</v>
      </c>
      <c r="D693" s="169"/>
    </row>
    <row r="694" spans="2:4" ht="20.25" customHeight="1" x14ac:dyDescent="0.25">
      <c r="B694" s="125" t="s">
        <v>813</v>
      </c>
      <c r="D694" s="169"/>
    </row>
    <row r="695" spans="2:4" ht="20.25" customHeight="1" x14ac:dyDescent="0.25">
      <c r="B695" s="125" t="s">
        <v>814</v>
      </c>
      <c r="D695" s="169"/>
    </row>
    <row r="696" spans="2:4" ht="20.25" customHeight="1" x14ac:dyDescent="0.25">
      <c r="B696" s="125" t="s">
        <v>815</v>
      </c>
      <c r="D696" s="169"/>
    </row>
    <row r="697" spans="2:4" ht="20.25" customHeight="1" x14ac:dyDescent="0.25">
      <c r="B697" s="125" t="s">
        <v>816</v>
      </c>
      <c r="D697" s="169"/>
    </row>
    <row r="698" spans="2:4" ht="20.25" customHeight="1" x14ac:dyDescent="0.25">
      <c r="B698" s="125" t="s">
        <v>817</v>
      </c>
      <c r="D698" s="169"/>
    </row>
    <row r="699" spans="2:4" ht="20.25" customHeight="1" x14ac:dyDescent="0.25">
      <c r="B699" s="125" t="s">
        <v>818</v>
      </c>
      <c r="D699" s="169"/>
    </row>
    <row r="700" spans="2:4" ht="20.25" customHeight="1" x14ac:dyDescent="0.25">
      <c r="B700" s="125" t="s">
        <v>819</v>
      </c>
      <c r="D700" s="169"/>
    </row>
    <row r="701" spans="2:4" ht="20.25" customHeight="1" x14ac:dyDescent="0.25">
      <c r="B701" s="125" t="s">
        <v>335</v>
      </c>
      <c r="D701" s="169"/>
    </row>
    <row r="702" spans="2:4" ht="20.25" customHeight="1" x14ac:dyDescent="0.25">
      <c r="B702" s="125" t="s">
        <v>820</v>
      </c>
      <c r="D702" s="169"/>
    </row>
    <row r="703" spans="2:4" ht="20.25" customHeight="1" x14ac:dyDescent="0.25">
      <c r="B703" s="125" t="s">
        <v>821</v>
      </c>
      <c r="D703" s="179">
        <v>45040</v>
      </c>
    </row>
    <row r="704" spans="2:4" ht="20.25" customHeight="1" x14ac:dyDescent="0.25">
      <c r="B704" s="125" t="s">
        <v>822</v>
      </c>
      <c r="D704" s="169"/>
    </row>
    <row r="705" spans="2:4" ht="20.25" customHeight="1" x14ac:dyDescent="0.25">
      <c r="B705" s="125" t="s">
        <v>823</v>
      </c>
      <c r="D705" s="169"/>
    </row>
    <row r="706" spans="2:4" ht="20.25" customHeight="1" x14ac:dyDescent="0.25">
      <c r="B706" s="125" t="s">
        <v>824</v>
      </c>
      <c r="D706" s="153"/>
    </row>
    <row r="707" spans="2:4" ht="20.25" customHeight="1" x14ac:dyDescent="0.25">
      <c r="B707" s="125" t="s">
        <v>825</v>
      </c>
      <c r="D707" s="169"/>
    </row>
    <row r="708" spans="2:4" ht="20.25" customHeight="1" x14ac:dyDescent="0.25">
      <c r="B708" s="125" t="s">
        <v>826</v>
      </c>
      <c r="D708" s="169"/>
    </row>
    <row r="709" spans="2:4" ht="20.25" customHeight="1" x14ac:dyDescent="0.25">
      <c r="B709" s="125" t="s">
        <v>827</v>
      </c>
      <c r="D709" s="159">
        <v>44922</v>
      </c>
    </row>
    <row r="710" spans="2:4" ht="20.25" customHeight="1" x14ac:dyDescent="0.25">
      <c r="B710" s="125" t="s">
        <v>828</v>
      </c>
      <c r="D710" s="169"/>
    </row>
    <row r="711" spans="2:4" ht="20.25" customHeight="1" x14ac:dyDescent="0.25">
      <c r="B711" s="125" t="s">
        <v>829</v>
      </c>
      <c r="D711" s="169"/>
    </row>
    <row r="712" spans="2:4" ht="20.25" customHeight="1" x14ac:dyDescent="0.25">
      <c r="B712" s="125" t="s">
        <v>830</v>
      </c>
      <c r="D712" s="169"/>
    </row>
    <row r="713" spans="2:4" ht="20.25" customHeight="1" x14ac:dyDescent="0.25">
      <c r="B713" s="125" t="s">
        <v>831</v>
      </c>
      <c r="D713" s="169"/>
    </row>
    <row r="714" spans="2:4" ht="20.25" customHeight="1" x14ac:dyDescent="0.25">
      <c r="B714" s="125" t="s">
        <v>164</v>
      </c>
      <c r="D714" s="169" t="s">
        <v>24</v>
      </c>
    </row>
    <row r="715" spans="2:4" ht="20.25" customHeight="1" x14ac:dyDescent="0.25">
      <c r="B715" s="125" t="s">
        <v>832</v>
      </c>
      <c r="D715" s="169" t="s">
        <v>24</v>
      </c>
    </row>
    <row r="716" spans="2:4" ht="20.25" customHeight="1" x14ac:dyDescent="0.25">
      <c r="B716" s="125" t="s">
        <v>833</v>
      </c>
      <c r="D716" s="169"/>
    </row>
    <row r="717" spans="2:4" ht="20.25" customHeight="1" x14ac:dyDescent="0.25">
      <c r="B717" s="125" t="s">
        <v>834</v>
      </c>
      <c r="D717" s="169" t="s">
        <v>24</v>
      </c>
    </row>
    <row r="718" spans="2:4" ht="20.25" customHeight="1" x14ac:dyDescent="0.25">
      <c r="B718" s="125" t="s">
        <v>835</v>
      </c>
      <c r="D718" s="169"/>
    </row>
    <row r="719" spans="2:4" ht="20.25" customHeight="1" x14ac:dyDescent="0.25">
      <c r="B719" s="125" t="s">
        <v>836</v>
      </c>
      <c r="D719" s="169"/>
    </row>
    <row r="720" spans="2:4" ht="20.25" customHeight="1" x14ac:dyDescent="0.25">
      <c r="B720" s="125" t="s">
        <v>837</v>
      </c>
      <c r="D720" s="169"/>
    </row>
    <row r="721" spans="2:4" ht="20.25" customHeight="1" x14ac:dyDescent="0.25">
      <c r="B721" s="125" t="s">
        <v>838</v>
      </c>
      <c r="D721" s="153" t="s">
        <v>24</v>
      </c>
    </row>
    <row r="722" spans="2:4" ht="20.25" customHeight="1" x14ac:dyDescent="0.25">
      <c r="B722" s="125" t="s">
        <v>839</v>
      </c>
      <c r="D722" s="179">
        <v>45040</v>
      </c>
    </row>
    <row r="723" spans="2:4" ht="20.25" customHeight="1" x14ac:dyDescent="0.25">
      <c r="B723" s="125" t="s">
        <v>840</v>
      </c>
      <c r="D723" s="169"/>
    </row>
    <row r="724" spans="2:4" ht="20.25" customHeight="1" x14ac:dyDescent="0.25">
      <c r="B724" s="125" t="s">
        <v>841</v>
      </c>
      <c r="D724" s="153" t="s">
        <v>24</v>
      </c>
    </row>
    <row r="725" spans="2:4" ht="20.25" customHeight="1" x14ac:dyDescent="0.25">
      <c r="B725" s="125" t="s">
        <v>842</v>
      </c>
      <c r="D725" s="165">
        <v>45148</v>
      </c>
    </row>
    <row r="726" spans="2:4" ht="20.25" customHeight="1" x14ac:dyDescent="0.25">
      <c r="B726" s="125" t="s">
        <v>843</v>
      </c>
      <c r="D726" s="169"/>
    </row>
    <row r="727" spans="2:4" ht="20.25" customHeight="1" x14ac:dyDescent="0.25">
      <c r="B727" s="125" t="s">
        <v>844</v>
      </c>
      <c r="D727" s="165">
        <v>45049</v>
      </c>
    </row>
    <row r="728" spans="2:4" ht="20.25" customHeight="1" x14ac:dyDescent="0.25">
      <c r="B728" s="125" t="s">
        <v>845</v>
      </c>
      <c r="D728" s="153" t="s">
        <v>24</v>
      </c>
    </row>
    <row r="729" spans="2:4" ht="20.25" customHeight="1" x14ac:dyDescent="0.25">
      <c r="B729" s="125" t="s">
        <v>846</v>
      </c>
      <c r="D729" s="169" t="s">
        <v>24</v>
      </c>
    </row>
    <row r="730" spans="2:4" ht="20.25" customHeight="1" x14ac:dyDescent="0.25">
      <c r="B730" s="125" t="s">
        <v>847</v>
      </c>
      <c r="D730" s="169"/>
    </row>
    <row r="731" spans="2:4" ht="20.25" customHeight="1" x14ac:dyDescent="0.25">
      <c r="B731" s="125" t="s">
        <v>848</v>
      </c>
      <c r="D731" s="169"/>
    </row>
    <row r="732" spans="2:4" ht="20.25" customHeight="1" x14ac:dyDescent="0.25">
      <c r="B732" s="125" t="s">
        <v>849</v>
      </c>
      <c r="D732" s="165">
        <v>45049</v>
      </c>
    </row>
    <row r="733" spans="2:4" ht="20.25" customHeight="1" x14ac:dyDescent="0.25">
      <c r="B733" s="125" t="s">
        <v>850</v>
      </c>
      <c r="D733" s="159">
        <v>45058</v>
      </c>
    </row>
    <row r="734" spans="2:4" ht="20.25" customHeight="1" x14ac:dyDescent="0.25">
      <c r="B734" s="125" t="s">
        <v>851</v>
      </c>
      <c r="D734" s="169"/>
    </row>
    <row r="735" spans="2:4" ht="20.25" customHeight="1" x14ac:dyDescent="0.25">
      <c r="B735" s="125" t="s">
        <v>852</v>
      </c>
      <c r="D735" s="179">
        <v>45040</v>
      </c>
    </row>
    <row r="736" spans="2:4" ht="20.25" customHeight="1" x14ac:dyDescent="0.25">
      <c r="B736" s="125" t="s">
        <v>853</v>
      </c>
      <c r="D736" s="169"/>
    </row>
    <row r="737" spans="2:4" ht="20.25" customHeight="1" x14ac:dyDescent="0.25">
      <c r="B737" s="125" t="s">
        <v>854</v>
      </c>
      <c r="D737" s="153" t="s">
        <v>24</v>
      </c>
    </row>
    <row r="738" spans="2:4" ht="20.25" customHeight="1" x14ac:dyDescent="0.25">
      <c r="B738" s="125" t="s">
        <v>855</v>
      </c>
      <c r="D738" s="169"/>
    </row>
    <row r="739" spans="2:4" ht="20.25" customHeight="1" x14ac:dyDescent="0.25">
      <c r="B739" s="125" t="s">
        <v>856</v>
      </c>
      <c r="D739" s="169"/>
    </row>
    <row r="740" spans="2:4" ht="20.25" customHeight="1" x14ac:dyDescent="0.25">
      <c r="B740" s="125" t="s">
        <v>857</v>
      </c>
      <c r="D740" s="169"/>
    </row>
    <row r="741" spans="2:4" ht="20.25" customHeight="1" x14ac:dyDescent="0.25">
      <c r="B741" s="125" t="s">
        <v>858</v>
      </c>
      <c r="D741" s="153" t="s">
        <v>24</v>
      </c>
    </row>
    <row r="742" spans="2:4" ht="20.25" customHeight="1" x14ac:dyDescent="0.25">
      <c r="B742" s="125" t="s">
        <v>859</v>
      </c>
      <c r="D742" s="169"/>
    </row>
    <row r="743" spans="2:4" ht="20.25" customHeight="1" x14ac:dyDescent="0.25">
      <c r="B743" s="125" t="s">
        <v>860</v>
      </c>
      <c r="D743" s="169"/>
    </row>
    <row r="744" spans="2:4" ht="20.25" customHeight="1" x14ac:dyDescent="0.25">
      <c r="B744" s="125" t="s">
        <v>861</v>
      </c>
      <c r="D744" s="169"/>
    </row>
    <row r="745" spans="2:4" ht="20.25" customHeight="1" x14ac:dyDescent="0.25">
      <c r="B745" s="125" t="s">
        <v>862</v>
      </c>
      <c r="D745" s="153" t="s">
        <v>24</v>
      </c>
    </row>
    <row r="746" spans="2:4" ht="20.25" customHeight="1" x14ac:dyDescent="0.25">
      <c r="B746" s="125" t="s">
        <v>863</v>
      </c>
      <c r="D746" s="153" t="s">
        <v>24</v>
      </c>
    </row>
    <row r="747" spans="2:4" ht="20.25" customHeight="1" x14ac:dyDescent="0.25">
      <c r="B747" s="125" t="s">
        <v>864</v>
      </c>
      <c r="D747" s="169"/>
    </row>
    <row r="748" spans="2:4" ht="20.25" customHeight="1" x14ac:dyDescent="0.25">
      <c r="B748" s="125" t="s">
        <v>865</v>
      </c>
      <c r="D748" s="153" t="s">
        <v>24</v>
      </c>
    </row>
    <row r="749" spans="2:4" ht="20.25" customHeight="1" x14ac:dyDescent="0.25">
      <c r="B749" s="125" t="s">
        <v>866</v>
      </c>
      <c r="D749" s="169"/>
    </row>
    <row r="750" spans="2:4" ht="20.25" customHeight="1" x14ac:dyDescent="0.25">
      <c r="B750" s="125" t="s">
        <v>867</v>
      </c>
      <c r="D750" s="169"/>
    </row>
    <row r="751" spans="2:4" ht="20.25" customHeight="1" x14ac:dyDescent="0.25">
      <c r="B751" s="125" t="s">
        <v>868</v>
      </c>
      <c r="D751" s="153" t="s">
        <v>24</v>
      </c>
    </row>
    <row r="752" spans="2:4" ht="20.25" customHeight="1" x14ac:dyDescent="0.25">
      <c r="B752" s="125" t="s">
        <v>869</v>
      </c>
      <c r="D752" s="179">
        <v>45040</v>
      </c>
    </row>
    <row r="753" spans="2:4" ht="20.25" customHeight="1" x14ac:dyDescent="0.25">
      <c r="B753" s="125" t="s">
        <v>870</v>
      </c>
      <c r="D753" s="169"/>
    </row>
    <row r="754" spans="2:4" ht="20.25" customHeight="1" x14ac:dyDescent="0.25">
      <c r="B754" s="125" t="s">
        <v>337</v>
      </c>
      <c r="D754" s="153" t="s">
        <v>24</v>
      </c>
    </row>
    <row r="755" spans="2:4" ht="20.25" customHeight="1" x14ac:dyDescent="0.25">
      <c r="B755" s="125" t="s">
        <v>871</v>
      </c>
      <c r="D755" s="159">
        <v>44923</v>
      </c>
    </row>
    <row r="756" spans="2:4" ht="20.25" customHeight="1" x14ac:dyDescent="0.25">
      <c r="B756" s="125" t="s">
        <v>872</v>
      </c>
      <c r="D756" s="169"/>
    </row>
    <row r="757" spans="2:4" ht="20.25" customHeight="1" x14ac:dyDescent="0.25">
      <c r="B757" s="125" t="s">
        <v>873</v>
      </c>
      <c r="D757" s="159">
        <v>44877</v>
      </c>
    </row>
    <row r="758" spans="2:4" ht="20.25" customHeight="1" x14ac:dyDescent="0.25">
      <c r="B758" s="125" t="s">
        <v>874</v>
      </c>
      <c r="D758" s="169"/>
    </row>
    <row r="759" spans="2:4" ht="20.25" customHeight="1" x14ac:dyDescent="0.25">
      <c r="B759" s="125" t="s">
        <v>875</v>
      </c>
      <c r="D759" s="169"/>
    </row>
    <row r="760" spans="2:4" ht="20.25" customHeight="1" x14ac:dyDescent="0.25">
      <c r="B760" s="125" t="s">
        <v>876</v>
      </c>
      <c r="D760" s="179">
        <v>45040</v>
      </c>
    </row>
    <row r="761" spans="2:4" ht="20.25" customHeight="1" x14ac:dyDescent="0.25">
      <c r="B761" s="125" t="s">
        <v>877</v>
      </c>
      <c r="D761" s="153" t="s">
        <v>24</v>
      </c>
    </row>
    <row r="762" spans="2:4" ht="20.25" customHeight="1" x14ac:dyDescent="0.25">
      <c r="B762" s="127" t="s">
        <v>202</v>
      </c>
      <c r="D762" s="169"/>
    </row>
    <row r="763" spans="2:4" ht="20.25" customHeight="1" x14ac:dyDescent="0.25">
      <c r="B763" s="125" t="s">
        <v>339</v>
      </c>
      <c r="D763" s="169"/>
    </row>
    <row r="764" spans="2:4" ht="20.25" customHeight="1" x14ac:dyDescent="0.25">
      <c r="B764" s="125" t="s">
        <v>878</v>
      </c>
      <c r="D764" s="169"/>
    </row>
    <row r="765" spans="2:4" ht="20.25" customHeight="1" x14ac:dyDescent="0.25">
      <c r="B765" s="125" t="s">
        <v>879</v>
      </c>
      <c r="D765" s="169"/>
    </row>
    <row r="766" spans="2:4" ht="20.25" customHeight="1" x14ac:dyDescent="0.25">
      <c r="B766" s="125" t="s">
        <v>341</v>
      </c>
      <c r="D766" s="169"/>
    </row>
    <row r="767" spans="2:4" ht="20.25" customHeight="1" x14ac:dyDescent="0.25">
      <c r="B767" s="125" t="s">
        <v>880</v>
      </c>
      <c r="D767" s="169"/>
    </row>
    <row r="768" spans="2:4" ht="20.25" customHeight="1" x14ac:dyDescent="0.25">
      <c r="B768" s="125" t="s">
        <v>881</v>
      </c>
      <c r="D768" s="169"/>
    </row>
    <row r="769" spans="2:4" ht="20.25" customHeight="1" x14ac:dyDescent="0.25">
      <c r="B769" s="136" t="s">
        <v>343</v>
      </c>
      <c r="D769" s="169"/>
    </row>
    <row r="770" spans="2:4" ht="20.25" customHeight="1" x14ac:dyDescent="0.25">
      <c r="B770" s="125" t="s">
        <v>882</v>
      </c>
      <c r="D770" s="169"/>
    </row>
    <row r="771" spans="2:4" ht="20.25" customHeight="1" x14ac:dyDescent="0.25">
      <c r="B771" s="125" t="s">
        <v>883</v>
      </c>
      <c r="D771" s="169"/>
    </row>
    <row r="772" spans="2:4" ht="20.25" customHeight="1" x14ac:dyDescent="0.25">
      <c r="B772" s="125" t="s">
        <v>884</v>
      </c>
      <c r="D772" s="165">
        <v>45049</v>
      </c>
    </row>
    <row r="773" spans="2:4" ht="20.25" customHeight="1" x14ac:dyDescent="0.25">
      <c r="B773" s="125" t="s">
        <v>885</v>
      </c>
      <c r="D773" s="179">
        <v>45040</v>
      </c>
    </row>
    <row r="774" spans="2:4" ht="20.25" customHeight="1" x14ac:dyDescent="0.25">
      <c r="B774" s="125" t="s">
        <v>886</v>
      </c>
      <c r="D774" s="169"/>
    </row>
    <row r="775" spans="2:4" ht="20.25" customHeight="1" x14ac:dyDescent="0.25">
      <c r="B775" s="125" t="s">
        <v>887</v>
      </c>
      <c r="D775" s="169"/>
    </row>
    <row r="776" spans="2:4" ht="20.25" customHeight="1" x14ac:dyDescent="0.25">
      <c r="B776" s="128" t="s">
        <v>888</v>
      </c>
      <c r="D776" s="153" t="s">
        <v>24</v>
      </c>
    </row>
    <row r="777" spans="2:4" ht="20.25" customHeight="1" x14ac:dyDescent="0.25">
      <c r="B777" s="125" t="s">
        <v>889</v>
      </c>
      <c r="D777" s="169"/>
    </row>
    <row r="778" spans="2:4" ht="20.25" customHeight="1" x14ac:dyDescent="0.25">
      <c r="B778" s="125" t="s">
        <v>890</v>
      </c>
      <c r="D778" s="169"/>
    </row>
    <row r="779" spans="2:4" ht="20.25" customHeight="1" x14ac:dyDescent="0.25">
      <c r="B779" s="125" t="s">
        <v>891</v>
      </c>
      <c r="D779" s="169"/>
    </row>
    <row r="780" spans="2:4" ht="20.25" customHeight="1" x14ac:dyDescent="0.25">
      <c r="B780" s="125" t="s">
        <v>892</v>
      </c>
      <c r="D780" s="169"/>
    </row>
    <row r="781" spans="2:4" ht="20.25" customHeight="1" x14ac:dyDescent="0.25">
      <c r="B781" s="125" t="s">
        <v>893</v>
      </c>
      <c r="D781" s="169"/>
    </row>
    <row r="782" spans="2:4" ht="20.25" customHeight="1" x14ac:dyDescent="0.25">
      <c r="B782" s="125" t="s">
        <v>894</v>
      </c>
      <c r="D782" s="169"/>
    </row>
    <row r="783" spans="2:4" ht="20.25" customHeight="1" x14ac:dyDescent="0.25">
      <c r="B783" s="125" t="s">
        <v>895</v>
      </c>
      <c r="D783" s="153" t="s">
        <v>24</v>
      </c>
    </row>
    <row r="784" spans="2:4" ht="20.25" customHeight="1" x14ac:dyDescent="0.25">
      <c r="B784" s="125" t="s">
        <v>896</v>
      </c>
      <c r="D784" s="165">
        <v>45105</v>
      </c>
    </row>
    <row r="785" spans="2:4" ht="20.25" customHeight="1" x14ac:dyDescent="0.25">
      <c r="B785" s="125" t="s">
        <v>897</v>
      </c>
      <c r="D785" s="179">
        <v>45040</v>
      </c>
    </row>
    <row r="786" spans="2:4" ht="20.25" customHeight="1" x14ac:dyDescent="0.25">
      <c r="B786" s="125" t="s">
        <v>898</v>
      </c>
      <c r="D786" s="169"/>
    </row>
    <row r="787" spans="2:4" ht="20.25" customHeight="1" x14ac:dyDescent="0.25">
      <c r="B787" s="125" t="s">
        <v>899</v>
      </c>
      <c r="D787" s="153" t="s">
        <v>24</v>
      </c>
    </row>
    <row r="788" spans="2:4" ht="20.25" customHeight="1" x14ac:dyDescent="0.25">
      <c r="B788" s="125" t="s">
        <v>900</v>
      </c>
      <c r="D788" s="153" t="s">
        <v>24</v>
      </c>
    </row>
    <row r="789" spans="2:4" ht="20.25" customHeight="1" x14ac:dyDescent="0.25">
      <c r="B789" s="125" t="s">
        <v>901</v>
      </c>
      <c r="D789" s="169"/>
    </row>
    <row r="790" spans="2:4" ht="20.25" customHeight="1" x14ac:dyDescent="0.25">
      <c r="B790" s="125" t="s">
        <v>902</v>
      </c>
      <c r="D790" s="169"/>
    </row>
    <row r="791" spans="2:4" ht="20.25" customHeight="1" x14ac:dyDescent="0.25">
      <c r="B791" s="125" t="s">
        <v>903</v>
      </c>
      <c r="D791" s="169"/>
    </row>
    <row r="792" spans="2:4" ht="20.25" customHeight="1" x14ac:dyDescent="0.25">
      <c r="B792" s="125" t="s">
        <v>205</v>
      </c>
      <c r="D792" s="153" t="s">
        <v>24</v>
      </c>
    </row>
    <row r="793" spans="2:4" ht="20.25" customHeight="1" x14ac:dyDescent="0.25">
      <c r="B793" s="125" t="s">
        <v>198</v>
      </c>
      <c r="D793" s="169"/>
    </row>
    <row r="794" spans="2:4" ht="20.25" customHeight="1" x14ac:dyDescent="0.25">
      <c r="B794" s="125" t="s">
        <v>904</v>
      </c>
      <c r="D794" s="159">
        <v>44910</v>
      </c>
    </row>
    <row r="795" spans="2:4" ht="20.25" customHeight="1" x14ac:dyDescent="0.25">
      <c r="B795" s="125" t="s">
        <v>905</v>
      </c>
      <c r="D795" s="169"/>
    </row>
    <row r="796" spans="2:4" ht="20.25" customHeight="1" x14ac:dyDescent="0.25">
      <c r="B796" s="125" t="s">
        <v>906</v>
      </c>
      <c r="D796" s="153" t="s">
        <v>24</v>
      </c>
    </row>
    <row r="797" spans="2:4" ht="20.25" customHeight="1" x14ac:dyDescent="0.25">
      <c r="B797" s="125" t="s">
        <v>907</v>
      </c>
      <c r="D797" s="169"/>
    </row>
    <row r="798" spans="2:4" ht="20.25" customHeight="1" x14ac:dyDescent="0.25">
      <c r="B798" s="125" t="s">
        <v>908</v>
      </c>
      <c r="D798" s="169"/>
    </row>
    <row r="799" spans="2:4" ht="20.25" customHeight="1" x14ac:dyDescent="0.25">
      <c r="B799" s="125" t="s">
        <v>909</v>
      </c>
      <c r="D799" s="169"/>
    </row>
    <row r="800" spans="2:4" ht="20.25" customHeight="1" x14ac:dyDescent="0.25">
      <c r="B800" s="125" t="s">
        <v>910</v>
      </c>
      <c r="D800" s="169"/>
    </row>
    <row r="801" spans="2:4" ht="20.25" customHeight="1" x14ac:dyDescent="0.25">
      <c r="B801" s="125" t="s">
        <v>911</v>
      </c>
      <c r="D801" s="179">
        <v>45040</v>
      </c>
    </row>
    <row r="802" spans="2:4" ht="20.25" customHeight="1" x14ac:dyDescent="0.25">
      <c r="B802" s="125" t="s">
        <v>912</v>
      </c>
      <c r="D802" s="179">
        <v>45040</v>
      </c>
    </row>
    <row r="803" spans="2:4" ht="20.25" customHeight="1" x14ac:dyDescent="0.25">
      <c r="B803" s="125" t="s">
        <v>913</v>
      </c>
      <c r="D803" s="169"/>
    </row>
    <row r="804" spans="2:4" ht="20.25" customHeight="1" x14ac:dyDescent="0.25">
      <c r="B804" s="125" t="s">
        <v>914</v>
      </c>
      <c r="D804" s="169"/>
    </row>
    <row r="805" spans="2:4" ht="20.25" customHeight="1" x14ac:dyDescent="0.25">
      <c r="B805" s="125" t="s">
        <v>915</v>
      </c>
      <c r="D805" s="179">
        <v>45040</v>
      </c>
    </row>
    <row r="806" spans="2:4" ht="20.25" customHeight="1" x14ac:dyDescent="0.25">
      <c r="B806" s="125" t="s">
        <v>916</v>
      </c>
      <c r="D806" s="159">
        <v>44890</v>
      </c>
    </row>
    <row r="807" spans="2:4" ht="20.25" customHeight="1" x14ac:dyDescent="0.25">
      <c r="B807" s="125" t="s">
        <v>917</v>
      </c>
      <c r="D807" s="169"/>
    </row>
    <row r="808" spans="2:4" ht="20.25" customHeight="1" x14ac:dyDescent="0.25">
      <c r="B808" s="125" t="s">
        <v>918</v>
      </c>
      <c r="D808" s="179">
        <v>45040</v>
      </c>
    </row>
    <row r="809" spans="2:4" ht="20.25" customHeight="1" x14ac:dyDescent="0.25">
      <c r="B809" s="125" t="s">
        <v>919</v>
      </c>
      <c r="D809" s="166"/>
    </row>
    <row r="810" spans="2:4" ht="20.25" customHeight="1" x14ac:dyDescent="0.25">
      <c r="B810" s="125" t="s">
        <v>920</v>
      </c>
      <c r="D810" s="169"/>
    </row>
    <row r="811" spans="2:4" ht="20.25" customHeight="1" x14ac:dyDescent="0.25">
      <c r="B811" s="125" t="s">
        <v>921</v>
      </c>
      <c r="D811" s="179">
        <v>45040</v>
      </c>
    </row>
    <row r="812" spans="2:4" ht="20.25" customHeight="1" x14ac:dyDescent="0.25">
      <c r="B812" s="125" t="s">
        <v>922</v>
      </c>
      <c r="D812" s="169"/>
    </row>
    <row r="813" spans="2:4" ht="20.25" customHeight="1" x14ac:dyDescent="0.25">
      <c r="B813" s="125" t="s">
        <v>923</v>
      </c>
      <c r="D813" s="169"/>
    </row>
    <row r="814" spans="2:4" ht="20.25" customHeight="1" x14ac:dyDescent="0.25">
      <c r="B814" s="125" t="s">
        <v>924</v>
      </c>
      <c r="D814" s="179">
        <v>45040</v>
      </c>
    </row>
    <row r="815" spans="2:4" ht="20.25" customHeight="1" x14ac:dyDescent="0.25">
      <c r="B815" s="125" t="s">
        <v>925</v>
      </c>
      <c r="D815" s="159">
        <v>44922</v>
      </c>
    </row>
    <row r="816" spans="2:4" ht="20.25" customHeight="1" x14ac:dyDescent="0.25">
      <c r="B816" s="125" t="s">
        <v>926</v>
      </c>
      <c r="D816" s="169"/>
    </row>
    <row r="817" spans="2:4" ht="20.25" customHeight="1" x14ac:dyDescent="0.25">
      <c r="B817" s="125" t="s">
        <v>927</v>
      </c>
      <c r="D817" s="169"/>
    </row>
    <row r="818" spans="2:4" ht="20.25" customHeight="1" x14ac:dyDescent="0.25">
      <c r="B818" s="125" t="s">
        <v>928</v>
      </c>
      <c r="D818" s="153" t="s">
        <v>24</v>
      </c>
    </row>
    <row r="819" spans="2:4" ht="20.25" customHeight="1" x14ac:dyDescent="0.25">
      <c r="B819" s="125" t="s">
        <v>929</v>
      </c>
      <c r="D819" s="159">
        <v>45056</v>
      </c>
    </row>
    <row r="820" spans="2:4" ht="20.25" customHeight="1" x14ac:dyDescent="0.25">
      <c r="B820" s="125" t="s">
        <v>345</v>
      </c>
      <c r="D820" s="169"/>
    </row>
    <row r="821" spans="2:4" ht="20.25" customHeight="1" x14ac:dyDescent="0.25">
      <c r="B821" s="125" t="s">
        <v>347</v>
      </c>
      <c r="D821" s="153" t="s">
        <v>24</v>
      </c>
    </row>
    <row r="822" spans="2:4" ht="20.25" customHeight="1" x14ac:dyDescent="0.25">
      <c r="B822" s="125" t="s">
        <v>930</v>
      </c>
      <c r="D822" s="169" t="s">
        <v>24</v>
      </c>
    </row>
    <row r="823" spans="2:4" ht="20.25" customHeight="1" x14ac:dyDescent="0.25">
      <c r="B823" s="125" t="s">
        <v>931</v>
      </c>
      <c r="D823" s="153" t="s">
        <v>24</v>
      </c>
    </row>
    <row r="824" spans="2:4" ht="20.25" customHeight="1" x14ac:dyDescent="0.25">
      <c r="B824" s="125" t="s">
        <v>932</v>
      </c>
      <c r="D824" s="169"/>
    </row>
    <row r="825" spans="2:4" ht="20.25" customHeight="1" x14ac:dyDescent="0.25">
      <c r="B825" s="125" t="s">
        <v>933</v>
      </c>
      <c r="D825" s="169"/>
    </row>
    <row r="826" spans="2:4" ht="20.25" customHeight="1" x14ac:dyDescent="0.25">
      <c r="B826" s="125" t="s">
        <v>934</v>
      </c>
      <c r="D826" s="169"/>
    </row>
    <row r="827" spans="2:4" ht="20.25" customHeight="1" x14ac:dyDescent="0.25">
      <c r="B827" s="125" t="s">
        <v>935</v>
      </c>
      <c r="D827" s="169"/>
    </row>
    <row r="828" spans="2:4" ht="20.25" customHeight="1" x14ac:dyDescent="0.25">
      <c r="B828" s="125" t="s">
        <v>936</v>
      </c>
      <c r="D828" s="169"/>
    </row>
    <row r="829" spans="2:4" ht="20.25" customHeight="1" x14ac:dyDescent="0.25">
      <c r="B829" s="125" t="s">
        <v>937</v>
      </c>
      <c r="D829" s="169"/>
    </row>
    <row r="830" spans="2:4" ht="20.25" customHeight="1" x14ac:dyDescent="0.25">
      <c r="B830" s="125" t="s">
        <v>938</v>
      </c>
      <c r="D830" s="169"/>
    </row>
    <row r="831" spans="2:4" ht="20.25" customHeight="1" x14ac:dyDescent="0.25">
      <c r="B831" s="125" t="s">
        <v>939</v>
      </c>
      <c r="D831" s="169"/>
    </row>
    <row r="832" spans="2:4" ht="20.25" customHeight="1" x14ac:dyDescent="0.25">
      <c r="B832" s="125" t="s">
        <v>940</v>
      </c>
      <c r="D832" s="169"/>
    </row>
    <row r="833" spans="2:4" ht="20.25" customHeight="1" x14ac:dyDescent="0.25">
      <c r="B833" s="125" t="s">
        <v>941</v>
      </c>
      <c r="D833" s="169"/>
    </row>
    <row r="834" spans="2:4" ht="20.25" customHeight="1" x14ac:dyDescent="0.25">
      <c r="B834" s="125" t="s">
        <v>942</v>
      </c>
      <c r="D834" s="153" t="s">
        <v>24</v>
      </c>
    </row>
    <row r="835" spans="2:4" ht="20.25" customHeight="1" x14ac:dyDescent="0.25">
      <c r="B835" s="125" t="s">
        <v>943</v>
      </c>
      <c r="D835" s="153" t="s">
        <v>24</v>
      </c>
    </row>
    <row r="836" spans="2:4" ht="20.25" customHeight="1" x14ac:dyDescent="0.25">
      <c r="B836" s="125" t="s">
        <v>944</v>
      </c>
      <c r="D836" s="153" t="s">
        <v>24</v>
      </c>
    </row>
    <row r="837" spans="2:4" ht="20.25" customHeight="1" x14ac:dyDescent="0.25">
      <c r="B837" s="125" t="s">
        <v>945</v>
      </c>
      <c r="D837" s="170"/>
    </row>
    <row r="838" spans="2:4" ht="20.25" customHeight="1" x14ac:dyDescent="0.25">
      <c r="B838" s="125" t="s">
        <v>946</v>
      </c>
      <c r="D838" s="169"/>
    </row>
    <row r="839" spans="2:4" ht="20.25" customHeight="1" x14ac:dyDescent="0.25">
      <c r="B839" s="125" t="s">
        <v>947</v>
      </c>
      <c r="D839" s="169"/>
    </row>
    <row r="840" spans="2:4" ht="20.25" customHeight="1" x14ac:dyDescent="0.25">
      <c r="B840" s="125" t="s">
        <v>948</v>
      </c>
      <c r="D840" s="169"/>
    </row>
    <row r="841" spans="2:4" ht="20.25" customHeight="1" x14ac:dyDescent="0.25">
      <c r="B841" s="125" t="s">
        <v>949</v>
      </c>
      <c r="D841" s="169"/>
    </row>
    <row r="842" spans="2:4" ht="20.25" customHeight="1" x14ac:dyDescent="0.25">
      <c r="B842" s="126" t="s">
        <v>950</v>
      </c>
      <c r="D842" s="169"/>
    </row>
    <row r="843" spans="2:4" ht="20.25" customHeight="1" x14ac:dyDescent="0.25">
      <c r="B843" s="126" t="s">
        <v>951</v>
      </c>
      <c r="D843" s="169"/>
    </row>
    <row r="844" spans="2:4" ht="20.25" customHeight="1" x14ac:dyDescent="0.25">
      <c r="B844" s="125" t="s">
        <v>200</v>
      </c>
      <c r="D844" s="169"/>
    </row>
    <row r="845" spans="2:4" ht="20.25" customHeight="1" x14ac:dyDescent="0.25">
      <c r="B845" s="126" t="s">
        <v>952</v>
      </c>
      <c r="D845" s="169"/>
    </row>
    <row r="846" spans="2:4" ht="20.25" customHeight="1" x14ac:dyDescent="0.25">
      <c r="B846" s="126" t="s">
        <v>953</v>
      </c>
      <c r="D846" s="169"/>
    </row>
    <row r="847" spans="2:4" ht="20.25" customHeight="1" x14ac:dyDescent="0.25">
      <c r="B847" s="126" t="s">
        <v>954</v>
      </c>
      <c r="D847" s="169"/>
    </row>
    <row r="848" spans="2:4" ht="20.25" customHeight="1" x14ac:dyDescent="0.25">
      <c r="B848" s="126" t="s">
        <v>955</v>
      </c>
      <c r="D848" s="169"/>
    </row>
    <row r="849" spans="2:4" ht="20.25" customHeight="1" x14ac:dyDescent="0.25">
      <c r="B849" s="126" t="s">
        <v>956</v>
      </c>
      <c r="D849" s="169"/>
    </row>
    <row r="850" spans="2:4" ht="20.25" customHeight="1" x14ac:dyDescent="0.25">
      <c r="B850" s="126" t="s">
        <v>957</v>
      </c>
      <c r="D850" s="169"/>
    </row>
    <row r="851" spans="2:4" ht="20.25" customHeight="1" x14ac:dyDescent="0.25">
      <c r="B851" s="126" t="s">
        <v>958</v>
      </c>
      <c r="D851" s="169"/>
    </row>
    <row r="852" spans="2:4" ht="20.25" customHeight="1" x14ac:dyDescent="0.25">
      <c r="B852" s="126" t="s">
        <v>959</v>
      </c>
      <c r="D852" s="169"/>
    </row>
    <row r="853" spans="2:4" ht="20.25" customHeight="1" x14ac:dyDescent="0.25">
      <c r="B853" s="126" t="s">
        <v>960</v>
      </c>
      <c r="D853" s="169"/>
    </row>
    <row r="854" spans="2:4" ht="20.25" customHeight="1" x14ac:dyDescent="0.25">
      <c r="B854" s="126" t="s">
        <v>961</v>
      </c>
      <c r="D854" s="169"/>
    </row>
    <row r="855" spans="2:4" ht="20.25" customHeight="1" x14ac:dyDescent="0.25">
      <c r="B855" s="126" t="s">
        <v>962</v>
      </c>
      <c r="D855" s="169"/>
    </row>
    <row r="856" spans="2:4" ht="20.25" customHeight="1" x14ac:dyDescent="0.25">
      <c r="B856" s="126" t="s">
        <v>963</v>
      </c>
      <c r="D856" s="169"/>
    </row>
    <row r="857" spans="2:4" ht="20.25" customHeight="1" x14ac:dyDescent="0.25">
      <c r="B857" s="126" t="s">
        <v>964</v>
      </c>
      <c r="D857" s="169"/>
    </row>
    <row r="858" spans="2:4" ht="20.25" customHeight="1" x14ac:dyDescent="0.25">
      <c r="B858" s="126" t="s">
        <v>965</v>
      </c>
      <c r="D858" s="169"/>
    </row>
    <row r="859" spans="2:4" ht="20.25" customHeight="1" x14ac:dyDescent="0.25">
      <c r="B859" s="126" t="s">
        <v>966</v>
      </c>
      <c r="D859" s="169"/>
    </row>
    <row r="860" spans="2:4" ht="20.25" customHeight="1" x14ac:dyDescent="0.25">
      <c r="B860" s="126" t="s">
        <v>967</v>
      </c>
      <c r="D860" s="169"/>
    </row>
    <row r="861" spans="2:4" ht="20.25" customHeight="1" x14ac:dyDescent="0.25">
      <c r="B861" s="126" t="s">
        <v>968</v>
      </c>
      <c r="D861" s="169"/>
    </row>
    <row r="862" spans="2:4" ht="20.25" customHeight="1" x14ac:dyDescent="0.25">
      <c r="B862" s="126" t="s">
        <v>969</v>
      </c>
      <c r="D862" s="169"/>
    </row>
    <row r="863" spans="2:4" ht="20.25" customHeight="1" x14ac:dyDescent="0.25">
      <c r="B863" s="126" t="s">
        <v>970</v>
      </c>
      <c r="D863" s="169"/>
    </row>
    <row r="864" spans="2:4" ht="20.25" customHeight="1" x14ac:dyDescent="0.25">
      <c r="B864" s="126" t="s">
        <v>971</v>
      </c>
      <c r="D864" s="169"/>
    </row>
    <row r="865" spans="2:4" ht="20.25" customHeight="1" x14ac:dyDescent="0.25">
      <c r="B865" s="126" t="s">
        <v>972</v>
      </c>
      <c r="D865" s="169"/>
    </row>
    <row r="866" spans="2:4" ht="20.25" customHeight="1" x14ac:dyDescent="0.25">
      <c r="B866" s="126" t="s">
        <v>973</v>
      </c>
      <c r="D866" s="169"/>
    </row>
    <row r="867" spans="2:4" ht="20.25" customHeight="1" x14ac:dyDescent="0.25">
      <c r="B867" s="126" t="s">
        <v>974</v>
      </c>
      <c r="D867" s="169"/>
    </row>
    <row r="868" spans="2:4" ht="20.25" customHeight="1" x14ac:dyDescent="0.25">
      <c r="B868" s="126" t="s">
        <v>975</v>
      </c>
      <c r="D868" s="169"/>
    </row>
    <row r="869" spans="2:4" ht="20.25" customHeight="1" x14ac:dyDescent="0.25">
      <c r="B869" s="126" t="s">
        <v>976</v>
      </c>
      <c r="D869" s="169"/>
    </row>
    <row r="870" spans="2:4" ht="20.25" customHeight="1" x14ac:dyDescent="0.25">
      <c r="B870" s="126" t="s">
        <v>977</v>
      </c>
      <c r="D870" s="169"/>
    </row>
    <row r="871" spans="2:4" ht="20.25" customHeight="1" x14ac:dyDescent="0.25">
      <c r="B871" s="126" t="s">
        <v>978</v>
      </c>
      <c r="D871" s="153" t="s">
        <v>24</v>
      </c>
    </row>
    <row r="872" spans="2:4" ht="20.25" customHeight="1" x14ac:dyDescent="0.25">
      <c r="B872" s="126" t="s">
        <v>979</v>
      </c>
      <c r="D872" s="169"/>
    </row>
    <row r="873" spans="2:4" ht="20.25" customHeight="1" x14ac:dyDescent="0.25">
      <c r="B873" s="126" t="s">
        <v>232</v>
      </c>
      <c r="D873" s="169"/>
    </row>
    <row r="874" spans="2:4" ht="20.25" customHeight="1" x14ac:dyDescent="0.25">
      <c r="B874" s="126" t="s">
        <v>349</v>
      </c>
      <c r="D874" s="169"/>
    </row>
    <row r="875" spans="2:4" ht="20.25" customHeight="1" x14ac:dyDescent="0.25">
      <c r="B875" s="126" t="s">
        <v>980</v>
      </c>
      <c r="D875" s="169"/>
    </row>
    <row r="876" spans="2:4" ht="20.25" customHeight="1" x14ac:dyDescent="0.25">
      <c r="B876" s="126" t="s">
        <v>981</v>
      </c>
      <c r="D876" s="165">
        <v>45065</v>
      </c>
    </row>
    <row r="877" spans="2:4" ht="20.25" customHeight="1" x14ac:dyDescent="0.25">
      <c r="B877" s="126" t="s">
        <v>246</v>
      </c>
      <c r="D877" s="153" t="s">
        <v>24</v>
      </c>
    </row>
    <row r="878" spans="2:4" ht="20.25" customHeight="1" x14ac:dyDescent="0.25">
      <c r="B878" s="126" t="s">
        <v>982</v>
      </c>
      <c r="D878" s="165">
        <v>45148</v>
      </c>
    </row>
    <row r="879" spans="2:4" ht="20.25" customHeight="1" x14ac:dyDescent="0.25">
      <c r="B879" s="126" t="s">
        <v>983</v>
      </c>
      <c r="D879" s="153" t="s">
        <v>24</v>
      </c>
    </row>
    <row r="880" spans="2:4" ht="20.25" customHeight="1" x14ac:dyDescent="0.25">
      <c r="B880" s="126" t="s">
        <v>351</v>
      </c>
      <c r="D880" s="153" t="s">
        <v>24</v>
      </c>
    </row>
    <row r="881" spans="2:4" ht="20.25" customHeight="1" x14ac:dyDescent="0.25">
      <c r="B881" s="127"/>
      <c r="D881" s="169"/>
    </row>
    <row r="882" spans="2:4" ht="20.25" customHeight="1" x14ac:dyDescent="0.25">
      <c r="B882" s="127"/>
      <c r="D882" s="169"/>
    </row>
    <row r="883" spans="2:4" ht="20.25" customHeight="1" x14ac:dyDescent="0.25">
      <c r="B883" s="127"/>
      <c r="D883" s="169"/>
    </row>
    <row r="884" spans="2:4" ht="20.25" customHeight="1" x14ac:dyDescent="0.25">
      <c r="B884" s="127"/>
      <c r="D884" s="159">
        <v>44910</v>
      </c>
    </row>
    <row r="885" spans="2:4" ht="20.25" customHeight="1" x14ac:dyDescent="0.25">
      <c r="B885" s="127"/>
      <c r="D885" s="165">
        <v>45065</v>
      </c>
    </row>
    <row r="886" spans="2:4" ht="20.25" customHeight="1" x14ac:dyDescent="0.25">
      <c r="B886" s="127"/>
      <c r="D886" s="153" t="s">
        <v>24</v>
      </c>
    </row>
    <row r="887" spans="2:4" ht="20.25" customHeight="1" x14ac:dyDescent="0.25">
      <c r="B887" s="127"/>
      <c r="D887" s="153" t="s">
        <v>24</v>
      </c>
    </row>
    <row r="888" spans="2:4" ht="20.25" customHeight="1" x14ac:dyDescent="0.25">
      <c r="B888" s="127"/>
      <c r="D888" s="165">
        <v>45049</v>
      </c>
    </row>
    <row r="889" spans="2:4" ht="20.25" customHeight="1" x14ac:dyDescent="0.25">
      <c r="B889" s="127"/>
      <c r="D889" s="169"/>
    </row>
    <row r="890" spans="2:4" ht="20.25" customHeight="1" x14ac:dyDescent="0.25">
      <c r="B890" s="127"/>
      <c r="D890" s="153" t="s">
        <v>24</v>
      </c>
    </row>
    <row r="891" spans="2:4" ht="20.25" customHeight="1" x14ac:dyDescent="0.25">
      <c r="B891" s="127"/>
      <c r="D891" s="179">
        <v>45040</v>
      </c>
    </row>
    <row r="892" spans="2:4" ht="20.25" customHeight="1" x14ac:dyDescent="0.25">
      <c r="B892" s="127"/>
      <c r="D892" s="169"/>
    </row>
    <row r="893" spans="2:4" ht="20.25" customHeight="1" x14ac:dyDescent="0.25">
      <c r="B893" s="127"/>
      <c r="D893" s="169"/>
    </row>
    <row r="894" spans="2:4" ht="20.25" customHeight="1" x14ac:dyDescent="0.25">
      <c r="B894" s="127"/>
      <c r="D894" s="169"/>
    </row>
    <row r="895" spans="2:4" ht="20.25" customHeight="1" x14ac:dyDescent="0.25">
      <c r="B895" s="127"/>
      <c r="D895" s="169"/>
    </row>
    <row r="896" spans="2:4" ht="20.25" customHeight="1" x14ac:dyDescent="0.25">
      <c r="B896" s="127"/>
      <c r="D896" s="169"/>
    </row>
    <row r="897" spans="2:4" ht="20.25" customHeight="1" x14ac:dyDescent="0.25">
      <c r="B897" s="127"/>
      <c r="D897" s="169"/>
    </row>
    <row r="898" spans="2:4" ht="20.25" customHeight="1" x14ac:dyDescent="0.25">
      <c r="B898" s="127"/>
      <c r="D898" s="169"/>
    </row>
    <row r="899" spans="2:4" ht="20.25" customHeight="1" x14ac:dyDescent="0.25">
      <c r="B899" s="127"/>
      <c r="D899" s="169"/>
    </row>
    <row r="900" spans="2:4" ht="20.25" customHeight="1" x14ac:dyDescent="0.25">
      <c r="B900" s="127"/>
      <c r="D900" s="169"/>
    </row>
    <row r="901" spans="2:4" ht="20.25" customHeight="1" x14ac:dyDescent="0.25">
      <c r="B901" s="127"/>
      <c r="D901" s="169"/>
    </row>
    <row r="902" spans="2:4" ht="20.25" customHeight="1" x14ac:dyDescent="0.25">
      <c r="B902" s="127"/>
      <c r="D902" s="169"/>
    </row>
    <row r="903" spans="2:4" ht="20.25" customHeight="1" x14ac:dyDescent="0.25">
      <c r="B903" s="127"/>
      <c r="D903" s="169"/>
    </row>
    <row r="904" spans="2:4" ht="20.25" customHeight="1" x14ac:dyDescent="0.25">
      <c r="B904" s="127"/>
      <c r="D904" s="153" t="s">
        <v>24</v>
      </c>
    </row>
    <row r="905" spans="2:4" ht="20.25" customHeight="1" x14ac:dyDescent="0.25">
      <c r="B905" s="127"/>
      <c r="D905" s="169"/>
    </row>
    <row r="906" spans="2:4" ht="20.25" customHeight="1" x14ac:dyDescent="0.25">
      <c r="B906" s="127"/>
      <c r="D906" s="169"/>
    </row>
    <row r="907" spans="2:4" ht="20.25" customHeight="1" x14ac:dyDescent="0.25">
      <c r="B907" s="127"/>
      <c r="D907" s="169"/>
    </row>
    <row r="908" spans="2:4" ht="20.25" customHeight="1" x14ac:dyDescent="0.25">
      <c r="B908" s="127"/>
      <c r="D908" s="169"/>
    </row>
    <row r="909" spans="2:4" ht="20.25" customHeight="1" x14ac:dyDescent="0.25">
      <c r="B909" s="127"/>
      <c r="D909" s="169"/>
    </row>
    <row r="910" spans="2:4" ht="20.25" customHeight="1" x14ac:dyDescent="0.25">
      <c r="B910" s="127"/>
      <c r="D910" s="169"/>
    </row>
    <row r="911" spans="2:4" ht="20.25" customHeight="1" x14ac:dyDescent="0.25">
      <c r="B911" s="127"/>
      <c r="D911" s="169"/>
    </row>
    <row r="912" spans="2:4" ht="20.25" customHeight="1" x14ac:dyDescent="0.25">
      <c r="B912" s="127"/>
      <c r="D912" s="169"/>
    </row>
    <row r="913" spans="2:4" ht="20.25" customHeight="1" x14ac:dyDescent="0.25">
      <c r="B913" s="127"/>
      <c r="D913" s="169"/>
    </row>
    <row r="914" spans="2:4" ht="20.25" customHeight="1" x14ac:dyDescent="0.25">
      <c r="B914" s="127"/>
      <c r="D914" s="169"/>
    </row>
    <row r="915" spans="2:4" ht="20.25" customHeight="1" x14ac:dyDescent="0.25">
      <c r="B915" s="127"/>
      <c r="D915" s="169"/>
    </row>
    <row r="916" spans="2:4" ht="20.25" customHeight="1" x14ac:dyDescent="0.25">
      <c r="B916" s="127"/>
      <c r="D916" s="169"/>
    </row>
    <row r="917" spans="2:4" ht="20.25" customHeight="1" x14ac:dyDescent="0.25">
      <c r="B917" s="127"/>
      <c r="D917" s="169"/>
    </row>
    <row r="918" spans="2:4" ht="20.25" customHeight="1" x14ac:dyDescent="0.25">
      <c r="B918" s="127"/>
      <c r="D918" s="169"/>
    </row>
    <row r="919" spans="2:4" ht="20.25" customHeight="1" x14ac:dyDescent="0.25">
      <c r="B919" s="127"/>
      <c r="D919" s="169"/>
    </row>
    <row r="920" spans="2:4" ht="20.25" customHeight="1" x14ac:dyDescent="0.25">
      <c r="B920" s="127"/>
      <c r="D920" s="169"/>
    </row>
    <row r="921" spans="2:4" ht="20.25" customHeight="1" x14ac:dyDescent="0.25">
      <c r="B921" s="127"/>
      <c r="D921" s="169"/>
    </row>
    <row r="922" spans="2:4" ht="20.25" customHeight="1" x14ac:dyDescent="0.25">
      <c r="B922" s="127"/>
      <c r="D922" s="169"/>
    </row>
    <row r="923" spans="2:4" ht="20.25" customHeight="1" x14ac:dyDescent="0.25">
      <c r="B923" s="127"/>
      <c r="D923" s="169"/>
    </row>
    <row r="924" spans="2:4" ht="20.25" customHeight="1" x14ac:dyDescent="0.25">
      <c r="B924" s="127"/>
      <c r="D924" s="169"/>
    </row>
    <row r="925" spans="2:4" ht="20.25" customHeight="1" x14ac:dyDescent="0.25">
      <c r="B925" s="127"/>
      <c r="D925" s="169"/>
    </row>
    <row r="926" spans="2:4" ht="20.25" customHeight="1" x14ac:dyDescent="0.25">
      <c r="B926" s="127"/>
      <c r="D926" s="169"/>
    </row>
    <row r="927" spans="2:4" ht="20.25" customHeight="1" x14ac:dyDescent="0.25">
      <c r="B927" s="127"/>
      <c r="D927" s="169"/>
    </row>
    <row r="928" spans="2:4" ht="20.25" customHeight="1" x14ac:dyDescent="0.25">
      <c r="B928" s="127"/>
      <c r="D928" s="169"/>
    </row>
    <row r="929" spans="2:4" ht="20.25" customHeight="1" x14ac:dyDescent="0.25">
      <c r="B929" s="127"/>
      <c r="D929" s="169"/>
    </row>
    <row r="930" spans="2:4" ht="20.25" customHeight="1" x14ac:dyDescent="0.25">
      <c r="B930" s="127"/>
      <c r="D930" s="169"/>
    </row>
    <row r="931" spans="2:4" ht="20.25" customHeight="1" x14ac:dyDescent="0.25">
      <c r="B931" s="127"/>
      <c r="D931" s="169"/>
    </row>
    <row r="932" spans="2:4" ht="20.25" customHeight="1" x14ac:dyDescent="0.25">
      <c r="B932" s="127"/>
      <c r="D932" s="169"/>
    </row>
    <row r="933" spans="2:4" ht="20.25" customHeight="1" x14ac:dyDescent="0.25">
      <c r="B933" s="127"/>
      <c r="D933" s="169"/>
    </row>
    <row r="934" spans="2:4" ht="20.25" customHeight="1" x14ac:dyDescent="0.25">
      <c r="B934" s="127"/>
      <c r="D934" s="169"/>
    </row>
    <row r="935" spans="2:4" ht="20.25" customHeight="1" x14ac:dyDescent="0.25">
      <c r="B935" s="127"/>
      <c r="D935" s="169"/>
    </row>
    <row r="936" spans="2:4" ht="20.25" customHeight="1" x14ac:dyDescent="0.25">
      <c r="B936" s="127"/>
      <c r="D936" s="169"/>
    </row>
    <row r="937" spans="2:4" ht="20.25" customHeight="1" x14ac:dyDescent="0.25">
      <c r="B937" s="127"/>
      <c r="D937" s="169"/>
    </row>
    <row r="938" spans="2:4" ht="20.25" customHeight="1" x14ac:dyDescent="0.25">
      <c r="B938" s="123"/>
      <c r="D938" s="169"/>
    </row>
    <row r="939" spans="2:4" ht="20.25" customHeight="1" x14ac:dyDescent="0.25">
      <c r="B939" s="123"/>
      <c r="D939" s="169"/>
    </row>
    <row r="940" spans="2:4" ht="20.25" customHeight="1" x14ac:dyDescent="0.25">
      <c r="B940" s="123"/>
      <c r="D940" s="169"/>
    </row>
    <row r="941" spans="2:4" ht="20.25" customHeight="1" x14ac:dyDescent="0.25">
      <c r="B941" s="123"/>
      <c r="D941" s="153" t="s">
        <v>24</v>
      </c>
    </row>
    <row r="942" spans="2:4" ht="20.25" customHeight="1" x14ac:dyDescent="0.25">
      <c r="B942" s="123"/>
      <c r="D942" s="153" t="s">
        <v>24</v>
      </c>
    </row>
    <row r="943" spans="2:4" ht="20.25" customHeight="1" x14ac:dyDescent="0.25">
      <c r="B943" s="123"/>
      <c r="D943" s="169"/>
    </row>
    <row r="944" spans="2:4" ht="20.25" customHeight="1" x14ac:dyDescent="0.25">
      <c r="B944" s="123"/>
      <c r="D944" s="169"/>
    </row>
    <row r="945" spans="2:4" ht="20.25" customHeight="1" x14ac:dyDescent="0.25">
      <c r="B945" s="123"/>
      <c r="D945" s="169"/>
    </row>
    <row r="946" spans="2:4" ht="20.25" customHeight="1" x14ac:dyDescent="0.25">
      <c r="B946" s="123"/>
      <c r="D946" s="169"/>
    </row>
    <row r="947" spans="2:4" ht="20.25" customHeight="1" x14ac:dyDescent="0.25">
      <c r="B947" s="123"/>
      <c r="D947" s="169"/>
    </row>
    <row r="948" spans="2:4" ht="20.25" customHeight="1" x14ac:dyDescent="0.25">
      <c r="B948" s="123"/>
      <c r="D948" s="169"/>
    </row>
    <row r="949" spans="2:4" ht="20.25" customHeight="1" x14ac:dyDescent="0.25">
      <c r="B949" s="123"/>
      <c r="D949" s="169"/>
    </row>
    <row r="950" spans="2:4" ht="20.25" customHeight="1" x14ac:dyDescent="0.25">
      <c r="B950" s="123"/>
      <c r="D950" s="169"/>
    </row>
    <row r="951" spans="2:4" ht="20.25" customHeight="1" x14ac:dyDescent="0.25">
      <c r="B951" s="123"/>
      <c r="D951" s="169"/>
    </row>
    <row r="952" spans="2:4" ht="20.25" customHeight="1" x14ac:dyDescent="0.25">
      <c r="B952" s="123"/>
      <c r="D952" s="169"/>
    </row>
    <row r="953" spans="2:4" ht="20.25" customHeight="1" x14ac:dyDescent="0.25">
      <c r="B953" s="123"/>
      <c r="D953" s="153" t="s">
        <v>24</v>
      </c>
    </row>
    <row r="954" spans="2:4" ht="20.25" customHeight="1" x14ac:dyDescent="0.25">
      <c r="B954" s="123"/>
      <c r="D954" s="153" t="s">
        <v>24</v>
      </c>
    </row>
    <row r="955" spans="2:4" ht="20.25" customHeight="1" x14ac:dyDescent="0.25">
      <c r="B955" s="123"/>
      <c r="D955" s="169"/>
    </row>
    <row r="956" spans="2:4" ht="20.25" customHeight="1" x14ac:dyDescent="0.25">
      <c r="B956" s="123"/>
      <c r="D956" s="169"/>
    </row>
    <row r="957" spans="2:4" ht="20.25" customHeight="1" x14ac:dyDescent="0.25">
      <c r="B957" s="123"/>
      <c r="D957" s="169"/>
    </row>
    <row r="958" spans="2:4" ht="20.25" customHeight="1" x14ac:dyDescent="0.25">
      <c r="B958" s="123"/>
      <c r="D958" s="169"/>
    </row>
    <row r="959" spans="2:4" ht="20.25" customHeight="1" x14ac:dyDescent="0.25">
      <c r="B959" s="123"/>
      <c r="D959" s="165">
        <v>45049</v>
      </c>
    </row>
    <row r="960" spans="2:4" ht="20.25" customHeight="1" x14ac:dyDescent="0.25">
      <c r="B960" s="123"/>
      <c r="D960" s="169"/>
    </row>
    <row r="961" spans="2:4" ht="20.25" customHeight="1" x14ac:dyDescent="0.25">
      <c r="B961" s="123"/>
      <c r="D961" s="169"/>
    </row>
    <row r="962" spans="2:4" ht="20.25" customHeight="1" x14ac:dyDescent="0.25">
      <c r="B962" s="123"/>
      <c r="D962" s="169"/>
    </row>
    <row r="963" spans="2:4" ht="20.25" customHeight="1" x14ac:dyDescent="0.25">
      <c r="B963" s="123"/>
      <c r="D963" s="169"/>
    </row>
    <row r="964" spans="2:4" ht="20.25" customHeight="1" x14ac:dyDescent="0.25">
      <c r="B964" s="123"/>
      <c r="D964" s="169"/>
    </row>
    <row r="965" spans="2:4" ht="20.25" customHeight="1" x14ac:dyDescent="0.25">
      <c r="B965" s="123"/>
      <c r="D965" s="169"/>
    </row>
    <row r="966" spans="2:4" ht="20.25" customHeight="1" x14ac:dyDescent="0.25">
      <c r="B966" s="123"/>
      <c r="D966" s="169"/>
    </row>
    <row r="967" spans="2:4" ht="20.25" customHeight="1" x14ac:dyDescent="0.25">
      <c r="B967" s="123"/>
      <c r="D967" s="169"/>
    </row>
    <row r="968" spans="2:4" ht="20.25" customHeight="1" x14ac:dyDescent="0.25">
      <c r="B968" s="123"/>
      <c r="D968" s="169"/>
    </row>
    <row r="969" spans="2:4" ht="20.25" customHeight="1" x14ac:dyDescent="0.25">
      <c r="B969" s="123"/>
      <c r="D969" s="169"/>
    </row>
    <row r="970" spans="2:4" ht="20.25" customHeight="1" x14ac:dyDescent="0.25">
      <c r="B970" s="123"/>
      <c r="D970" s="169"/>
    </row>
    <row r="971" spans="2:4" ht="20.25" customHeight="1" x14ac:dyDescent="0.25">
      <c r="B971" s="123"/>
      <c r="D971" s="169"/>
    </row>
    <row r="972" spans="2:4" ht="20.25" customHeight="1" x14ac:dyDescent="0.25">
      <c r="B972" s="123"/>
      <c r="D972" s="169"/>
    </row>
    <row r="973" spans="2:4" ht="20.25" customHeight="1" x14ac:dyDescent="0.25">
      <c r="B973" s="123"/>
      <c r="D973" s="169"/>
    </row>
    <row r="974" spans="2:4" ht="20.25" customHeight="1" x14ac:dyDescent="0.25">
      <c r="B974" s="123"/>
      <c r="D974" s="169"/>
    </row>
    <row r="975" spans="2:4" ht="20.25" customHeight="1" x14ac:dyDescent="0.25">
      <c r="B975" s="123"/>
      <c r="D975" s="169"/>
    </row>
    <row r="976" spans="2:4" ht="20.25" customHeight="1" x14ac:dyDescent="0.25">
      <c r="B976" s="123"/>
      <c r="D976" s="169"/>
    </row>
    <row r="977" spans="2:4" ht="20.25" customHeight="1" x14ac:dyDescent="0.25">
      <c r="B977" s="123"/>
      <c r="D977" s="159">
        <v>44961</v>
      </c>
    </row>
    <row r="978" spans="2:4" ht="20.25" customHeight="1" x14ac:dyDescent="0.25">
      <c r="B978" s="123"/>
      <c r="D978" s="169"/>
    </row>
    <row r="979" spans="2:4" ht="20.25" customHeight="1" x14ac:dyDescent="0.25">
      <c r="D979" s="169"/>
    </row>
    <row r="980" spans="2:4" ht="20.25" customHeight="1" x14ac:dyDescent="0.25">
      <c r="D980" s="169"/>
    </row>
    <row r="981" spans="2:4" ht="20.25" customHeight="1" x14ac:dyDescent="0.25">
      <c r="D981" s="169"/>
    </row>
    <row r="982" spans="2:4" ht="20.25" customHeight="1" x14ac:dyDescent="0.25">
      <c r="D982" s="169"/>
    </row>
    <row r="983" spans="2:4" ht="20.25" customHeight="1" x14ac:dyDescent="0.25">
      <c r="D983" s="169"/>
    </row>
    <row r="984" spans="2:4" ht="20.25" customHeight="1" x14ac:dyDescent="0.25">
      <c r="D984" s="169"/>
    </row>
    <row r="985" spans="2:4" ht="20.25" customHeight="1" x14ac:dyDescent="0.25">
      <c r="D985" s="169"/>
    </row>
    <row r="986" spans="2:4" ht="20.25" customHeight="1" x14ac:dyDescent="0.25">
      <c r="D986" s="169"/>
    </row>
    <row r="987" spans="2:4" ht="20.25" customHeight="1" x14ac:dyDescent="0.25">
      <c r="D987" s="169"/>
    </row>
    <row r="988" spans="2:4" ht="20.25" customHeight="1" x14ac:dyDescent="0.25">
      <c r="D988" s="169"/>
    </row>
    <row r="989" spans="2:4" ht="20.25" customHeight="1" x14ac:dyDescent="0.25">
      <c r="D989" s="169"/>
    </row>
    <row r="990" spans="2:4" ht="20.25" customHeight="1" x14ac:dyDescent="0.25">
      <c r="D990" s="169"/>
    </row>
    <row r="991" spans="2:4" ht="20.25" customHeight="1" x14ac:dyDescent="0.25">
      <c r="D991" s="169"/>
    </row>
    <row r="992" spans="2:4" ht="20.25" customHeight="1" x14ac:dyDescent="0.25">
      <c r="D992" s="169"/>
    </row>
    <row r="993" spans="4:4" ht="20.25" customHeight="1" x14ac:dyDescent="0.25">
      <c r="D993" s="169"/>
    </row>
    <row r="994" spans="4:4" ht="20.25" customHeight="1" x14ac:dyDescent="0.25">
      <c r="D994" s="169"/>
    </row>
    <row r="995" spans="4:4" ht="20.25" customHeight="1" x14ac:dyDescent="0.25">
      <c r="D995" s="169"/>
    </row>
    <row r="996" spans="4:4" ht="20.25" customHeight="1" x14ac:dyDescent="0.25">
      <c r="D996" s="169"/>
    </row>
    <row r="997" spans="4:4" ht="20.25" customHeight="1" x14ac:dyDescent="0.25">
      <c r="D997" s="169"/>
    </row>
    <row r="998" spans="4:4" ht="20.25" customHeight="1" x14ac:dyDescent="0.25">
      <c r="D998" s="169"/>
    </row>
    <row r="999" spans="4:4" ht="20.25" customHeight="1" x14ac:dyDescent="0.25">
      <c r="D999" s="169"/>
    </row>
    <row r="1000" spans="4:4" ht="20.25" customHeight="1" x14ac:dyDescent="0.25">
      <c r="D1000" s="169"/>
    </row>
    <row r="1001" spans="4:4" ht="20.25" customHeight="1" x14ac:dyDescent="0.25">
      <c r="D1001" s="169"/>
    </row>
    <row r="1002" spans="4:4" ht="20.25" customHeight="1" x14ac:dyDescent="0.25">
      <c r="D1002" s="169"/>
    </row>
    <row r="1003" spans="4:4" ht="20.25" customHeight="1" x14ac:dyDescent="0.25">
      <c r="D1003" s="169"/>
    </row>
    <row r="1004" spans="4:4" ht="20.25" customHeight="1" x14ac:dyDescent="0.25">
      <c r="D1004" s="169"/>
    </row>
    <row r="1005" spans="4:4" ht="20.25" customHeight="1" x14ac:dyDescent="0.25">
      <c r="D1005" s="159">
        <v>44961</v>
      </c>
    </row>
    <row r="1006" spans="4:4" ht="20.25" customHeight="1" x14ac:dyDescent="0.25">
      <c r="D1006" s="165">
        <v>45105</v>
      </c>
    </row>
    <row r="1007" spans="4:4" ht="20.25" customHeight="1" x14ac:dyDescent="0.25">
      <c r="D1007" s="165">
        <v>45105</v>
      </c>
    </row>
    <row r="1008" spans="4:4" ht="20.25" customHeight="1" x14ac:dyDescent="0.25">
      <c r="D1008" s="169"/>
    </row>
    <row r="1009" spans="4:4" ht="20.25" customHeight="1" x14ac:dyDescent="0.25">
      <c r="D1009" s="153" t="s">
        <v>24</v>
      </c>
    </row>
    <row r="1010" spans="4:4" ht="20.25" customHeight="1" x14ac:dyDescent="0.25">
      <c r="D1010" s="159">
        <v>44961</v>
      </c>
    </row>
    <row r="1011" spans="4:4" ht="20.25" customHeight="1" x14ac:dyDescent="0.25">
      <c r="D1011" s="169"/>
    </row>
    <row r="1012" spans="4:4" ht="20.25" customHeight="1" x14ac:dyDescent="0.25">
      <c r="D1012" s="153" t="s">
        <v>24</v>
      </c>
    </row>
    <row r="1013" spans="4:4" ht="20.25" customHeight="1" x14ac:dyDescent="0.25">
      <c r="D1013" s="169"/>
    </row>
    <row r="1014" spans="4:4" ht="20.25" customHeight="1" x14ac:dyDescent="0.25">
      <c r="D1014" s="206"/>
    </row>
    <row r="1015" spans="4:4" ht="20.25" customHeight="1" x14ac:dyDescent="0.25">
      <c r="D1015" s="169"/>
    </row>
    <row r="1016" spans="4:4" ht="20.25" customHeight="1" x14ac:dyDescent="0.25">
      <c r="D1016" s="169"/>
    </row>
  </sheetData>
  <conditionalFormatting sqref="B6:B7">
    <cfRule type="duplicateValues" dxfId="63" priority="7"/>
    <cfRule type="duplicateValues" dxfId="62" priority="8"/>
  </conditionalFormatting>
  <conditionalFormatting sqref="B8">
    <cfRule type="duplicateValues" dxfId="61" priority="13"/>
    <cfRule type="duplicateValues" dxfId="60" priority="14"/>
  </conditionalFormatting>
  <conditionalFormatting sqref="B9:B15">
    <cfRule type="duplicateValues" dxfId="59" priority="150"/>
  </conditionalFormatting>
  <conditionalFormatting sqref="B16:B30">
    <cfRule type="duplicateValues" dxfId="58" priority="48"/>
  </conditionalFormatting>
  <conditionalFormatting sqref="B31:B32">
    <cfRule type="duplicateValues" dxfId="57" priority="53"/>
  </conditionalFormatting>
  <conditionalFormatting sqref="C6">
    <cfRule type="duplicateValues" dxfId="55" priority="5"/>
  </conditionalFormatting>
  <conditionalFormatting sqref="C7">
    <cfRule type="duplicateValues" dxfId="54" priority="4"/>
  </conditionalFormatting>
  <conditionalFormatting sqref="C8">
    <cfRule type="duplicateValues" dxfId="53" priority="9"/>
  </conditionalFormatting>
  <conditionalFormatting sqref="D9:D31">
    <cfRule type="cellIs" dxfId="52" priority="41" operator="between">
      <formula>36526</formula>
      <formula>402133</formula>
    </cfRule>
  </conditionalFormatting>
  <conditionalFormatting sqref="D29">
    <cfRule type="cellIs" dxfId="51" priority="49" operator="between">
      <formula>36526</formula>
      <formula>47848</formula>
    </cfRule>
  </conditionalFormatting>
  <conditionalFormatting sqref="F3:F5 F7:F11">
    <cfRule type="duplicateValues" dxfId="50" priority="118"/>
  </conditionalFormatting>
  <conditionalFormatting sqref="F3:F5 F7:F16">
    <cfRule type="duplicateValues" dxfId="49" priority="121"/>
    <cfRule type="duplicateValues" dxfId="48" priority="122"/>
    <cfRule type="duplicateValues" dxfId="47" priority="123"/>
  </conditionalFormatting>
  <conditionalFormatting sqref="F3:F16">
    <cfRule type="duplicateValues" dxfId="46" priority="130"/>
  </conditionalFormatting>
  <conditionalFormatting sqref="F3:F71 H3:H68">
    <cfRule type="duplicateValues" dxfId="45" priority="132"/>
  </conditionalFormatting>
  <conditionalFormatting sqref="F6">
    <cfRule type="duplicateValues" dxfId="44" priority="70"/>
    <cfRule type="duplicateValues" dxfId="43" priority="71"/>
    <cfRule type="duplicateValues" dxfId="42" priority="72"/>
    <cfRule type="duplicateValues" dxfId="41" priority="73"/>
    <cfRule type="duplicateValues" dxfId="40" priority="74"/>
    <cfRule type="duplicateValues" dxfId="39" priority="76"/>
    <cfRule type="duplicateValues" dxfId="38" priority="77"/>
    <cfRule type="duplicateValues" dxfId="37" priority="75"/>
  </conditionalFormatting>
  <conditionalFormatting sqref="F7:F11">
    <cfRule type="duplicateValues" dxfId="36" priority="136"/>
  </conditionalFormatting>
  <conditionalFormatting sqref="F7:F16">
    <cfRule type="duplicateValues" dxfId="35" priority="138"/>
    <cfRule type="duplicateValues" dxfId="34" priority="139"/>
    <cfRule type="duplicateValues" dxfId="33" priority="140"/>
    <cfRule type="duplicateValues" dxfId="32" priority="141"/>
    <cfRule type="duplicateValues" dxfId="31" priority="142"/>
    <cfRule type="duplicateValues" dxfId="30" priority="143"/>
  </conditionalFormatting>
  <conditionalFormatting sqref="B5">
    <cfRule type="duplicateValues" dxfId="2" priority="2"/>
    <cfRule type="duplicateValues" dxfId="1" priority="3"/>
  </conditionalFormatting>
  <conditionalFormatting sqref="C5">
    <cfRule type="duplicateValues" dxfId="0" priority="1"/>
  </conditionalFormatting>
  <dataValidations count="1">
    <dataValidation allowBlank="1" showInputMessage="1" showErrorMessage="1" sqref="F13:F16 F4:F5 B114:B145 D216:D238 B43:B49 B16:B30 D93:D103 D33:D53 D308:D310 D275 D637:D638 D350:D352 D303:D306 D314 D668 D616 D516 D454:D456 D539 D665 D130:D165 D513 D511 D572:D576 D618 D620 D627 D672 D652 D567 D592:D596 D321 D1011 D774 D583:D590 D753 D115:D125 D316:D318 D332:D335 D469:D473 D580:D581 D388:D389 D394:D398 D436 D288:D289 D736 D449:D451 D400 D127:D128 D475:D480 D633 D529 D569:D570 D499 D554:D560 D346 D278 D55:D78 D423:D426 D483:D489 D439 D978 D670 D734 D112:D113 D260 D442:D445 D761 D263:D272 D391:D392 D330 D175:D176 D86:D91 D803 D704 D80:D84 D812 D550:D551 D523 D505 D519 D786 D723 D809 D521 D820 D108:D110 D600 D292 D298:D301 D179:D193 D172:D173 D892 D323 D240:D252 D640:D643 D645:D647 D195:D214 D431:D432 D434 D355 D312 D344 D339 D254:D258 D167:D170 D286 A9:A113 A5:B8 D5:D31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F23" sqref="F23"/>
    </sheetView>
  </sheetViews>
  <sheetFormatPr defaultColWidth="9.140625" defaultRowHeight="20.25" customHeight="1" x14ac:dyDescent="0.25"/>
  <cols>
    <col min="1" max="1" width="9.140625" style="107"/>
    <col min="2" max="2" width="33.5703125" style="107" bestFit="1" customWidth="1"/>
    <col min="3" max="3" width="9.140625" style="107"/>
    <col min="4" max="4" width="8.28515625" style="107" customWidth="1"/>
    <col min="5" max="5" width="9.140625" style="107"/>
    <col min="6" max="6" width="17.140625" style="107" bestFit="1" customWidth="1"/>
    <col min="7" max="16384" width="9.140625" style="107"/>
  </cols>
  <sheetData>
    <row r="4" spans="2:6" ht="20.25" customHeight="1" x14ac:dyDescent="0.25">
      <c r="B4" s="304" t="s">
        <v>984</v>
      </c>
      <c r="C4" s="304"/>
      <c r="D4" s="304"/>
      <c r="E4" s="304"/>
      <c r="F4" s="304"/>
    </row>
    <row r="5" spans="2:6" ht="20.25" customHeight="1" x14ac:dyDescent="0.25">
      <c r="B5" s="108" t="s">
        <v>985</v>
      </c>
      <c r="C5" s="108"/>
      <c r="D5" s="108"/>
      <c r="E5" s="108"/>
      <c r="F5" s="112">
        <v>1244478.55</v>
      </c>
    </row>
    <row r="6" spans="2:6" ht="20.25" customHeight="1" x14ac:dyDescent="0.25">
      <c r="B6" s="108" t="s">
        <v>986</v>
      </c>
      <c r="C6" s="108"/>
      <c r="D6" s="108"/>
      <c r="E6" s="108"/>
      <c r="F6" s="112">
        <v>1416872.39</v>
      </c>
    </row>
    <row r="7" spans="2:6" ht="20.25" customHeight="1" x14ac:dyDescent="0.25">
      <c r="B7" s="108" t="s">
        <v>987</v>
      </c>
      <c r="C7" s="108"/>
      <c r="D7" s="108"/>
      <c r="E7" s="108"/>
      <c r="F7" s="112">
        <f>SUM(F5:F6)</f>
        <v>2661350.94</v>
      </c>
    </row>
    <row r="8" spans="2:6" ht="20.25" customHeight="1" x14ac:dyDescent="0.25">
      <c r="B8" s="103"/>
      <c r="C8" s="104"/>
      <c r="D8" s="104"/>
      <c r="E8" s="104"/>
      <c r="F8" s="104"/>
    </row>
    <row r="9" spans="2:6" ht="20.25" customHeight="1" x14ac:dyDescent="0.25">
      <c r="B9" s="304" t="s">
        <v>988</v>
      </c>
      <c r="C9" s="304"/>
      <c r="D9" s="304"/>
      <c r="E9" s="304"/>
      <c r="F9" s="304"/>
    </row>
    <row r="10" spans="2:6" ht="20.25" customHeight="1" x14ac:dyDescent="0.25">
      <c r="B10" s="108" t="s">
        <v>985</v>
      </c>
      <c r="C10" s="110"/>
      <c r="D10" s="110"/>
      <c r="E10" s="110"/>
      <c r="F10" s="112">
        <v>0</v>
      </c>
    </row>
    <row r="11" spans="2:6" ht="20.25" customHeight="1" x14ac:dyDescent="0.25">
      <c r="B11" s="108" t="s">
        <v>986</v>
      </c>
      <c r="C11" s="110"/>
      <c r="D11" s="110"/>
      <c r="E11" s="110"/>
      <c r="F11" s="112">
        <v>3434696.45</v>
      </c>
    </row>
    <row r="12" spans="2:6" ht="20.25" customHeight="1" x14ac:dyDescent="0.25">
      <c r="B12" s="108" t="s">
        <v>987</v>
      </c>
      <c r="C12" s="110"/>
      <c r="D12" s="110"/>
      <c r="E12" s="110"/>
      <c r="F12" s="112">
        <f>SUM(F10:F11)</f>
        <v>3434696.45</v>
      </c>
    </row>
    <row r="13" spans="2:6" ht="20.25" customHeight="1" x14ac:dyDescent="0.25">
      <c r="B13" s="103"/>
      <c r="C13" s="104"/>
      <c r="D13" s="104"/>
      <c r="E13" s="104"/>
      <c r="F13" s="113"/>
    </row>
    <row r="14" spans="2:6" ht="20.25" customHeight="1" x14ac:dyDescent="0.25">
      <c r="B14" s="103" t="s">
        <v>989</v>
      </c>
      <c r="C14" s="104"/>
      <c r="D14" s="104"/>
      <c r="E14" s="104"/>
      <c r="F14" s="113">
        <f>SUM(F7,F12)</f>
        <v>6096047.3900000006</v>
      </c>
    </row>
    <row r="15" spans="2:6" ht="20.25" customHeight="1" x14ac:dyDescent="0.25">
      <c r="B15" s="103"/>
      <c r="C15" s="104"/>
      <c r="D15" s="104"/>
      <c r="E15" s="104"/>
      <c r="F15" s="113"/>
    </row>
    <row r="16" spans="2:6" ht="20.25" customHeight="1" x14ac:dyDescent="0.25">
      <c r="B16" s="304" t="s">
        <v>990</v>
      </c>
      <c r="C16" s="304"/>
      <c r="D16" s="304"/>
      <c r="E16" s="304"/>
      <c r="F16" s="304"/>
    </row>
    <row r="17" spans="2:6" ht="20.25" customHeight="1" x14ac:dyDescent="0.25">
      <c r="B17" s="108" t="s">
        <v>985</v>
      </c>
      <c r="C17" s="110"/>
      <c r="D17" s="110"/>
      <c r="E17" s="110"/>
      <c r="F17" s="112">
        <v>4695554.21</v>
      </c>
    </row>
    <row r="18" spans="2:6" ht="20.25" customHeight="1" x14ac:dyDescent="0.25">
      <c r="B18" s="108" t="s">
        <v>986</v>
      </c>
      <c r="C18" s="110"/>
      <c r="D18" s="110"/>
      <c r="E18" s="110"/>
      <c r="F18" s="112">
        <v>1324562.98</v>
      </c>
    </row>
    <row r="19" spans="2:6" ht="20.25" customHeight="1" x14ac:dyDescent="0.25">
      <c r="B19" s="108" t="s">
        <v>987</v>
      </c>
      <c r="C19" s="110"/>
      <c r="D19" s="110"/>
      <c r="E19" s="110"/>
      <c r="F19" s="112">
        <f>SUM(F17:F18)</f>
        <v>6020117.1899999995</v>
      </c>
    </row>
    <row r="20" spans="2:6" ht="20.25" customHeight="1" x14ac:dyDescent="0.25">
      <c r="B20" s="103"/>
      <c r="C20" s="104"/>
      <c r="D20" s="104"/>
      <c r="E20" s="104"/>
      <c r="F20" s="113"/>
    </row>
    <row r="21" spans="2:6" ht="20.25" customHeight="1" x14ac:dyDescent="0.25">
      <c r="B21" s="103"/>
      <c r="C21" s="104"/>
      <c r="D21" s="104"/>
      <c r="E21" s="104"/>
      <c r="F21" s="113"/>
    </row>
    <row r="22" spans="2:6" ht="20.25" customHeight="1" x14ac:dyDescent="0.25">
      <c r="B22" s="115" t="s">
        <v>987</v>
      </c>
      <c r="C22" s="116"/>
      <c r="D22" s="116"/>
      <c r="E22" s="116"/>
      <c r="F22" s="114">
        <f>SUM(F14,F19)</f>
        <v>12116164.58</v>
      </c>
    </row>
    <row r="23" spans="2:6" ht="20.25" customHeight="1" x14ac:dyDescent="0.25">
      <c r="D23" s="105"/>
      <c r="F23" s="111"/>
    </row>
    <row r="24" spans="2:6" ht="20.25" customHeight="1" x14ac:dyDescent="0.25">
      <c r="F24" s="111"/>
    </row>
    <row r="25" spans="2:6" ht="20.25" customHeight="1" x14ac:dyDescent="0.25">
      <c r="C25" s="104"/>
      <c r="D25" s="105"/>
      <c r="E25" s="104"/>
      <c r="F25" s="105"/>
    </row>
    <row r="26" spans="2:6" ht="20.25" customHeight="1" x14ac:dyDescent="0.25">
      <c r="B26" s="104"/>
      <c r="C26" s="104"/>
      <c r="D26" s="105"/>
      <c r="E26" s="104"/>
      <c r="F26" s="105"/>
    </row>
    <row r="27" spans="2:6" ht="20.25" customHeight="1" x14ac:dyDescent="0.25">
      <c r="B27" s="103"/>
      <c r="C27" s="104"/>
      <c r="D27" s="105"/>
      <c r="E27" s="104"/>
      <c r="F27" s="105"/>
    </row>
    <row r="28" spans="2:6" ht="20.25" customHeight="1" x14ac:dyDescent="0.25">
      <c r="B28" s="103"/>
      <c r="C28" s="104"/>
      <c r="D28" s="105"/>
      <c r="E28" s="104"/>
      <c r="F28" s="105"/>
    </row>
    <row r="29" spans="2:6" ht="20.25" customHeight="1" x14ac:dyDescent="0.25">
      <c r="B29" s="103"/>
      <c r="C29" s="104"/>
      <c r="D29" s="105"/>
      <c r="E29" s="104"/>
      <c r="F29" s="105"/>
    </row>
    <row r="30" spans="2:6" ht="20.25" customHeight="1" x14ac:dyDescent="0.25">
      <c r="B30" s="103"/>
      <c r="C30" s="104"/>
      <c r="D30" s="105"/>
      <c r="E30" s="104"/>
      <c r="F30" s="105"/>
    </row>
    <row r="31" spans="2:6" ht="20.25" customHeight="1" x14ac:dyDescent="0.25">
      <c r="B31" s="103"/>
      <c r="C31" s="104"/>
      <c r="D31" s="105"/>
      <c r="E31" s="104"/>
      <c r="F31" s="106"/>
    </row>
    <row r="32" spans="2:6" ht="20.25" customHeight="1" x14ac:dyDescent="0.25">
      <c r="B32" s="103"/>
      <c r="C32" s="103"/>
      <c r="D32" s="109"/>
      <c r="E32" s="103"/>
      <c r="F32" s="106"/>
    </row>
    <row r="33" spans="6:6" ht="20.25" customHeight="1" x14ac:dyDescent="0.25">
      <c r="F33" s="111"/>
    </row>
    <row r="34" spans="6:6" ht="20.25" customHeight="1" x14ac:dyDescent="0.25">
      <c r="F34" s="106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991</v>
      </c>
      <c r="B1" s="5" t="s">
        <v>992</v>
      </c>
      <c r="C1" s="5" t="s">
        <v>993</v>
      </c>
      <c r="D1" s="5" t="s">
        <v>994</v>
      </c>
      <c r="E1" s="5" t="s">
        <v>995</v>
      </c>
      <c r="F1" s="5" t="s">
        <v>996</v>
      </c>
      <c r="G1" s="5" t="s">
        <v>997</v>
      </c>
      <c r="H1" s="5" t="s">
        <v>998</v>
      </c>
      <c r="I1" s="5" t="s">
        <v>999</v>
      </c>
      <c r="J1" s="5" t="s">
        <v>1000</v>
      </c>
    </row>
    <row r="2" spans="1:10" x14ac:dyDescent="0.25">
      <c r="A2" s="1" t="s">
        <v>1001</v>
      </c>
      <c r="B2" s="3" t="s">
        <v>1002</v>
      </c>
      <c r="C2" s="3">
        <v>1</v>
      </c>
      <c r="D2" s="3">
        <v>101</v>
      </c>
      <c r="E2" s="24" t="s">
        <v>1003</v>
      </c>
      <c r="F2" s="3" t="s">
        <v>1004</v>
      </c>
      <c r="G2" s="3" t="s">
        <v>15</v>
      </c>
      <c r="H2" s="3" t="s">
        <v>15</v>
      </c>
      <c r="I2" s="3" t="s">
        <v>1005</v>
      </c>
      <c r="J2" s="3" t="s">
        <v>1006</v>
      </c>
    </row>
    <row r="3" spans="1:10" x14ac:dyDescent="0.25">
      <c r="A3" s="1" t="s">
        <v>1007</v>
      </c>
      <c r="B3" s="3" t="s">
        <v>1008</v>
      </c>
      <c r="C3" s="3">
        <v>2</v>
      </c>
      <c r="D3" s="3">
        <v>102</v>
      </c>
      <c r="E3" s="3" t="s">
        <v>1009</v>
      </c>
      <c r="F3" s="6" t="s">
        <v>1010</v>
      </c>
      <c r="G3" s="3" t="s">
        <v>1011</v>
      </c>
      <c r="H3" s="3" t="s">
        <v>1012</v>
      </c>
      <c r="I3" s="3" t="s">
        <v>1013</v>
      </c>
      <c r="J3" s="3" t="s">
        <v>1014</v>
      </c>
    </row>
    <row r="4" spans="1:10" x14ac:dyDescent="0.25">
      <c r="A4" s="1" t="s">
        <v>1015</v>
      </c>
      <c r="B4" s="3" t="s">
        <v>1016</v>
      </c>
      <c r="C4" s="3">
        <v>3</v>
      </c>
      <c r="D4" s="3">
        <v>103</v>
      </c>
      <c r="E4" s="3" t="s">
        <v>1017</v>
      </c>
      <c r="F4" s="3" t="s">
        <v>1018</v>
      </c>
      <c r="G4" s="3" t="s">
        <v>1019</v>
      </c>
      <c r="H4" s="3" t="s">
        <v>1020</v>
      </c>
      <c r="I4" s="3" t="s">
        <v>1021</v>
      </c>
      <c r="J4" s="3" t="s">
        <v>1020</v>
      </c>
    </row>
    <row r="5" spans="1:10" x14ac:dyDescent="0.25">
      <c r="A5" s="1" t="s">
        <v>1022</v>
      </c>
      <c r="B5" s="3" t="s">
        <v>1023</v>
      </c>
      <c r="C5" s="3">
        <v>4</v>
      </c>
      <c r="D5" s="3">
        <v>104</v>
      </c>
      <c r="E5" s="3" t="s">
        <v>1014</v>
      </c>
      <c r="F5" s="3" t="s">
        <v>1024</v>
      </c>
      <c r="G5" s="3" t="s">
        <v>1025</v>
      </c>
      <c r="H5" s="3" t="s">
        <v>1026</v>
      </c>
      <c r="I5" s="3" t="s">
        <v>1020</v>
      </c>
    </row>
    <row r="6" spans="1:10" x14ac:dyDescent="0.25">
      <c r="A6" s="1" t="s">
        <v>1027</v>
      </c>
      <c r="B6" s="3" t="s">
        <v>1028</v>
      </c>
      <c r="C6" s="3">
        <v>5</v>
      </c>
      <c r="D6" s="3">
        <v>201</v>
      </c>
      <c r="E6" s="3" t="s">
        <v>1029</v>
      </c>
      <c r="G6" s="3" t="s">
        <v>1030</v>
      </c>
      <c r="H6" s="3" t="s">
        <v>1031</v>
      </c>
      <c r="I6" s="3" t="s">
        <v>1032</v>
      </c>
    </row>
    <row r="7" spans="1:10" x14ac:dyDescent="0.25">
      <c r="A7" s="1" t="s">
        <v>1033</v>
      </c>
      <c r="B7" s="3" t="s">
        <v>1034</v>
      </c>
      <c r="C7" s="3">
        <v>6</v>
      </c>
      <c r="D7" s="3">
        <v>202</v>
      </c>
      <c r="E7" s="3" t="s">
        <v>1035</v>
      </c>
      <c r="G7" s="3" t="s">
        <v>1036</v>
      </c>
      <c r="I7" s="3" t="s">
        <v>1037</v>
      </c>
    </row>
    <row r="8" spans="1:10" x14ac:dyDescent="0.25">
      <c r="A8" s="1" t="s">
        <v>1038</v>
      </c>
      <c r="B8" s="3" t="s">
        <v>1039</v>
      </c>
      <c r="C8" s="3">
        <v>7</v>
      </c>
      <c r="D8" s="3">
        <v>203</v>
      </c>
      <c r="E8" s="3" t="s">
        <v>1040</v>
      </c>
      <c r="G8" s="3"/>
      <c r="I8" s="3" t="s">
        <v>1041</v>
      </c>
    </row>
    <row r="9" spans="1:10" x14ac:dyDescent="0.25">
      <c r="A9" s="1" t="s">
        <v>1042</v>
      </c>
      <c r="B9" s="3" t="s">
        <v>1043</v>
      </c>
      <c r="C9" s="3">
        <v>8</v>
      </c>
      <c r="D9" s="3">
        <v>204</v>
      </c>
      <c r="E9" s="3" t="s">
        <v>1044</v>
      </c>
    </row>
    <row r="10" spans="1:10" x14ac:dyDescent="0.25">
      <c r="A10" s="1" t="s">
        <v>1045</v>
      </c>
      <c r="B10" s="3" t="s">
        <v>1046</v>
      </c>
      <c r="C10" s="3">
        <v>9</v>
      </c>
      <c r="D10" s="3">
        <v>301</v>
      </c>
      <c r="E10" s="3" t="s">
        <v>1047</v>
      </c>
    </row>
    <row r="11" spans="1:10" x14ac:dyDescent="0.25">
      <c r="A11" s="1" t="s">
        <v>1048</v>
      </c>
      <c r="B11" s="3" t="s">
        <v>1049</v>
      </c>
      <c r="C11" s="3">
        <v>10</v>
      </c>
      <c r="D11" s="3">
        <v>302</v>
      </c>
      <c r="E11" s="3" t="s">
        <v>1050</v>
      </c>
    </row>
    <row r="12" spans="1:10" x14ac:dyDescent="0.25">
      <c r="A12" s="1" t="s">
        <v>1051</v>
      </c>
      <c r="B12" s="3" t="s">
        <v>1052</v>
      </c>
      <c r="C12" s="3">
        <v>11</v>
      </c>
      <c r="D12" s="3">
        <v>303</v>
      </c>
      <c r="E12" s="24" t="s">
        <v>1053</v>
      </c>
    </row>
    <row r="13" spans="1:10" x14ac:dyDescent="0.25">
      <c r="A13" s="1" t="s">
        <v>1054</v>
      </c>
      <c r="B13" s="3" t="s">
        <v>1055</v>
      </c>
      <c r="C13" s="3">
        <v>12</v>
      </c>
      <c r="D13" s="3">
        <v>304</v>
      </c>
      <c r="E13" t="s">
        <v>1056</v>
      </c>
    </row>
    <row r="14" spans="1:10" x14ac:dyDescent="0.25">
      <c r="A14" s="1" t="s">
        <v>1057</v>
      </c>
      <c r="B14" s="3" t="s">
        <v>1058</v>
      </c>
      <c r="C14" s="3">
        <v>13</v>
      </c>
      <c r="D14" s="3">
        <v>401</v>
      </c>
      <c r="E14" s="3" t="s">
        <v>1059</v>
      </c>
    </row>
    <row r="15" spans="1:10" x14ac:dyDescent="0.25">
      <c r="A15" s="1" t="s">
        <v>1060</v>
      </c>
      <c r="B15" s="3" t="s">
        <v>1061</v>
      </c>
      <c r="C15" s="3">
        <v>14</v>
      </c>
      <c r="D15" s="3">
        <v>402</v>
      </c>
      <c r="E15" s="3" t="s">
        <v>1018</v>
      </c>
    </row>
    <row r="16" spans="1:10" x14ac:dyDescent="0.25">
      <c r="A16" s="1" t="s">
        <v>1062</v>
      </c>
      <c r="C16" s="3">
        <v>15</v>
      </c>
      <c r="D16" s="3">
        <v>403</v>
      </c>
      <c r="E16" s="3" t="s">
        <v>1063</v>
      </c>
    </row>
    <row r="17" spans="1:7" x14ac:dyDescent="0.25">
      <c r="A17" s="1" t="s">
        <v>1064</v>
      </c>
      <c r="C17" s="3"/>
      <c r="D17" s="3">
        <v>404</v>
      </c>
      <c r="E17" s="3" t="s">
        <v>1065</v>
      </c>
    </row>
    <row r="18" spans="1:7" x14ac:dyDescent="0.25">
      <c r="A18" s="1" t="s">
        <v>1066</v>
      </c>
      <c r="C18" s="3"/>
      <c r="D18" s="3">
        <v>501</v>
      </c>
      <c r="E18" s="3" t="s">
        <v>1067</v>
      </c>
    </row>
    <row r="19" spans="1:7" x14ac:dyDescent="0.25">
      <c r="A19" s="1" t="s">
        <v>1068</v>
      </c>
      <c r="D19" s="3">
        <v>502</v>
      </c>
      <c r="E19" s="3" t="s">
        <v>1069</v>
      </c>
    </row>
    <row r="20" spans="1:7" x14ac:dyDescent="0.25">
      <c r="A20" s="1" t="s">
        <v>1070</v>
      </c>
      <c r="D20" s="3">
        <v>503</v>
      </c>
      <c r="E20" s="3" t="s">
        <v>1071</v>
      </c>
    </row>
    <row r="21" spans="1:7" x14ac:dyDescent="0.25">
      <c r="A21" s="1" t="s">
        <v>1072</v>
      </c>
      <c r="D21" s="3">
        <v>504</v>
      </c>
      <c r="E21" s="3" t="s">
        <v>1006</v>
      </c>
    </row>
    <row r="22" spans="1:7" x14ac:dyDescent="0.25">
      <c r="A22" s="1" t="s">
        <v>1073</v>
      </c>
      <c r="E22" s="3" t="s">
        <v>1074</v>
      </c>
      <c r="G22" s="3"/>
    </row>
    <row r="23" spans="1:7" x14ac:dyDescent="0.25">
      <c r="A23" s="1" t="s">
        <v>1075</v>
      </c>
      <c r="E23" s="3" t="s">
        <v>1076</v>
      </c>
    </row>
    <row r="24" spans="1:7" x14ac:dyDescent="0.25">
      <c r="A24" s="1" t="s">
        <v>1077</v>
      </c>
    </row>
    <row r="25" spans="1:7" x14ac:dyDescent="0.25">
      <c r="A25" s="1" t="s">
        <v>1078</v>
      </c>
      <c r="G25" s="5"/>
    </row>
    <row r="26" spans="1:7" x14ac:dyDescent="0.25">
      <c r="A26" s="1" t="s">
        <v>1079</v>
      </c>
      <c r="G26" s="3"/>
    </row>
    <row r="27" spans="1:7" x14ac:dyDescent="0.25">
      <c r="A27" s="1" t="s">
        <v>1080</v>
      </c>
      <c r="G27" s="3"/>
    </row>
    <row r="28" spans="1:7" x14ac:dyDescent="0.25">
      <c r="A28" s="1" t="s">
        <v>1081</v>
      </c>
      <c r="G28" s="3"/>
    </row>
    <row r="29" spans="1:7" x14ac:dyDescent="0.25">
      <c r="A29" s="1" t="s">
        <v>1082</v>
      </c>
      <c r="G29" s="3"/>
    </row>
    <row r="30" spans="1:7" x14ac:dyDescent="0.25">
      <c r="A30" s="1" t="s">
        <v>1083</v>
      </c>
      <c r="G30" s="3"/>
    </row>
    <row r="31" spans="1:7" x14ac:dyDescent="0.25">
      <c r="A31" s="1" t="s">
        <v>1084</v>
      </c>
    </row>
    <row r="32" spans="1:7" x14ac:dyDescent="0.25">
      <c r="A32" s="1" t="s">
        <v>1085</v>
      </c>
    </row>
    <row r="33" spans="1:1" x14ac:dyDescent="0.25">
      <c r="A33" s="1" t="s">
        <v>1086</v>
      </c>
    </row>
    <row r="34" spans="1:1" x14ac:dyDescent="0.25">
      <c r="A34" s="1" t="s">
        <v>1087</v>
      </c>
    </row>
    <row r="35" spans="1:1" x14ac:dyDescent="0.25">
      <c r="A35" s="1" t="s">
        <v>1088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1089</v>
      </c>
      <c r="B1" s="56" t="s">
        <v>1090</v>
      </c>
    </row>
    <row r="2" spans="1:3" ht="24.95" customHeight="1" x14ac:dyDescent="0.25">
      <c r="A2" s="57" t="s">
        <v>1002</v>
      </c>
      <c r="B2" s="57" t="e">
        <f>COUNTIF(#REF!,'QUANT COND'!A2)</f>
        <v>#REF!</v>
      </c>
    </row>
    <row r="3" spans="1:3" ht="24.95" customHeight="1" x14ac:dyDescent="0.25">
      <c r="A3" s="57" t="s">
        <v>1008</v>
      </c>
      <c r="B3" s="57" t="e">
        <f>COUNTIF(#REF!,'QUANT COND'!A3)</f>
        <v>#REF!</v>
      </c>
    </row>
    <row r="4" spans="1:3" ht="24.95" customHeight="1" x14ac:dyDescent="0.25">
      <c r="A4" s="57" t="s">
        <v>1016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1023</v>
      </c>
      <c r="B5" s="57" t="e">
        <f>COUNTIF(#REF!,'QUANT COND'!A5)</f>
        <v>#REF!</v>
      </c>
    </row>
    <row r="6" spans="1:3" ht="24.95" customHeight="1" x14ac:dyDescent="0.25">
      <c r="A6" s="57" t="s">
        <v>1028</v>
      </c>
      <c r="B6" s="57" t="e">
        <f>COUNTIF(#REF!,'QUANT COND'!A6)</f>
        <v>#REF!</v>
      </c>
    </row>
    <row r="7" spans="1:3" ht="24.95" customHeight="1" x14ac:dyDescent="0.25">
      <c r="A7" s="57" t="s">
        <v>1034</v>
      </c>
      <c r="B7" s="57" t="e">
        <f>COUNTIF(#REF!,'QUANT COND'!A7)</f>
        <v>#REF!</v>
      </c>
    </row>
    <row r="8" spans="1:3" ht="24.95" customHeight="1" x14ac:dyDescent="0.25">
      <c r="A8" s="57" t="s">
        <v>1039</v>
      </c>
      <c r="B8" s="57" t="e">
        <f>COUNTIF(#REF!,'QUANT COND'!A8)</f>
        <v>#REF!</v>
      </c>
    </row>
    <row r="9" spans="1:3" ht="24.95" customHeight="1" x14ac:dyDescent="0.25">
      <c r="A9" s="57" t="s">
        <v>1043</v>
      </c>
      <c r="B9" s="57" t="e">
        <f>COUNTIF(#REF!,'QUANT COND'!A9)</f>
        <v>#REF!</v>
      </c>
    </row>
    <row r="10" spans="1:3" ht="24.95" customHeight="1" x14ac:dyDescent="0.25">
      <c r="A10" s="57" t="s">
        <v>1046</v>
      </c>
      <c r="B10" s="57" t="e">
        <f>COUNTIF(#REF!,'QUANT COND'!A10)</f>
        <v>#REF!</v>
      </c>
    </row>
    <row r="11" spans="1:3" ht="24.95" customHeight="1" x14ac:dyDescent="0.25">
      <c r="A11" s="57" t="s">
        <v>1049</v>
      </c>
      <c r="B11" s="57" t="e">
        <f>COUNTIF(#REF!,'QUANT COND'!A11)</f>
        <v>#REF!</v>
      </c>
    </row>
    <row r="12" spans="1:3" ht="24.95" customHeight="1" x14ac:dyDescent="0.25">
      <c r="A12" s="57" t="s">
        <v>1052</v>
      </c>
      <c r="B12" s="57" t="e">
        <f>COUNTIF(#REF!,'QUANT COND'!A12)</f>
        <v>#REF!</v>
      </c>
    </row>
    <row r="13" spans="1:3" ht="24.95" customHeight="1" x14ac:dyDescent="0.25">
      <c r="A13" s="57" t="s">
        <v>1055</v>
      </c>
      <c r="B13" s="57" t="e">
        <f>COUNTIF(#REF!,'QUANT COND'!A13)</f>
        <v>#REF!</v>
      </c>
    </row>
    <row r="14" spans="1:3" ht="24.95" customHeight="1" x14ac:dyDescent="0.25">
      <c r="A14" s="57" t="s">
        <v>1058</v>
      </c>
      <c r="B14" s="57" t="e">
        <f>COUNTIF(#REF!,'QUANT COND'!A14)</f>
        <v>#REF!</v>
      </c>
    </row>
    <row r="15" spans="1:3" ht="24.95" customHeight="1" x14ac:dyDescent="0.25">
      <c r="A15" s="57" t="s">
        <v>1061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306" t="s">
        <v>1091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8"/>
    </row>
    <row r="2" spans="1:27" ht="50.25" customHeight="1" x14ac:dyDescent="0.25">
      <c r="A2" s="7" t="s">
        <v>46</v>
      </c>
      <c r="B2" s="7" t="s">
        <v>48</v>
      </c>
      <c r="C2" s="7" t="s">
        <v>1092</v>
      </c>
      <c r="D2" s="12" t="s">
        <v>48</v>
      </c>
      <c r="E2" s="63" t="s">
        <v>1093</v>
      </c>
      <c r="F2" s="63" t="s">
        <v>1094</v>
      </c>
      <c r="G2" s="64" t="s">
        <v>1095</v>
      </c>
      <c r="H2" s="64" t="s">
        <v>1096</v>
      </c>
      <c r="I2" s="41" t="s">
        <v>1097</v>
      </c>
      <c r="J2" s="42" t="s">
        <v>1094</v>
      </c>
      <c r="K2" s="41" t="s">
        <v>1096</v>
      </c>
      <c r="L2" s="53" t="s">
        <v>1098</v>
      </c>
      <c r="M2" s="53" t="s">
        <v>1099</v>
      </c>
      <c r="O2" s="65" t="s">
        <v>1100</v>
      </c>
      <c r="P2" s="66" t="s">
        <v>1090</v>
      </c>
      <c r="Q2" s="66" t="s">
        <v>1101</v>
      </c>
      <c r="R2" s="66" t="s">
        <v>1102</v>
      </c>
      <c r="S2" s="66" t="s">
        <v>1103</v>
      </c>
      <c r="T2" s="43" t="s">
        <v>1104</v>
      </c>
      <c r="Y2" s="45" t="s">
        <v>1105</v>
      </c>
      <c r="Z2" s="45" t="s">
        <v>1106</v>
      </c>
      <c r="AA2" s="44" t="s">
        <v>1107</v>
      </c>
    </row>
    <row r="3" spans="1:27" x14ac:dyDescent="0.25">
      <c r="A3" s="13" t="s">
        <v>1108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1004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1109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1110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1111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1112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1004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1113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1114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1115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1116</v>
      </c>
      <c r="B7" s="67"/>
      <c r="C7" s="18" t="s">
        <v>1117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1118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1119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1004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1120</v>
      </c>
      <c r="B9" s="67">
        <v>98058690597</v>
      </c>
      <c r="C9" s="72"/>
      <c r="D9" s="69"/>
      <c r="E9" s="9">
        <v>423</v>
      </c>
      <c r="F9" s="25">
        <v>43182</v>
      </c>
      <c r="G9" s="70" t="s">
        <v>1004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1121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1122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1123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1004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1124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1125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1004</v>
      </c>
      <c r="H14" s="25">
        <v>42921</v>
      </c>
      <c r="I14" s="8"/>
      <c r="J14" s="8"/>
      <c r="K14" s="8"/>
      <c r="L14" s="9" t="s">
        <v>1126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1127</v>
      </c>
      <c r="B15" s="67">
        <v>38772276860</v>
      </c>
      <c r="C15" s="18" t="s">
        <v>1128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1129</v>
      </c>
      <c r="B16" s="67">
        <v>21538837846</v>
      </c>
      <c r="C16" s="72" t="s">
        <v>1130</v>
      </c>
      <c r="D16" s="69">
        <v>94203180520</v>
      </c>
      <c r="E16" s="9">
        <v>810</v>
      </c>
      <c r="F16" s="25">
        <v>42915</v>
      </c>
      <c r="G16" s="70" t="s">
        <v>1004</v>
      </c>
      <c r="H16" s="25">
        <v>42921</v>
      </c>
      <c r="I16" s="8"/>
      <c r="J16" s="8"/>
      <c r="K16" s="8"/>
      <c r="L16" s="9" t="s">
        <v>1126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1131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1132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1004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1133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1010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1134</v>
      </c>
      <c r="B20" s="67">
        <v>18419589802</v>
      </c>
      <c r="C20" s="18" t="s">
        <v>1117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1135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1136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1004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1137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1004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1138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1004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1139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1140</v>
      </c>
      <c r="B26" s="67"/>
      <c r="C26" s="18" t="s">
        <v>1117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1141</v>
      </c>
      <c r="B27" s="67">
        <v>25894152810</v>
      </c>
      <c r="C27" s="72" t="s">
        <v>1142</v>
      </c>
      <c r="D27" s="69">
        <v>8263008808</v>
      </c>
      <c r="E27" s="9">
        <v>292</v>
      </c>
      <c r="F27" s="25">
        <v>43168</v>
      </c>
      <c r="G27" s="70" t="s">
        <v>1004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1143</v>
      </c>
      <c r="B28" s="67">
        <v>43026389587</v>
      </c>
      <c r="C28" s="72" t="s">
        <v>1144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1145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1010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1146</v>
      </c>
      <c r="B30" s="67">
        <v>36531080809</v>
      </c>
      <c r="C30" s="72" t="s">
        <v>1147</v>
      </c>
      <c r="D30" s="69">
        <v>22485483892</v>
      </c>
      <c r="E30" s="9">
        <v>1489</v>
      </c>
      <c r="F30" s="25">
        <v>43038</v>
      </c>
      <c r="G30" s="70" t="s">
        <v>1004</v>
      </c>
      <c r="H30" s="9"/>
      <c r="I30" s="8"/>
      <c r="J30" s="8"/>
      <c r="K30" s="8"/>
      <c r="L30" s="9" t="s">
        <v>1148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1149</v>
      </c>
      <c r="B31" s="67">
        <v>28147186819</v>
      </c>
      <c r="C31" s="72" t="s">
        <v>1150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1151</v>
      </c>
      <c r="B32" s="67">
        <v>37559228860</v>
      </c>
      <c r="C32" s="72" t="s">
        <v>1152</v>
      </c>
      <c r="D32" s="69">
        <v>28072024892</v>
      </c>
      <c r="E32" s="9">
        <v>1555</v>
      </c>
      <c r="F32" s="25">
        <v>43049</v>
      </c>
      <c r="G32" s="9" t="s">
        <v>1004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1153</v>
      </c>
      <c r="B33" s="67">
        <v>23635229822</v>
      </c>
      <c r="C33" s="72" t="s">
        <v>1154</v>
      </c>
      <c r="D33" s="69">
        <v>21668057875</v>
      </c>
      <c r="E33" s="9">
        <v>262</v>
      </c>
      <c r="F33" s="25">
        <v>43160</v>
      </c>
      <c r="G33" s="70" t="s">
        <v>1004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1155</v>
      </c>
      <c r="B34" s="67"/>
      <c r="C34" s="29" t="s">
        <v>1117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1156</v>
      </c>
      <c r="B35" s="67">
        <v>40902634844</v>
      </c>
      <c r="C35" s="72" t="s">
        <v>1157</v>
      </c>
      <c r="D35" s="69">
        <v>23795007895</v>
      </c>
      <c r="E35" s="9">
        <v>117</v>
      </c>
      <c r="F35" s="25">
        <v>43117</v>
      </c>
      <c r="G35" s="70" t="s">
        <v>1004</v>
      </c>
      <c r="H35" s="25">
        <v>43151</v>
      </c>
      <c r="I35" s="8"/>
      <c r="J35" s="8"/>
      <c r="K35" s="8"/>
      <c r="L35" s="9" t="s">
        <v>1158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1159</v>
      </c>
      <c r="B36" s="67">
        <v>39615629898</v>
      </c>
      <c r="C36" s="72" t="s">
        <v>1160</v>
      </c>
      <c r="D36" s="69">
        <v>43328275894</v>
      </c>
      <c r="E36" s="9">
        <v>423</v>
      </c>
      <c r="F36" s="25">
        <v>43182</v>
      </c>
      <c r="G36" s="70" t="s">
        <v>1004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1161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1162</v>
      </c>
      <c r="B38" s="67"/>
      <c r="C38" s="29" t="s">
        <v>1163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1164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1004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1165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1004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1166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1004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1167</v>
      </c>
      <c r="B42" s="67">
        <v>10201704412</v>
      </c>
      <c r="C42" s="72" t="s">
        <v>1168</v>
      </c>
      <c r="D42" s="69">
        <v>33674895811</v>
      </c>
      <c r="E42" s="9">
        <v>262</v>
      </c>
      <c r="F42" s="25">
        <v>43160</v>
      </c>
      <c r="G42" s="70" t="s">
        <v>1004</v>
      </c>
      <c r="H42" s="25">
        <v>43164</v>
      </c>
      <c r="I42" s="8"/>
      <c r="J42" s="8"/>
      <c r="K42" s="8"/>
      <c r="L42" s="9">
        <v>255</v>
      </c>
      <c r="M42" s="8"/>
      <c r="O42" s="66" t="s">
        <v>1169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1170</v>
      </c>
      <c r="B43" s="67">
        <v>35271487873</v>
      </c>
      <c r="C43" s="68" t="s">
        <v>1171</v>
      </c>
      <c r="D43" s="69">
        <v>557351502</v>
      </c>
      <c r="E43" s="9">
        <v>1128</v>
      </c>
      <c r="F43" s="25">
        <v>42972</v>
      </c>
      <c r="G43" s="70" t="s">
        <v>1004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1172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1004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1173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1174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1004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1175</v>
      </c>
      <c r="B47" s="67">
        <v>31801479895</v>
      </c>
      <c r="C47" s="72" t="s">
        <v>1176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1177</v>
      </c>
      <c r="B48" s="67">
        <v>28638653824</v>
      </c>
      <c r="C48" s="72" t="s">
        <v>1178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1179</v>
      </c>
      <c r="B49" s="67">
        <v>17766101807</v>
      </c>
      <c r="C49" s="72" t="s">
        <v>1180</v>
      </c>
      <c r="D49" s="69">
        <v>31993041842</v>
      </c>
      <c r="E49" s="9">
        <v>1824</v>
      </c>
      <c r="F49" s="25">
        <v>43091</v>
      </c>
      <c r="G49" s="70" t="s">
        <v>1004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1181</v>
      </c>
      <c r="B50" s="67">
        <v>17902799840</v>
      </c>
      <c r="C50" s="72" t="s">
        <v>1182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1183</v>
      </c>
      <c r="B51" s="67">
        <v>49122403892</v>
      </c>
      <c r="C51" s="75" t="s">
        <v>1184</v>
      </c>
      <c r="D51" s="69">
        <v>1478139560</v>
      </c>
      <c r="E51" s="9">
        <v>608</v>
      </c>
      <c r="F51" s="25">
        <v>43012</v>
      </c>
      <c r="G51" s="70" t="s">
        <v>1004</v>
      </c>
      <c r="H51" s="25">
        <v>43024</v>
      </c>
      <c r="I51" s="8"/>
      <c r="J51" s="8"/>
      <c r="K51" s="8"/>
      <c r="L51" s="8"/>
      <c r="M51" s="8"/>
      <c r="O51" s="305" t="s">
        <v>1185</v>
      </c>
      <c r="P51" s="305"/>
      <c r="Q51" s="305"/>
      <c r="R51" s="305"/>
      <c r="S51" s="305"/>
      <c r="T51" s="305"/>
      <c r="U51" s="305"/>
    </row>
    <row r="52" spans="1:21" x14ac:dyDescent="0.25">
      <c r="A52" s="13" t="s">
        <v>1186</v>
      </c>
      <c r="B52" s="67">
        <v>37534302854</v>
      </c>
      <c r="C52" s="71" t="s">
        <v>1187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1188</v>
      </c>
      <c r="B53" s="67">
        <v>14699996841</v>
      </c>
      <c r="C53" s="68" t="s">
        <v>1189</v>
      </c>
      <c r="D53" s="69">
        <v>15089706883</v>
      </c>
      <c r="E53" s="9">
        <v>1128</v>
      </c>
      <c r="F53" s="25">
        <v>42972</v>
      </c>
      <c r="G53" s="70" t="s">
        <v>1004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1190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1191</v>
      </c>
      <c r="B55" s="67">
        <v>40396239838</v>
      </c>
      <c r="C55" s="72" t="s">
        <v>1192</v>
      </c>
      <c r="D55" s="69">
        <v>39420747883</v>
      </c>
      <c r="E55" s="9">
        <v>262</v>
      </c>
      <c r="F55" s="25">
        <v>43160</v>
      </c>
      <c r="G55" s="70" t="s">
        <v>1004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1193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1004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1194</v>
      </c>
      <c r="B57" s="67">
        <v>38781151802</v>
      </c>
      <c r="C57" s="18" t="s">
        <v>1117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1195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1196</v>
      </c>
      <c r="B59" s="67">
        <v>2428277219</v>
      </c>
      <c r="C59" s="72" t="s">
        <v>1197</v>
      </c>
      <c r="D59" s="69">
        <v>909805229</v>
      </c>
      <c r="E59" s="9">
        <v>810</v>
      </c>
      <c r="F59" s="25">
        <v>42915</v>
      </c>
      <c r="G59" s="70" t="s">
        <v>1004</v>
      </c>
      <c r="H59" s="25">
        <v>42921</v>
      </c>
      <c r="I59" s="8"/>
      <c r="J59" s="8"/>
      <c r="K59" s="8"/>
      <c r="L59" s="9" t="s">
        <v>1126</v>
      </c>
      <c r="M59" s="8"/>
    </row>
    <row r="60" spans="1:21" x14ac:dyDescent="0.25">
      <c r="A60" s="71" t="s">
        <v>1198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1199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1004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1200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1201</v>
      </c>
      <c r="B63" s="67">
        <v>3722493889</v>
      </c>
      <c r="C63" s="72" t="s">
        <v>1202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1203</v>
      </c>
      <c r="B64" s="67">
        <v>14519340845</v>
      </c>
      <c r="C64" s="72" t="s">
        <v>1204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1205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1206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1207</v>
      </c>
      <c r="B67" s="67">
        <v>36392955879</v>
      </c>
      <c r="C67" s="72" t="s">
        <v>1208</v>
      </c>
      <c r="D67" s="69">
        <v>5242864346</v>
      </c>
      <c r="E67" s="9">
        <v>117</v>
      </c>
      <c r="F67" s="25">
        <v>43117</v>
      </c>
      <c r="G67" s="70" t="s">
        <v>1004</v>
      </c>
      <c r="H67" s="25">
        <v>43151</v>
      </c>
      <c r="I67" s="8"/>
      <c r="J67" s="8"/>
      <c r="K67" s="8"/>
      <c r="L67" s="9" t="s">
        <v>1158</v>
      </c>
      <c r="M67" s="8"/>
    </row>
    <row r="68" spans="1:13" x14ac:dyDescent="0.25">
      <c r="A68" s="71" t="s">
        <v>1209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1004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1210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1211</v>
      </c>
      <c r="B70" s="67">
        <v>9882942490</v>
      </c>
      <c r="C70" s="18" t="s">
        <v>1212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1213</v>
      </c>
      <c r="B71" s="67">
        <v>14777572870</v>
      </c>
      <c r="C71" s="72" t="s">
        <v>1214</v>
      </c>
      <c r="D71" s="69">
        <v>12874739898</v>
      </c>
      <c r="E71" s="9">
        <v>1824</v>
      </c>
      <c r="F71" s="25">
        <v>43091</v>
      </c>
      <c r="G71" s="70" t="s">
        <v>1004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1215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1216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1004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1217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1004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1218</v>
      </c>
      <c r="B75" s="67">
        <v>26940268855</v>
      </c>
      <c r="C75" s="18" t="s">
        <v>1219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1220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1004</v>
      </c>
      <c r="H76" s="9"/>
      <c r="I76" s="8"/>
      <c r="J76" s="8"/>
      <c r="K76" s="8"/>
      <c r="L76" s="9" t="s">
        <v>1148</v>
      </c>
      <c r="M76" s="8"/>
    </row>
    <row r="77" spans="1:13" x14ac:dyDescent="0.25">
      <c r="A77" s="15" t="s">
        <v>1221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1004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1222</v>
      </c>
      <c r="B78" s="67">
        <v>42352732808</v>
      </c>
      <c r="C78" s="72" t="s">
        <v>1223</v>
      </c>
      <c r="D78" s="69">
        <v>281893373</v>
      </c>
      <c r="E78" s="9">
        <v>1214</v>
      </c>
      <c r="F78" s="25">
        <v>42989</v>
      </c>
      <c r="G78" s="70" t="s">
        <v>1004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1224</v>
      </c>
      <c r="B79" s="67">
        <v>13480043801</v>
      </c>
      <c r="C79" s="18" t="s">
        <v>1225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1226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1004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1227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1004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1228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1004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1229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1230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1231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1232</v>
      </c>
      <c r="B86" s="67">
        <v>43053250802</v>
      </c>
      <c r="C86" s="68" t="s">
        <v>1233</v>
      </c>
      <c r="D86" s="69">
        <v>35893147880</v>
      </c>
      <c r="E86" s="9">
        <v>1128</v>
      </c>
      <c r="F86" s="25">
        <v>42972</v>
      </c>
      <c r="G86" s="70" t="s">
        <v>1004</v>
      </c>
      <c r="H86" s="9"/>
      <c r="I86" s="8"/>
      <c r="J86" s="8"/>
      <c r="K86" s="8"/>
      <c r="L86" s="8"/>
      <c r="M86" s="8"/>
    </row>
    <row r="87" spans="1:13" x14ac:dyDescent="0.25">
      <c r="A87" s="71" t="s">
        <v>1234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1004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1235</v>
      </c>
      <c r="B88" s="67">
        <v>33617584837</v>
      </c>
      <c r="C88" s="72" t="s">
        <v>1236</v>
      </c>
      <c r="D88" s="69">
        <v>26520094862</v>
      </c>
      <c r="E88" s="9">
        <v>608</v>
      </c>
      <c r="F88" s="25">
        <v>43012</v>
      </c>
      <c r="G88" s="70" t="s">
        <v>1004</v>
      </c>
      <c r="H88" s="9"/>
      <c r="I88" s="8"/>
      <c r="J88" s="8"/>
      <c r="K88" s="8"/>
      <c r="L88" s="8"/>
      <c r="M88" s="8"/>
    </row>
    <row r="89" spans="1:13" x14ac:dyDescent="0.25">
      <c r="A89" s="14" t="s">
        <v>1237</v>
      </c>
      <c r="B89" s="67">
        <v>38168161858</v>
      </c>
      <c r="C89" s="72" t="s">
        <v>1238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1239</v>
      </c>
      <c r="B90" s="67">
        <v>38728353862</v>
      </c>
      <c r="C90" s="72" t="s">
        <v>1240</v>
      </c>
      <c r="D90" s="69">
        <v>37650358828</v>
      </c>
      <c r="E90" s="9">
        <v>1417</v>
      </c>
      <c r="F90" s="25">
        <v>43017</v>
      </c>
      <c r="G90" s="70" t="s">
        <v>1004</v>
      </c>
      <c r="H90" s="9"/>
      <c r="I90" s="8"/>
      <c r="J90" s="8"/>
      <c r="K90" s="8"/>
      <c r="L90" s="9" t="s">
        <v>1241</v>
      </c>
      <c r="M90" s="8"/>
    </row>
    <row r="91" spans="1:13" x14ac:dyDescent="0.25">
      <c r="A91" s="15" t="s">
        <v>1242</v>
      </c>
      <c r="B91" s="67">
        <v>29479419858</v>
      </c>
      <c r="C91" s="72" t="s">
        <v>1243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1244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1245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1004</v>
      </c>
      <c r="H93" s="9"/>
      <c r="I93" s="8"/>
      <c r="J93" s="8"/>
      <c r="K93" s="8"/>
      <c r="L93" s="8"/>
      <c r="M93" s="8"/>
    </row>
    <row r="94" spans="1:13" x14ac:dyDescent="0.25">
      <c r="A94" s="15" t="s">
        <v>1246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1004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1247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1248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1004</v>
      </c>
      <c r="H96" s="9"/>
      <c r="I96" s="8"/>
      <c r="J96" s="8"/>
      <c r="K96" s="8"/>
      <c r="L96" s="9" t="s">
        <v>1148</v>
      </c>
      <c r="M96" s="8"/>
    </row>
    <row r="97" spans="1:13" x14ac:dyDescent="0.25">
      <c r="A97" s="71" t="s">
        <v>1249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1004</v>
      </c>
      <c r="H97" s="9"/>
      <c r="I97" s="8"/>
      <c r="J97" s="8"/>
      <c r="K97" s="8"/>
      <c r="L97" s="8"/>
      <c r="M97" s="8"/>
    </row>
    <row r="98" spans="1:13" x14ac:dyDescent="0.25">
      <c r="A98" s="29" t="s">
        <v>1250</v>
      </c>
      <c r="B98" s="67">
        <v>3317260505</v>
      </c>
      <c r="C98" s="29" t="s">
        <v>1251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1252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1004</v>
      </c>
      <c r="H99" s="9"/>
      <c r="I99" s="8"/>
      <c r="J99" s="8"/>
      <c r="K99" s="8"/>
      <c r="L99" s="8"/>
      <c r="M99" s="8"/>
    </row>
    <row r="100" spans="1:13" x14ac:dyDescent="0.25">
      <c r="A100" s="15" t="s">
        <v>1253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1004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1254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1004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1255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1004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1256</v>
      </c>
      <c r="B103" s="67"/>
      <c r="C103" s="18" t="s">
        <v>1117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1257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1004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1258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1004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1259</v>
      </c>
      <c r="B106" s="67">
        <v>40823037827</v>
      </c>
      <c r="C106" s="72" t="s">
        <v>1260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1261</v>
      </c>
      <c r="B107" s="67">
        <v>54215625491</v>
      </c>
      <c r="C107" s="18" t="s">
        <v>1262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1263</v>
      </c>
      <c r="B108" s="67">
        <v>8424740807</v>
      </c>
      <c r="C108" s="18" t="s">
        <v>1117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1264</v>
      </c>
      <c r="B109" s="67">
        <v>78495857472</v>
      </c>
      <c r="C109" s="72" t="s">
        <v>1265</v>
      </c>
      <c r="D109" s="69">
        <v>148572863</v>
      </c>
      <c r="E109" s="9">
        <v>1752</v>
      </c>
      <c r="F109" s="25">
        <v>43051</v>
      </c>
      <c r="G109" s="70" t="s">
        <v>1004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1266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1267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1004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1268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1269</v>
      </c>
      <c r="B113" s="67">
        <v>44444325860</v>
      </c>
      <c r="C113" s="72" t="s">
        <v>1270</v>
      </c>
      <c r="D113" s="69">
        <v>36636133805</v>
      </c>
      <c r="E113" s="9">
        <v>292</v>
      </c>
      <c r="F113" s="25">
        <v>43168</v>
      </c>
      <c r="G113" s="70" t="s">
        <v>1004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1271</v>
      </c>
      <c r="B114" s="67">
        <v>39701017862</v>
      </c>
      <c r="C114" s="72" t="s">
        <v>1272</v>
      </c>
      <c r="D114" s="69">
        <v>38933316892</v>
      </c>
      <c r="E114" s="9">
        <v>1350</v>
      </c>
      <c r="F114" s="25">
        <v>43006</v>
      </c>
      <c r="G114" s="70" t="s">
        <v>1004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1273</v>
      </c>
      <c r="B115" s="67">
        <v>40003107809</v>
      </c>
      <c r="C115" s="72" t="s">
        <v>1274</v>
      </c>
      <c r="D115" s="69">
        <v>37929345823</v>
      </c>
      <c r="E115" s="9">
        <v>262</v>
      </c>
      <c r="F115" s="25">
        <v>43160</v>
      </c>
      <c r="G115" s="70" t="s">
        <v>1004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1275</v>
      </c>
      <c r="B116" s="67">
        <v>38786146831</v>
      </c>
      <c r="C116" s="29" t="s">
        <v>1276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1277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1018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1278</v>
      </c>
      <c r="B118" s="67">
        <v>3486705598</v>
      </c>
      <c r="C118" s="72" t="s">
        <v>1279</v>
      </c>
      <c r="D118" s="69">
        <v>3581817551</v>
      </c>
      <c r="E118" s="9">
        <v>1752</v>
      </c>
      <c r="F118" s="25">
        <v>43051</v>
      </c>
      <c r="G118" s="70" t="s">
        <v>1004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1280</v>
      </c>
      <c r="B119" s="67">
        <v>37051125893</v>
      </c>
      <c r="C119" s="72" t="s">
        <v>1281</v>
      </c>
      <c r="D119" s="69">
        <v>4303791458</v>
      </c>
      <c r="E119" s="9">
        <v>292</v>
      </c>
      <c r="F119" s="25">
        <v>43168</v>
      </c>
      <c r="G119" s="9" t="s">
        <v>1004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1282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1283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1284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1004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1285</v>
      </c>
      <c r="B123" s="67">
        <v>33879586845</v>
      </c>
      <c r="C123" s="77" t="s">
        <v>1286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1287</v>
      </c>
      <c r="M123" s="8"/>
    </row>
    <row r="124" spans="1:13" x14ac:dyDescent="0.25">
      <c r="A124" s="72" t="s">
        <v>1288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1289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1290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1004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1291</v>
      </c>
      <c r="B127" s="67">
        <v>15401963807</v>
      </c>
      <c r="C127" s="72" t="s">
        <v>1292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1293</v>
      </c>
      <c r="B128" s="67">
        <v>2022016351</v>
      </c>
      <c r="C128" s="72" t="s">
        <v>1294</v>
      </c>
      <c r="D128" s="69">
        <v>84914270315</v>
      </c>
      <c r="E128" s="9">
        <v>1106</v>
      </c>
      <c r="F128" s="25">
        <v>42965</v>
      </c>
      <c r="G128" s="70" t="s">
        <v>1004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1295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1296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1297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1004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1298</v>
      </c>
      <c r="B132" s="67">
        <v>1860886558</v>
      </c>
      <c r="C132" s="72" t="s">
        <v>1299</v>
      </c>
      <c r="D132" s="69">
        <v>35132798845</v>
      </c>
      <c r="E132" s="9">
        <v>229</v>
      </c>
      <c r="F132" s="25">
        <v>43151</v>
      </c>
      <c r="G132" s="70" t="s">
        <v>1004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1300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1004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1301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1302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1303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1004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1304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1004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1305</v>
      </c>
      <c r="B138" s="67">
        <v>42262731845</v>
      </c>
      <c r="C138" s="72" t="s">
        <v>1306</v>
      </c>
      <c r="D138" s="69">
        <v>34728432840</v>
      </c>
      <c r="E138" s="9">
        <v>1824</v>
      </c>
      <c r="F138" s="25">
        <v>43091</v>
      </c>
      <c r="G138" s="70" t="s">
        <v>1004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1307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1004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1308</v>
      </c>
      <c r="B140" s="67">
        <v>41446773892</v>
      </c>
      <c r="C140" s="72" t="s">
        <v>1309</v>
      </c>
      <c r="D140" s="69">
        <v>38180353850</v>
      </c>
      <c r="E140" s="9">
        <v>292</v>
      </c>
      <c r="F140" s="25">
        <v>43168</v>
      </c>
      <c r="G140" s="9" t="s">
        <v>1004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1310</v>
      </c>
      <c r="B141" s="67">
        <v>1436459354</v>
      </c>
      <c r="C141" s="72" t="s">
        <v>1311</v>
      </c>
      <c r="D141" s="69">
        <v>4149263310</v>
      </c>
      <c r="E141" s="9">
        <v>229</v>
      </c>
      <c r="F141" s="25">
        <v>43151</v>
      </c>
      <c r="G141" s="70" t="s">
        <v>1004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1312</v>
      </c>
      <c r="B142" s="67">
        <v>39953063818</v>
      </c>
      <c r="C142" s="29" t="s">
        <v>1313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1314</v>
      </c>
      <c r="B143" s="80">
        <v>15371893873</v>
      </c>
      <c r="C143" s="81" t="s">
        <v>1315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1316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1004</v>
      </c>
      <c r="H144" s="9"/>
      <c r="I144" s="8"/>
      <c r="J144" s="8"/>
      <c r="K144" s="8"/>
      <c r="L144" s="9" t="s">
        <v>1126</v>
      </c>
      <c r="M144" s="8"/>
    </row>
    <row r="145" spans="1:13" x14ac:dyDescent="0.25">
      <c r="A145" s="73" t="s">
        <v>1317</v>
      </c>
      <c r="B145" s="67">
        <v>50773453334</v>
      </c>
      <c r="C145" s="72" t="s">
        <v>1318</v>
      </c>
      <c r="D145" s="69">
        <v>51551365391</v>
      </c>
      <c r="E145" s="9">
        <v>1106</v>
      </c>
      <c r="F145" s="25">
        <v>42965</v>
      </c>
      <c r="G145" s="70" t="s">
        <v>1010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1319</v>
      </c>
      <c r="B146" s="67">
        <v>37805884803</v>
      </c>
      <c r="C146" s="72" t="s">
        <v>1320</v>
      </c>
      <c r="D146" s="69">
        <v>35792474842</v>
      </c>
      <c r="E146" s="9">
        <v>262</v>
      </c>
      <c r="F146" s="25">
        <v>43160</v>
      </c>
      <c r="G146" s="9" t="s">
        <v>1004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1321</v>
      </c>
      <c r="B147" s="67">
        <v>38072219804</v>
      </c>
      <c r="C147" s="72" t="s">
        <v>1322</v>
      </c>
      <c r="D147" s="69">
        <v>37125330800</v>
      </c>
      <c r="E147" s="9">
        <v>292</v>
      </c>
      <c r="F147" s="25">
        <v>43168</v>
      </c>
      <c r="G147" s="70" t="s">
        <v>1004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1323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1004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1324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1325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1004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1326</v>
      </c>
      <c r="B151" s="67">
        <v>31476352879</v>
      </c>
      <c r="C151" s="72" t="s">
        <v>1327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1328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1004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1329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1004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1330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1331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1332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1333</v>
      </c>
      <c r="B157" s="67">
        <v>86665944468</v>
      </c>
      <c r="C157" s="72" t="s">
        <v>1334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1335</v>
      </c>
      <c r="B158" s="67">
        <v>39747831805</v>
      </c>
      <c r="C158" s="72" t="s">
        <v>1336</v>
      </c>
      <c r="D158" s="69">
        <v>1202056458</v>
      </c>
      <c r="E158" s="9">
        <v>292</v>
      </c>
      <c r="F158" s="25">
        <v>43168</v>
      </c>
      <c r="G158" s="70" t="s">
        <v>1004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1337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1004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1338</v>
      </c>
      <c r="B160" s="67"/>
      <c r="C160" s="29" t="s">
        <v>1339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1340</v>
      </c>
      <c r="B161" s="67">
        <v>38107907884</v>
      </c>
      <c r="C161" s="72" t="s">
        <v>1341</v>
      </c>
      <c r="D161" s="69">
        <v>8669747685</v>
      </c>
      <c r="E161" s="9">
        <v>117</v>
      </c>
      <c r="F161" s="25">
        <v>43117</v>
      </c>
      <c r="G161" s="70" t="s">
        <v>1004</v>
      </c>
      <c r="H161" s="9"/>
      <c r="I161" s="8"/>
      <c r="J161" s="8"/>
      <c r="K161" s="8"/>
      <c r="L161" s="9" t="s">
        <v>1158</v>
      </c>
      <c r="M161" s="8"/>
    </row>
    <row r="162" spans="1:13" x14ac:dyDescent="0.25">
      <c r="A162" s="29" t="s">
        <v>1342</v>
      </c>
      <c r="B162" s="67">
        <v>24759436880</v>
      </c>
      <c r="C162" s="29" t="s">
        <v>1343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1344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1004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1345</v>
      </c>
      <c r="B164" s="67">
        <v>22537971892</v>
      </c>
      <c r="C164" s="29" t="s">
        <v>1346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1347</v>
      </c>
      <c r="B165" s="67">
        <v>31362502812</v>
      </c>
      <c r="C165" s="72" t="s">
        <v>1348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1349</v>
      </c>
      <c r="B166" s="67">
        <v>4625640539</v>
      </c>
      <c r="C166" s="18" t="s">
        <v>1350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1351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1004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1352</v>
      </c>
      <c r="B168" s="67">
        <v>22234108802</v>
      </c>
      <c r="C168" s="72" t="s">
        <v>1353</v>
      </c>
      <c r="D168" s="69"/>
      <c r="E168" s="9"/>
      <c r="F168" s="25"/>
      <c r="G168" s="70" t="s">
        <v>1004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1354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1355</v>
      </c>
      <c r="B170" s="67">
        <v>182316599</v>
      </c>
      <c r="C170" s="72" t="s">
        <v>1356</v>
      </c>
      <c r="D170" s="69">
        <v>73673560549</v>
      </c>
      <c r="E170" s="9">
        <v>292</v>
      </c>
      <c r="F170" s="25">
        <v>43168</v>
      </c>
      <c r="G170" s="9" t="s">
        <v>1004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1357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1004</v>
      </c>
      <c r="H171" s="9"/>
      <c r="I171" s="8">
        <v>117</v>
      </c>
      <c r="J171" s="26">
        <v>43117</v>
      </c>
      <c r="K171" s="26">
        <v>43151</v>
      </c>
      <c r="L171" s="9" t="s">
        <v>1241</v>
      </c>
      <c r="M171" s="26"/>
    </row>
    <row r="172" spans="1:13" x14ac:dyDescent="0.25">
      <c r="A172" s="71" t="s">
        <v>1358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1004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1359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1004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1360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1361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1004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1362</v>
      </c>
      <c r="B176" s="67">
        <v>36777190899</v>
      </c>
      <c r="C176" s="72" t="s">
        <v>1363</v>
      </c>
      <c r="D176" s="69">
        <v>37104057854</v>
      </c>
      <c r="E176" s="9">
        <v>810</v>
      </c>
      <c r="F176" s="25">
        <v>42915</v>
      </c>
      <c r="G176" s="70" t="s">
        <v>1004</v>
      </c>
      <c r="H176" s="9"/>
      <c r="I176" s="8"/>
      <c r="J176" s="8"/>
      <c r="K176" s="8"/>
      <c r="L176" s="9" t="s">
        <v>1126</v>
      </c>
      <c r="M176" s="8"/>
    </row>
    <row r="177" spans="1:13" x14ac:dyDescent="0.25">
      <c r="A177" s="15" t="s">
        <v>1364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1004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1365</v>
      </c>
      <c r="B178" s="67">
        <v>32428102877</v>
      </c>
      <c r="C178" s="72" t="s">
        <v>1366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1367</v>
      </c>
      <c r="B179" s="67">
        <v>28640229821</v>
      </c>
      <c r="C179" s="72" t="s">
        <v>1368</v>
      </c>
      <c r="D179" s="69">
        <v>7752420808</v>
      </c>
      <c r="E179" s="9">
        <v>1106</v>
      </c>
      <c r="F179" s="25">
        <v>42965</v>
      </c>
      <c r="G179" s="70" t="s">
        <v>1004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1369</v>
      </c>
      <c r="B180" s="67">
        <v>38122976808</v>
      </c>
      <c r="C180" s="29" t="s">
        <v>1370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1371</v>
      </c>
      <c r="B181" s="67">
        <v>41494645882</v>
      </c>
      <c r="C181" s="72" t="s">
        <v>1372</v>
      </c>
      <c r="D181" s="69">
        <v>23413130862</v>
      </c>
      <c r="E181" s="9">
        <v>1824</v>
      </c>
      <c r="F181" s="25">
        <v>43091</v>
      </c>
      <c r="G181" s="70" t="s">
        <v>1004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1373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1004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1374</v>
      </c>
      <c r="B183" s="67">
        <v>32882437846</v>
      </c>
      <c r="C183" s="77" t="s">
        <v>1375</v>
      </c>
      <c r="D183" s="69" t="s">
        <v>1376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1377</v>
      </c>
      <c r="B184" s="67">
        <v>40733908802</v>
      </c>
      <c r="C184" s="72" t="s">
        <v>1378</v>
      </c>
      <c r="D184" s="69"/>
      <c r="E184" s="9">
        <v>1128</v>
      </c>
      <c r="F184" s="25">
        <v>42972</v>
      </c>
      <c r="G184" s="70" t="s">
        <v>1004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1379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1380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1004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1381</v>
      </c>
      <c r="B187" s="67">
        <v>32321499877</v>
      </c>
      <c r="C187" s="72" t="s">
        <v>1382</v>
      </c>
      <c r="D187" s="69">
        <v>4788348373</v>
      </c>
      <c r="E187" s="9">
        <v>292</v>
      </c>
      <c r="F187" s="25">
        <v>43168</v>
      </c>
      <c r="G187" s="70" t="s">
        <v>1004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1383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1004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1384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1004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1385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1018</v>
      </c>
      <c r="H190" s="9"/>
      <c r="I190" s="8"/>
      <c r="J190" s="8"/>
      <c r="K190" s="8"/>
      <c r="L190" s="9" t="s">
        <v>1386</v>
      </c>
      <c r="M190" s="8"/>
    </row>
    <row r="191" spans="1:13" x14ac:dyDescent="0.25">
      <c r="A191" s="13" t="s">
        <v>1387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1004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1388</v>
      </c>
      <c r="B192" s="67">
        <v>16700300835</v>
      </c>
      <c r="C192" s="72" t="s">
        <v>1389</v>
      </c>
      <c r="D192" s="69">
        <v>28699951809</v>
      </c>
      <c r="E192" s="9">
        <v>262</v>
      </c>
      <c r="F192" s="25">
        <v>43160</v>
      </c>
      <c r="G192" s="70" t="s">
        <v>1004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1390</v>
      </c>
      <c r="B193" s="67">
        <v>33595120817</v>
      </c>
      <c r="C193" s="68" t="s">
        <v>1391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1392</v>
      </c>
      <c r="B194" s="67">
        <v>40386203873</v>
      </c>
      <c r="C194" s="68" t="s">
        <v>1393</v>
      </c>
      <c r="D194" s="69">
        <v>27988479822</v>
      </c>
      <c r="E194" s="9">
        <v>1128</v>
      </c>
      <c r="F194" s="25">
        <v>42972</v>
      </c>
      <c r="G194" s="70" t="s">
        <v>1004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1394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1395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1396</v>
      </c>
      <c r="B197" s="67">
        <v>23473254851</v>
      </c>
      <c r="C197" s="72" t="s">
        <v>1397</v>
      </c>
      <c r="D197" s="69">
        <v>32944503898</v>
      </c>
      <c r="E197" s="9">
        <v>85</v>
      </c>
      <c r="F197" s="25">
        <v>43109</v>
      </c>
      <c r="G197" s="70" t="s">
        <v>1004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1398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1004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1399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1004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1400</v>
      </c>
      <c r="B200" s="67">
        <v>2218915871</v>
      </c>
      <c r="C200" s="72" t="s">
        <v>1401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1402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1403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1404</v>
      </c>
      <c r="B203" s="67">
        <v>31793836825</v>
      </c>
      <c r="C203" s="72" t="s">
        <v>1405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1406</v>
      </c>
      <c r="B204" s="67">
        <v>41307266843</v>
      </c>
      <c r="C204" s="18" t="s">
        <v>1407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1408</v>
      </c>
      <c r="B205" s="67">
        <v>96683295549</v>
      </c>
      <c r="C205" s="72"/>
      <c r="D205" s="69"/>
      <c r="E205" s="9"/>
      <c r="F205" s="25"/>
      <c r="G205" s="70" t="s">
        <v>1004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1409</v>
      </c>
      <c r="B206" s="67">
        <v>18965913888</v>
      </c>
      <c r="C206" s="72" t="s">
        <v>1410</v>
      </c>
      <c r="D206" s="69">
        <v>30385646801</v>
      </c>
      <c r="E206" s="9">
        <v>117</v>
      </c>
      <c r="F206" s="25">
        <v>43117</v>
      </c>
      <c r="G206" s="70" t="s">
        <v>1004</v>
      </c>
      <c r="H206" s="9"/>
      <c r="I206" s="8"/>
      <c r="J206" s="8"/>
      <c r="K206" s="8"/>
      <c r="L206" s="9" t="s">
        <v>1158</v>
      </c>
      <c r="M206" s="8"/>
    </row>
    <row r="207" spans="1:13" x14ac:dyDescent="0.25">
      <c r="A207" s="29" t="s">
        <v>1411</v>
      </c>
      <c r="B207" s="67">
        <v>52371501875</v>
      </c>
      <c r="C207" s="18" t="s">
        <v>1117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1412</v>
      </c>
      <c r="B208" s="67"/>
      <c r="C208" s="18" t="s">
        <v>1117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1413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1414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1415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1010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1416</v>
      </c>
      <c r="B212" s="67">
        <v>25897391840</v>
      </c>
      <c r="C212" s="72" t="s">
        <v>1417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1418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1419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1420</v>
      </c>
      <c r="B215" s="67">
        <v>32841222810</v>
      </c>
      <c r="C215" s="72" t="s">
        <v>1421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1422</v>
      </c>
      <c r="B216" s="67">
        <v>32242692860</v>
      </c>
      <c r="C216" s="72" t="s">
        <v>1423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1424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1425</v>
      </c>
      <c r="B218" s="67">
        <v>35157366892</v>
      </c>
      <c r="C218" s="72" t="s">
        <v>1426</v>
      </c>
      <c r="D218" s="69">
        <v>7540659440</v>
      </c>
      <c r="E218" s="9">
        <v>262</v>
      </c>
      <c r="F218" s="25">
        <v>43160</v>
      </c>
      <c r="G218" s="70" t="s">
        <v>1004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1427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1004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1428</v>
      </c>
      <c r="B220" s="67">
        <v>86052484594</v>
      </c>
      <c r="C220" s="72" t="s">
        <v>1429</v>
      </c>
      <c r="D220" s="69">
        <v>5551698556</v>
      </c>
      <c r="E220" s="9">
        <v>117</v>
      </c>
      <c r="F220" s="25">
        <v>43117</v>
      </c>
      <c r="G220" s="70" t="s">
        <v>1004</v>
      </c>
      <c r="H220" s="70"/>
      <c r="I220" s="8"/>
      <c r="J220" s="8"/>
      <c r="K220" s="8"/>
      <c r="L220" s="9" t="s">
        <v>1158</v>
      </c>
      <c r="M220" s="8"/>
    </row>
    <row r="221" spans="1:13" x14ac:dyDescent="0.25">
      <c r="A221" s="15" t="s">
        <v>1430</v>
      </c>
      <c r="B221" s="67">
        <v>32193061874</v>
      </c>
      <c r="C221" s="72" t="s">
        <v>1431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1432</v>
      </c>
      <c r="B222" s="67">
        <v>32729382810</v>
      </c>
      <c r="C222" s="29" t="s">
        <v>1433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1434</v>
      </c>
      <c r="B223" s="67">
        <v>32554462879</v>
      </c>
      <c r="C223" s="72" t="s">
        <v>1435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1436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1437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1438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1439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1004</v>
      </c>
      <c r="H227" s="70"/>
      <c r="I227" s="8"/>
      <c r="J227" s="8"/>
      <c r="K227" s="8"/>
      <c r="L227" s="9" t="s">
        <v>1126</v>
      </c>
      <c r="M227" s="8"/>
    </row>
    <row r="228" spans="1:13" x14ac:dyDescent="0.25">
      <c r="A228" s="72" t="s">
        <v>1440</v>
      </c>
      <c r="B228" s="67">
        <v>39961258878</v>
      </c>
      <c r="C228" s="72" t="s">
        <v>1441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1442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1443</v>
      </c>
      <c r="B230" s="67">
        <v>35719819878</v>
      </c>
      <c r="C230" s="72" t="s">
        <v>1444</v>
      </c>
      <c r="D230" s="69">
        <v>11407737473</v>
      </c>
      <c r="E230" s="9">
        <v>1214</v>
      </c>
      <c r="F230" s="25">
        <v>42989</v>
      </c>
      <c r="G230" s="70" t="s">
        <v>1004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1445</v>
      </c>
      <c r="B231" s="67">
        <v>45813645829</v>
      </c>
      <c r="C231" s="68" t="s">
        <v>1446</v>
      </c>
      <c r="D231" s="69">
        <v>40890894841</v>
      </c>
      <c r="E231" s="9">
        <v>1752</v>
      </c>
      <c r="F231" s="25">
        <v>43051</v>
      </c>
      <c r="G231" s="70" t="s">
        <v>1004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1447</v>
      </c>
      <c r="B232" s="67">
        <v>43811085824</v>
      </c>
      <c r="C232" s="15" t="s">
        <v>1448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1449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1287</v>
      </c>
      <c r="M233" s="8"/>
    </row>
    <row r="234" spans="1:13" x14ac:dyDescent="0.25">
      <c r="A234" s="29" t="s">
        <v>1450</v>
      </c>
      <c r="B234" s="67"/>
      <c r="C234" s="18" t="s">
        <v>1117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1451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1452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1004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1453</v>
      </c>
      <c r="B237" s="67">
        <v>86221152593</v>
      </c>
      <c r="C237" s="72" t="s">
        <v>1454</v>
      </c>
      <c r="D237" s="69">
        <v>3688414560</v>
      </c>
      <c r="E237" s="9">
        <v>1214</v>
      </c>
      <c r="F237" s="25">
        <v>42989</v>
      </c>
      <c r="G237" s="70" t="s">
        <v>1004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1455</v>
      </c>
      <c r="B238" s="67">
        <v>5918222456</v>
      </c>
      <c r="C238" s="72" t="s">
        <v>1456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1457</v>
      </c>
      <c r="B239" s="67">
        <v>37239200809</v>
      </c>
      <c r="C239" s="72" t="s">
        <v>1458</v>
      </c>
      <c r="D239" s="69">
        <v>36014828869</v>
      </c>
      <c r="E239" s="9">
        <v>1350</v>
      </c>
      <c r="F239" s="25">
        <v>43006</v>
      </c>
      <c r="G239" s="70" t="s">
        <v>1004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1459</v>
      </c>
      <c r="B240" s="67">
        <v>6620279813</v>
      </c>
      <c r="C240" s="72" t="s">
        <v>1460</v>
      </c>
      <c r="D240" s="69">
        <v>18461089855</v>
      </c>
      <c r="E240" s="9">
        <v>1824</v>
      </c>
      <c r="F240" s="25">
        <v>43091</v>
      </c>
      <c r="G240" s="70" t="s">
        <v>1004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1461</v>
      </c>
      <c r="B241" s="67">
        <v>11805424874</v>
      </c>
      <c r="C241" s="77" t="s">
        <v>1462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1463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1004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1464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1004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1465</v>
      </c>
      <c r="B244" s="67">
        <v>34001342871</v>
      </c>
      <c r="C244" s="18" t="s">
        <v>1466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1467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1004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1468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1469</v>
      </c>
      <c r="B247" s="67">
        <v>1308082533</v>
      </c>
      <c r="C247" s="72" t="s">
        <v>1470</v>
      </c>
      <c r="D247" s="69">
        <v>73690139520</v>
      </c>
      <c r="E247" s="9">
        <v>262</v>
      </c>
      <c r="F247" s="25">
        <v>43160</v>
      </c>
      <c r="G247" s="70" t="s">
        <v>1004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1471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1004</v>
      </c>
      <c r="H248" s="70"/>
      <c r="I248" s="8"/>
      <c r="J248" s="8"/>
      <c r="K248" s="8"/>
      <c r="L248" s="9" t="s">
        <v>1158</v>
      </c>
      <c r="M248" s="8"/>
    </row>
    <row r="249" spans="1:13" x14ac:dyDescent="0.25">
      <c r="A249" s="71" t="s">
        <v>1472</v>
      </c>
      <c r="B249" s="67">
        <v>4068496846</v>
      </c>
      <c r="C249" s="72" t="s">
        <v>1473</v>
      </c>
      <c r="D249" s="69">
        <v>26922524896</v>
      </c>
      <c r="E249" s="9">
        <v>1752</v>
      </c>
      <c r="F249" s="25">
        <v>43051</v>
      </c>
      <c r="G249" s="70" t="s">
        <v>1004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1474</v>
      </c>
      <c r="B250" s="67">
        <v>92175163849</v>
      </c>
      <c r="C250" s="72" t="s">
        <v>1475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1476</v>
      </c>
      <c r="B251" s="67">
        <v>76906388304</v>
      </c>
      <c r="C251" s="18" t="s">
        <v>1477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1478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1004</v>
      </c>
      <c r="H252" s="70"/>
      <c r="I252" s="8"/>
      <c r="J252" s="8"/>
      <c r="K252" s="8"/>
      <c r="L252" s="9" t="s">
        <v>1158</v>
      </c>
      <c r="M252" s="8"/>
    </row>
    <row r="253" spans="1:13" x14ac:dyDescent="0.25">
      <c r="A253" s="71" t="s">
        <v>1479</v>
      </c>
      <c r="B253" s="67">
        <v>2925106323</v>
      </c>
      <c r="C253" s="72" t="s">
        <v>1480</v>
      </c>
      <c r="D253" s="69">
        <v>16131378851</v>
      </c>
      <c r="E253" s="9">
        <v>1214</v>
      </c>
      <c r="F253" s="25">
        <v>42989</v>
      </c>
      <c r="G253" s="70" t="s">
        <v>1004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1481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1004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1482</v>
      </c>
      <c r="B255" s="67">
        <v>30871120895</v>
      </c>
      <c r="C255" s="68" t="s">
        <v>1483</v>
      </c>
      <c r="D255" s="69">
        <v>7635106457</v>
      </c>
      <c r="E255" s="9">
        <v>1241</v>
      </c>
      <c r="F255" s="25">
        <v>42992</v>
      </c>
      <c r="G255" s="70" t="s">
        <v>1004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1484</v>
      </c>
      <c r="B256" s="67">
        <v>32016102837</v>
      </c>
      <c r="C256" s="72" t="s">
        <v>1485</v>
      </c>
      <c r="D256" s="69">
        <v>25077406553</v>
      </c>
      <c r="E256" s="9">
        <v>292</v>
      </c>
      <c r="F256" s="25">
        <v>43168</v>
      </c>
      <c r="G256" s="70" t="s">
        <v>1004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1486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1487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1488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1489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1004</v>
      </c>
      <c r="H260" s="70"/>
      <c r="I260" s="8"/>
      <c r="J260" s="8"/>
      <c r="K260" s="8"/>
      <c r="L260" s="9" t="s">
        <v>1490</v>
      </c>
      <c r="M260" s="8"/>
    </row>
    <row r="261" spans="1:13" x14ac:dyDescent="0.25">
      <c r="A261" s="15" t="s">
        <v>1491</v>
      </c>
      <c r="B261" s="67">
        <v>18856620847</v>
      </c>
      <c r="C261" s="72" t="s">
        <v>1492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1493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1494</v>
      </c>
      <c r="B263" s="67">
        <v>2766966382</v>
      </c>
      <c r="C263" s="72" t="s">
        <v>1495</v>
      </c>
      <c r="D263" s="69">
        <v>2385838303</v>
      </c>
      <c r="E263" s="9">
        <v>262</v>
      </c>
      <c r="F263" s="25">
        <v>43160</v>
      </c>
      <c r="G263" s="70" t="s">
        <v>1004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1496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1497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1004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1498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1004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1499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1004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1500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1004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1501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1004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1502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1503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1004</v>
      </c>
      <c r="H271" s="70"/>
      <c r="I271" s="8"/>
      <c r="J271" s="8"/>
      <c r="K271" s="8"/>
      <c r="L271" s="9" t="s">
        <v>1148</v>
      </c>
      <c r="M271" s="8"/>
    </row>
    <row r="272" spans="1:13" x14ac:dyDescent="0.25">
      <c r="A272" s="71" t="s">
        <v>1504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1505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1004</v>
      </c>
      <c r="H273" s="70"/>
      <c r="I273" s="8"/>
      <c r="J273" s="8"/>
      <c r="K273" s="8"/>
      <c r="L273" s="9" t="s">
        <v>1148</v>
      </c>
      <c r="M273" s="8"/>
    </row>
    <row r="274" spans="1:13" x14ac:dyDescent="0.25">
      <c r="A274" s="71" t="s">
        <v>1506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1004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1507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1508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1004</v>
      </c>
      <c r="H276" s="70"/>
      <c r="I276" s="8"/>
      <c r="J276" s="8"/>
      <c r="K276" s="8"/>
      <c r="L276" s="9" t="s">
        <v>1126</v>
      </c>
      <c r="M276" s="8"/>
    </row>
    <row r="277" spans="1:13" x14ac:dyDescent="0.25">
      <c r="A277" s="13" t="s">
        <v>1509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1510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1004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1511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1512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1004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1513</v>
      </c>
      <c r="B281" s="67">
        <v>5261128838</v>
      </c>
      <c r="C281" s="72" t="s">
        <v>1514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1515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1516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1517</v>
      </c>
      <c r="B284" s="67"/>
      <c r="C284" s="29" t="s">
        <v>1117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1518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1004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1519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1520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1004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1521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1004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1522</v>
      </c>
      <c r="B289" s="67">
        <v>80117694304</v>
      </c>
      <c r="C289" s="72" t="s">
        <v>1523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1524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1525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1526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1527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1528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1004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1529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1004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1530</v>
      </c>
      <c r="B296" s="67">
        <v>34227913888</v>
      </c>
      <c r="C296" s="72" t="s">
        <v>1531</v>
      </c>
      <c r="D296" s="69">
        <v>22306586896</v>
      </c>
      <c r="E296" s="9">
        <v>1214</v>
      </c>
      <c r="F296" s="25">
        <v>42989</v>
      </c>
      <c r="G296" s="70" t="s">
        <v>1004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1532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1004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1533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1010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1534</v>
      </c>
      <c r="B299" s="67">
        <v>33547844827</v>
      </c>
      <c r="C299" s="72" t="s">
        <v>1535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1536</v>
      </c>
      <c r="B300" s="67"/>
      <c r="C300" s="18" t="s">
        <v>1117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1537</v>
      </c>
      <c r="B301" s="67">
        <v>5212801842</v>
      </c>
      <c r="C301" s="72" t="s">
        <v>1538</v>
      </c>
      <c r="D301" s="69">
        <v>7101207880</v>
      </c>
      <c r="E301" s="9">
        <v>262</v>
      </c>
      <c r="F301" s="25">
        <v>43160</v>
      </c>
      <c r="G301" s="70" t="s">
        <v>1004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1539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1004</v>
      </c>
      <c r="H302" s="9"/>
      <c r="I302" s="8"/>
      <c r="J302" s="8"/>
      <c r="K302" s="8"/>
      <c r="L302" s="9" t="s">
        <v>1126</v>
      </c>
      <c r="M302" s="8"/>
    </row>
    <row r="303" spans="1:13" x14ac:dyDescent="0.25">
      <c r="A303" s="71" t="s">
        <v>1540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1004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1541</v>
      </c>
      <c r="B304" s="67"/>
      <c r="C304" s="29" t="s">
        <v>1542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1543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1004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1544</v>
      </c>
      <c r="B306" s="67">
        <v>43257974833</v>
      </c>
      <c r="C306" s="18" t="s">
        <v>1117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1545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1004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1546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1547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1004</v>
      </c>
      <c r="H309" s="9"/>
      <c r="I309" s="8"/>
      <c r="J309" s="8"/>
      <c r="K309" s="8"/>
      <c r="L309" s="9" t="s">
        <v>1126</v>
      </c>
      <c r="M309" s="8"/>
    </row>
    <row r="310" spans="1:13" x14ac:dyDescent="0.25">
      <c r="A310" s="13" t="s">
        <v>1548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1004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1549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1004</v>
      </c>
      <c r="H311" s="9"/>
      <c r="I311" s="8"/>
      <c r="J311" s="8"/>
      <c r="K311" s="8"/>
      <c r="L311" s="9" t="s">
        <v>1148</v>
      </c>
      <c r="M311" s="8"/>
    </row>
    <row r="312" spans="1:13" x14ac:dyDescent="0.25">
      <c r="A312" s="18" t="s">
        <v>1550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1551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1004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1552</v>
      </c>
      <c r="B314" s="67">
        <v>56647751300</v>
      </c>
      <c r="C314" s="72" t="s">
        <v>1553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1554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1004</v>
      </c>
      <c r="H315" s="9"/>
      <c r="I315" s="8"/>
      <c r="J315" s="8"/>
      <c r="K315" s="8"/>
      <c r="L315" s="9" t="s">
        <v>1148</v>
      </c>
      <c r="M315" s="8"/>
    </row>
    <row r="316" spans="1:13" x14ac:dyDescent="0.25">
      <c r="A316" s="71" t="s">
        <v>1555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1556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1004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1557</v>
      </c>
      <c r="B318" s="67">
        <v>42049249802</v>
      </c>
      <c r="C318" s="72" t="s">
        <v>1558</v>
      </c>
      <c r="D318" s="69">
        <v>22669338844</v>
      </c>
      <c r="E318" s="9">
        <v>1267</v>
      </c>
      <c r="F318" s="25">
        <v>42998</v>
      </c>
      <c r="G318" s="70" t="s">
        <v>1004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1559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1004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1560</v>
      </c>
      <c r="B320" s="67">
        <v>1863847502</v>
      </c>
      <c r="C320" s="72" t="s">
        <v>1561</v>
      </c>
      <c r="D320" s="69">
        <v>1636882579</v>
      </c>
      <c r="E320" s="9">
        <v>292</v>
      </c>
      <c r="F320" s="25">
        <v>43168</v>
      </c>
      <c r="G320" s="70" t="s">
        <v>1004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1562</v>
      </c>
      <c r="B321" s="67">
        <v>24759459820</v>
      </c>
      <c r="C321" s="18" t="s">
        <v>1563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1564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1004</v>
      </c>
      <c r="H322" s="9"/>
      <c r="I322" s="8"/>
      <c r="J322" s="8"/>
      <c r="K322" s="8"/>
      <c r="L322" s="9" t="s">
        <v>1386</v>
      </c>
      <c r="M322" s="8"/>
    </row>
    <row r="323" spans="1:13" x14ac:dyDescent="0.25">
      <c r="A323" s="29" t="s">
        <v>1565</v>
      </c>
      <c r="B323" s="67"/>
      <c r="C323" s="18" t="s">
        <v>1117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1566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1004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1567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1568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1004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1569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1570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1571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1004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1572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1004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1573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1004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1574</v>
      </c>
      <c r="B332" s="67">
        <v>43830821816</v>
      </c>
      <c r="C332" s="72" t="s">
        <v>1575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1576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1018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1577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1578</v>
      </c>
      <c r="B335" s="67">
        <v>26501719879</v>
      </c>
      <c r="C335" s="75" t="s">
        <v>1579</v>
      </c>
      <c r="D335" s="69">
        <v>26502973876</v>
      </c>
      <c r="E335" s="9">
        <v>1106</v>
      </c>
      <c r="F335" s="25">
        <v>42965</v>
      </c>
      <c r="G335" s="70" t="s">
        <v>1004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1580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1004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1581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1582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1004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1583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1584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1585</v>
      </c>
      <c r="B341" s="67">
        <v>33603802829</v>
      </c>
      <c r="C341" s="72" t="s">
        <v>1586</v>
      </c>
      <c r="D341" s="69">
        <v>26302620813</v>
      </c>
      <c r="E341" s="9">
        <v>1262</v>
      </c>
      <c r="F341" s="25">
        <v>42997</v>
      </c>
      <c r="G341" s="70" t="s">
        <v>1004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1587</v>
      </c>
      <c r="B342" s="67">
        <v>23802013824</v>
      </c>
      <c r="C342" s="72" t="s">
        <v>1588</v>
      </c>
      <c r="D342" s="69">
        <v>23099249890</v>
      </c>
      <c r="E342" s="9">
        <v>1489</v>
      </c>
      <c r="F342" s="25">
        <v>43038</v>
      </c>
      <c r="G342" s="70" t="s">
        <v>1004</v>
      </c>
      <c r="H342" s="9"/>
      <c r="I342" s="8"/>
      <c r="J342" s="8"/>
      <c r="K342" s="8"/>
      <c r="L342" s="9" t="s">
        <v>1148</v>
      </c>
      <c r="M342" s="8"/>
    </row>
    <row r="343" spans="1:13" x14ac:dyDescent="0.25">
      <c r="A343" s="71" t="s">
        <v>1589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1590</v>
      </c>
      <c r="B344" s="67">
        <v>39348497847</v>
      </c>
      <c r="C344" s="72" t="s">
        <v>1591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1592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1004</v>
      </c>
      <c r="H345" s="9"/>
      <c r="I345" s="8"/>
      <c r="J345" s="8"/>
      <c r="K345" s="8"/>
      <c r="L345" s="9" t="s">
        <v>1148</v>
      </c>
      <c r="M345" s="8"/>
    </row>
    <row r="346" spans="1:13" x14ac:dyDescent="0.25">
      <c r="A346" s="71" t="s">
        <v>1593</v>
      </c>
      <c r="B346" s="67">
        <v>46102945832</v>
      </c>
      <c r="C346" s="72" t="s">
        <v>1594</v>
      </c>
      <c r="D346" s="69">
        <v>48110319890</v>
      </c>
      <c r="E346" s="9">
        <v>262</v>
      </c>
      <c r="F346" s="25">
        <v>43160</v>
      </c>
      <c r="G346" s="70" t="s">
        <v>1004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1595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1004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1596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1597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1018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1598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1004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1599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1600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1004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1601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1004</v>
      </c>
      <c r="H353" s="9"/>
      <c r="I353" s="8"/>
      <c r="J353" s="8"/>
      <c r="K353" s="8"/>
      <c r="L353" s="9" t="s">
        <v>1241</v>
      </c>
      <c r="M353" s="8"/>
    </row>
    <row r="354" spans="1:13" x14ac:dyDescent="0.25">
      <c r="A354" s="15" t="s">
        <v>1602</v>
      </c>
      <c r="B354" s="67">
        <v>37738978805</v>
      </c>
      <c r="C354" s="15" t="s">
        <v>1603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1604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1605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1606</v>
      </c>
      <c r="B357" s="67">
        <v>37439665813</v>
      </c>
      <c r="C357" s="72" t="s">
        <v>1607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1287</v>
      </c>
      <c r="M357" s="8"/>
    </row>
    <row r="358" spans="1:13" x14ac:dyDescent="0.25">
      <c r="A358" s="15" t="s">
        <v>1608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1609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1610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1004</v>
      </c>
      <c r="H360" s="9"/>
      <c r="I360" s="8"/>
      <c r="J360" s="8"/>
      <c r="K360" s="8"/>
      <c r="L360" s="9" t="s">
        <v>1490</v>
      </c>
      <c r="M360" s="8"/>
    </row>
    <row r="361" spans="1:13" x14ac:dyDescent="0.25">
      <c r="A361" s="15" t="s">
        <v>1611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1612</v>
      </c>
      <c r="B362" s="67">
        <v>39263170860</v>
      </c>
      <c r="C362" s="72" t="s">
        <v>1613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1614</v>
      </c>
      <c r="B363" s="67">
        <v>17803665829</v>
      </c>
      <c r="C363" s="72" t="s">
        <v>1615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1616</v>
      </c>
      <c r="B364" s="67">
        <v>39996489884</v>
      </c>
      <c r="C364" s="72" t="s">
        <v>1617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1618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1004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1619</v>
      </c>
      <c r="B366" s="67">
        <v>36210371876</v>
      </c>
      <c r="C366" s="72" t="s">
        <v>1620</v>
      </c>
      <c r="D366" s="69">
        <v>32340716837</v>
      </c>
      <c r="E366" s="9">
        <v>229</v>
      </c>
      <c r="F366" s="25">
        <v>43151</v>
      </c>
      <c r="G366" s="70" t="s">
        <v>1004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1621</v>
      </c>
      <c r="B367" s="67">
        <v>42016007850</v>
      </c>
      <c r="C367" s="72" t="s">
        <v>1622</v>
      </c>
      <c r="D367" s="69">
        <v>35228090843</v>
      </c>
      <c r="E367" s="9">
        <v>810</v>
      </c>
      <c r="F367" s="25">
        <v>42915</v>
      </c>
      <c r="G367" s="70" t="s">
        <v>1004</v>
      </c>
      <c r="H367" s="9"/>
      <c r="I367" s="8"/>
      <c r="J367" s="8"/>
      <c r="K367" s="8"/>
      <c r="L367" s="9" t="s">
        <v>1126</v>
      </c>
      <c r="M367" s="8"/>
    </row>
    <row r="368" spans="1:13" x14ac:dyDescent="0.25">
      <c r="A368" s="14" t="s">
        <v>1623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1004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1624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1004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1625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1004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1626</v>
      </c>
      <c r="B371" s="67">
        <v>34350558802</v>
      </c>
      <c r="C371" s="18" t="s">
        <v>1627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1628</v>
      </c>
      <c r="B372" s="67">
        <v>41502336839</v>
      </c>
      <c r="C372" s="77" t="s">
        <v>1629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1630</v>
      </c>
      <c r="B373" s="67">
        <v>38156943880</v>
      </c>
      <c r="C373" s="72" t="s">
        <v>1631</v>
      </c>
      <c r="D373" s="69">
        <v>35830934884</v>
      </c>
      <c r="E373" s="9">
        <v>262</v>
      </c>
      <c r="F373" s="25">
        <v>43160</v>
      </c>
      <c r="G373" s="70" t="s">
        <v>1004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1632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1004</v>
      </c>
      <c r="H374" s="9"/>
      <c r="I374" s="8"/>
      <c r="J374" s="8"/>
      <c r="K374" s="8"/>
      <c r="L374" s="9" t="s">
        <v>1126</v>
      </c>
      <c r="M374" s="8"/>
    </row>
    <row r="375" spans="1:13" x14ac:dyDescent="0.25">
      <c r="A375" s="71" t="s">
        <v>1633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1004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1634</v>
      </c>
      <c r="B376" s="67" t="s">
        <v>1635</v>
      </c>
      <c r="C376" s="73" t="s">
        <v>1636</v>
      </c>
      <c r="D376" s="69" t="s">
        <v>1637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1638</v>
      </c>
      <c r="B377" s="67">
        <v>41104888858</v>
      </c>
      <c r="C377" s="72" t="s">
        <v>1639</v>
      </c>
      <c r="D377" s="69">
        <v>35714357884</v>
      </c>
      <c r="E377" s="9">
        <v>810</v>
      </c>
      <c r="F377" s="25">
        <v>42915</v>
      </c>
      <c r="G377" s="70" t="s">
        <v>1004</v>
      </c>
      <c r="H377" s="9"/>
      <c r="I377" s="8"/>
      <c r="J377" s="8"/>
      <c r="K377" s="8"/>
      <c r="L377" s="9" t="s">
        <v>1126</v>
      </c>
      <c r="M377" s="8"/>
    </row>
    <row r="378" spans="1:13" x14ac:dyDescent="0.25">
      <c r="A378" s="71" t="s">
        <v>1640</v>
      </c>
      <c r="B378" s="67">
        <v>34954516846</v>
      </c>
      <c r="C378" s="72" t="s">
        <v>1641</v>
      </c>
      <c r="D378" s="69">
        <v>18356312825</v>
      </c>
      <c r="E378" s="9">
        <v>1824</v>
      </c>
      <c r="F378" s="25">
        <v>43091</v>
      </c>
      <c r="G378" s="70" t="s">
        <v>1018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1642</v>
      </c>
      <c r="B379" s="67"/>
      <c r="C379" s="29" t="s">
        <v>1643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1644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1004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1645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1004</v>
      </c>
      <c r="H381" s="9"/>
      <c r="I381" s="8"/>
      <c r="J381" s="8"/>
      <c r="K381" s="8"/>
      <c r="L381" s="9" t="s">
        <v>1148</v>
      </c>
      <c r="M381" s="8"/>
    </row>
    <row r="382" spans="1:13" x14ac:dyDescent="0.25">
      <c r="A382" s="71" t="s">
        <v>1646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1647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1004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1648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1004</v>
      </c>
      <c r="H384" s="9"/>
      <c r="I384" s="8"/>
      <c r="J384" s="8"/>
      <c r="K384" s="8"/>
      <c r="L384" s="9" t="s">
        <v>1148</v>
      </c>
      <c r="M384" s="8"/>
    </row>
    <row r="385" spans="1:13" x14ac:dyDescent="0.25">
      <c r="A385" s="15" t="s">
        <v>1649</v>
      </c>
      <c r="B385" s="67">
        <v>33239238802</v>
      </c>
      <c r="C385" s="72" t="s">
        <v>1650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1651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1652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1004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1653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1010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1654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1004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1655</v>
      </c>
      <c r="B390" s="67">
        <v>13486189816</v>
      </c>
      <c r="C390" s="72" t="s">
        <v>1656</v>
      </c>
      <c r="D390" s="69">
        <v>15745057858</v>
      </c>
      <c r="E390" s="9">
        <v>262</v>
      </c>
      <c r="F390" s="25">
        <v>43160</v>
      </c>
      <c r="G390" s="70" t="s">
        <v>1004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1657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1004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1658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1004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1659</v>
      </c>
      <c r="B393" s="67">
        <v>29672702884</v>
      </c>
      <c r="C393" s="72" t="s">
        <v>1660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1661</v>
      </c>
      <c r="B394" s="67"/>
      <c r="C394" s="29" t="s">
        <v>1117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1662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1004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1663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1004</v>
      </c>
      <c r="H396" s="9"/>
      <c r="I396" s="8"/>
      <c r="J396" s="8"/>
      <c r="K396" s="8"/>
      <c r="L396" s="9" t="s">
        <v>1158</v>
      </c>
      <c r="M396" s="8"/>
    </row>
    <row r="397" spans="1:13" x14ac:dyDescent="0.25">
      <c r="A397" s="15" t="s">
        <v>1664</v>
      </c>
      <c r="B397" s="67">
        <v>7030224582</v>
      </c>
      <c r="C397" s="72" t="s">
        <v>1665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1666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1004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1667</v>
      </c>
      <c r="B399" s="67">
        <v>39783437895</v>
      </c>
      <c r="C399" s="72" t="s">
        <v>1668</v>
      </c>
      <c r="D399" s="69">
        <v>12062296754</v>
      </c>
      <c r="E399" s="9">
        <v>292</v>
      </c>
      <c r="F399" s="25">
        <v>43168</v>
      </c>
      <c r="G399" s="9" t="s">
        <v>1004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1669</v>
      </c>
      <c r="B400" s="67">
        <v>41759713864</v>
      </c>
      <c r="C400" s="72" t="s">
        <v>1670</v>
      </c>
      <c r="D400" s="69">
        <v>38653116877</v>
      </c>
      <c r="E400" s="9">
        <v>1824</v>
      </c>
      <c r="F400" s="25">
        <v>43091</v>
      </c>
      <c r="G400" s="70" t="s">
        <v>1004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1671</v>
      </c>
      <c r="B401" s="67">
        <v>37686754839</v>
      </c>
      <c r="C401" s="72" t="s">
        <v>1672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1673</v>
      </c>
      <c r="B402" s="67"/>
      <c r="C402" s="29" t="s">
        <v>1674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1675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1004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1676</v>
      </c>
      <c r="B404" s="67">
        <v>44864217874</v>
      </c>
      <c r="C404" s="72" t="s">
        <v>1677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1678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1004</v>
      </c>
      <c r="H405" s="9"/>
      <c r="I405" s="8"/>
      <c r="J405" s="8"/>
      <c r="K405" s="8"/>
      <c r="L405" s="9" t="s">
        <v>1241</v>
      </c>
      <c r="M405" s="8"/>
    </row>
    <row r="406" spans="1:13" x14ac:dyDescent="0.25">
      <c r="A406" s="15" t="s">
        <v>1679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1004</v>
      </c>
      <c r="H406" s="9"/>
      <c r="I406" s="8"/>
      <c r="J406" s="8"/>
      <c r="K406" s="8"/>
      <c r="L406" s="9" t="s">
        <v>1158</v>
      </c>
      <c r="M406" s="8"/>
    </row>
    <row r="407" spans="1:13" x14ac:dyDescent="0.25">
      <c r="A407" s="13" t="s">
        <v>1680</v>
      </c>
      <c r="B407" s="67">
        <v>1329442512</v>
      </c>
      <c r="C407" s="68" t="s">
        <v>1681</v>
      </c>
      <c r="D407" s="69">
        <v>1320825516</v>
      </c>
      <c r="E407" s="9">
        <v>1214</v>
      </c>
      <c r="F407" s="25">
        <v>42989</v>
      </c>
      <c r="G407" s="70" t="s">
        <v>1004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1682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1683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1684</v>
      </c>
      <c r="B410" s="67"/>
      <c r="C410" s="29" t="s">
        <v>1117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1685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1004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1686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1004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1687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1688</v>
      </c>
      <c r="B414" s="67">
        <v>93440340520</v>
      </c>
      <c r="C414" s="68" t="s">
        <v>1689</v>
      </c>
      <c r="D414" s="69">
        <v>8858333845</v>
      </c>
      <c r="E414" s="9">
        <v>1267</v>
      </c>
      <c r="F414" s="25">
        <v>42998</v>
      </c>
      <c r="G414" s="70" t="s">
        <v>1004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1690</v>
      </c>
      <c r="B415" s="67">
        <v>21947877801</v>
      </c>
      <c r="C415" s="29" t="s">
        <v>1691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1692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1004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1693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1004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1694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1004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1695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1004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1696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1004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1697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1698</v>
      </c>
      <c r="B422" s="67">
        <v>11163355810</v>
      </c>
      <c r="C422" s="72" t="s">
        <v>1699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1700</v>
      </c>
      <c r="B423" s="67">
        <v>12870537859</v>
      </c>
      <c r="C423" s="72" t="s">
        <v>1701</v>
      </c>
      <c r="D423" s="69">
        <v>59856912849</v>
      </c>
      <c r="E423" s="9">
        <v>1417</v>
      </c>
      <c r="F423" s="25">
        <v>43017</v>
      </c>
      <c r="G423" s="70" t="s">
        <v>1004</v>
      </c>
      <c r="H423" s="9"/>
      <c r="I423" s="8"/>
      <c r="J423" s="8"/>
      <c r="K423" s="8"/>
      <c r="L423" s="9" t="s">
        <v>1241</v>
      </c>
      <c r="M423" s="8"/>
    </row>
    <row r="424" spans="1:13" x14ac:dyDescent="0.25">
      <c r="A424" s="14" t="s">
        <v>1702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1004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1703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1704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1004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1705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1004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1706</v>
      </c>
      <c r="B428" s="67">
        <v>34133269888</v>
      </c>
      <c r="C428" s="72" t="s">
        <v>1707</v>
      </c>
      <c r="D428" s="69">
        <v>35360635860</v>
      </c>
      <c r="E428" s="9">
        <v>1824</v>
      </c>
      <c r="F428" s="25">
        <v>43091</v>
      </c>
      <c r="G428" s="70" t="s">
        <v>1004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1708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1004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1709</v>
      </c>
      <c r="B430" s="67">
        <v>26370314846</v>
      </c>
      <c r="C430" s="72" t="s">
        <v>1710</v>
      </c>
      <c r="D430" s="69">
        <v>26923862809</v>
      </c>
      <c r="E430" s="9">
        <v>117</v>
      </c>
      <c r="F430" s="25">
        <v>43117</v>
      </c>
      <c r="G430" s="70" t="s">
        <v>1004</v>
      </c>
      <c r="H430" s="9"/>
      <c r="I430" s="8"/>
      <c r="J430" s="8"/>
      <c r="K430" s="8"/>
      <c r="L430" s="9" t="s">
        <v>1158</v>
      </c>
      <c r="M430" s="8"/>
    </row>
    <row r="431" spans="1:13" x14ac:dyDescent="0.25">
      <c r="A431" s="71" t="s">
        <v>1711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1712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1004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1713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1004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1714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1004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1715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1004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1716</v>
      </c>
      <c r="B436" s="67"/>
      <c r="C436" s="29" t="s">
        <v>1117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1717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1018</v>
      </c>
      <c r="H437" s="9"/>
      <c r="I437" s="8"/>
      <c r="J437" s="8"/>
      <c r="K437" s="8"/>
      <c r="L437" s="9" t="s">
        <v>1158</v>
      </c>
      <c r="M437" s="8"/>
    </row>
    <row r="438" spans="1:13" x14ac:dyDescent="0.25">
      <c r="A438" s="71" t="s">
        <v>1718</v>
      </c>
      <c r="B438" s="67">
        <v>28413241847</v>
      </c>
      <c r="C438" s="72" t="s">
        <v>1719</v>
      </c>
      <c r="D438" s="69">
        <v>14661915895</v>
      </c>
      <c r="E438" s="9">
        <v>810</v>
      </c>
      <c r="F438" s="25">
        <v>42915</v>
      </c>
      <c r="G438" s="70" t="s">
        <v>1004</v>
      </c>
      <c r="H438" s="9"/>
      <c r="I438" s="8"/>
      <c r="J438" s="8"/>
      <c r="K438" s="8"/>
      <c r="L438" s="9" t="s">
        <v>1126</v>
      </c>
      <c r="M438" s="8"/>
    </row>
    <row r="439" spans="1:13" x14ac:dyDescent="0.25">
      <c r="A439" s="15" t="s">
        <v>1720</v>
      </c>
      <c r="B439" s="67">
        <v>12898733806</v>
      </c>
      <c r="C439" s="72" t="s">
        <v>1721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1722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1004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1723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1724</v>
      </c>
      <c r="B442" s="67">
        <v>667192328</v>
      </c>
      <c r="C442" s="29" t="s">
        <v>1725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1726</v>
      </c>
      <c r="B443" s="67">
        <v>3474339443</v>
      </c>
      <c r="C443" s="72" t="s">
        <v>1727</v>
      </c>
      <c r="D443" s="69">
        <v>58073604515</v>
      </c>
      <c r="E443" s="9">
        <v>810</v>
      </c>
      <c r="F443" s="25">
        <v>42915</v>
      </c>
      <c r="G443" s="70" t="s">
        <v>1004</v>
      </c>
      <c r="H443" s="9"/>
      <c r="I443" s="8"/>
      <c r="J443" s="8"/>
      <c r="K443" s="8"/>
      <c r="L443" s="9" t="s">
        <v>1126</v>
      </c>
      <c r="M443" s="8"/>
    </row>
    <row r="444" spans="1:13" x14ac:dyDescent="0.25">
      <c r="A444" s="71" t="s">
        <v>1728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1004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1729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1730</v>
      </c>
      <c r="B446" s="67">
        <v>70014140349</v>
      </c>
      <c r="C446" s="72" t="s">
        <v>1731</v>
      </c>
      <c r="D446" s="69">
        <v>16412436863</v>
      </c>
      <c r="E446" s="9">
        <v>1262</v>
      </c>
      <c r="F446" s="25">
        <v>42997</v>
      </c>
      <c r="G446" s="70" t="s">
        <v>1004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1732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1733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1004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1734</v>
      </c>
      <c r="B449" s="67">
        <v>42230945807</v>
      </c>
      <c r="C449" s="29" t="s">
        <v>1735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1736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1004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1737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1004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1738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1004</v>
      </c>
      <c r="H452" s="9"/>
      <c r="I452" s="8"/>
      <c r="J452" s="8"/>
      <c r="K452" s="8"/>
      <c r="L452" s="9" t="s">
        <v>1148</v>
      </c>
      <c r="M452" s="8"/>
    </row>
    <row r="453" spans="1:13" x14ac:dyDescent="0.25">
      <c r="A453" s="71" t="s">
        <v>1739</v>
      </c>
      <c r="B453" s="67">
        <v>7380335456</v>
      </c>
      <c r="C453" s="72" t="s">
        <v>1740</v>
      </c>
      <c r="D453" s="69">
        <v>7548744439</v>
      </c>
      <c r="E453" s="9">
        <v>810</v>
      </c>
      <c r="F453" s="25">
        <v>42915</v>
      </c>
      <c r="G453" s="70" t="s">
        <v>1004</v>
      </c>
      <c r="H453" s="9"/>
      <c r="I453" s="8"/>
      <c r="J453" s="8"/>
      <c r="K453" s="8"/>
      <c r="L453" s="9" t="s">
        <v>1126</v>
      </c>
      <c r="M453" s="8"/>
    </row>
    <row r="454" spans="1:13" x14ac:dyDescent="0.25">
      <c r="A454" s="18" t="s">
        <v>1741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1742</v>
      </c>
      <c r="B455" s="67">
        <v>38529900847</v>
      </c>
      <c r="C455" s="72" t="s">
        <v>1743</v>
      </c>
      <c r="D455" s="69">
        <v>36056823830</v>
      </c>
      <c r="E455" s="9">
        <v>262</v>
      </c>
      <c r="F455" s="25">
        <v>43160</v>
      </c>
      <c r="G455" s="70" t="s">
        <v>1004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1744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1004</v>
      </c>
      <c r="H456" s="9"/>
      <c r="I456" s="8"/>
      <c r="J456" s="8"/>
      <c r="K456" s="8"/>
      <c r="L456" s="9" t="s">
        <v>1241</v>
      </c>
      <c r="M456" s="8"/>
    </row>
    <row r="457" spans="1:13" x14ac:dyDescent="0.25">
      <c r="A457" s="13" t="s">
        <v>1745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1004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1746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1004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1747</v>
      </c>
      <c r="B459" s="67">
        <v>11806390817</v>
      </c>
      <c r="C459" s="72" t="s">
        <v>1748</v>
      </c>
      <c r="D459" s="69">
        <v>6924399860</v>
      </c>
      <c r="E459" s="9">
        <v>85</v>
      </c>
      <c r="F459" s="25">
        <v>43109</v>
      </c>
      <c r="G459" s="70" t="s">
        <v>1004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1749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1750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1004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1751</v>
      </c>
      <c r="B462" s="67">
        <v>32734621835</v>
      </c>
      <c r="C462" s="77" t="s">
        <v>1752</v>
      </c>
      <c r="D462" s="69" t="s">
        <v>1753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1754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1004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1755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1756</v>
      </c>
      <c r="B465" s="67">
        <v>31367730805</v>
      </c>
      <c r="C465" s="68" t="s">
        <v>1757</v>
      </c>
      <c r="D465" s="69">
        <v>39532354867</v>
      </c>
      <c r="E465" s="9">
        <v>1350</v>
      </c>
      <c r="F465" s="25">
        <v>43006</v>
      </c>
      <c r="G465" s="70" t="s">
        <v>1004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1758</v>
      </c>
      <c r="B466" s="67">
        <v>5579867611</v>
      </c>
      <c r="C466" s="72" t="s">
        <v>1759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1760</v>
      </c>
      <c r="B467" s="67">
        <v>17118545813</v>
      </c>
      <c r="C467" s="72" t="s">
        <v>1761</v>
      </c>
      <c r="D467" s="69">
        <v>29932279803</v>
      </c>
      <c r="E467" s="9">
        <v>262</v>
      </c>
      <c r="F467" s="25">
        <v>43160</v>
      </c>
      <c r="G467" s="70" t="s">
        <v>1004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1762</v>
      </c>
      <c r="B468" s="67">
        <v>35031003855</v>
      </c>
      <c r="C468" s="72" t="s">
        <v>1763</v>
      </c>
      <c r="D468" s="69">
        <v>41246529840</v>
      </c>
      <c r="E468" s="9">
        <v>1422</v>
      </c>
      <c r="F468" s="25">
        <v>43018</v>
      </c>
      <c r="G468" s="70" t="s">
        <v>1004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1764</v>
      </c>
      <c r="B469" s="67">
        <v>17803718884</v>
      </c>
      <c r="C469" s="32" t="s">
        <v>1765</v>
      </c>
      <c r="D469" s="69">
        <v>364628880</v>
      </c>
      <c r="E469" s="9">
        <v>1570</v>
      </c>
      <c r="F469" s="25">
        <v>43077</v>
      </c>
      <c r="G469" s="70" t="s">
        <v>1004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1766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1004</v>
      </c>
      <c r="H470" s="9"/>
      <c r="I470" s="8"/>
      <c r="J470" s="8"/>
      <c r="K470" s="8"/>
      <c r="L470" s="9" t="s">
        <v>1158</v>
      </c>
      <c r="M470" s="8"/>
    </row>
    <row r="471" spans="1:13" x14ac:dyDescent="0.25">
      <c r="A471" s="13" t="s">
        <v>1767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1004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1768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1004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1769</v>
      </c>
      <c r="B473" s="67">
        <v>22740303831</v>
      </c>
      <c r="C473" s="18" t="s">
        <v>1117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1770</v>
      </c>
      <c r="B474" s="67">
        <v>35482535800</v>
      </c>
      <c r="C474" s="72" t="s">
        <v>1771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1772</v>
      </c>
      <c r="B475" s="67">
        <v>22213116806</v>
      </c>
      <c r="C475" s="72" t="s">
        <v>1773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1774</v>
      </c>
      <c r="B476" s="67">
        <v>22168840814</v>
      </c>
      <c r="C476" s="29" t="s">
        <v>1775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1776</v>
      </c>
      <c r="B477" s="67">
        <v>30609785818</v>
      </c>
      <c r="C477" s="18" t="s">
        <v>1777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1778</v>
      </c>
      <c r="B478" s="67">
        <v>18515704897</v>
      </c>
      <c r="C478" s="18" t="s">
        <v>1117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1779</v>
      </c>
      <c r="B479" s="67">
        <v>14683022800</v>
      </c>
      <c r="C479" s="72" t="s">
        <v>1780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1781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1782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1004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1783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1784</v>
      </c>
      <c r="B483" s="67"/>
      <c r="C483" s="29" t="s">
        <v>1117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1785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1004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1786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1004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1787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1004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1788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1004</v>
      </c>
      <c r="H487" s="9"/>
      <c r="I487" s="8"/>
      <c r="J487" s="8"/>
      <c r="K487" s="8"/>
      <c r="L487" s="9" t="s">
        <v>1148</v>
      </c>
      <c r="M487" s="8"/>
    </row>
    <row r="488" spans="1:13" x14ac:dyDescent="0.25">
      <c r="A488" s="13" t="s">
        <v>1789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1004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1790</v>
      </c>
      <c r="B489" s="67">
        <v>36664921855</v>
      </c>
      <c r="C489" s="72" t="s">
        <v>1791</v>
      </c>
      <c r="D489" s="69">
        <v>28495923823</v>
      </c>
      <c r="E489" s="9">
        <v>117</v>
      </c>
      <c r="F489" s="25">
        <v>43117</v>
      </c>
      <c r="G489" s="70" t="s">
        <v>1010</v>
      </c>
      <c r="H489" s="9"/>
      <c r="I489" s="8"/>
      <c r="J489" s="8"/>
      <c r="K489" s="8"/>
      <c r="L489" s="9" t="s">
        <v>1158</v>
      </c>
      <c r="M489" s="8"/>
    </row>
    <row r="490" spans="1:13" x14ac:dyDescent="0.25">
      <c r="A490" s="79" t="s">
        <v>1792</v>
      </c>
      <c r="B490" s="80">
        <v>22561317854</v>
      </c>
      <c r="C490" s="81" t="s">
        <v>1793</v>
      </c>
      <c r="D490" s="82">
        <v>26718748803</v>
      </c>
      <c r="E490" s="47">
        <v>1106</v>
      </c>
      <c r="F490" s="48">
        <v>42965</v>
      </c>
      <c r="G490" s="83" t="s">
        <v>1010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1794</v>
      </c>
      <c r="B491" s="67">
        <v>34870463857</v>
      </c>
      <c r="C491" s="72" t="s">
        <v>1795</v>
      </c>
      <c r="D491" s="69">
        <v>7049816531</v>
      </c>
      <c r="E491" s="9">
        <v>292</v>
      </c>
      <c r="F491" s="25">
        <v>43168</v>
      </c>
      <c r="G491" s="70" t="s">
        <v>1004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1796</v>
      </c>
      <c r="B492" s="67">
        <v>35225854885</v>
      </c>
      <c r="C492" s="72" t="s">
        <v>1797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1798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1004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1799</v>
      </c>
      <c r="B494" s="67">
        <v>35929092826</v>
      </c>
      <c r="C494" s="72" t="s">
        <v>1800</v>
      </c>
      <c r="D494" s="69">
        <v>29462804893</v>
      </c>
      <c r="E494" s="9">
        <v>1267</v>
      </c>
      <c r="F494" s="25">
        <v>42998</v>
      </c>
      <c r="G494" s="70" t="s">
        <v>1004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1801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1802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1803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1804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1004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1805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1018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1806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1807</v>
      </c>
      <c r="B501" s="67">
        <v>24660726886</v>
      </c>
      <c r="C501" s="72" t="s">
        <v>1808</v>
      </c>
      <c r="D501" s="69">
        <v>96400951504</v>
      </c>
      <c r="E501" s="9">
        <v>292</v>
      </c>
      <c r="F501" s="25">
        <v>43168</v>
      </c>
      <c r="G501" s="70" t="s">
        <v>1010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1809</v>
      </c>
      <c r="B502" s="69">
        <v>27863381827</v>
      </c>
      <c r="C502" s="71" t="s">
        <v>1810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1811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1004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1812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1813</v>
      </c>
      <c r="B505" s="67">
        <v>25856034821</v>
      </c>
      <c r="C505" s="72" t="s">
        <v>1814</v>
      </c>
      <c r="D505" s="69">
        <v>74821083353</v>
      </c>
      <c r="E505" s="9">
        <v>810</v>
      </c>
      <c r="F505" s="25">
        <v>42915</v>
      </c>
      <c r="G505" s="70" t="s">
        <v>1004</v>
      </c>
      <c r="H505" s="9"/>
      <c r="I505" s="8"/>
      <c r="J505" s="8"/>
      <c r="K505" s="8"/>
      <c r="L505" s="9" t="s">
        <v>1126</v>
      </c>
      <c r="M505" s="8"/>
    </row>
    <row r="506" spans="1:13" x14ac:dyDescent="0.25">
      <c r="A506" s="71" t="s">
        <v>1815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1287</v>
      </c>
      <c r="M506" s="8"/>
    </row>
    <row r="507" spans="1:13" x14ac:dyDescent="0.25">
      <c r="A507" s="71" t="s">
        <v>1816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1817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1287</v>
      </c>
      <c r="M508" s="8"/>
    </row>
    <row r="509" spans="1:13" x14ac:dyDescent="0.25">
      <c r="A509" s="29" t="s">
        <v>1818</v>
      </c>
      <c r="B509" s="67">
        <v>4802267843</v>
      </c>
      <c r="C509" s="29" t="s">
        <v>1819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1820</v>
      </c>
      <c r="B510" s="67">
        <v>6672502807</v>
      </c>
      <c r="C510" s="72" t="s">
        <v>1821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1287</v>
      </c>
      <c r="M510" s="8"/>
    </row>
    <row r="511" spans="1:13" x14ac:dyDescent="0.25">
      <c r="A511" s="18" t="s">
        <v>1822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1823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1824</v>
      </c>
      <c r="B513" s="67">
        <v>37233245843</v>
      </c>
      <c r="C513" s="29" t="s">
        <v>1825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1826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1827</v>
      </c>
      <c r="B515" s="67">
        <v>33456412835</v>
      </c>
      <c r="C515" s="72" t="s">
        <v>1828</v>
      </c>
      <c r="D515" s="69">
        <v>9387669882</v>
      </c>
      <c r="E515" s="9">
        <v>229</v>
      </c>
      <c r="F515" s="25">
        <v>43151</v>
      </c>
      <c r="G515" s="70" t="s">
        <v>1018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1829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1004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1830</v>
      </c>
      <c r="B517" s="67">
        <v>10317452894</v>
      </c>
      <c r="C517" s="72" t="s">
        <v>1831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1832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1004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1833</v>
      </c>
      <c r="B519" s="67"/>
      <c r="C519" s="29" t="s">
        <v>1834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1835</v>
      </c>
      <c r="B520" s="67">
        <v>42782953591</v>
      </c>
      <c r="C520" s="72" t="s">
        <v>1836</v>
      </c>
      <c r="D520" s="69">
        <v>53921186587</v>
      </c>
      <c r="E520" s="9">
        <v>85</v>
      </c>
      <c r="F520" s="25">
        <v>43109</v>
      </c>
      <c r="G520" s="70" t="s">
        <v>1004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1837</v>
      </c>
      <c r="B521" s="67">
        <v>3086762896</v>
      </c>
      <c r="C521" s="72" t="s">
        <v>1838</v>
      </c>
      <c r="D521" s="69">
        <v>89632877853</v>
      </c>
      <c r="E521" s="9">
        <v>810</v>
      </c>
      <c r="F521" s="25">
        <v>42915</v>
      </c>
      <c r="G521" s="70" t="s">
        <v>1004</v>
      </c>
      <c r="H521" s="9"/>
      <c r="I521" s="8"/>
      <c r="J521" s="8"/>
      <c r="K521" s="8"/>
      <c r="L521" s="9" t="s">
        <v>1126</v>
      </c>
      <c r="M521" s="8"/>
    </row>
    <row r="522" spans="1:13" x14ac:dyDescent="0.25">
      <c r="A522" s="71" t="s">
        <v>1839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1004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1840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1004</v>
      </c>
      <c r="H523" s="9"/>
      <c r="I523" s="8"/>
      <c r="J523" s="8"/>
      <c r="K523" s="8"/>
      <c r="L523" s="9" t="s">
        <v>1241</v>
      </c>
      <c r="M523" s="8"/>
    </row>
    <row r="524" spans="1:13" x14ac:dyDescent="0.25">
      <c r="A524" s="33" t="s">
        <v>1841</v>
      </c>
      <c r="B524" s="67">
        <v>22624049843</v>
      </c>
      <c r="C524" s="32" t="s">
        <v>1842</v>
      </c>
      <c r="D524" s="69">
        <v>32978302801</v>
      </c>
      <c r="E524" s="9">
        <v>1570</v>
      </c>
      <c r="F524" s="25">
        <v>43077</v>
      </c>
      <c r="G524" s="70" t="s">
        <v>1004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1843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1844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1004</v>
      </c>
      <c r="H526" s="9"/>
      <c r="I526" s="8"/>
      <c r="J526" s="8"/>
      <c r="K526" s="8"/>
      <c r="L526" s="9" t="s">
        <v>1148</v>
      </c>
      <c r="M526" s="8"/>
    </row>
    <row r="527" spans="1:13" x14ac:dyDescent="0.25">
      <c r="A527" s="71" t="s">
        <v>1845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1004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1846</v>
      </c>
      <c r="B528" s="67">
        <v>27112847869</v>
      </c>
      <c r="C528" s="72" t="s">
        <v>1847</v>
      </c>
      <c r="D528" s="69">
        <v>37782363420</v>
      </c>
      <c r="E528" s="9">
        <v>1106</v>
      </c>
      <c r="F528" s="25">
        <v>42965</v>
      </c>
      <c r="G528" s="70" t="s">
        <v>1004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1848</v>
      </c>
      <c r="B529" s="67">
        <v>32811648895</v>
      </c>
      <c r="C529" s="72" t="s">
        <v>1849</v>
      </c>
      <c r="D529" s="69">
        <v>25428395818</v>
      </c>
      <c r="E529" s="9">
        <v>85</v>
      </c>
      <c r="F529" s="25">
        <v>43109</v>
      </c>
      <c r="G529" s="70" t="s">
        <v>1004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1850</v>
      </c>
      <c r="B530" s="67">
        <v>12811159835</v>
      </c>
      <c r="C530" s="72" t="s">
        <v>1851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1852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1853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1854</v>
      </c>
      <c r="B533" s="67">
        <v>83941010468</v>
      </c>
      <c r="C533" s="18" t="s">
        <v>1855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1856</v>
      </c>
      <c r="B534" s="67">
        <v>43152462808</v>
      </c>
      <c r="C534" s="29" t="s">
        <v>1857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1858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1859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1004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1860</v>
      </c>
      <c r="B537" s="67"/>
      <c r="C537" s="18" t="s">
        <v>1117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1861</v>
      </c>
      <c r="B538" s="67">
        <v>41249931886</v>
      </c>
      <c r="C538" s="72" t="s">
        <v>1862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1863</v>
      </c>
      <c r="B539" s="67">
        <v>34361118809</v>
      </c>
      <c r="C539" s="72" t="s">
        <v>1864</v>
      </c>
      <c r="D539" s="69">
        <v>14784595813</v>
      </c>
      <c r="E539" s="9">
        <v>85</v>
      </c>
      <c r="F539" s="25">
        <v>43109</v>
      </c>
      <c r="G539" s="70" t="s">
        <v>1004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1865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1004</v>
      </c>
      <c r="H540" s="9"/>
      <c r="I540" s="8"/>
      <c r="J540" s="8"/>
      <c r="K540" s="8"/>
      <c r="L540" s="9" t="s">
        <v>1490</v>
      </c>
      <c r="M540" s="8"/>
    </row>
    <row r="541" spans="1:13" x14ac:dyDescent="0.25">
      <c r="A541" s="71" t="s">
        <v>1866</v>
      </c>
      <c r="B541" s="67">
        <v>45469747875</v>
      </c>
      <c r="C541" s="72" t="s">
        <v>1867</v>
      </c>
      <c r="D541" s="69">
        <v>39042679816</v>
      </c>
      <c r="E541" s="9">
        <v>117</v>
      </c>
      <c r="F541" s="25">
        <v>43117</v>
      </c>
      <c r="G541" s="70" t="s">
        <v>1004</v>
      </c>
      <c r="H541" s="9"/>
      <c r="I541" s="8"/>
      <c r="J541" s="8"/>
      <c r="K541" s="8"/>
      <c r="L541" s="9" t="s">
        <v>1158</v>
      </c>
      <c r="M541" s="8"/>
    </row>
    <row r="542" spans="1:13" x14ac:dyDescent="0.25">
      <c r="A542" s="71" t="s">
        <v>1868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1869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1004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1870</v>
      </c>
      <c r="B544" s="67">
        <v>33199855822</v>
      </c>
      <c r="C544" s="18" t="s">
        <v>1871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1872</v>
      </c>
      <c r="B545" s="67">
        <v>32878318870</v>
      </c>
      <c r="C545" s="18" t="s">
        <v>1873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1874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1004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1875</v>
      </c>
      <c r="B547" s="67">
        <v>31328839800</v>
      </c>
      <c r="C547" s="72" t="s">
        <v>1876</v>
      </c>
      <c r="D547" s="69">
        <v>13482435898</v>
      </c>
      <c r="E547" s="9">
        <v>262</v>
      </c>
      <c r="F547" s="25">
        <v>43160</v>
      </c>
      <c r="G547" s="70" t="s">
        <v>1004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1877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1004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1878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1004</v>
      </c>
      <c r="H549" s="9"/>
      <c r="I549" s="8"/>
      <c r="J549" s="8"/>
      <c r="K549" s="8"/>
      <c r="L549" s="9" t="s">
        <v>1158</v>
      </c>
      <c r="M549" s="8"/>
    </row>
    <row r="550" spans="1:13" x14ac:dyDescent="0.25">
      <c r="A550" s="73" t="s">
        <v>1879</v>
      </c>
      <c r="B550" s="67">
        <v>33311756843</v>
      </c>
      <c r="C550" s="72" t="s">
        <v>1880</v>
      </c>
      <c r="D550" s="69">
        <v>31561945811</v>
      </c>
      <c r="E550" s="9">
        <v>1106</v>
      </c>
      <c r="F550" s="25">
        <v>42965</v>
      </c>
      <c r="G550" s="70" t="s">
        <v>1004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1881</v>
      </c>
      <c r="B551" s="67" t="s">
        <v>1882</v>
      </c>
      <c r="C551" s="77" t="s">
        <v>1883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1884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1004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1885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1004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1886</v>
      </c>
      <c r="B554" s="67"/>
      <c r="C554" s="18" t="s">
        <v>1117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1887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1004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1888</v>
      </c>
      <c r="B556" s="67">
        <v>37608246847</v>
      </c>
      <c r="C556" s="68" t="s">
        <v>1889</v>
      </c>
      <c r="D556" s="69">
        <v>27976942875</v>
      </c>
      <c r="E556" s="9">
        <v>608</v>
      </c>
      <c r="F556" s="25">
        <v>43012</v>
      </c>
      <c r="G556" s="70" t="s">
        <v>1004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1890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1891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1892</v>
      </c>
      <c r="B559" s="67">
        <v>39990709866</v>
      </c>
      <c r="C559" s="72" t="s">
        <v>1893</v>
      </c>
      <c r="D559" s="69">
        <v>46936249850</v>
      </c>
      <c r="E559" s="9">
        <v>229</v>
      </c>
      <c r="F559" s="25">
        <v>43151</v>
      </c>
      <c r="G559" s="70" t="s">
        <v>1004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1894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1895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1004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1896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1004</v>
      </c>
      <c r="H562" s="9"/>
      <c r="I562" s="8"/>
      <c r="J562" s="8"/>
      <c r="K562" s="8"/>
      <c r="L562" s="9" t="s">
        <v>1126</v>
      </c>
      <c r="M562" s="8"/>
    </row>
    <row r="563" spans="1:13" x14ac:dyDescent="0.25">
      <c r="A563" s="71" t="s">
        <v>1897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1898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1899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1004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1900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1901</v>
      </c>
      <c r="B567" s="67">
        <v>9056201867</v>
      </c>
      <c r="C567" s="72" t="s">
        <v>1902</v>
      </c>
      <c r="D567" s="69">
        <v>59754605815</v>
      </c>
      <c r="E567" s="9">
        <v>810</v>
      </c>
      <c r="F567" s="25">
        <v>42915</v>
      </c>
      <c r="G567" s="70" t="s">
        <v>1004</v>
      </c>
      <c r="H567" s="9"/>
      <c r="I567" s="8"/>
      <c r="J567" s="8"/>
      <c r="K567" s="8"/>
      <c r="L567" s="9" t="s">
        <v>1126</v>
      </c>
      <c r="M567" s="8"/>
    </row>
    <row r="568" spans="1:13" x14ac:dyDescent="0.25">
      <c r="A568" s="71" t="s">
        <v>1903</v>
      </c>
      <c r="B568" s="67">
        <v>4434698656</v>
      </c>
      <c r="C568" s="72" t="s">
        <v>1904</v>
      </c>
      <c r="D568" s="69">
        <v>75851300400</v>
      </c>
      <c r="E568" s="9">
        <v>810</v>
      </c>
      <c r="F568" s="25">
        <v>42915</v>
      </c>
      <c r="G568" s="70" t="s">
        <v>1004</v>
      </c>
      <c r="H568" s="9"/>
      <c r="I568" s="8"/>
      <c r="J568" s="8"/>
      <c r="K568" s="8"/>
      <c r="L568" s="9" t="s">
        <v>1126</v>
      </c>
      <c r="M568" s="8"/>
    </row>
    <row r="569" spans="1:13" x14ac:dyDescent="0.25">
      <c r="A569" s="71" t="s">
        <v>1905</v>
      </c>
      <c r="B569" s="67">
        <v>27030279824</v>
      </c>
      <c r="C569" s="72" t="s">
        <v>1906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1907</v>
      </c>
      <c r="B570" s="67">
        <v>30478760884</v>
      </c>
      <c r="C570" s="77" t="s">
        <v>1908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1909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1004</v>
      </c>
      <c r="H571" s="76">
        <v>43213</v>
      </c>
      <c r="I571" s="8"/>
      <c r="J571" s="8"/>
      <c r="K571" s="8"/>
      <c r="L571" s="9" t="s">
        <v>1126</v>
      </c>
      <c r="M571" s="8"/>
    </row>
    <row r="572" spans="1:13" x14ac:dyDescent="0.25">
      <c r="A572" s="71" t="s">
        <v>1910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1004</v>
      </c>
      <c r="H572" s="76">
        <v>43213</v>
      </c>
      <c r="I572" s="8"/>
      <c r="J572" s="8"/>
      <c r="K572" s="8"/>
      <c r="L572" s="9" t="s">
        <v>1241</v>
      </c>
      <c r="M572" s="8"/>
    </row>
    <row r="573" spans="1:13" x14ac:dyDescent="0.25">
      <c r="A573" s="72" t="s">
        <v>1911</v>
      </c>
      <c r="B573" s="67">
        <v>16583214806</v>
      </c>
      <c r="C573" s="72" t="s">
        <v>1912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1913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1914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1004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1915</v>
      </c>
      <c r="B576" s="67">
        <v>6882969639</v>
      </c>
      <c r="C576" s="29" t="s">
        <v>1916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1917</v>
      </c>
      <c r="B577" s="67">
        <v>22449339892</v>
      </c>
      <c r="C577" s="29" t="s">
        <v>1918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1919</v>
      </c>
      <c r="B578" s="67"/>
      <c r="C578" s="18" t="s">
        <v>1117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1920</v>
      </c>
      <c r="B579" s="67">
        <v>22854740831</v>
      </c>
      <c r="C579" s="72" t="s">
        <v>1921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1922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1923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1004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1924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1004</v>
      </c>
      <c r="H582" s="9"/>
      <c r="I582" s="8"/>
      <c r="J582" s="8"/>
      <c r="K582" s="8"/>
      <c r="L582" s="9" t="s">
        <v>1126</v>
      </c>
      <c r="M582" s="8"/>
    </row>
    <row r="583" spans="1:13" x14ac:dyDescent="0.25">
      <c r="A583" s="71" t="s">
        <v>1925</v>
      </c>
      <c r="B583" s="67">
        <v>47110994848</v>
      </c>
      <c r="C583" s="71" t="s">
        <v>1926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1927</v>
      </c>
      <c r="B584" s="67">
        <v>39353276845</v>
      </c>
      <c r="C584" s="72" t="s">
        <v>1928</v>
      </c>
      <c r="D584" s="69">
        <v>33343612847</v>
      </c>
      <c r="E584" s="9">
        <v>1417</v>
      </c>
      <c r="F584" s="25">
        <v>43017</v>
      </c>
      <c r="G584" s="70" t="s">
        <v>1010</v>
      </c>
      <c r="H584" s="9"/>
      <c r="I584" s="8"/>
      <c r="J584" s="8"/>
      <c r="K584" s="8"/>
      <c r="L584" s="9" t="s">
        <v>1241</v>
      </c>
      <c r="M584" s="8"/>
    </row>
    <row r="585" spans="1:13" x14ac:dyDescent="0.25">
      <c r="A585" s="13" t="s">
        <v>1929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1004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1930</v>
      </c>
      <c r="B586" s="67">
        <v>39937482801</v>
      </c>
      <c r="C586" s="68" t="s">
        <v>1931</v>
      </c>
      <c r="D586" s="69">
        <v>36243454860</v>
      </c>
      <c r="E586" s="9">
        <v>1128</v>
      </c>
      <c r="F586" s="25">
        <v>42972</v>
      </c>
      <c r="G586" s="70" t="s">
        <v>1004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1932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1004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1933</v>
      </c>
      <c r="B588" s="67">
        <v>4090078466</v>
      </c>
      <c r="C588" s="72" t="s">
        <v>1934</v>
      </c>
      <c r="D588" s="69">
        <v>31135278806</v>
      </c>
      <c r="E588" s="9">
        <v>1555</v>
      </c>
      <c r="F588" s="25">
        <v>43049</v>
      </c>
      <c r="G588" s="70" t="s">
        <v>1010</v>
      </c>
      <c r="H588" s="9"/>
      <c r="I588" s="8"/>
      <c r="J588" s="8"/>
      <c r="K588" s="8"/>
      <c r="L588" s="9" t="s">
        <v>1386</v>
      </c>
      <c r="M588" s="8"/>
    </row>
    <row r="589" spans="1:13" x14ac:dyDescent="0.25">
      <c r="A589" s="72" t="s">
        <v>1935</v>
      </c>
      <c r="B589" s="67">
        <v>22857706855</v>
      </c>
      <c r="C589" s="72" t="s">
        <v>1936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1937</v>
      </c>
      <c r="B590" s="67">
        <v>30278629873</v>
      </c>
      <c r="C590" s="72" t="s">
        <v>1938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1939</v>
      </c>
      <c r="B591" s="67"/>
      <c r="C591" s="29" t="s">
        <v>1940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1941</v>
      </c>
      <c r="B592" s="67">
        <v>35569130896</v>
      </c>
      <c r="C592" s="72" t="s">
        <v>1942</v>
      </c>
      <c r="D592" s="69">
        <v>34252178878</v>
      </c>
      <c r="E592" s="9">
        <v>262</v>
      </c>
      <c r="F592" s="25">
        <v>43160</v>
      </c>
      <c r="G592" s="9" t="s">
        <v>1004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1943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1004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1944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1004</v>
      </c>
      <c r="H594" s="9"/>
      <c r="I594" s="8"/>
      <c r="J594" s="8"/>
      <c r="K594" s="8"/>
      <c r="L594" s="9" t="s">
        <v>1386</v>
      </c>
      <c r="M594" s="8"/>
    </row>
    <row r="595" spans="1:13" x14ac:dyDescent="0.25">
      <c r="A595" s="72" t="s">
        <v>1945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1946</v>
      </c>
      <c r="B596" s="67">
        <v>5704186580</v>
      </c>
      <c r="C596" s="72" t="s">
        <v>1947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1948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1004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1949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1004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1950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1951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1004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1952</v>
      </c>
      <c r="B601" s="67">
        <v>38453816808</v>
      </c>
      <c r="C601" s="72" t="s">
        <v>1953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1954</v>
      </c>
      <c r="B602" s="67">
        <v>46366084882</v>
      </c>
      <c r="C602" s="18" t="s">
        <v>1117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1955</v>
      </c>
      <c r="B603" s="67"/>
      <c r="C603" s="18" t="s">
        <v>1117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1956</v>
      </c>
      <c r="B604" s="67">
        <v>40415212898</v>
      </c>
      <c r="C604" s="72" t="s">
        <v>1957</v>
      </c>
      <c r="D604" s="69">
        <v>35522659882</v>
      </c>
      <c r="E604" s="9">
        <v>262</v>
      </c>
      <c r="F604" s="25">
        <v>43160</v>
      </c>
      <c r="G604" s="70" t="s">
        <v>1004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1958</v>
      </c>
      <c r="B605" s="67">
        <v>41957432810</v>
      </c>
      <c r="C605" s="72" t="s">
        <v>1959</v>
      </c>
      <c r="D605" s="69">
        <v>22992085855</v>
      </c>
      <c r="E605" s="9">
        <v>1824</v>
      </c>
      <c r="F605" s="25">
        <v>43091</v>
      </c>
      <c r="G605" s="70" t="s">
        <v>1004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1960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1004</v>
      </c>
      <c r="H606" s="9"/>
      <c r="I606" s="8"/>
      <c r="J606" s="8"/>
      <c r="K606" s="8"/>
      <c r="L606" s="9" t="s">
        <v>1158</v>
      </c>
      <c r="M606" s="8"/>
    </row>
    <row r="607" spans="1:13" x14ac:dyDescent="0.25">
      <c r="A607" s="15" t="s">
        <v>1961</v>
      </c>
      <c r="B607" s="67">
        <v>36252717886</v>
      </c>
      <c r="C607" s="72" t="s">
        <v>1962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1963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1004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1964</v>
      </c>
      <c r="B609" s="67">
        <v>23436019844</v>
      </c>
      <c r="C609" s="72" t="s">
        <v>1965</v>
      </c>
      <c r="D609" s="69">
        <v>35927095852</v>
      </c>
      <c r="E609" s="9">
        <v>810</v>
      </c>
      <c r="F609" s="25">
        <v>42915</v>
      </c>
      <c r="G609" s="70" t="s">
        <v>1004</v>
      </c>
      <c r="H609" s="9"/>
      <c r="I609" s="8"/>
      <c r="J609" s="8"/>
      <c r="K609" s="8"/>
      <c r="L609" s="9" t="s">
        <v>1126</v>
      </c>
      <c r="M609" s="8"/>
    </row>
    <row r="610" spans="1:13" x14ac:dyDescent="0.25">
      <c r="A610" s="71" t="s">
        <v>1966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1004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1967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1004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1968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1004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1969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1970</v>
      </c>
      <c r="B614" s="67">
        <v>32114645819</v>
      </c>
      <c r="C614" s="72" t="s">
        <v>1971</v>
      </c>
      <c r="D614" s="69">
        <v>33183764857</v>
      </c>
      <c r="E614" s="9">
        <v>810</v>
      </c>
      <c r="F614" s="25">
        <v>42915</v>
      </c>
      <c r="G614" s="70" t="s">
        <v>1004</v>
      </c>
      <c r="H614" s="9"/>
      <c r="I614" s="8"/>
      <c r="J614" s="8"/>
      <c r="K614" s="8"/>
      <c r="L614" s="9" t="s">
        <v>1126</v>
      </c>
      <c r="M614" s="8"/>
    </row>
    <row r="615" spans="1:13" x14ac:dyDescent="0.25">
      <c r="A615" s="29" t="s">
        <v>1972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1973</v>
      </c>
      <c r="B616" s="67">
        <v>4836720508</v>
      </c>
      <c r="C616" s="18" t="s">
        <v>1974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1975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1004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1976</v>
      </c>
      <c r="B618" s="67">
        <v>42187654800</v>
      </c>
      <c r="C618" s="29" t="s">
        <v>1977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1978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1004</v>
      </c>
      <c r="H619" s="9"/>
      <c r="I619" s="8"/>
      <c r="J619" s="8"/>
      <c r="K619" s="8"/>
      <c r="L619" s="9" t="s">
        <v>1490</v>
      </c>
      <c r="M619" s="8"/>
    </row>
    <row r="620" spans="1:13" x14ac:dyDescent="0.25">
      <c r="A620" s="71" t="s">
        <v>1979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1980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1981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1982</v>
      </c>
      <c r="B623" s="67">
        <v>1283631504</v>
      </c>
      <c r="C623" s="72" t="s">
        <v>1983</v>
      </c>
      <c r="D623" s="69">
        <v>62180886349</v>
      </c>
      <c r="E623" s="9">
        <v>1824</v>
      </c>
      <c r="F623" s="25">
        <v>43091</v>
      </c>
      <c r="G623" s="70" t="s">
        <v>1004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1984</v>
      </c>
      <c r="B624" s="67">
        <v>5389709527</v>
      </c>
      <c r="C624" s="86" t="s">
        <v>1985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1986</v>
      </c>
      <c r="B625" s="67">
        <v>1262412528</v>
      </c>
      <c r="C625" s="68" t="s">
        <v>1987</v>
      </c>
      <c r="D625" s="69">
        <v>3045815502</v>
      </c>
      <c r="E625" s="9">
        <v>1241</v>
      </c>
      <c r="F625" s="25">
        <v>42992</v>
      </c>
      <c r="G625" s="70" t="s">
        <v>1004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1988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1287</v>
      </c>
      <c r="M626" s="8"/>
    </row>
    <row r="627" spans="1:13" x14ac:dyDescent="0.25">
      <c r="A627" s="71" t="s">
        <v>1989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1212</v>
      </c>
      <c r="B628" s="67">
        <v>9704111460</v>
      </c>
      <c r="C628" s="72" t="s">
        <v>1990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1991</v>
      </c>
      <c r="B629" s="67">
        <v>41653576855</v>
      </c>
      <c r="C629" s="72" t="s">
        <v>1992</v>
      </c>
      <c r="D629" s="69">
        <v>33219880894</v>
      </c>
      <c r="E629" s="9">
        <v>1439</v>
      </c>
      <c r="F629" s="25">
        <v>43025</v>
      </c>
      <c r="G629" s="70" t="s">
        <v>1004</v>
      </c>
      <c r="H629" s="9"/>
      <c r="I629" s="8"/>
      <c r="J629" s="8"/>
      <c r="K629" s="8"/>
      <c r="L629" s="9" t="s">
        <v>1490</v>
      </c>
      <c r="M629" s="8"/>
    </row>
    <row r="630" spans="1:13" x14ac:dyDescent="0.25">
      <c r="A630" s="71" t="s">
        <v>1993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1004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1994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1004</v>
      </c>
      <c r="H631" s="9"/>
      <c r="I631" s="8"/>
      <c r="J631" s="8"/>
      <c r="K631" s="8"/>
      <c r="L631" s="9" t="s">
        <v>1126</v>
      </c>
      <c r="M631" s="8"/>
    </row>
    <row r="632" spans="1:13" x14ac:dyDescent="0.25">
      <c r="A632" s="29" t="s">
        <v>1995</v>
      </c>
      <c r="B632" s="67">
        <v>29065742875</v>
      </c>
      <c r="C632" s="29" t="s">
        <v>1996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1997</v>
      </c>
      <c r="B633" s="67">
        <v>39491305867</v>
      </c>
      <c r="C633" s="72" t="s">
        <v>1998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1999</v>
      </c>
      <c r="B634" s="67">
        <v>35049140846</v>
      </c>
      <c r="C634" s="18" t="s">
        <v>2000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2001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1004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2002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1287</v>
      </c>
      <c r="M636" s="8"/>
    </row>
    <row r="637" spans="1:13" x14ac:dyDescent="0.25">
      <c r="A637" s="71" t="s">
        <v>2003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1004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2004</v>
      </c>
      <c r="B638" s="67"/>
      <c r="C638" s="18" t="s">
        <v>2005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2006</v>
      </c>
      <c r="B639" s="67">
        <v>198674503</v>
      </c>
      <c r="C639" s="18" t="s">
        <v>2007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2008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2009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2010</v>
      </c>
      <c r="B642" s="67">
        <v>28074733858</v>
      </c>
      <c r="C642" s="72" t="s">
        <v>2011</v>
      </c>
      <c r="D642" s="69">
        <v>18033766867</v>
      </c>
      <c r="E642" s="9">
        <v>810</v>
      </c>
      <c r="F642" s="25">
        <v>42915</v>
      </c>
      <c r="G642" s="70" t="s">
        <v>1004</v>
      </c>
      <c r="H642" s="9"/>
      <c r="I642" s="8"/>
      <c r="J642" s="8"/>
      <c r="K642" s="8"/>
      <c r="L642" s="9" t="s">
        <v>1126</v>
      </c>
      <c r="M642" s="8"/>
    </row>
    <row r="643" spans="1:13" x14ac:dyDescent="0.25">
      <c r="A643" s="71" t="s">
        <v>2012</v>
      </c>
      <c r="B643" s="67">
        <v>41583475800</v>
      </c>
      <c r="C643" s="72" t="s">
        <v>2013</v>
      </c>
      <c r="D643" s="69">
        <v>47688665817</v>
      </c>
      <c r="E643" s="9">
        <v>810</v>
      </c>
      <c r="F643" s="25">
        <v>42915</v>
      </c>
      <c r="G643" s="70" t="s">
        <v>1004</v>
      </c>
      <c r="H643" s="9"/>
      <c r="I643" s="8"/>
      <c r="J643" s="8"/>
      <c r="K643" s="8"/>
      <c r="L643" s="9" t="s">
        <v>1126</v>
      </c>
      <c r="M643" s="8"/>
    </row>
    <row r="644" spans="1:13" x14ac:dyDescent="0.25">
      <c r="A644" s="71" t="s">
        <v>2014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1004</v>
      </c>
      <c r="H644" s="9"/>
      <c r="I644" s="8"/>
      <c r="J644" s="8"/>
      <c r="K644" s="8"/>
      <c r="L644" s="9" t="s">
        <v>1126</v>
      </c>
      <c r="M644" s="8"/>
    </row>
    <row r="645" spans="1:13" x14ac:dyDescent="0.25">
      <c r="A645" s="13" t="s">
        <v>2015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1004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2016</v>
      </c>
      <c r="B646" s="67"/>
      <c r="C646" s="18" t="s">
        <v>1117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2017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1004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2018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1004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2019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2020</v>
      </c>
      <c r="B650" s="67">
        <v>80234836334</v>
      </c>
      <c r="C650" s="72" t="s">
        <v>2021</v>
      </c>
      <c r="D650" s="69">
        <v>22522250841</v>
      </c>
      <c r="E650" s="9">
        <v>1267</v>
      </c>
      <c r="F650" s="25">
        <v>42998</v>
      </c>
      <c r="G650" s="70" t="s">
        <v>1004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2022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1004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2023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1004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2024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2025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1004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2026</v>
      </c>
      <c r="B655" s="67">
        <v>7385460895</v>
      </c>
      <c r="C655" s="72" t="s">
        <v>2027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2028</v>
      </c>
      <c r="B656" s="67">
        <v>31828009814</v>
      </c>
      <c r="C656" s="18" t="s">
        <v>2029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2030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1004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2031</v>
      </c>
      <c r="B658" s="67">
        <v>15090098840</v>
      </c>
      <c r="C658" s="72" t="s">
        <v>2032</v>
      </c>
      <c r="D658" s="69">
        <v>3376233845</v>
      </c>
      <c r="E658" s="9">
        <v>1752</v>
      </c>
      <c r="F658" s="25">
        <v>43051</v>
      </c>
      <c r="G658" s="70" t="s">
        <v>1004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2033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1004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2034</v>
      </c>
      <c r="B660" s="67">
        <v>30652965865</v>
      </c>
      <c r="C660" s="72" t="s">
        <v>2035</v>
      </c>
      <c r="D660" s="69">
        <v>23330127813</v>
      </c>
      <c r="E660" s="9">
        <v>1214</v>
      </c>
      <c r="F660" s="25">
        <v>42989</v>
      </c>
      <c r="G660" s="70" t="s">
        <v>1004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2036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1004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2037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2038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1004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2039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1287</v>
      </c>
      <c r="M664" s="8"/>
    </row>
    <row r="665" spans="1:13" x14ac:dyDescent="0.25">
      <c r="A665" s="71" t="s">
        <v>2040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1004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2041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1004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2042</v>
      </c>
      <c r="B667" s="67">
        <v>39898491825</v>
      </c>
      <c r="C667" s="72" t="s">
        <v>2043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2044</v>
      </c>
      <c r="B668" s="67">
        <v>96629428587</v>
      </c>
      <c r="C668" s="29" t="s">
        <v>2045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2046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1004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2047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1004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2048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2049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1004</v>
      </c>
      <c r="H672" s="9"/>
      <c r="I672" s="8"/>
      <c r="J672" s="8"/>
      <c r="K672" s="8"/>
      <c r="L672" s="9" t="s">
        <v>1241</v>
      </c>
      <c r="M672" s="8"/>
    </row>
    <row r="673" spans="1:13" x14ac:dyDescent="0.25">
      <c r="A673" s="71" t="s">
        <v>2050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1004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2051</v>
      </c>
      <c r="B674" s="67">
        <v>11438313810</v>
      </c>
      <c r="C674" s="72" t="s">
        <v>2052</v>
      </c>
      <c r="D674" s="69">
        <v>11400812844</v>
      </c>
      <c r="E674" s="9">
        <v>292</v>
      </c>
      <c r="F674" s="25">
        <v>43168</v>
      </c>
      <c r="G674" s="70" t="s">
        <v>1004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2053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2054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1004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2055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1004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2056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2057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2058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1004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2059</v>
      </c>
      <c r="B681" s="34">
        <v>31970473894</v>
      </c>
      <c r="C681" s="17" t="s">
        <v>2060</v>
      </c>
      <c r="D681" s="35">
        <v>22945039885</v>
      </c>
      <c r="E681" s="36">
        <v>1128</v>
      </c>
      <c r="F681" s="37">
        <v>42972</v>
      </c>
      <c r="G681" s="38" t="s">
        <v>1004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2061</v>
      </c>
      <c r="B682" s="67">
        <v>29486419850</v>
      </c>
      <c r="C682" s="72" t="s">
        <v>2062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2063</v>
      </c>
      <c r="B683" s="67">
        <v>73699993272</v>
      </c>
      <c r="C683" s="72" t="s">
        <v>2064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2065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1004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2066</v>
      </c>
      <c r="B685" s="67">
        <v>34833459817</v>
      </c>
      <c r="C685" s="68" t="s">
        <v>2067</v>
      </c>
      <c r="D685" s="69">
        <v>32077064870</v>
      </c>
      <c r="E685" s="9">
        <v>1128</v>
      </c>
      <c r="F685" s="25">
        <v>42972</v>
      </c>
      <c r="G685" s="70" t="s">
        <v>1004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2068</v>
      </c>
      <c r="B686" s="67">
        <v>15203953880</v>
      </c>
      <c r="C686" s="72" t="s">
        <v>2069</v>
      </c>
      <c r="D686" s="69">
        <v>16339364810</v>
      </c>
      <c r="E686" s="9">
        <v>229</v>
      </c>
      <c r="F686" s="25">
        <v>43151</v>
      </c>
      <c r="G686" s="70" t="s">
        <v>1010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2070</v>
      </c>
      <c r="B687" s="67">
        <v>23891239882</v>
      </c>
      <c r="C687" s="72" t="s">
        <v>2071</v>
      </c>
      <c r="D687" s="69">
        <v>22474449892</v>
      </c>
      <c r="E687" s="9">
        <v>1555</v>
      </c>
      <c r="F687" s="25">
        <v>43049</v>
      </c>
      <c r="G687" s="70" t="s">
        <v>1004</v>
      </c>
      <c r="H687" s="9"/>
      <c r="I687" s="8"/>
      <c r="J687" s="8"/>
      <c r="K687" s="8"/>
      <c r="L687" s="9" t="s">
        <v>1386</v>
      </c>
      <c r="M687" s="8"/>
    </row>
    <row r="688" spans="1:13" x14ac:dyDescent="0.25">
      <c r="A688" s="15" t="s">
        <v>2072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1004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2073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1004</v>
      </c>
      <c r="H689" s="9"/>
      <c r="I689" s="8"/>
      <c r="J689" s="8"/>
      <c r="K689" s="8"/>
      <c r="L689" s="9" t="s">
        <v>1126</v>
      </c>
      <c r="M689" s="8"/>
    </row>
    <row r="690" spans="1:13" x14ac:dyDescent="0.25">
      <c r="A690" s="72" t="s">
        <v>2074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1287</v>
      </c>
      <c r="M690" s="8"/>
    </row>
    <row r="691" spans="1:13" x14ac:dyDescent="0.25">
      <c r="A691" s="13" t="s">
        <v>2075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1004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2076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2077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1004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2078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2079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1004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2080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1010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2081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1004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2082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1004</v>
      </c>
      <c r="H698" s="9"/>
      <c r="I698" s="8"/>
      <c r="J698" s="8"/>
      <c r="K698" s="8"/>
      <c r="L698" s="9" t="s">
        <v>1126</v>
      </c>
      <c r="M698" s="8"/>
    </row>
    <row r="699" spans="1:13" x14ac:dyDescent="0.25">
      <c r="A699" s="71" t="s">
        <v>2083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2084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1004</v>
      </c>
      <c r="H700" s="9"/>
      <c r="I700" s="8"/>
      <c r="J700" s="8"/>
      <c r="K700" s="8"/>
      <c r="L700" s="9" t="s">
        <v>1148</v>
      </c>
      <c r="M700" s="8"/>
    </row>
    <row r="701" spans="1:13" x14ac:dyDescent="0.25">
      <c r="A701" s="71" t="s">
        <v>2085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2086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2087</v>
      </c>
      <c r="B703" s="67">
        <v>25698933820</v>
      </c>
      <c r="C703" s="72" t="s">
        <v>2088</v>
      </c>
      <c r="D703" s="69">
        <v>14047433837</v>
      </c>
      <c r="E703" s="9">
        <v>810</v>
      </c>
      <c r="F703" s="25">
        <v>42915</v>
      </c>
      <c r="G703" s="70" t="s">
        <v>1004</v>
      </c>
      <c r="H703" s="76">
        <v>43213</v>
      </c>
      <c r="I703" s="8"/>
      <c r="J703" s="8"/>
      <c r="K703" s="8"/>
      <c r="L703" s="9" t="s">
        <v>1126</v>
      </c>
      <c r="M703" s="8"/>
    </row>
    <row r="704" spans="1:13" x14ac:dyDescent="0.25">
      <c r="A704" s="71" t="s">
        <v>2089</v>
      </c>
      <c r="B704" s="67">
        <v>34806644315</v>
      </c>
      <c r="C704" s="72" t="s">
        <v>2090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2091</v>
      </c>
      <c r="B705" s="67">
        <v>33189488886</v>
      </c>
      <c r="C705" s="72" t="s">
        <v>2092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2093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1004</v>
      </c>
      <c r="H706" s="76">
        <v>43213</v>
      </c>
      <c r="I706" s="8"/>
      <c r="J706" s="8"/>
      <c r="K706" s="8"/>
      <c r="L706" s="9" t="s">
        <v>1126</v>
      </c>
      <c r="M706" s="8"/>
    </row>
    <row r="707" spans="1:13" x14ac:dyDescent="0.25">
      <c r="A707" s="71" t="s">
        <v>2094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1004</v>
      </c>
      <c r="H707" s="76">
        <v>43213</v>
      </c>
      <c r="I707" s="8"/>
      <c r="J707" s="8"/>
      <c r="K707" s="8"/>
      <c r="L707" s="9" t="s">
        <v>1386</v>
      </c>
      <c r="M707" s="8"/>
    </row>
    <row r="708" spans="1:13" x14ac:dyDescent="0.25">
      <c r="A708" s="13" t="s">
        <v>2095</v>
      </c>
      <c r="B708" s="67">
        <v>28390636549</v>
      </c>
      <c r="C708" s="72" t="s">
        <v>2096</v>
      </c>
      <c r="D708" s="69">
        <v>49042904534</v>
      </c>
      <c r="E708" s="9">
        <v>1343</v>
      </c>
      <c r="F708" s="25">
        <v>43004</v>
      </c>
      <c r="G708" s="70" t="s">
        <v>1004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2097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2098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1004</v>
      </c>
      <c r="H710" s="76">
        <v>43213</v>
      </c>
      <c r="I710" s="8"/>
      <c r="J710" s="8"/>
      <c r="K710" s="8"/>
      <c r="L710" s="9" t="s">
        <v>1126</v>
      </c>
      <c r="M710" s="8"/>
    </row>
    <row r="711" spans="1:13" x14ac:dyDescent="0.25">
      <c r="A711" s="71" t="s">
        <v>2099</v>
      </c>
      <c r="B711" s="67">
        <v>27863123534</v>
      </c>
      <c r="C711" s="72" t="s">
        <v>2100</v>
      </c>
      <c r="D711" s="69">
        <v>33480142800</v>
      </c>
      <c r="E711" s="9">
        <v>1214</v>
      </c>
      <c r="F711" s="25">
        <v>42989</v>
      </c>
      <c r="G711" s="70" t="s">
        <v>1004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2101</v>
      </c>
      <c r="B712" s="67">
        <v>39454972804</v>
      </c>
      <c r="C712" s="72" t="s">
        <v>2102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2103</v>
      </c>
      <c r="B713" s="67"/>
      <c r="C713" s="29" t="s">
        <v>2104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2105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1004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2106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1004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2107</v>
      </c>
      <c r="B716" s="67">
        <v>17810014803</v>
      </c>
      <c r="C716" s="72" t="s">
        <v>2108</v>
      </c>
      <c r="D716" s="69">
        <v>28934526807</v>
      </c>
      <c r="E716" s="9">
        <v>292</v>
      </c>
      <c r="F716" s="25">
        <v>43168</v>
      </c>
      <c r="G716" s="9" t="s">
        <v>1004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2109</v>
      </c>
      <c r="B717" s="67">
        <v>724258574</v>
      </c>
      <c r="C717" s="72" t="s">
        <v>2110</v>
      </c>
      <c r="D717" s="69">
        <v>18303361856</v>
      </c>
      <c r="E717" s="9">
        <v>262</v>
      </c>
      <c r="F717" s="25">
        <v>43160</v>
      </c>
      <c r="G717" s="70" t="s">
        <v>1004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2111</v>
      </c>
      <c r="B718" s="67">
        <v>37453999863</v>
      </c>
      <c r="C718" s="72" t="s">
        <v>2112</v>
      </c>
      <c r="D718" s="69"/>
      <c r="E718" s="9">
        <v>1241</v>
      </c>
      <c r="F718" s="25">
        <v>42992</v>
      </c>
      <c r="G718" s="70" t="s">
        <v>1004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2113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2114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1004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2115</v>
      </c>
      <c r="B721" s="67">
        <v>30308539850</v>
      </c>
      <c r="C721" s="72" t="s">
        <v>2116</v>
      </c>
      <c r="D721" s="69">
        <v>84739517434</v>
      </c>
      <c r="E721" s="9">
        <v>810</v>
      </c>
      <c r="F721" s="25">
        <v>42915</v>
      </c>
      <c r="G721" s="70" t="s">
        <v>1004</v>
      </c>
      <c r="H721" s="9"/>
      <c r="I721" s="8"/>
      <c r="J721" s="8"/>
      <c r="K721" s="8"/>
      <c r="L721" s="9" t="s">
        <v>1126</v>
      </c>
      <c r="M721" s="8"/>
    </row>
    <row r="722" spans="1:13" x14ac:dyDescent="0.25">
      <c r="A722" s="71" t="s">
        <v>2117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2118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2119</v>
      </c>
      <c r="B724" s="67">
        <v>21716687845</v>
      </c>
      <c r="C724" s="15" t="s">
        <v>2120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2121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1004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2122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1004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2123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1004</v>
      </c>
      <c r="H727" s="9"/>
      <c r="I727" s="8"/>
      <c r="J727" s="8"/>
      <c r="K727" s="8"/>
      <c r="L727" s="9" t="s">
        <v>1241</v>
      </c>
      <c r="M727" s="8"/>
    </row>
    <row r="728" spans="1:13" x14ac:dyDescent="0.25">
      <c r="A728" s="14" t="s">
        <v>2124</v>
      </c>
      <c r="B728" s="67">
        <v>99658925553</v>
      </c>
      <c r="C728" s="72" t="s">
        <v>2125</v>
      </c>
      <c r="D728" s="69">
        <v>99610108504</v>
      </c>
      <c r="E728" s="9">
        <v>262</v>
      </c>
      <c r="F728" s="25">
        <v>43160</v>
      </c>
      <c r="G728" s="70" t="s">
        <v>1004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2126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1004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2127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1004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2128</v>
      </c>
      <c r="B731" s="67"/>
      <c r="C731" s="18" t="s">
        <v>1117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2129</v>
      </c>
      <c r="B732" s="67">
        <v>25905224870</v>
      </c>
      <c r="C732" s="68" t="s">
        <v>2130</v>
      </c>
      <c r="D732" s="69">
        <v>36185256304</v>
      </c>
      <c r="E732" s="9">
        <v>1824</v>
      </c>
      <c r="F732" s="25">
        <v>43091</v>
      </c>
      <c r="G732" s="70" t="s">
        <v>1004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2131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1004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2132</v>
      </c>
      <c r="B734" s="67">
        <v>33160363856</v>
      </c>
      <c r="C734" s="72" t="s">
        <v>2133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2134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1004</v>
      </c>
      <c r="H735" s="9"/>
      <c r="I735" s="8"/>
      <c r="J735" s="8"/>
      <c r="K735" s="8"/>
      <c r="L735" s="9" t="s">
        <v>1241</v>
      </c>
      <c r="M735" s="8"/>
    </row>
    <row r="736" spans="1:13" x14ac:dyDescent="0.25">
      <c r="A736" s="15" t="s">
        <v>2135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1004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2136</v>
      </c>
      <c r="B737" s="67">
        <v>71752722434</v>
      </c>
      <c r="C737" s="18" t="s">
        <v>1117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2137</v>
      </c>
      <c r="B738" s="67">
        <v>8590565890</v>
      </c>
      <c r="C738" s="72" t="s">
        <v>2138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1287</v>
      </c>
      <c r="M738" s="8"/>
    </row>
    <row r="739" spans="1:13" x14ac:dyDescent="0.25">
      <c r="A739" s="71" t="s">
        <v>2139</v>
      </c>
      <c r="B739" s="67">
        <v>35556660883</v>
      </c>
      <c r="C739" s="72" t="s">
        <v>2140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2141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2142</v>
      </c>
      <c r="B741" s="67">
        <v>25905305870</v>
      </c>
      <c r="C741" s="72" t="s">
        <v>2143</v>
      </c>
      <c r="D741" s="69">
        <v>11480794830</v>
      </c>
      <c r="E741" s="9">
        <v>1267</v>
      </c>
      <c r="F741" s="25">
        <v>42998</v>
      </c>
      <c r="G741" s="70" t="s">
        <v>1004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2144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2145</v>
      </c>
      <c r="B743" s="67">
        <v>18360141800</v>
      </c>
      <c r="C743" s="72" t="s">
        <v>2146</v>
      </c>
      <c r="D743" s="69">
        <v>48201979591</v>
      </c>
      <c r="E743" s="9">
        <v>117</v>
      </c>
      <c r="F743" s="25">
        <v>43117</v>
      </c>
      <c r="G743" s="70" t="s">
        <v>1004</v>
      </c>
      <c r="H743" s="9"/>
      <c r="I743" s="8"/>
      <c r="J743" s="8"/>
      <c r="K743" s="8"/>
      <c r="L743" s="9" t="s">
        <v>1158</v>
      </c>
      <c r="M743" s="8"/>
    </row>
    <row r="744" spans="1:13" x14ac:dyDescent="0.25">
      <c r="A744" s="15" t="s">
        <v>2147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1158</v>
      </c>
      <c r="M744" s="8"/>
    </row>
    <row r="745" spans="1:13" x14ac:dyDescent="0.25">
      <c r="A745" s="71" t="s">
        <v>2148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2149</v>
      </c>
      <c r="B746" s="67">
        <v>36613647829</v>
      </c>
      <c r="C746" s="72" t="s">
        <v>2150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2151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1004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2152</v>
      </c>
      <c r="B748" s="67">
        <v>25332480881</v>
      </c>
      <c r="C748" s="18" t="s">
        <v>1117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2153</v>
      </c>
      <c r="B749" s="67">
        <v>16365042809</v>
      </c>
      <c r="C749" s="72" t="s">
        <v>2154</v>
      </c>
      <c r="D749" s="69">
        <v>26488933850</v>
      </c>
      <c r="E749" s="9">
        <v>117</v>
      </c>
      <c r="F749" s="25">
        <v>43117</v>
      </c>
      <c r="G749" s="70" t="s">
        <v>1004</v>
      </c>
      <c r="H749" s="25">
        <v>43151</v>
      </c>
      <c r="I749" s="8"/>
      <c r="J749" s="8"/>
      <c r="K749" s="8"/>
      <c r="L749" s="9" t="s">
        <v>1158</v>
      </c>
      <c r="M749" s="8"/>
    </row>
    <row r="750" spans="1:13" x14ac:dyDescent="0.25">
      <c r="A750" s="15" t="s">
        <v>2155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1004</v>
      </c>
      <c r="H750" s="25">
        <v>43151</v>
      </c>
      <c r="I750" s="8"/>
      <c r="J750" s="8"/>
      <c r="K750" s="8"/>
      <c r="L750" s="9" t="s">
        <v>1158</v>
      </c>
      <c r="M750" s="8"/>
    </row>
    <row r="751" spans="1:13" x14ac:dyDescent="0.25">
      <c r="A751" s="71" t="s">
        <v>2156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2157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1010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2158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1004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2159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1004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2160</v>
      </c>
      <c r="B755" s="67"/>
      <c r="C755" s="18" t="s">
        <v>1117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2161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2162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1004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2163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2164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1126</v>
      </c>
      <c r="M759" s="8"/>
    </row>
    <row r="760" spans="1:13" x14ac:dyDescent="0.25">
      <c r="A760" s="71" t="s">
        <v>2165</v>
      </c>
      <c r="B760" s="67">
        <v>41756319847</v>
      </c>
      <c r="C760" s="72" t="s">
        <v>2166</v>
      </c>
      <c r="D760" s="69">
        <v>28780799817</v>
      </c>
      <c r="E760" s="9">
        <v>1489</v>
      </c>
      <c r="F760" s="25">
        <v>43038</v>
      </c>
      <c r="G760" s="70" t="s">
        <v>1018</v>
      </c>
      <c r="H760" s="9"/>
      <c r="I760" s="8"/>
      <c r="J760" s="8"/>
      <c r="K760" s="8"/>
      <c r="L760" s="9" t="s">
        <v>1148</v>
      </c>
      <c r="M760" s="8"/>
    </row>
    <row r="761" spans="1:13" x14ac:dyDescent="0.25">
      <c r="A761" s="71" t="s">
        <v>2167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1004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2168</v>
      </c>
      <c r="B762" s="67"/>
      <c r="C762" s="29" t="s">
        <v>1117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2169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2170</v>
      </c>
      <c r="B764" s="67">
        <v>39762019873</v>
      </c>
      <c r="C764" s="68" t="s">
        <v>2171</v>
      </c>
      <c r="D764" s="69">
        <v>28639452890</v>
      </c>
      <c r="E764" s="9">
        <v>1128</v>
      </c>
      <c r="F764" s="25">
        <v>42972</v>
      </c>
      <c r="G764" s="70" t="s">
        <v>1004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2172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1004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2173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2174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1004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2175</v>
      </c>
      <c r="B768" s="67">
        <v>21914504828</v>
      </c>
      <c r="C768" s="72" t="s">
        <v>2176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2177</v>
      </c>
      <c r="B769" s="67">
        <v>11259745830</v>
      </c>
      <c r="C769" s="72" t="s">
        <v>2178</v>
      </c>
      <c r="D769" s="69">
        <v>49121901368</v>
      </c>
      <c r="E769" s="9">
        <v>262</v>
      </c>
      <c r="F769" s="25">
        <v>43160</v>
      </c>
      <c r="G769" s="70" t="s">
        <v>1004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2179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1004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2180</v>
      </c>
      <c r="B771" s="67">
        <v>22547591839</v>
      </c>
      <c r="C771" s="72" t="s">
        <v>2181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2182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2183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2184</v>
      </c>
      <c r="B774" s="67">
        <v>9881940400</v>
      </c>
      <c r="C774" s="72" t="s">
        <v>2185</v>
      </c>
      <c r="D774" s="69">
        <v>1778905501</v>
      </c>
      <c r="E774" s="9">
        <v>262</v>
      </c>
      <c r="F774" s="25">
        <v>43160</v>
      </c>
      <c r="G774" s="70" t="s">
        <v>1010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2186</v>
      </c>
      <c r="B775" s="67">
        <v>18240627889</v>
      </c>
      <c r="C775" s="77" t="s">
        <v>2187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2188</v>
      </c>
      <c r="B776" s="67">
        <v>34715955890</v>
      </c>
      <c r="C776" s="72" t="s">
        <v>2189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2190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1004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2191</v>
      </c>
      <c r="B778" s="67">
        <v>2413902490</v>
      </c>
      <c r="C778" s="77" t="s">
        <v>2192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2193</v>
      </c>
      <c r="B779" s="67">
        <v>30558706894</v>
      </c>
      <c r="C779" s="72" t="s">
        <v>2194</v>
      </c>
      <c r="D779" s="69">
        <v>87700352372</v>
      </c>
      <c r="E779" s="9">
        <v>810</v>
      </c>
      <c r="F779" s="25">
        <v>42915</v>
      </c>
      <c r="G779" s="70" t="s">
        <v>1004</v>
      </c>
      <c r="H779" s="9"/>
      <c r="I779" s="8"/>
      <c r="J779" s="8"/>
      <c r="K779" s="8"/>
      <c r="L779" s="9" t="s">
        <v>1126</v>
      </c>
      <c r="M779" s="8"/>
    </row>
    <row r="780" spans="1:13" x14ac:dyDescent="0.25">
      <c r="A780" s="71" t="s">
        <v>2195</v>
      </c>
      <c r="B780" s="67">
        <v>27926471836</v>
      </c>
      <c r="C780" s="72" t="s">
        <v>2196</v>
      </c>
      <c r="D780" s="69">
        <v>2210309484</v>
      </c>
      <c r="E780" s="9">
        <v>1439</v>
      </c>
      <c r="F780" s="25">
        <v>43025</v>
      </c>
      <c r="G780" s="70" t="s">
        <v>1010</v>
      </c>
      <c r="H780" s="9"/>
      <c r="I780" s="8"/>
      <c r="J780" s="8"/>
      <c r="K780" s="8"/>
      <c r="L780" s="9" t="s">
        <v>1490</v>
      </c>
      <c r="M780" s="8"/>
    </row>
    <row r="781" spans="1:13" x14ac:dyDescent="0.25">
      <c r="A781" s="15" t="s">
        <v>2197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1004</v>
      </c>
      <c r="H781" s="9"/>
      <c r="I781" s="8"/>
      <c r="J781" s="8"/>
      <c r="K781" s="8"/>
      <c r="L781" s="9" t="s">
        <v>1158</v>
      </c>
      <c r="M781" s="8"/>
    </row>
    <row r="782" spans="1:13" x14ac:dyDescent="0.25">
      <c r="A782" s="71" t="s">
        <v>2198</v>
      </c>
      <c r="B782" s="67">
        <v>47361352391</v>
      </c>
      <c r="C782" s="72" t="s">
        <v>2199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2200</v>
      </c>
      <c r="B783" s="67">
        <v>32763223826</v>
      </c>
      <c r="C783" s="72" t="s">
        <v>2201</v>
      </c>
      <c r="D783" s="69">
        <v>27936363807</v>
      </c>
      <c r="E783" s="9">
        <v>608</v>
      </c>
      <c r="F783" s="25">
        <v>43012</v>
      </c>
      <c r="G783" s="70" t="s">
        <v>1004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2202</v>
      </c>
      <c r="B784" s="67"/>
      <c r="C784" s="18" t="s">
        <v>2203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2204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1004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2205</v>
      </c>
      <c r="B786" s="67">
        <v>39068600869</v>
      </c>
      <c r="C786" s="72"/>
      <c r="D786" s="69"/>
      <c r="E786" s="9"/>
      <c r="F786" s="25"/>
      <c r="G786" s="70" t="s">
        <v>1004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2206</v>
      </c>
      <c r="B787" s="67">
        <v>31875471847</v>
      </c>
      <c r="C787" s="18" t="s">
        <v>2207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2208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2209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2210</v>
      </c>
      <c r="B790" s="67">
        <v>11634805844</v>
      </c>
      <c r="C790" s="29" t="s">
        <v>1117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2211</v>
      </c>
      <c r="B791" s="67">
        <v>39485124856</v>
      </c>
      <c r="C791" s="72" t="s">
        <v>2212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2213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2214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2215</v>
      </c>
      <c r="B794" s="67">
        <v>32221516877</v>
      </c>
      <c r="C794" s="72" t="s">
        <v>2216</v>
      </c>
      <c r="D794" s="69">
        <v>18338419800</v>
      </c>
      <c r="E794" s="9">
        <v>1752</v>
      </c>
      <c r="F794" s="25">
        <v>43051</v>
      </c>
      <c r="G794" s="70" t="s">
        <v>1004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2217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2218</v>
      </c>
      <c r="B796" s="67">
        <v>43951626810</v>
      </c>
      <c r="C796" s="72" t="s">
        <v>2219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2220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2221</v>
      </c>
      <c r="B798" s="67">
        <v>40840895836</v>
      </c>
      <c r="C798" s="72" t="s">
        <v>2222</v>
      </c>
      <c r="D798" s="69">
        <v>39329913890</v>
      </c>
      <c r="E798" s="9">
        <v>1106</v>
      </c>
      <c r="F798" s="25">
        <v>42965</v>
      </c>
      <c r="G798" s="70" t="s">
        <v>1004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2223</v>
      </c>
      <c r="B799" s="67">
        <v>30969194809</v>
      </c>
      <c r="C799" s="72" t="s">
        <v>2224</v>
      </c>
      <c r="D799" s="69">
        <v>13013456876</v>
      </c>
      <c r="E799" s="9">
        <v>810</v>
      </c>
      <c r="F799" s="25">
        <v>42915</v>
      </c>
      <c r="G799" s="70" t="s">
        <v>1004</v>
      </c>
      <c r="H799" s="76">
        <v>43213</v>
      </c>
      <c r="I799" s="8"/>
      <c r="J799" s="8"/>
      <c r="K799" s="8"/>
      <c r="L799" s="9" t="s">
        <v>1126</v>
      </c>
      <c r="M799" s="8"/>
    </row>
    <row r="800" spans="1:13" x14ac:dyDescent="0.25">
      <c r="A800" s="71" t="s">
        <v>2225</v>
      </c>
      <c r="B800" s="67">
        <v>33186484855</v>
      </c>
      <c r="C800" s="77" t="s">
        <v>2226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2227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1004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2228</v>
      </c>
      <c r="B802" s="67">
        <v>27298776819</v>
      </c>
      <c r="C802" s="72" t="s">
        <v>2229</v>
      </c>
      <c r="D802" s="69">
        <v>31387900544</v>
      </c>
      <c r="E802" s="9">
        <v>229</v>
      </c>
      <c r="F802" s="25">
        <v>43151</v>
      </c>
      <c r="G802" s="70" t="s">
        <v>1004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2230</v>
      </c>
      <c r="B803" s="67">
        <v>28802120811</v>
      </c>
      <c r="C803" s="72" t="s">
        <v>2231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2232</v>
      </c>
      <c r="B804" s="67">
        <v>34581351898</v>
      </c>
      <c r="C804" s="18" t="s">
        <v>2233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2234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2235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1004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2236</v>
      </c>
      <c r="B807" s="67"/>
      <c r="C807" s="29" t="s">
        <v>1117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2237</v>
      </c>
      <c r="B808" s="67">
        <v>40324052391</v>
      </c>
      <c r="C808" s="72" t="s">
        <v>2238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2239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1004</v>
      </c>
      <c r="H809" s="9"/>
      <c r="I809" s="8"/>
      <c r="J809" s="8"/>
      <c r="K809" s="8"/>
      <c r="L809" s="9" t="s">
        <v>1126</v>
      </c>
      <c r="M809" s="8"/>
    </row>
    <row r="810" spans="1:13" x14ac:dyDescent="0.25">
      <c r="A810" s="71" t="s">
        <v>2240</v>
      </c>
      <c r="B810" s="67">
        <v>29022777847</v>
      </c>
      <c r="C810" s="72" t="s">
        <v>2241</v>
      </c>
      <c r="D810" s="69">
        <v>33430349400</v>
      </c>
      <c r="E810" s="9">
        <v>262</v>
      </c>
      <c r="F810" s="25">
        <v>43160</v>
      </c>
      <c r="G810" s="70" t="s">
        <v>1004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2242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1004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2243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2244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1004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2245</v>
      </c>
      <c r="B814" s="67">
        <v>43523026865</v>
      </c>
      <c r="C814" s="72" t="s">
        <v>2246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2247</v>
      </c>
      <c r="B815" s="67"/>
      <c r="C815" s="29" t="s">
        <v>1117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2248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1004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2249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1004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2250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1004</v>
      </c>
      <c r="H818" s="9"/>
      <c r="I818" s="8"/>
      <c r="J818" s="8"/>
      <c r="K818" s="8"/>
      <c r="L818" s="9" t="s">
        <v>1126</v>
      </c>
      <c r="M818" s="8"/>
    </row>
    <row r="819" spans="1:13" x14ac:dyDescent="0.25">
      <c r="A819" s="71" t="s">
        <v>2251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2252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2253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1004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2254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1004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2255</v>
      </c>
      <c r="B823" s="67">
        <v>5102923480</v>
      </c>
      <c r="C823" s="72" t="s">
        <v>2256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2257</v>
      </c>
      <c r="B824" s="67">
        <v>7268622406</v>
      </c>
      <c r="C824" s="72" t="s">
        <v>2258</v>
      </c>
      <c r="D824" s="69">
        <v>40507630874</v>
      </c>
      <c r="E824" s="9">
        <v>1267</v>
      </c>
      <c r="F824" s="25">
        <v>42998</v>
      </c>
      <c r="G824" s="70" t="s">
        <v>1004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2259</v>
      </c>
      <c r="B825" s="67" t="s">
        <v>2260</v>
      </c>
      <c r="C825" s="77" t="s">
        <v>2261</v>
      </c>
      <c r="D825" s="69" t="s">
        <v>2262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2263</v>
      </c>
      <c r="B826" s="67"/>
      <c r="C826" s="29" t="s">
        <v>1117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2264</v>
      </c>
      <c r="B827" s="67">
        <v>31429224827</v>
      </c>
      <c r="C827" s="72" t="s">
        <v>2265</v>
      </c>
      <c r="D827" s="69">
        <v>27263725894</v>
      </c>
      <c r="E827" s="9">
        <v>292</v>
      </c>
      <c r="F827" s="25">
        <v>43168</v>
      </c>
      <c r="G827" s="70" t="s">
        <v>1010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2266</v>
      </c>
      <c r="B828" s="67">
        <v>3753540420</v>
      </c>
      <c r="C828" s="72" t="s">
        <v>2203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2267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2268</v>
      </c>
      <c r="B830" s="67">
        <v>36723660803</v>
      </c>
      <c r="C830" s="72" t="s">
        <v>2269</v>
      </c>
      <c r="D830" s="69">
        <v>32763586899</v>
      </c>
      <c r="E830" s="9">
        <v>608</v>
      </c>
      <c r="F830" s="25">
        <v>43012</v>
      </c>
      <c r="G830" s="70" t="s">
        <v>1004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2270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1004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2271</v>
      </c>
      <c r="B832" s="67">
        <v>166405462</v>
      </c>
      <c r="C832" s="15" t="s">
        <v>2272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2273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1004</v>
      </c>
      <c r="H833" s="9"/>
      <c r="I833" s="8"/>
      <c r="J833" s="8"/>
      <c r="K833" s="8"/>
      <c r="L833" s="9" t="s">
        <v>1126</v>
      </c>
      <c r="M833" s="8"/>
    </row>
    <row r="834" spans="1:13" x14ac:dyDescent="0.25">
      <c r="A834" s="15" t="s">
        <v>2274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1004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2275</v>
      </c>
      <c r="B835" s="67">
        <v>13621159835</v>
      </c>
      <c r="C835" s="72" t="s">
        <v>2276</v>
      </c>
      <c r="D835" s="69">
        <v>35124170867</v>
      </c>
      <c r="E835" s="9">
        <v>229</v>
      </c>
      <c r="F835" s="25">
        <v>43151</v>
      </c>
      <c r="G835" s="70" t="s">
        <v>1004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2277</v>
      </c>
      <c r="B836" s="67">
        <v>34649647878</v>
      </c>
      <c r="C836" s="72" t="s">
        <v>2278</v>
      </c>
      <c r="D836" s="69">
        <v>17811429802</v>
      </c>
      <c r="E836" s="9">
        <v>810</v>
      </c>
      <c r="F836" s="25">
        <v>42915</v>
      </c>
      <c r="G836" s="70" t="s">
        <v>1004</v>
      </c>
      <c r="H836" s="9"/>
      <c r="I836" s="8"/>
      <c r="J836" s="8"/>
      <c r="K836" s="8"/>
      <c r="L836" s="9" t="s">
        <v>1126</v>
      </c>
      <c r="M836" s="8"/>
    </row>
    <row r="837" spans="1:13" x14ac:dyDescent="0.25">
      <c r="A837" s="71" t="s">
        <v>2279</v>
      </c>
      <c r="B837" s="67">
        <v>25809517846</v>
      </c>
      <c r="C837" s="73" t="s">
        <v>2280</v>
      </c>
      <c r="D837" s="69">
        <v>68856830434</v>
      </c>
      <c r="E837" s="9">
        <v>292</v>
      </c>
      <c r="F837" s="25">
        <v>43168</v>
      </c>
      <c r="G837" s="70" t="s">
        <v>1010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2281</v>
      </c>
      <c r="B838" s="67">
        <v>6952730435</v>
      </c>
      <c r="C838" s="72" t="s">
        <v>2282</v>
      </c>
      <c r="D838" s="69">
        <v>8004608477</v>
      </c>
      <c r="E838" s="9">
        <v>810</v>
      </c>
      <c r="F838" s="25">
        <v>42915</v>
      </c>
      <c r="G838" s="70" t="s">
        <v>1004</v>
      </c>
      <c r="H838" s="9"/>
      <c r="I838" s="8"/>
      <c r="J838" s="8"/>
      <c r="K838" s="8"/>
      <c r="L838" s="9" t="s">
        <v>1126</v>
      </c>
      <c r="M838" s="8"/>
    </row>
    <row r="839" spans="1:13" x14ac:dyDescent="0.25">
      <c r="A839" s="71" t="s">
        <v>2283</v>
      </c>
      <c r="B839" s="67">
        <v>23440697800</v>
      </c>
      <c r="C839" s="72" t="s">
        <v>2284</v>
      </c>
      <c r="D839" s="69">
        <v>93690177553</v>
      </c>
      <c r="E839" s="9">
        <v>292</v>
      </c>
      <c r="F839" s="25">
        <v>43168</v>
      </c>
      <c r="G839" s="70" t="s">
        <v>1004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2285</v>
      </c>
      <c r="B840" s="67">
        <v>93567421549</v>
      </c>
      <c r="C840" s="72" t="s">
        <v>2286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2287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2288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1004</v>
      </c>
      <c r="H842" s="9"/>
      <c r="I842" s="8"/>
      <c r="J842" s="8"/>
      <c r="K842" s="8"/>
      <c r="L842" s="9" t="s">
        <v>1158</v>
      </c>
      <c r="M842" s="8"/>
    </row>
    <row r="843" spans="1:13" x14ac:dyDescent="0.25">
      <c r="A843" s="71" t="s">
        <v>2289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1004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2290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2291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1004</v>
      </c>
      <c r="H845" s="9"/>
      <c r="I845" s="8"/>
      <c r="J845" s="8"/>
      <c r="K845" s="8"/>
      <c r="L845" s="9" t="s">
        <v>1158</v>
      </c>
      <c r="M845" s="8"/>
    </row>
    <row r="846" spans="1:13" x14ac:dyDescent="0.25">
      <c r="A846" s="71" t="s">
        <v>2292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1004</v>
      </c>
      <c r="H846" s="9"/>
      <c r="I846" s="8"/>
      <c r="J846" s="8"/>
      <c r="K846" s="8"/>
      <c r="L846" s="9" t="s">
        <v>1241</v>
      </c>
      <c r="M846" s="8"/>
    </row>
    <row r="847" spans="1:13" x14ac:dyDescent="0.25">
      <c r="A847" s="71" t="s">
        <v>2293</v>
      </c>
      <c r="B847" s="67">
        <v>10762166843</v>
      </c>
      <c r="C847" s="72" t="s">
        <v>2294</v>
      </c>
      <c r="D847" s="69">
        <v>18471490811</v>
      </c>
      <c r="E847" s="9">
        <v>1752</v>
      </c>
      <c r="F847" s="25">
        <v>43051</v>
      </c>
      <c r="G847" s="83" t="s">
        <v>1004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2295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2296</v>
      </c>
      <c r="B849" s="67">
        <v>38988535863</v>
      </c>
      <c r="C849" s="72" t="s">
        <v>2297</v>
      </c>
      <c r="D849" s="69">
        <v>34543536886</v>
      </c>
      <c r="E849" s="9">
        <v>1555</v>
      </c>
      <c r="F849" s="25">
        <v>43049</v>
      </c>
      <c r="G849" s="70" t="s">
        <v>1004</v>
      </c>
      <c r="H849" s="9"/>
      <c r="I849" s="8"/>
      <c r="J849" s="8"/>
      <c r="K849" s="8"/>
      <c r="L849" s="9" t="s">
        <v>1386</v>
      </c>
      <c r="M849" s="8"/>
    </row>
    <row r="850" spans="1:13" x14ac:dyDescent="0.25">
      <c r="A850" s="71" t="s">
        <v>2298</v>
      </c>
      <c r="B850" s="67">
        <v>81902581334</v>
      </c>
      <c r="C850" s="72" t="s">
        <v>2299</v>
      </c>
      <c r="D850" s="69">
        <v>42305020368</v>
      </c>
      <c r="E850" s="9">
        <v>1752</v>
      </c>
      <c r="F850" s="25">
        <v>43051</v>
      </c>
      <c r="G850" s="70" t="s">
        <v>1004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2300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2301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1004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2302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1004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2303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2304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1004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2305</v>
      </c>
      <c r="B856" s="67">
        <v>36135801520</v>
      </c>
      <c r="C856" s="15" t="s">
        <v>2306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2307</v>
      </c>
      <c r="B857" s="67">
        <v>43231450802</v>
      </c>
      <c r="C857" s="72" t="s">
        <v>2308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2309</v>
      </c>
      <c r="B858" s="67">
        <v>38163601817</v>
      </c>
      <c r="C858" s="72" t="s">
        <v>2310</v>
      </c>
      <c r="D858" s="69">
        <v>36840584836</v>
      </c>
      <c r="E858" s="9">
        <v>292</v>
      </c>
      <c r="F858" s="25">
        <v>43168</v>
      </c>
      <c r="G858" s="70" t="s">
        <v>1004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2311</v>
      </c>
      <c r="B859" s="67">
        <v>40853154805</v>
      </c>
      <c r="C859" s="72" t="s">
        <v>2312</v>
      </c>
      <c r="D859" s="69">
        <v>23596403804</v>
      </c>
      <c r="E859" s="9">
        <v>229</v>
      </c>
      <c r="F859" s="25">
        <v>43151</v>
      </c>
      <c r="G859" s="70" t="s">
        <v>1004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2313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1004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2314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2315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1004</v>
      </c>
      <c r="H862" s="9"/>
      <c r="I862" s="8"/>
      <c r="J862" s="8"/>
      <c r="K862" s="8"/>
      <c r="L862" s="9" t="s">
        <v>1386</v>
      </c>
      <c r="M862" s="8"/>
    </row>
    <row r="863" spans="1:13" x14ac:dyDescent="0.25">
      <c r="A863" s="14" t="s">
        <v>2316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1004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2317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1004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2318</v>
      </c>
      <c r="B865" s="67">
        <v>30708968805</v>
      </c>
      <c r="C865" s="72" t="s">
        <v>2319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2320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2321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1004</v>
      </c>
      <c r="H867" s="9"/>
      <c r="I867" s="8"/>
      <c r="J867" s="8"/>
      <c r="K867" s="8"/>
      <c r="L867" s="9" t="s">
        <v>1126</v>
      </c>
      <c r="M867" s="8"/>
    </row>
    <row r="868" spans="1:13" x14ac:dyDescent="0.25">
      <c r="A868" s="71" t="s">
        <v>2322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2323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1004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2324</v>
      </c>
      <c r="B870" s="67">
        <v>41379878829</v>
      </c>
      <c r="C870" s="72" t="s">
        <v>2325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2326</v>
      </c>
      <c r="B871" s="67">
        <v>31471499863</v>
      </c>
      <c r="C871" s="72" t="s">
        <v>2327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2328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1004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2329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1004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2330</v>
      </c>
      <c r="B874" s="67">
        <v>27878860866</v>
      </c>
      <c r="C874" s="72" t="s">
        <v>2331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2332</v>
      </c>
      <c r="B875" s="67">
        <v>25002291813</v>
      </c>
      <c r="C875" s="72" t="s">
        <v>2333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2334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2335</v>
      </c>
      <c r="B877" s="67"/>
      <c r="C877" s="29" t="s">
        <v>2336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2337</v>
      </c>
      <c r="B878" s="67">
        <v>7205116589</v>
      </c>
      <c r="C878" s="72" t="s">
        <v>2338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2339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2340</v>
      </c>
      <c r="B880" s="67">
        <v>82084602491</v>
      </c>
      <c r="C880" s="72" t="s">
        <v>2341</v>
      </c>
      <c r="D880" s="69">
        <v>74937758420</v>
      </c>
      <c r="E880" s="9">
        <v>292</v>
      </c>
      <c r="F880" s="25">
        <v>43168</v>
      </c>
      <c r="G880" s="9" t="s">
        <v>1004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2342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2343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2344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1004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2345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1004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2346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2347</v>
      </c>
      <c r="B886" s="67">
        <v>63234904553</v>
      </c>
      <c r="C886" s="68" t="s">
        <v>2348</v>
      </c>
      <c r="D886" s="69">
        <v>1193464870</v>
      </c>
      <c r="E886" s="9">
        <v>1128</v>
      </c>
      <c r="F886" s="25">
        <v>42972</v>
      </c>
      <c r="G886" s="70" t="s">
        <v>1004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2349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2350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2351</v>
      </c>
      <c r="B889" s="67">
        <v>30967680808</v>
      </c>
      <c r="C889" s="18" t="s">
        <v>2352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2353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1004</v>
      </c>
      <c r="H890" s="9"/>
      <c r="I890" s="8"/>
      <c r="J890" s="8"/>
      <c r="K890" s="8"/>
      <c r="L890" s="9" t="s">
        <v>1126</v>
      </c>
      <c r="M890" s="8"/>
    </row>
    <row r="891" spans="1:13" x14ac:dyDescent="0.25">
      <c r="A891" s="15" t="s">
        <v>2354</v>
      </c>
      <c r="B891" s="67">
        <v>3570397696</v>
      </c>
      <c r="C891" s="72" t="s">
        <v>2355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2356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2357</v>
      </c>
      <c r="B893" s="67">
        <v>1170658547</v>
      </c>
      <c r="C893" s="72" t="s">
        <v>2358</v>
      </c>
      <c r="D893" s="69">
        <v>2695281560</v>
      </c>
      <c r="E893" s="9">
        <v>1824</v>
      </c>
      <c r="F893" s="25">
        <v>43091</v>
      </c>
      <c r="G893" s="70" t="s">
        <v>1010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2359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1004</v>
      </c>
      <c r="H894" s="9"/>
      <c r="I894" s="8"/>
      <c r="J894" s="8"/>
      <c r="K894" s="8"/>
      <c r="L894" s="9" t="s">
        <v>1126</v>
      </c>
      <c r="M894" s="8"/>
    </row>
    <row r="895" spans="1:13" x14ac:dyDescent="0.25">
      <c r="A895" s="71" t="s">
        <v>2360</v>
      </c>
      <c r="B895" s="67">
        <v>29927032811</v>
      </c>
      <c r="C895" s="72" t="s">
        <v>2361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2362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2363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1004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2364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1004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2365</v>
      </c>
      <c r="B899" s="67">
        <v>37064427877</v>
      </c>
      <c r="C899" s="68" t="s">
        <v>2366</v>
      </c>
      <c r="D899" s="69">
        <v>34881680854</v>
      </c>
      <c r="E899" s="9">
        <v>1128</v>
      </c>
      <c r="F899" s="25">
        <v>42972</v>
      </c>
      <c r="G899" s="70" t="s">
        <v>1004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2367</v>
      </c>
      <c r="B900" s="67">
        <v>34712023821</v>
      </c>
      <c r="C900" s="72" t="s">
        <v>2368</v>
      </c>
      <c r="D900" s="69">
        <v>80700918868</v>
      </c>
      <c r="E900" s="9">
        <v>117</v>
      </c>
      <c r="F900" s="25">
        <v>43117</v>
      </c>
      <c r="G900" s="70" t="s">
        <v>1004</v>
      </c>
      <c r="H900" s="9"/>
      <c r="I900" s="8"/>
      <c r="J900" s="8"/>
      <c r="K900" s="8"/>
      <c r="L900" s="9" t="s">
        <v>1158</v>
      </c>
      <c r="M900" s="8"/>
    </row>
    <row r="901" spans="1:13" x14ac:dyDescent="0.25">
      <c r="A901" s="71" t="s">
        <v>2369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1004</v>
      </c>
      <c r="H901" s="9"/>
      <c r="I901" s="8"/>
      <c r="J901" s="8"/>
      <c r="K901" s="8"/>
      <c r="L901" s="9" t="s">
        <v>1126</v>
      </c>
      <c r="M901" s="8"/>
    </row>
    <row r="902" spans="1:13" x14ac:dyDescent="0.25">
      <c r="A902" s="71" t="s">
        <v>2370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2371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1004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2372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1004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2373</v>
      </c>
      <c r="B905" s="67">
        <v>42517278865</v>
      </c>
      <c r="C905" s="72" t="s">
        <v>2374</v>
      </c>
      <c r="D905" s="69">
        <v>45677965863</v>
      </c>
      <c r="E905" s="9">
        <v>117</v>
      </c>
      <c r="F905" s="25">
        <v>43117</v>
      </c>
      <c r="G905" s="70" t="s">
        <v>1004</v>
      </c>
      <c r="H905" s="9"/>
      <c r="I905" s="8"/>
      <c r="J905" s="8"/>
      <c r="K905" s="8"/>
      <c r="L905" s="9" t="s">
        <v>1158</v>
      </c>
      <c r="M905" s="8"/>
    </row>
    <row r="906" spans="1:13" x14ac:dyDescent="0.25">
      <c r="A906" s="18" t="s">
        <v>2375</v>
      </c>
      <c r="B906" s="67">
        <v>34053574897</v>
      </c>
      <c r="C906" s="8" t="s">
        <v>2376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2377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1004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2378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1004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2379</v>
      </c>
      <c r="B909" s="67">
        <v>32391122802</v>
      </c>
      <c r="C909" s="72" t="s">
        <v>2380</v>
      </c>
      <c r="D909" s="69">
        <v>21653624825</v>
      </c>
      <c r="E909" s="9">
        <v>262</v>
      </c>
      <c r="F909" s="25">
        <v>43160</v>
      </c>
      <c r="G909" s="9" t="s">
        <v>1004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2381</v>
      </c>
      <c r="B910" s="67"/>
      <c r="C910" s="29" t="s">
        <v>2382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2383</v>
      </c>
      <c r="B911" s="67">
        <v>39641812858</v>
      </c>
      <c r="C911" s="72" t="s">
        <v>2384</v>
      </c>
      <c r="D911" s="69">
        <v>23425114859</v>
      </c>
      <c r="E911" s="9">
        <v>262</v>
      </c>
      <c r="F911" s="25">
        <v>43160</v>
      </c>
      <c r="G911" s="70" t="s">
        <v>1004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2385</v>
      </c>
      <c r="B912" s="67">
        <v>7664892481</v>
      </c>
      <c r="C912" s="72" t="s">
        <v>2386</v>
      </c>
      <c r="D912" s="69">
        <v>37120937804</v>
      </c>
      <c r="E912" s="9">
        <v>1570</v>
      </c>
      <c r="F912" s="25">
        <v>43077</v>
      </c>
      <c r="G912" s="70" t="s">
        <v>1004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2387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1004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2388</v>
      </c>
      <c r="B914" s="67">
        <v>35535310883</v>
      </c>
      <c r="C914" s="72" t="s">
        <v>2389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2390</v>
      </c>
      <c r="B915" s="67">
        <v>40993785867</v>
      </c>
      <c r="C915" s="72" t="s">
        <v>2391</v>
      </c>
      <c r="D915" s="69">
        <v>39284894883</v>
      </c>
      <c r="E915" s="9">
        <v>262</v>
      </c>
      <c r="F915" s="25">
        <v>43160</v>
      </c>
      <c r="G915" s="70" t="s">
        <v>1004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2392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1004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2393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1004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2394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1004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2395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1004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2396</v>
      </c>
      <c r="B920" s="67">
        <v>39485589816</v>
      </c>
      <c r="C920" s="72" t="s">
        <v>2397</v>
      </c>
      <c r="D920" s="69">
        <v>6884648589</v>
      </c>
      <c r="E920" s="9">
        <v>85</v>
      </c>
      <c r="F920" s="25">
        <v>43109</v>
      </c>
      <c r="G920" s="70" t="s">
        <v>1004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2398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2399</v>
      </c>
      <c r="B922" s="67">
        <v>39454700804</v>
      </c>
      <c r="C922" s="72" t="s">
        <v>2400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2401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2402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2403</v>
      </c>
      <c r="B925" s="67">
        <v>19681993810</v>
      </c>
      <c r="C925" s="72" t="s">
        <v>2404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2405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1004</v>
      </c>
      <c r="H926" s="9"/>
      <c r="I926" s="8"/>
      <c r="J926" s="8"/>
      <c r="K926" s="8"/>
      <c r="L926" s="9" t="s">
        <v>1126</v>
      </c>
      <c r="M926" s="8"/>
    </row>
    <row r="927" spans="1:13" x14ac:dyDescent="0.25">
      <c r="A927" s="71" t="s">
        <v>2406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2407</v>
      </c>
      <c r="B928" s="67">
        <v>32424255881</v>
      </c>
      <c r="C928" s="72" t="s">
        <v>2408</v>
      </c>
      <c r="D928" s="69">
        <v>4615874596</v>
      </c>
      <c r="E928" s="9">
        <v>229</v>
      </c>
      <c r="F928" s="25">
        <v>43151</v>
      </c>
      <c r="G928" s="70" t="s">
        <v>1004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2409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1004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2410</v>
      </c>
      <c r="B930" s="67">
        <v>77663551591</v>
      </c>
      <c r="C930" s="72" t="s">
        <v>2411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2412</v>
      </c>
      <c r="B931" s="67">
        <v>30768670837</v>
      </c>
      <c r="C931" s="72" t="s">
        <v>2413</v>
      </c>
      <c r="D931" s="69">
        <v>17858599860</v>
      </c>
      <c r="E931" s="9">
        <v>810</v>
      </c>
      <c r="F931" s="25">
        <v>42915</v>
      </c>
      <c r="G931" s="70" t="s">
        <v>1004</v>
      </c>
      <c r="H931" s="9"/>
      <c r="I931" s="8"/>
      <c r="J931" s="8"/>
      <c r="K931" s="8"/>
      <c r="L931" s="9" t="s">
        <v>1126</v>
      </c>
      <c r="M931" s="8"/>
    </row>
    <row r="932" spans="1:13" x14ac:dyDescent="0.25">
      <c r="A932" s="71" t="s">
        <v>2414</v>
      </c>
      <c r="B932" s="67">
        <v>40801562864</v>
      </c>
      <c r="C932" s="72" t="s">
        <v>2415</v>
      </c>
      <c r="D932" s="69">
        <v>40630792879</v>
      </c>
      <c r="E932" s="9">
        <v>117</v>
      </c>
      <c r="F932" s="25">
        <v>43117</v>
      </c>
      <c r="G932" s="70" t="s">
        <v>1010</v>
      </c>
      <c r="H932" s="9"/>
      <c r="I932" s="8"/>
      <c r="J932" s="8"/>
      <c r="K932" s="8"/>
      <c r="L932" s="9" t="s">
        <v>1158</v>
      </c>
      <c r="M932" s="8"/>
    </row>
    <row r="933" spans="1:13" x14ac:dyDescent="0.25">
      <c r="A933" s="71" t="s">
        <v>2416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1004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2417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1004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2418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2419</v>
      </c>
      <c r="B936" s="67">
        <v>33897782847</v>
      </c>
      <c r="C936" s="72" t="s">
        <v>2420</v>
      </c>
      <c r="D936" s="69">
        <v>22207136876</v>
      </c>
      <c r="E936" s="9">
        <v>1267</v>
      </c>
      <c r="F936" s="25">
        <v>42998</v>
      </c>
      <c r="G936" s="70" t="s">
        <v>1004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2421</v>
      </c>
      <c r="B937" s="67">
        <v>31219124885</v>
      </c>
      <c r="C937" s="72" t="s">
        <v>2422</v>
      </c>
      <c r="D937" s="69">
        <v>53808967315</v>
      </c>
      <c r="E937" s="9">
        <v>292</v>
      </c>
      <c r="F937" s="25">
        <v>43168</v>
      </c>
      <c r="G937" s="70" t="s">
        <v>1004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2423</v>
      </c>
      <c r="B938" s="67">
        <v>32332935851</v>
      </c>
      <c r="C938" s="18" t="s">
        <v>2424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2425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2426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1018</v>
      </c>
      <c r="H940" s="47"/>
      <c r="I940" s="49"/>
      <c r="J940" s="49"/>
      <c r="K940" s="49"/>
      <c r="L940" s="9" t="s">
        <v>1158</v>
      </c>
      <c r="M940" s="49"/>
    </row>
    <row r="941" spans="1:13" x14ac:dyDescent="0.25">
      <c r="A941" s="71" t="s">
        <v>2427</v>
      </c>
      <c r="B941" s="67">
        <v>35124692804</v>
      </c>
      <c r="C941" s="72" t="s">
        <v>2428</v>
      </c>
      <c r="D941" s="69">
        <v>17091274814</v>
      </c>
      <c r="E941" s="9">
        <v>262</v>
      </c>
      <c r="F941" s="25">
        <v>43160</v>
      </c>
      <c r="G941" s="70" t="s">
        <v>1004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2429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2430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2431</v>
      </c>
      <c r="B944" s="67">
        <v>35271393895</v>
      </c>
      <c r="C944" s="72" t="s">
        <v>2432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2433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1004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2434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1287</v>
      </c>
      <c r="M946" s="8"/>
    </row>
    <row r="947" spans="1:13" x14ac:dyDescent="0.25">
      <c r="A947" s="71" t="s">
        <v>2435</v>
      </c>
      <c r="B947" s="67">
        <v>899199399</v>
      </c>
      <c r="C947" s="72" t="s">
        <v>2436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2437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1004</v>
      </c>
      <c r="H948" s="9"/>
      <c r="I948" s="8"/>
      <c r="J948" s="8"/>
      <c r="K948" s="8"/>
      <c r="L948" s="9" t="s">
        <v>1126</v>
      </c>
      <c r="M948" s="8"/>
    </row>
    <row r="949" spans="1:13" x14ac:dyDescent="0.25">
      <c r="A949" s="15" t="s">
        <v>2438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2439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1004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2440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1010</v>
      </c>
      <c r="H951" s="9"/>
      <c r="I951" s="8"/>
      <c r="J951" s="8"/>
      <c r="K951" s="8"/>
      <c r="L951" s="9" t="s">
        <v>1158</v>
      </c>
      <c r="M951" s="8"/>
    </row>
    <row r="952" spans="1:13" x14ac:dyDescent="0.25">
      <c r="A952" s="15" t="s">
        <v>2441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1004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2442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1004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2443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1004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2444</v>
      </c>
      <c r="B955" s="67">
        <v>19584308890</v>
      </c>
      <c r="C955" s="72" t="s">
        <v>2445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2446</v>
      </c>
      <c r="B956" s="67">
        <v>3220872441</v>
      </c>
      <c r="C956" s="72" t="s">
        <v>2447</v>
      </c>
      <c r="D956" s="69">
        <v>11805166808</v>
      </c>
      <c r="E956" s="9">
        <v>810</v>
      </c>
      <c r="F956" s="25">
        <v>42915</v>
      </c>
      <c r="G956" s="70" t="s">
        <v>1004</v>
      </c>
      <c r="H956" s="9"/>
      <c r="I956" s="8"/>
      <c r="J956" s="8"/>
      <c r="K956" s="8"/>
      <c r="L956" s="9" t="s">
        <v>1126</v>
      </c>
      <c r="M956" s="8"/>
    </row>
    <row r="957" spans="1:13" x14ac:dyDescent="0.25">
      <c r="A957" s="73" t="s">
        <v>2448</v>
      </c>
      <c r="B957" s="67">
        <v>29773950832</v>
      </c>
      <c r="C957" s="72" t="s">
        <v>2449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2450</v>
      </c>
      <c r="B958" s="78" t="s">
        <v>2451</v>
      </c>
      <c r="C958" s="72" t="s">
        <v>2452</v>
      </c>
      <c r="D958" s="69">
        <v>84102780300</v>
      </c>
      <c r="E958" s="9">
        <v>292</v>
      </c>
      <c r="F958" s="25">
        <v>43168</v>
      </c>
      <c r="G958" s="9" t="s">
        <v>1004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2453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1004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2454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2455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1004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2456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1004</v>
      </c>
      <c r="H962" s="9"/>
      <c r="I962" s="8"/>
      <c r="J962" s="8"/>
      <c r="K962" s="8"/>
      <c r="L962" s="9" t="s">
        <v>1386</v>
      </c>
      <c r="M962" s="8"/>
    </row>
    <row r="963" spans="1:13" x14ac:dyDescent="0.25">
      <c r="A963" s="15" t="s">
        <v>2457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1004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2458</v>
      </c>
      <c r="B964" s="67">
        <v>46248420300</v>
      </c>
      <c r="C964" s="72" t="s">
        <v>2459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2460</v>
      </c>
      <c r="B965" s="67">
        <v>84090294304</v>
      </c>
      <c r="C965" s="72" t="s">
        <v>2461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2462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2463</v>
      </c>
      <c r="B967" s="67">
        <v>918071313</v>
      </c>
      <c r="C967" s="72" t="s">
        <v>2464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2465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1004</v>
      </c>
      <c r="H968" s="9"/>
      <c r="I968" s="8"/>
      <c r="J968" s="8"/>
      <c r="K968" s="8"/>
      <c r="L968" s="9" t="s">
        <v>1158</v>
      </c>
      <c r="M968" s="8"/>
    </row>
    <row r="969" spans="1:13" x14ac:dyDescent="0.25">
      <c r="A969" s="71" t="s">
        <v>2466</v>
      </c>
      <c r="B969" s="67">
        <v>86465651300</v>
      </c>
      <c r="C969" s="72" t="s">
        <v>2467</v>
      </c>
      <c r="D969" s="69">
        <v>7091216792</v>
      </c>
      <c r="E969" s="9">
        <v>1350</v>
      </c>
      <c r="F969" s="25">
        <v>43006</v>
      </c>
      <c r="G969" s="70" t="s">
        <v>1004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2468</v>
      </c>
      <c r="B970" s="67">
        <v>22893362893</v>
      </c>
      <c r="C970" s="72" t="s">
        <v>2469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2470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1004</v>
      </c>
      <c r="H971" s="9"/>
      <c r="I971" s="8"/>
      <c r="J971" s="8"/>
      <c r="K971" s="8"/>
      <c r="L971" s="9" t="s">
        <v>1241</v>
      </c>
      <c r="M971" s="8"/>
    </row>
    <row r="972" spans="1:13" x14ac:dyDescent="0.25">
      <c r="A972" s="29" t="s">
        <v>2471</v>
      </c>
      <c r="B972" s="67">
        <v>9964640854</v>
      </c>
      <c r="C972" s="18" t="s">
        <v>1117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2472</v>
      </c>
      <c r="B973" s="67">
        <v>46593499854</v>
      </c>
      <c r="C973" s="29" t="s">
        <v>2473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2474</v>
      </c>
      <c r="B974" s="67">
        <v>34412339807</v>
      </c>
      <c r="C974" s="72" t="s">
        <v>2475</v>
      </c>
      <c r="D974" s="69">
        <v>30849792860</v>
      </c>
      <c r="E974" s="9">
        <v>1824</v>
      </c>
      <c r="F974" s="25">
        <v>43091</v>
      </c>
      <c r="G974" s="70" t="s">
        <v>1004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2476</v>
      </c>
      <c r="B975" s="67">
        <v>63905825449</v>
      </c>
      <c r="C975" s="72" t="s">
        <v>2477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2478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1004</v>
      </c>
      <c r="H976" s="9"/>
      <c r="I976" s="8"/>
      <c r="J976" s="8"/>
      <c r="K976" s="8"/>
      <c r="L976" s="9" t="s">
        <v>1126</v>
      </c>
      <c r="M976" s="8"/>
    </row>
    <row r="977" spans="1:13" x14ac:dyDescent="0.25">
      <c r="A977" s="71" t="s">
        <v>2479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1004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2480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1004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2481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1004</v>
      </c>
      <c r="H979" s="9"/>
      <c r="I979" s="8"/>
      <c r="J979" s="8"/>
      <c r="K979" s="8"/>
      <c r="L979" s="9" t="s">
        <v>1126</v>
      </c>
      <c r="M979" s="8"/>
    </row>
    <row r="980" spans="1:13" x14ac:dyDescent="0.25">
      <c r="A980" s="18" t="s">
        <v>2482</v>
      </c>
      <c r="B980" s="67">
        <v>18473037812</v>
      </c>
      <c r="C980" s="18" t="s">
        <v>2483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2484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2485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1004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2486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2487</v>
      </c>
      <c r="B984" s="67">
        <v>30458696889</v>
      </c>
      <c r="C984" s="68" t="s">
        <v>2488</v>
      </c>
      <c r="D984" s="69">
        <v>25196748814</v>
      </c>
      <c r="E984" s="9">
        <v>1267</v>
      </c>
      <c r="F984" s="25">
        <v>42998</v>
      </c>
      <c r="G984" s="70" t="s">
        <v>1010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2489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1004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2490</v>
      </c>
      <c r="B986" s="67"/>
      <c r="C986" s="29" t="s">
        <v>2491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2492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2493</v>
      </c>
      <c r="B988" s="67" t="s">
        <v>2494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2495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2496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2497</v>
      </c>
      <c r="B991" s="67"/>
      <c r="C991" s="18" t="s">
        <v>1117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2498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2499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2500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1004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2501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2502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1004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2503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2504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2505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2506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1004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2507</v>
      </c>
      <c r="B1001" s="67">
        <v>39651975334</v>
      </c>
      <c r="C1001" s="72" t="s">
        <v>2508</v>
      </c>
      <c r="D1001" s="69">
        <v>35104799808</v>
      </c>
      <c r="E1001" s="9">
        <v>229</v>
      </c>
      <c r="F1001" s="25">
        <v>43151</v>
      </c>
      <c r="G1001" s="70" t="s">
        <v>1004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2509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1004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2510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1004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2511</v>
      </c>
      <c r="B1004" s="67">
        <v>46226383801</v>
      </c>
      <c r="C1004" s="72" t="s">
        <v>2512</v>
      </c>
      <c r="D1004" s="69">
        <v>46166460821</v>
      </c>
      <c r="E1004" s="9">
        <v>292</v>
      </c>
      <c r="F1004" s="25">
        <v>43168</v>
      </c>
      <c r="G1004" s="70" t="s">
        <v>1004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2513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1004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2514</v>
      </c>
      <c r="B1006" s="67">
        <v>37051448803</v>
      </c>
      <c r="C1006" s="72" t="s">
        <v>2515</v>
      </c>
      <c r="D1006" s="69">
        <v>22442223813</v>
      </c>
      <c r="E1006" s="9">
        <v>1489</v>
      </c>
      <c r="F1006" s="25">
        <v>43038</v>
      </c>
      <c r="G1006" s="70" t="s">
        <v>1004</v>
      </c>
      <c r="H1006" s="9"/>
      <c r="I1006" s="8"/>
      <c r="J1006" s="8"/>
      <c r="K1006" s="8"/>
      <c r="L1006" s="9" t="s">
        <v>1148</v>
      </c>
      <c r="M1006" s="8"/>
    </row>
    <row r="1007" spans="1:13" x14ac:dyDescent="0.25">
      <c r="A1007" s="71" t="s">
        <v>2516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2517</v>
      </c>
      <c r="B1008" s="67">
        <v>50092450865</v>
      </c>
      <c r="C1008" s="72" t="s">
        <v>2518</v>
      </c>
      <c r="D1008" s="69">
        <v>34366320827</v>
      </c>
      <c r="E1008" s="9">
        <v>608</v>
      </c>
      <c r="F1008" s="25">
        <v>43012</v>
      </c>
      <c r="G1008" s="70" t="s">
        <v>1004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2519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1004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2520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1004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2521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1004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2522</v>
      </c>
      <c r="B1012" s="67">
        <v>36501110807</v>
      </c>
      <c r="C1012" s="72" t="s">
        <v>2523</v>
      </c>
      <c r="D1012" s="69">
        <v>36592467860</v>
      </c>
      <c r="E1012" s="9">
        <v>262</v>
      </c>
      <c r="F1012" s="25">
        <v>43160</v>
      </c>
      <c r="G1012" s="70" t="s">
        <v>1004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2524</v>
      </c>
      <c r="B1013" s="67">
        <v>34470374822</v>
      </c>
      <c r="C1013" s="29" t="s">
        <v>2525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2526</v>
      </c>
      <c r="B1014" s="67">
        <v>40814125883</v>
      </c>
      <c r="C1014" s="72" t="s">
        <v>2527</v>
      </c>
      <c r="D1014" s="69">
        <v>27095684898</v>
      </c>
      <c r="E1014" s="9">
        <v>810</v>
      </c>
      <c r="F1014" s="25">
        <v>42915</v>
      </c>
      <c r="G1014" s="70" t="s">
        <v>1004</v>
      </c>
      <c r="H1014" s="9"/>
      <c r="I1014" s="8"/>
      <c r="J1014" s="8"/>
      <c r="K1014" s="8"/>
      <c r="L1014" s="9" t="s">
        <v>1126</v>
      </c>
      <c r="M1014" s="8"/>
    </row>
    <row r="1015" spans="1:13" x14ac:dyDescent="0.25">
      <c r="A1015" s="71" t="s">
        <v>2528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2529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1004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2530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2531</v>
      </c>
      <c r="B1018" s="67"/>
      <c r="C1018" s="18" t="s">
        <v>1117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2532</v>
      </c>
      <c r="B1019" s="67">
        <v>26492754808</v>
      </c>
      <c r="C1019" s="9" t="s">
        <v>1117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2533</v>
      </c>
      <c r="B1020" s="67">
        <v>526417595</v>
      </c>
      <c r="C1020" s="72" t="s">
        <v>2534</v>
      </c>
      <c r="D1020" s="69">
        <v>25810630847</v>
      </c>
      <c r="E1020" s="9">
        <v>262</v>
      </c>
      <c r="F1020" s="25">
        <v>43160</v>
      </c>
      <c r="G1020" s="9" t="s">
        <v>1004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2535</v>
      </c>
      <c r="B1021" s="67">
        <v>26362064852</v>
      </c>
      <c r="C1021" s="77" t="s">
        <v>2536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1287</v>
      </c>
      <c r="M1021" s="8"/>
    </row>
    <row r="1022" spans="1:13" x14ac:dyDescent="0.25">
      <c r="A1022" s="71" t="s">
        <v>2537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1004</v>
      </c>
      <c r="H1022" s="9"/>
      <c r="I1022" s="8"/>
      <c r="J1022" s="8"/>
      <c r="K1022" s="8"/>
      <c r="L1022" s="9" t="s">
        <v>1148</v>
      </c>
      <c r="M1022" s="8"/>
    </row>
    <row r="1023" spans="1:13" x14ac:dyDescent="0.25">
      <c r="A1023" s="71" t="s">
        <v>2538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1004</v>
      </c>
      <c r="H1023" s="9"/>
      <c r="I1023" s="8"/>
      <c r="J1023" s="8"/>
      <c r="K1023" s="8"/>
      <c r="L1023" s="9" t="s">
        <v>1126</v>
      </c>
      <c r="M1023" s="8"/>
    </row>
    <row r="1024" spans="1:13" x14ac:dyDescent="0.25">
      <c r="A1024" s="71" t="s">
        <v>2539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2540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2541</v>
      </c>
      <c r="B1026" s="67">
        <v>41791708846</v>
      </c>
      <c r="C1026" s="72" t="s">
        <v>2542</v>
      </c>
      <c r="D1026" s="69">
        <v>41003253806</v>
      </c>
      <c r="E1026" s="9">
        <v>262</v>
      </c>
      <c r="F1026" s="25">
        <v>43160</v>
      </c>
      <c r="G1026" s="70" t="s">
        <v>1004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2543</v>
      </c>
      <c r="B1027" s="67"/>
      <c r="C1027" s="29" t="s">
        <v>2544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2545</v>
      </c>
      <c r="B1028" s="67">
        <v>34575373800</v>
      </c>
      <c r="C1028" s="72" t="s">
        <v>2546</v>
      </c>
      <c r="D1028" s="69">
        <v>22427117846</v>
      </c>
      <c r="E1028" s="9">
        <v>1350</v>
      </c>
      <c r="F1028" s="25">
        <v>43006</v>
      </c>
      <c r="G1028" s="70" t="s">
        <v>1004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2547</v>
      </c>
      <c r="B1029" s="67">
        <v>79215262334</v>
      </c>
      <c r="C1029" s="72" t="s">
        <v>2548</v>
      </c>
      <c r="D1029" s="69">
        <v>76370372315</v>
      </c>
      <c r="E1029" s="9">
        <v>1451</v>
      </c>
      <c r="F1029" s="25">
        <v>43027</v>
      </c>
      <c r="G1029" s="70" t="s">
        <v>1010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2549</v>
      </c>
      <c r="B1030" s="67">
        <v>15208922843</v>
      </c>
      <c r="C1030" s="72" t="s">
        <v>2550</v>
      </c>
      <c r="D1030" s="69">
        <v>34068960810</v>
      </c>
      <c r="E1030" s="9">
        <v>229</v>
      </c>
      <c r="F1030" s="25">
        <v>43151</v>
      </c>
      <c r="G1030" s="70" t="s">
        <v>1018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2551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2552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2553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1004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2554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1287</v>
      </c>
      <c r="M1034" s="8"/>
    </row>
    <row r="1035" spans="1:13" x14ac:dyDescent="0.25">
      <c r="A1035" s="71" t="s">
        <v>2555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2556</v>
      </c>
      <c r="B1036" s="67">
        <v>99570467304</v>
      </c>
      <c r="C1036" s="72" t="s">
        <v>2557</v>
      </c>
      <c r="D1036" s="69">
        <v>7702980877</v>
      </c>
      <c r="E1036" s="9">
        <v>229</v>
      </c>
      <c r="F1036" s="25">
        <v>43151</v>
      </c>
      <c r="G1036" s="70" t="s">
        <v>1004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2558</v>
      </c>
      <c r="B1037" s="67">
        <v>18710956549</v>
      </c>
      <c r="C1037" s="72" t="s">
        <v>2559</v>
      </c>
      <c r="D1037" s="69">
        <v>85859141572</v>
      </c>
      <c r="E1037" s="9">
        <v>1417</v>
      </c>
      <c r="F1037" s="25">
        <v>43017</v>
      </c>
      <c r="G1037" s="70" t="s">
        <v>1004</v>
      </c>
      <c r="H1037" s="76">
        <v>43213</v>
      </c>
      <c r="I1037" s="8"/>
      <c r="J1037" s="8"/>
      <c r="K1037" s="8"/>
      <c r="L1037" s="9" t="s">
        <v>1241</v>
      </c>
      <c r="M1037" s="8"/>
    </row>
    <row r="1038" spans="1:13" x14ac:dyDescent="0.25">
      <c r="A1038" s="71" t="s">
        <v>2560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2561</v>
      </c>
      <c r="B1039" s="67">
        <v>42748662890</v>
      </c>
      <c r="C1039" s="18" t="s">
        <v>2562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2563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1004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2564</v>
      </c>
      <c r="B1041" s="67">
        <v>23367537829</v>
      </c>
      <c r="C1041" s="72" t="s">
        <v>2565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2566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1004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2567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2568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1004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2569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1004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2570</v>
      </c>
      <c r="B1046" s="67">
        <v>74603671415</v>
      </c>
      <c r="C1046" s="72" t="s">
        <v>2571</v>
      </c>
      <c r="D1046" s="69">
        <v>28040569885</v>
      </c>
      <c r="E1046" s="9">
        <v>1267</v>
      </c>
      <c r="F1046" s="25">
        <v>42998</v>
      </c>
      <c r="G1046" s="70" t="s">
        <v>1010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2572</v>
      </c>
      <c r="B1047" s="67">
        <v>41590060865</v>
      </c>
      <c r="C1047" s="72" t="s">
        <v>2573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2574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1004</v>
      </c>
      <c r="H1048" s="9"/>
      <c r="I1048" s="8"/>
      <c r="J1048" s="8"/>
      <c r="K1048" s="8"/>
      <c r="L1048" s="9" t="s">
        <v>1126</v>
      </c>
      <c r="M1048" s="8"/>
    </row>
    <row r="1049" spans="1:13" x14ac:dyDescent="0.25">
      <c r="A1049" s="13" t="s">
        <v>2575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1004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2576</v>
      </c>
      <c r="B1050" s="67">
        <v>35741867898</v>
      </c>
      <c r="C1050" s="72" t="s">
        <v>2577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2578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2579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2580</v>
      </c>
      <c r="B1053" s="67">
        <v>27928359820</v>
      </c>
      <c r="C1053" s="72" t="s">
        <v>2581</v>
      </c>
      <c r="D1053" s="69">
        <v>61803766468</v>
      </c>
      <c r="E1053" s="9">
        <v>810</v>
      </c>
      <c r="F1053" s="25">
        <v>42915</v>
      </c>
      <c r="G1053" s="70" t="s">
        <v>1004</v>
      </c>
      <c r="H1053" s="9"/>
      <c r="I1053" s="8"/>
      <c r="J1053" s="8"/>
      <c r="K1053" s="8"/>
      <c r="L1053" s="9" t="s">
        <v>1126</v>
      </c>
      <c r="M1053" s="8"/>
    </row>
    <row r="1054" spans="1:13" x14ac:dyDescent="0.25">
      <c r="A1054" s="71" t="s">
        <v>2582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1004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2583</v>
      </c>
      <c r="B1055" s="67">
        <v>59431920506</v>
      </c>
      <c r="C1055" s="18" t="s">
        <v>1117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2584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1004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2585</v>
      </c>
      <c r="B1057" s="67" t="s">
        <v>2586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2587</v>
      </c>
      <c r="B1058" s="67">
        <v>34366747880</v>
      </c>
      <c r="C1058" s="77" t="s">
        <v>2588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1287</v>
      </c>
      <c r="M1058" s="8"/>
    </row>
    <row r="1059" spans="1:13" x14ac:dyDescent="0.25">
      <c r="A1059" s="71" t="s">
        <v>2589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1004</v>
      </c>
      <c r="H1059" s="9"/>
      <c r="I1059" s="8"/>
      <c r="J1059" s="8"/>
      <c r="K1059" s="8"/>
      <c r="L1059" s="9" t="s">
        <v>1148</v>
      </c>
      <c r="M1059" s="8"/>
    </row>
    <row r="1060" spans="1:13" x14ac:dyDescent="0.25">
      <c r="A1060" s="14" t="s">
        <v>2590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1004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2591</v>
      </c>
      <c r="B1061" s="67">
        <v>19580560811</v>
      </c>
      <c r="C1061" s="68" t="s">
        <v>2592</v>
      </c>
      <c r="D1061" s="69">
        <v>28925414848</v>
      </c>
      <c r="E1061" s="9">
        <v>1359</v>
      </c>
      <c r="F1061" s="25">
        <v>43006</v>
      </c>
      <c r="G1061" s="70" t="s">
        <v>1010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2593</v>
      </c>
      <c r="B1062" s="67">
        <v>34230472838</v>
      </c>
      <c r="C1062" s="9" t="s">
        <v>1117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2594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2595</v>
      </c>
      <c r="B1064" s="67">
        <v>42398811883</v>
      </c>
      <c r="C1064" s="72" t="s">
        <v>2596</v>
      </c>
      <c r="D1064" s="69">
        <v>33876650836</v>
      </c>
      <c r="E1064" s="9">
        <v>117</v>
      </c>
      <c r="F1064" s="25">
        <v>43117</v>
      </c>
      <c r="G1064" s="70" t="s">
        <v>1010</v>
      </c>
      <c r="H1064" s="9"/>
      <c r="I1064" s="8"/>
      <c r="J1064" s="8"/>
      <c r="K1064" s="8"/>
      <c r="L1064" s="9" t="s">
        <v>1158</v>
      </c>
      <c r="M1064" s="8"/>
    </row>
    <row r="1065" spans="1:13" x14ac:dyDescent="0.25">
      <c r="A1065" s="13" t="s">
        <v>2597</v>
      </c>
      <c r="B1065" s="67">
        <v>3876363829</v>
      </c>
      <c r="C1065" s="72" t="s">
        <v>2598</v>
      </c>
      <c r="D1065" s="69">
        <v>9491364847</v>
      </c>
      <c r="E1065" s="9">
        <v>1359</v>
      </c>
      <c r="F1065" s="25">
        <v>43006</v>
      </c>
      <c r="G1065" s="70" t="s">
        <v>1004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2599</v>
      </c>
      <c r="B1066" s="67">
        <v>27340044884</v>
      </c>
      <c r="C1066" s="72" t="s">
        <v>2600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2601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2602</v>
      </c>
      <c r="B1068" s="67">
        <v>38422303892</v>
      </c>
      <c r="C1068" s="72" t="s">
        <v>2603</v>
      </c>
      <c r="D1068" s="69">
        <v>33753889857</v>
      </c>
      <c r="E1068" s="9">
        <v>608</v>
      </c>
      <c r="F1068" s="25">
        <v>43012</v>
      </c>
      <c r="G1068" s="70" t="s">
        <v>1004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2604</v>
      </c>
      <c r="B1069" s="67">
        <v>36171676837</v>
      </c>
      <c r="C1069" s="68" t="s">
        <v>2605</v>
      </c>
      <c r="D1069" s="69">
        <v>1470162580</v>
      </c>
      <c r="E1069" s="9">
        <v>1128</v>
      </c>
      <c r="F1069" s="25">
        <v>42972</v>
      </c>
      <c r="G1069" s="70" t="s">
        <v>1004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2606</v>
      </c>
      <c r="B1070" s="67">
        <v>42047014859</v>
      </c>
      <c r="C1070" s="72" t="s">
        <v>2607</v>
      </c>
      <c r="D1070" s="69">
        <v>9300065424</v>
      </c>
      <c r="E1070" s="9">
        <v>1417</v>
      </c>
      <c r="F1070" s="25">
        <v>43017</v>
      </c>
      <c r="G1070" s="70" t="s">
        <v>1010</v>
      </c>
      <c r="H1070" s="9"/>
      <c r="I1070" s="8"/>
      <c r="J1070" s="8"/>
      <c r="K1070" s="8"/>
      <c r="L1070" s="9" t="s">
        <v>1241</v>
      </c>
      <c r="M1070" s="8"/>
    </row>
    <row r="1071" spans="1:13" x14ac:dyDescent="0.25">
      <c r="A1071" s="29" t="s">
        <v>2608</v>
      </c>
      <c r="B1071" s="67">
        <v>34822545830</v>
      </c>
      <c r="C1071" s="18" t="s">
        <v>1117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2609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2610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1004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2611</v>
      </c>
      <c r="B1074" s="67">
        <v>1737249308</v>
      </c>
      <c r="C1074" s="72" t="s">
        <v>2612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2613</v>
      </c>
      <c r="B1075" s="67">
        <v>3844142576</v>
      </c>
      <c r="C1075" s="72" t="s">
        <v>2614</v>
      </c>
      <c r="D1075" s="69">
        <v>35502503801</v>
      </c>
      <c r="E1075" s="9">
        <v>810</v>
      </c>
      <c r="F1075" s="25">
        <v>42915</v>
      </c>
      <c r="G1075" s="70" t="s">
        <v>1004</v>
      </c>
      <c r="H1075" s="9"/>
      <c r="I1075" s="8"/>
      <c r="J1075" s="8"/>
      <c r="K1075" s="8"/>
      <c r="L1075" s="9" t="s">
        <v>1126</v>
      </c>
      <c r="M1075" s="8"/>
    </row>
    <row r="1076" spans="1:13" x14ac:dyDescent="0.25">
      <c r="A1076" s="71" t="s">
        <v>2615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2616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1004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2617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2618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1004</v>
      </c>
      <c r="H1079" s="9"/>
      <c r="I1079" s="8"/>
      <c r="J1079" s="8"/>
      <c r="K1079" s="8"/>
      <c r="L1079" s="9" t="s">
        <v>1158</v>
      </c>
      <c r="M1079" s="8"/>
    </row>
    <row r="1080" spans="1:13" x14ac:dyDescent="0.25">
      <c r="A1080" s="18" t="s">
        <v>2619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2620</v>
      </c>
      <c r="B1081" s="67">
        <v>44410556843</v>
      </c>
      <c r="C1081" s="72" t="s">
        <v>2621</v>
      </c>
      <c r="D1081" s="69">
        <v>39436457898</v>
      </c>
      <c r="E1081" s="9">
        <v>262</v>
      </c>
      <c r="F1081" s="25">
        <v>43160</v>
      </c>
      <c r="G1081" s="70" t="s">
        <v>1004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2622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1004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2623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2624</v>
      </c>
      <c r="B1084" s="67">
        <v>7838810884</v>
      </c>
      <c r="C1084" s="72" t="s">
        <v>2625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2626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1004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2627</v>
      </c>
      <c r="B1086" s="67">
        <v>18239878857</v>
      </c>
      <c r="C1086" s="72" t="s">
        <v>2628</v>
      </c>
      <c r="D1086" s="69">
        <v>18871709870</v>
      </c>
      <c r="E1086" s="9">
        <v>85</v>
      </c>
      <c r="F1086" s="25">
        <v>43109</v>
      </c>
      <c r="G1086" s="70" t="s">
        <v>1004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2629</v>
      </c>
      <c r="B1087" s="67">
        <v>33213821802</v>
      </c>
      <c r="C1087" s="18" t="s">
        <v>1117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2630</v>
      </c>
      <c r="B1088" s="67">
        <v>39075719833</v>
      </c>
      <c r="C1088" s="72" t="s">
        <v>2631</v>
      </c>
      <c r="D1088" s="69">
        <v>29754975809</v>
      </c>
      <c r="E1088" s="9">
        <v>810</v>
      </c>
      <c r="F1088" s="25">
        <v>42915</v>
      </c>
      <c r="G1088" s="70" t="s">
        <v>1010</v>
      </c>
      <c r="H1088" s="9"/>
      <c r="I1088" s="8"/>
      <c r="J1088" s="8"/>
      <c r="K1088" s="8"/>
      <c r="L1088" s="9" t="s">
        <v>1126</v>
      </c>
      <c r="M1088" s="8"/>
    </row>
    <row r="1089" spans="1:13" x14ac:dyDescent="0.25">
      <c r="A1089" s="71" t="s">
        <v>2632</v>
      </c>
      <c r="B1089" s="67">
        <v>22599824842</v>
      </c>
      <c r="C1089" s="73" t="s">
        <v>2633</v>
      </c>
      <c r="D1089" s="69" t="s">
        <v>2634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2635</v>
      </c>
      <c r="B1090" s="67">
        <v>41719739889</v>
      </c>
      <c r="C1090" s="72" t="s">
        <v>2636</v>
      </c>
      <c r="D1090" s="69">
        <v>35883252800</v>
      </c>
      <c r="E1090" s="9">
        <v>1752</v>
      </c>
      <c r="F1090" s="25">
        <v>43051</v>
      </c>
      <c r="G1090" s="70" t="s">
        <v>1004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2637</v>
      </c>
      <c r="B1091" s="67">
        <v>31524778800</v>
      </c>
      <c r="C1091" s="72" t="s">
        <v>2638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2639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2640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2641</v>
      </c>
      <c r="B1094" s="67">
        <v>6614830376</v>
      </c>
      <c r="C1094" s="72" t="s">
        <v>2642</v>
      </c>
      <c r="D1094" s="69">
        <v>6372277352</v>
      </c>
      <c r="E1094" s="9">
        <v>229</v>
      </c>
      <c r="F1094" s="25">
        <v>43151</v>
      </c>
      <c r="G1094" s="70" t="s">
        <v>1004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2643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2644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1004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2645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2646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1004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2647</v>
      </c>
      <c r="B1099" s="67">
        <v>23047254818</v>
      </c>
      <c r="C1099" s="18" t="s">
        <v>1117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2648</v>
      </c>
      <c r="B1100" s="69">
        <v>15755371504</v>
      </c>
      <c r="C1100" s="71" t="s">
        <v>2649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2650</v>
      </c>
      <c r="B1101" s="67"/>
      <c r="C1101" s="29" t="s">
        <v>1117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2651</v>
      </c>
      <c r="B1102" s="67">
        <v>37975016845</v>
      </c>
      <c r="C1102" s="72" t="s">
        <v>2652</v>
      </c>
      <c r="D1102" s="69">
        <v>31274964865</v>
      </c>
      <c r="E1102" s="9">
        <v>810</v>
      </c>
      <c r="F1102" s="25">
        <v>42915</v>
      </c>
      <c r="G1102" s="70" t="s">
        <v>1004</v>
      </c>
      <c r="H1102" s="9"/>
      <c r="I1102" s="8"/>
      <c r="J1102" s="8"/>
      <c r="K1102" s="8"/>
      <c r="L1102" s="9" t="s">
        <v>1126</v>
      </c>
      <c r="M1102" s="8"/>
    </row>
    <row r="1103" spans="1:13" x14ac:dyDescent="0.25">
      <c r="A1103" s="71" t="s">
        <v>2653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2654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2655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1004</v>
      </c>
      <c r="H1105" s="9"/>
      <c r="I1105" s="8"/>
      <c r="J1105" s="8"/>
      <c r="K1105" s="8"/>
      <c r="L1105" s="9" t="s">
        <v>1158</v>
      </c>
      <c r="M1105" s="8"/>
    </row>
    <row r="1106" spans="1:13" x14ac:dyDescent="0.25">
      <c r="A1106" s="14" t="s">
        <v>2656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1004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2657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2658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1004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2659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2660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2661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1004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2662</v>
      </c>
      <c r="B1112" s="67"/>
      <c r="C1112" s="29" t="s">
        <v>2663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2664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2665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2666</v>
      </c>
      <c r="B1115" s="67">
        <v>31228148899</v>
      </c>
      <c r="C1115" s="18" t="s">
        <v>2667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2668</v>
      </c>
      <c r="B1116" s="67">
        <v>28077309810</v>
      </c>
      <c r="C1116" s="72" t="s">
        <v>2669</v>
      </c>
      <c r="D1116" s="69">
        <v>62568370530</v>
      </c>
      <c r="E1116" s="9">
        <v>229</v>
      </c>
      <c r="F1116" s="25">
        <v>43151</v>
      </c>
      <c r="G1116" s="70" t="s">
        <v>1004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2670</v>
      </c>
      <c r="B1117" s="67">
        <v>43681754845</v>
      </c>
      <c r="C1117" s="72" t="s">
        <v>2671</v>
      </c>
      <c r="D1117" s="69">
        <v>51120226805</v>
      </c>
      <c r="E1117" s="9">
        <v>1555</v>
      </c>
      <c r="F1117" s="25">
        <v>43049</v>
      </c>
      <c r="G1117" s="70" t="s">
        <v>1004</v>
      </c>
      <c r="H1117" s="9"/>
      <c r="I1117" s="8"/>
      <c r="J1117" s="8"/>
      <c r="K1117" s="8"/>
      <c r="L1117" s="9" t="s">
        <v>1386</v>
      </c>
      <c r="M1117" s="8"/>
    </row>
    <row r="1118" spans="1:13" x14ac:dyDescent="0.25">
      <c r="A1118" s="29" t="s">
        <v>2672</v>
      </c>
      <c r="B1118" s="67"/>
      <c r="C1118" s="29" t="s">
        <v>2673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2674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2675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1004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2676</v>
      </c>
      <c r="B1121" s="67">
        <v>44708151870</v>
      </c>
      <c r="C1121" s="88" t="s">
        <v>2677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2678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2679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2680</v>
      </c>
      <c r="B1124" s="67">
        <v>8368671817</v>
      </c>
      <c r="C1124" s="72" t="s">
        <v>2681</v>
      </c>
      <c r="D1124" s="69">
        <v>19184424877</v>
      </c>
      <c r="E1124" s="9">
        <v>292</v>
      </c>
      <c r="F1124" s="25">
        <v>43168</v>
      </c>
      <c r="G1124" s="70" t="s">
        <v>1004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2682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1004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2683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1004</v>
      </c>
      <c r="H1126" s="9"/>
      <c r="I1126" s="8"/>
      <c r="J1126" s="8"/>
      <c r="K1126" s="8"/>
      <c r="L1126" s="9" t="s">
        <v>1126</v>
      </c>
      <c r="M1126" s="8"/>
    </row>
    <row r="1127" spans="1:13" x14ac:dyDescent="0.25">
      <c r="A1127" s="18" t="s">
        <v>2684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2685</v>
      </c>
      <c r="B1128" s="67">
        <v>45127604825</v>
      </c>
      <c r="C1128" s="72" t="s">
        <v>2686</v>
      </c>
      <c r="D1128" s="69" t="s">
        <v>2687</v>
      </c>
      <c r="E1128" s="9">
        <v>229</v>
      </c>
      <c r="F1128" s="25">
        <v>43151</v>
      </c>
      <c r="G1128" s="70" t="s">
        <v>1018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2688</v>
      </c>
      <c r="B1129" s="67">
        <v>42987674856</v>
      </c>
      <c r="C1129" s="72" t="s">
        <v>2689</v>
      </c>
      <c r="D1129" s="69">
        <v>38745840890</v>
      </c>
      <c r="E1129" s="9">
        <v>85</v>
      </c>
      <c r="F1129" s="25">
        <v>43109</v>
      </c>
      <c r="G1129" s="70" t="s">
        <v>1004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2690</v>
      </c>
      <c r="B1130" s="67">
        <v>36406558855</v>
      </c>
      <c r="C1130" s="72" t="s">
        <v>2691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2692</v>
      </c>
      <c r="B1131" s="67">
        <v>22758320843</v>
      </c>
      <c r="C1131" s="72" t="s">
        <v>2693</v>
      </c>
      <c r="D1131" s="69">
        <v>14229403810</v>
      </c>
      <c r="E1131" s="9">
        <v>1752</v>
      </c>
      <c r="F1131" s="25">
        <v>43051</v>
      </c>
      <c r="G1131" s="70" t="s">
        <v>1004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2694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2695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1004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2696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1004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2697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1004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2698</v>
      </c>
      <c r="B1136" s="67">
        <v>32518683810</v>
      </c>
      <c r="C1136" s="72" t="s">
        <v>2699</v>
      </c>
      <c r="D1136" s="69">
        <v>32570919829</v>
      </c>
      <c r="E1136" s="9">
        <v>262</v>
      </c>
      <c r="F1136" s="25">
        <v>43160</v>
      </c>
      <c r="G1136" s="70" t="s">
        <v>1010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2700</v>
      </c>
      <c r="B1137" s="67">
        <v>35723911805</v>
      </c>
      <c r="C1137" s="18" t="s">
        <v>1117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2701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1004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2702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1004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2703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1004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2704</v>
      </c>
      <c r="B1141" s="67">
        <v>9527670667</v>
      </c>
      <c r="C1141" s="18" t="s">
        <v>2705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2706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1004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2707</v>
      </c>
      <c r="B1143" s="80">
        <v>15404916842</v>
      </c>
      <c r="C1143" s="81" t="s">
        <v>2708</v>
      </c>
      <c r="D1143" s="82">
        <v>26437120487</v>
      </c>
      <c r="E1143" s="47">
        <v>1752</v>
      </c>
      <c r="F1143" s="48">
        <v>43051</v>
      </c>
      <c r="G1143" s="83" t="s">
        <v>1018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2709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1004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2710</v>
      </c>
      <c r="B1145" s="67">
        <v>16618981816</v>
      </c>
      <c r="C1145" s="77" t="s">
        <v>2711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2712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1004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2713</v>
      </c>
      <c r="B1147" s="67">
        <v>14396561857</v>
      </c>
      <c r="C1147" s="72" t="s">
        <v>2714</v>
      </c>
      <c r="D1147" s="69">
        <v>26877955854</v>
      </c>
      <c r="E1147" s="9">
        <v>1350</v>
      </c>
      <c r="F1147" s="25">
        <v>43006</v>
      </c>
      <c r="G1147" s="70" t="s">
        <v>1004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2715</v>
      </c>
      <c r="B1148" s="67">
        <v>89014774591</v>
      </c>
      <c r="C1148" s="72" t="s">
        <v>2716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2717</v>
      </c>
      <c r="B1149" s="67">
        <v>36708561883</v>
      </c>
      <c r="C1149" s="72" t="s">
        <v>2718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2719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1004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2720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1004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2721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1004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2722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2723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2724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1004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2725</v>
      </c>
      <c r="B1156" s="67">
        <v>35706404852</v>
      </c>
      <c r="C1156" s="72"/>
      <c r="D1156" s="69"/>
      <c r="E1156" s="9">
        <v>117</v>
      </c>
      <c r="F1156" s="25"/>
      <c r="G1156" s="70" t="s">
        <v>1018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2726</v>
      </c>
      <c r="B1157" s="67">
        <v>2044062348</v>
      </c>
      <c r="C1157" s="72" t="s">
        <v>2727</v>
      </c>
      <c r="D1157" s="69">
        <v>61505005353</v>
      </c>
      <c r="E1157" s="9">
        <v>1214</v>
      </c>
      <c r="F1157" s="25">
        <v>42989</v>
      </c>
      <c r="G1157" s="70" t="s">
        <v>1004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2728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1004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2729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2730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1004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2731</v>
      </c>
      <c r="B1161" s="67">
        <v>11126789801</v>
      </c>
      <c r="C1161" s="72" t="s">
        <v>2732</v>
      </c>
      <c r="D1161" s="69">
        <v>13442330823</v>
      </c>
      <c r="E1161" s="9">
        <v>85</v>
      </c>
      <c r="F1161" s="25">
        <v>43109</v>
      </c>
      <c r="G1161" s="70" t="s">
        <v>1004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2733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1004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2734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1004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2735</v>
      </c>
      <c r="B1164" s="67">
        <v>42134258861</v>
      </c>
      <c r="C1164" s="72" t="s">
        <v>2736</v>
      </c>
      <c r="D1164" s="69">
        <v>36485490817</v>
      </c>
      <c r="E1164" s="9">
        <v>262</v>
      </c>
      <c r="F1164" s="25">
        <v>43160</v>
      </c>
      <c r="G1164" s="9" t="s">
        <v>1004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2737</v>
      </c>
      <c r="B1165" s="67">
        <v>1772681318</v>
      </c>
      <c r="C1165" s="72" t="s">
        <v>2738</v>
      </c>
      <c r="D1165" s="69">
        <v>88109810306</v>
      </c>
      <c r="E1165" s="9">
        <v>85</v>
      </c>
      <c r="F1165" s="25">
        <v>43109</v>
      </c>
      <c r="G1165" s="70" t="s">
        <v>1004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2739</v>
      </c>
      <c r="B1166" s="67">
        <v>88244881291</v>
      </c>
      <c r="C1166" s="72" t="s">
        <v>2740</v>
      </c>
      <c r="D1166" s="69">
        <v>71885609272</v>
      </c>
      <c r="E1166" s="9">
        <v>292</v>
      </c>
      <c r="F1166" s="25">
        <v>43168</v>
      </c>
      <c r="G1166" s="9" t="s">
        <v>1004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2741</v>
      </c>
      <c r="B1167" s="67">
        <v>33535539838</v>
      </c>
      <c r="C1167" s="72" t="s">
        <v>2742</v>
      </c>
      <c r="D1167" s="69">
        <v>19438586830</v>
      </c>
      <c r="E1167" s="9">
        <v>85</v>
      </c>
      <c r="F1167" s="25">
        <v>43109</v>
      </c>
      <c r="G1167" s="70" t="s">
        <v>1004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2743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1004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2744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1004</v>
      </c>
      <c r="H1169" s="9"/>
      <c r="I1169" s="8"/>
      <c r="J1169" s="8"/>
      <c r="K1169" s="8"/>
      <c r="L1169" s="9" t="s">
        <v>1158</v>
      </c>
      <c r="M1169" s="8"/>
    </row>
    <row r="1170" spans="1:13" x14ac:dyDescent="0.25">
      <c r="A1170" s="71" t="s">
        <v>2745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2746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1004</v>
      </c>
      <c r="H1171" s="9"/>
      <c r="I1171" s="8"/>
      <c r="J1171" s="8"/>
      <c r="K1171" s="8"/>
      <c r="L1171" s="9" t="s">
        <v>1126</v>
      </c>
      <c r="M1171" s="8"/>
    </row>
    <row r="1172" spans="1:13" x14ac:dyDescent="0.25">
      <c r="A1172" s="71" t="s">
        <v>2747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1004</v>
      </c>
      <c r="H1172" s="9"/>
      <c r="I1172" s="8"/>
      <c r="J1172" s="8"/>
      <c r="K1172" s="8"/>
      <c r="L1172" s="9" t="s">
        <v>1386</v>
      </c>
      <c r="M1172" s="8"/>
    </row>
    <row r="1173" spans="1:13" x14ac:dyDescent="0.25">
      <c r="A1173" s="72" t="s">
        <v>2748</v>
      </c>
      <c r="B1173" s="67">
        <v>42160981850</v>
      </c>
      <c r="C1173" s="72" t="s">
        <v>2749</v>
      </c>
      <c r="D1173" s="69">
        <v>40077808894</v>
      </c>
      <c r="E1173" s="9">
        <v>608</v>
      </c>
      <c r="F1173" s="25">
        <v>43012</v>
      </c>
      <c r="G1173" s="70" t="s">
        <v>1004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2750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1010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2751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2752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1287</v>
      </c>
      <c r="M1176" s="8"/>
    </row>
    <row r="1177" spans="1:13" x14ac:dyDescent="0.25">
      <c r="A1177" s="29" t="s">
        <v>2753</v>
      </c>
      <c r="B1177" s="67"/>
      <c r="C1177" s="29" t="s">
        <v>2754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2755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2756</v>
      </c>
      <c r="B1179" s="67">
        <v>11754585469</v>
      </c>
      <c r="C1179" s="77" t="s">
        <v>2757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1287</v>
      </c>
      <c r="M1179" s="8"/>
    </row>
    <row r="1180" spans="1:13" x14ac:dyDescent="0.25">
      <c r="A1180" s="29" t="s">
        <v>2758</v>
      </c>
      <c r="B1180" s="67">
        <v>7621874503</v>
      </c>
      <c r="C1180" s="29" t="s">
        <v>2759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2760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1004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2761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1004</v>
      </c>
      <c r="H1182" s="9"/>
      <c r="I1182" s="8"/>
      <c r="J1182" s="8"/>
      <c r="K1182" s="8"/>
      <c r="L1182" s="9" t="s">
        <v>1386</v>
      </c>
      <c r="M1182" s="8"/>
    </row>
    <row r="1183" spans="1:13" x14ac:dyDescent="0.25">
      <c r="A1183" s="29" t="s">
        <v>2762</v>
      </c>
      <c r="B1183" s="67">
        <v>29913700841</v>
      </c>
      <c r="C1183" s="18" t="s">
        <v>1117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2763</v>
      </c>
      <c r="B1184" s="67">
        <v>28907743843</v>
      </c>
      <c r="C1184" s="29" t="s">
        <v>2764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2765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1004</v>
      </c>
      <c r="H1185" s="9"/>
      <c r="I1185" s="8"/>
      <c r="J1185" s="8"/>
      <c r="K1185" s="8"/>
      <c r="L1185" s="9" t="s">
        <v>1126</v>
      </c>
      <c r="M1185" s="8"/>
    </row>
    <row r="1186" spans="1:13" x14ac:dyDescent="0.25">
      <c r="A1186" s="29" t="s">
        <v>2766</v>
      </c>
      <c r="B1186" s="67"/>
      <c r="C1186" s="18" t="s">
        <v>1117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2767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1004</v>
      </c>
      <c r="H1187" s="9"/>
      <c r="I1187" s="8"/>
      <c r="J1187" s="8"/>
      <c r="K1187" s="8"/>
      <c r="L1187" s="9" t="s">
        <v>1126</v>
      </c>
      <c r="M1187" s="8"/>
    </row>
    <row r="1188" spans="1:13" x14ac:dyDescent="0.25">
      <c r="A1188" s="73" t="s">
        <v>2768</v>
      </c>
      <c r="B1188" s="67">
        <v>1198397500</v>
      </c>
      <c r="C1188" s="72" t="s">
        <v>2769</v>
      </c>
      <c r="D1188" s="69">
        <v>87142503572</v>
      </c>
      <c r="E1188" s="9">
        <v>810</v>
      </c>
      <c r="F1188" s="25">
        <v>42915</v>
      </c>
      <c r="G1188" s="70" t="s">
        <v>1004</v>
      </c>
      <c r="H1188" s="9"/>
      <c r="I1188" s="8"/>
      <c r="J1188" s="8"/>
      <c r="K1188" s="8"/>
      <c r="L1188" s="9" t="s">
        <v>1126</v>
      </c>
      <c r="M1188" s="8"/>
    </row>
    <row r="1189" spans="1:13" x14ac:dyDescent="0.25">
      <c r="A1189" s="29" t="s">
        <v>2770</v>
      </c>
      <c r="B1189" s="67">
        <v>17487364852</v>
      </c>
      <c r="C1189" s="29" t="s">
        <v>2771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2772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1004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2773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2774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2775</v>
      </c>
      <c r="B1193" s="67">
        <v>32993187805</v>
      </c>
      <c r="C1193" s="72" t="s">
        <v>2776</v>
      </c>
      <c r="D1193" s="69">
        <v>2605272460</v>
      </c>
      <c r="E1193" s="9">
        <v>1439</v>
      </c>
      <c r="F1193" s="25">
        <v>43025</v>
      </c>
      <c r="G1193" s="70" t="s">
        <v>1004</v>
      </c>
      <c r="H1193" s="9"/>
      <c r="I1193" s="8"/>
      <c r="J1193" s="8"/>
      <c r="K1193" s="8"/>
      <c r="L1193" s="9" t="s">
        <v>1490</v>
      </c>
      <c r="M1193" s="8"/>
    </row>
    <row r="1194" spans="1:13" x14ac:dyDescent="0.25">
      <c r="A1194" s="71" t="s">
        <v>2777</v>
      </c>
      <c r="B1194" s="67">
        <v>33182368885</v>
      </c>
      <c r="C1194" s="77" t="s">
        <v>2778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2779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1004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2780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1004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2781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1004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2782</v>
      </c>
      <c r="B1198" s="67">
        <v>32557609846</v>
      </c>
      <c r="C1198" s="72" t="s">
        <v>2783</v>
      </c>
      <c r="D1198" s="69">
        <v>19150806904</v>
      </c>
      <c r="E1198" s="9">
        <v>1241</v>
      </c>
      <c r="F1198" s="25">
        <v>42992</v>
      </c>
      <c r="G1198" s="70" t="s">
        <v>1004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2784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1004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2785</v>
      </c>
      <c r="B1200" s="67">
        <v>38236980871</v>
      </c>
      <c r="C1200" s="72" t="s">
        <v>2786</v>
      </c>
      <c r="D1200" s="69">
        <v>5177834360</v>
      </c>
      <c r="E1200" s="9">
        <v>262</v>
      </c>
      <c r="F1200" s="25">
        <v>43160</v>
      </c>
      <c r="G1200" s="70" t="s">
        <v>1004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2787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1004</v>
      </c>
      <c r="H1201" s="9"/>
      <c r="I1201" s="8"/>
      <c r="J1201" s="8"/>
      <c r="K1201" s="8"/>
      <c r="L1201" s="9" t="s">
        <v>1126</v>
      </c>
      <c r="M1201" s="8"/>
    </row>
    <row r="1202" spans="1:13" x14ac:dyDescent="0.25">
      <c r="A1202" s="72" t="s">
        <v>2788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2789</v>
      </c>
      <c r="B1203" s="67">
        <v>177446102</v>
      </c>
      <c r="C1203" s="72" t="s">
        <v>2790</v>
      </c>
      <c r="D1203" s="69">
        <v>31301235806</v>
      </c>
      <c r="E1203" s="9">
        <v>229</v>
      </c>
      <c r="F1203" s="25">
        <v>43151</v>
      </c>
      <c r="G1203" s="70" t="s">
        <v>1004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2791</v>
      </c>
      <c r="B1204" s="67"/>
      <c r="C1204" s="29" t="s">
        <v>1117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2792</v>
      </c>
      <c r="B1205" s="67">
        <v>22394984805</v>
      </c>
      <c r="C1205" s="72" t="s">
        <v>2793</v>
      </c>
      <c r="D1205" s="69">
        <v>29161087858</v>
      </c>
      <c r="E1205" s="9">
        <v>1106</v>
      </c>
      <c r="F1205" s="25">
        <v>42965</v>
      </c>
      <c r="G1205" s="70" t="s">
        <v>1004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2794</v>
      </c>
      <c r="B1206" s="67">
        <v>22495577806</v>
      </c>
      <c r="C1206" s="72" t="s">
        <v>2795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2796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2797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2798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1004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2799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2800</v>
      </c>
      <c r="B1211" s="67">
        <v>37304527897</v>
      </c>
      <c r="C1211" s="72" t="s">
        <v>2801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2802</v>
      </c>
      <c r="B1212" s="67">
        <v>11328067807</v>
      </c>
      <c r="C1212" s="72" t="s">
        <v>2803</v>
      </c>
      <c r="D1212" s="69">
        <v>60769793800</v>
      </c>
      <c r="E1212" s="9">
        <v>262</v>
      </c>
      <c r="F1212" s="25">
        <v>43160</v>
      </c>
      <c r="G1212" s="70" t="s">
        <v>1004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2804</v>
      </c>
      <c r="B1213" s="67">
        <v>4007781575</v>
      </c>
      <c r="C1213" s="72" t="s">
        <v>2805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2806</v>
      </c>
      <c r="B1214" s="67">
        <v>38448111842</v>
      </c>
      <c r="C1214" s="72" t="s">
        <v>2807</v>
      </c>
      <c r="D1214" s="69">
        <v>38350911824</v>
      </c>
      <c r="E1214" s="9"/>
      <c r="F1214" s="25"/>
      <c r="G1214" s="70" t="s">
        <v>1004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2808</v>
      </c>
      <c r="B1215" s="67"/>
      <c r="C1215" s="18" t="s">
        <v>1117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2809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1004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2810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1004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2811</v>
      </c>
      <c r="B1218" s="67">
        <v>29040829802</v>
      </c>
      <c r="C1218" s="68" t="s">
        <v>2812</v>
      </c>
      <c r="D1218" s="69">
        <v>17804755864</v>
      </c>
      <c r="E1218" s="9">
        <v>1128</v>
      </c>
      <c r="F1218" s="25">
        <v>42972</v>
      </c>
      <c r="G1218" s="70" t="s">
        <v>1004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2813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2814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1004</v>
      </c>
      <c r="H1220" s="9"/>
      <c r="I1220" s="8"/>
      <c r="J1220" s="8"/>
      <c r="K1220" s="8"/>
      <c r="L1220" s="9" t="s">
        <v>1241</v>
      </c>
      <c r="M1220" s="8"/>
    </row>
    <row r="1221" spans="1:13" x14ac:dyDescent="0.25">
      <c r="A1221" s="14" t="s">
        <v>2815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2816</v>
      </c>
      <c r="B1222" s="67">
        <v>22614376841</v>
      </c>
      <c r="C1222" s="18" t="s">
        <v>1117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2817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2818</v>
      </c>
      <c r="B1224" s="67">
        <v>95023003515</v>
      </c>
      <c r="C1224" s="72" t="s">
        <v>2819</v>
      </c>
      <c r="D1224" s="69">
        <v>2283584507</v>
      </c>
      <c r="E1224" s="9">
        <v>117</v>
      </c>
      <c r="F1224" s="25">
        <v>43117</v>
      </c>
      <c r="G1224" s="70" t="s">
        <v>1004</v>
      </c>
      <c r="H1224" s="9"/>
      <c r="I1224" s="8"/>
      <c r="J1224" s="8"/>
      <c r="K1224" s="8"/>
      <c r="L1224" s="9" t="s">
        <v>1158</v>
      </c>
      <c r="M1224" s="8"/>
    </row>
    <row r="1225" spans="1:13" x14ac:dyDescent="0.25">
      <c r="A1225" s="15" t="s">
        <v>2820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1004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2821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2822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1004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2823</v>
      </c>
      <c r="B1228" s="67">
        <v>40584610807</v>
      </c>
      <c r="C1228" s="72" t="s">
        <v>2824</v>
      </c>
      <c r="D1228" s="69">
        <v>29182543801</v>
      </c>
      <c r="E1228" s="9">
        <v>810</v>
      </c>
      <c r="F1228" s="25">
        <v>42915</v>
      </c>
      <c r="G1228" s="70" t="s">
        <v>1004</v>
      </c>
      <c r="H1228" s="9"/>
      <c r="I1228" s="8"/>
      <c r="J1228" s="8"/>
      <c r="K1228" s="8"/>
      <c r="L1228" s="9" t="s">
        <v>1126</v>
      </c>
      <c r="M1228" s="8"/>
    </row>
    <row r="1229" spans="1:13" x14ac:dyDescent="0.25">
      <c r="A1229" s="71" t="s">
        <v>2825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1004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2826</v>
      </c>
      <c r="B1230" s="67">
        <v>2330650590</v>
      </c>
      <c r="C1230" s="18" t="s">
        <v>1380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2827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1287</v>
      </c>
      <c r="M1231" s="8"/>
    </row>
    <row r="1232" spans="1:13" x14ac:dyDescent="0.25">
      <c r="A1232" s="71" t="s">
        <v>2828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1004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2829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2830</v>
      </c>
      <c r="B1234" s="67">
        <v>35116318826</v>
      </c>
      <c r="C1234" s="72" t="s">
        <v>2831</v>
      </c>
      <c r="D1234" s="69">
        <v>22432837860</v>
      </c>
      <c r="E1234" s="9">
        <v>1824</v>
      </c>
      <c r="F1234" s="25">
        <v>43091</v>
      </c>
      <c r="G1234" s="70" t="s">
        <v>1004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2832</v>
      </c>
      <c r="B1235" s="67">
        <v>40048912808</v>
      </c>
      <c r="C1235" s="72" t="s">
        <v>2833</v>
      </c>
      <c r="D1235" s="69">
        <v>43519054841</v>
      </c>
      <c r="E1235" s="9">
        <v>262</v>
      </c>
      <c r="F1235" s="25">
        <v>43160</v>
      </c>
      <c r="G1235" s="70" t="s">
        <v>1004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2834</v>
      </c>
      <c r="B1236" s="67">
        <v>26016197831</v>
      </c>
      <c r="C1236" s="15" t="s">
        <v>2835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2836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1004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2837</v>
      </c>
      <c r="B1238" s="67">
        <v>40121535878</v>
      </c>
      <c r="C1238" s="72" t="s">
        <v>2838</v>
      </c>
      <c r="D1238" s="69">
        <v>33343601802</v>
      </c>
      <c r="E1238" s="9">
        <v>292</v>
      </c>
      <c r="F1238" s="25">
        <v>43168</v>
      </c>
      <c r="G1238" s="70" t="s">
        <v>1004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2839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1004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2840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1004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2841</v>
      </c>
      <c r="B1241" s="67">
        <v>31029975892</v>
      </c>
      <c r="C1241" s="72" t="s">
        <v>2842</v>
      </c>
      <c r="D1241" s="69">
        <v>36873004472</v>
      </c>
      <c r="E1241" s="9">
        <v>1106</v>
      </c>
      <c r="F1241" s="25">
        <v>42965</v>
      </c>
      <c r="G1241" s="9" t="s">
        <v>1004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2843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1004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2844</v>
      </c>
      <c r="B1243" s="67">
        <v>36051592814</v>
      </c>
      <c r="C1243" s="72" t="s">
        <v>2845</v>
      </c>
      <c r="D1243" s="69">
        <v>13109522847</v>
      </c>
      <c r="E1243" s="9">
        <v>810</v>
      </c>
      <c r="F1243" s="25">
        <v>42915</v>
      </c>
      <c r="G1243" s="70" t="s">
        <v>1004</v>
      </c>
      <c r="H1243" s="9"/>
      <c r="I1243" s="8"/>
      <c r="J1243" s="8"/>
      <c r="K1243" s="8"/>
      <c r="L1243" s="9" t="s">
        <v>1126</v>
      </c>
      <c r="M1243" s="8"/>
    </row>
    <row r="1244" spans="1:13" x14ac:dyDescent="0.25">
      <c r="A1244" s="71" t="s">
        <v>2846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2847</v>
      </c>
      <c r="B1245" s="67">
        <v>28142782820</v>
      </c>
      <c r="C1245" s="18" t="s">
        <v>2848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2849</v>
      </c>
      <c r="B1246" s="67">
        <v>30088939880</v>
      </c>
      <c r="C1246" s="72" t="s">
        <v>2850</v>
      </c>
      <c r="D1246" s="69">
        <v>2051861579</v>
      </c>
      <c r="E1246" s="9">
        <v>292</v>
      </c>
      <c r="F1246" s="25">
        <v>43168</v>
      </c>
      <c r="G1246" s="9" t="s">
        <v>1004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2851</v>
      </c>
      <c r="B1247" s="67">
        <v>11525085476</v>
      </c>
      <c r="C1247" s="72" t="s">
        <v>2852</v>
      </c>
      <c r="D1247" s="69">
        <v>9293576473</v>
      </c>
      <c r="E1247" s="9">
        <v>262</v>
      </c>
      <c r="F1247" s="25">
        <v>43160</v>
      </c>
      <c r="G1247" s="70" t="s">
        <v>1004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2853</v>
      </c>
      <c r="B1248" s="67"/>
      <c r="C1248" s="29" t="s">
        <v>2854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2855</v>
      </c>
      <c r="B1249" s="67">
        <v>31265129843</v>
      </c>
      <c r="C1249" s="68" t="s">
        <v>2856</v>
      </c>
      <c r="D1249" s="69">
        <v>2078435546</v>
      </c>
      <c r="E1249" s="9">
        <v>1241</v>
      </c>
      <c r="F1249" s="25">
        <v>42992</v>
      </c>
      <c r="G1249" s="70" t="s">
        <v>1004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2857</v>
      </c>
      <c r="B1250" s="67">
        <v>22524200817</v>
      </c>
      <c r="C1250" s="72" t="s">
        <v>2858</v>
      </c>
      <c r="D1250" s="69">
        <v>22961531861</v>
      </c>
      <c r="E1250" s="9">
        <v>229</v>
      </c>
      <c r="F1250" s="25">
        <v>43151</v>
      </c>
      <c r="G1250" s="70" t="s">
        <v>1010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2859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1004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2860</v>
      </c>
      <c r="B1252" s="67">
        <v>29736807860</v>
      </c>
      <c r="C1252" s="72" t="s">
        <v>2861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2862</v>
      </c>
      <c r="B1253" s="67">
        <v>4890860398</v>
      </c>
      <c r="C1253" s="72" t="s">
        <v>2863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2864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1004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2865</v>
      </c>
      <c r="B1255" s="67">
        <v>35336343889</v>
      </c>
      <c r="C1255" s="18" t="s">
        <v>2866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2867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1287</v>
      </c>
      <c r="M1256" s="8"/>
    </row>
    <row r="1257" spans="1:13" x14ac:dyDescent="0.25">
      <c r="A1257" s="14" t="s">
        <v>2868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2869</v>
      </c>
      <c r="B1258" s="67">
        <v>39107511809</v>
      </c>
      <c r="C1258" s="72" t="s">
        <v>2870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2871</v>
      </c>
      <c r="B1259" s="67">
        <v>6652314584</v>
      </c>
      <c r="C1259" s="72" t="s">
        <v>2872</v>
      </c>
      <c r="D1259" s="69">
        <v>4945754500</v>
      </c>
      <c r="E1259" s="9">
        <v>85</v>
      </c>
      <c r="F1259" s="25">
        <v>43109</v>
      </c>
      <c r="G1259" s="70" t="s">
        <v>1010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2873</v>
      </c>
      <c r="B1260" s="67">
        <v>43135974847</v>
      </c>
      <c r="C1260" s="73" t="s">
        <v>2874</v>
      </c>
      <c r="D1260" s="69" t="s">
        <v>2875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1287</v>
      </c>
      <c r="M1260" s="8"/>
    </row>
    <row r="1261" spans="1:13" x14ac:dyDescent="0.25">
      <c r="A1261" s="13" t="s">
        <v>2876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1004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2877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1287</v>
      </c>
      <c r="M1262" s="8"/>
    </row>
    <row r="1263" spans="1:13" x14ac:dyDescent="0.25">
      <c r="A1263" s="14" t="s">
        <v>2878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1004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2879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2880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1010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2881</v>
      </c>
      <c r="B1266" s="67">
        <v>1748350943</v>
      </c>
      <c r="C1266" s="72" t="s">
        <v>2882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2883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2884</v>
      </c>
      <c r="B1268" s="67">
        <v>23502610851</v>
      </c>
      <c r="C1268" s="73" t="s">
        <v>2885</v>
      </c>
      <c r="D1268" s="69" t="s">
        <v>2886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2887</v>
      </c>
      <c r="B1269" s="67">
        <v>48857598896</v>
      </c>
      <c r="C1269" s="72" t="s">
        <v>2888</v>
      </c>
      <c r="D1269" s="69">
        <v>36223394896</v>
      </c>
      <c r="E1269" s="9">
        <v>262</v>
      </c>
      <c r="F1269" s="25">
        <v>43160</v>
      </c>
      <c r="G1269" s="46" t="s">
        <v>1010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2889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2890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2891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1004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2892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1287</v>
      </c>
      <c r="M1273" s="8"/>
    </row>
    <row r="1274" spans="1:13" x14ac:dyDescent="0.25">
      <c r="A1274" s="71" t="s">
        <v>2893</v>
      </c>
      <c r="B1274" s="78" t="s">
        <v>2894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2895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1004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2896</v>
      </c>
      <c r="B1276" s="67">
        <v>16354483876</v>
      </c>
      <c r="C1276" s="68" t="s">
        <v>2897</v>
      </c>
      <c r="D1276" s="69">
        <v>2853992845</v>
      </c>
      <c r="E1276" s="9">
        <v>1267</v>
      </c>
      <c r="F1276" s="25">
        <v>42998</v>
      </c>
      <c r="G1276" s="70" t="s">
        <v>1004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2898</v>
      </c>
      <c r="B1277" s="67">
        <v>40753885816</v>
      </c>
      <c r="C1277" s="72" t="s">
        <v>2899</v>
      </c>
      <c r="D1277" s="69">
        <v>35877507850</v>
      </c>
      <c r="E1277" s="9">
        <v>85</v>
      </c>
      <c r="F1277" s="25">
        <v>43109</v>
      </c>
      <c r="G1277" s="70" t="s">
        <v>1004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2900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1004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2901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1004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2902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2903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1004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2904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2905</v>
      </c>
      <c r="B1283" s="67">
        <v>44632196800</v>
      </c>
      <c r="C1283" s="72" t="s">
        <v>2906</v>
      </c>
      <c r="D1283" s="69">
        <v>38901506831</v>
      </c>
      <c r="E1283" s="9">
        <v>1359</v>
      </c>
      <c r="F1283" s="25">
        <v>43006</v>
      </c>
      <c r="G1283" s="9" t="s">
        <v>1004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2907</v>
      </c>
      <c r="B1284" s="67"/>
      <c r="C1284" s="18" t="s">
        <v>2908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2909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1004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2910</v>
      </c>
      <c r="B1286" s="67">
        <v>7354753505</v>
      </c>
      <c r="C1286" s="72" t="s">
        <v>2911</v>
      </c>
      <c r="D1286" s="69">
        <v>26646541876</v>
      </c>
      <c r="E1286" s="9">
        <v>117</v>
      </c>
      <c r="F1286" s="25">
        <v>43117</v>
      </c>
      <c r="G1286" s="70" t="s">
        <v>1004</v>
      </c>
      <c r="H1286" s="9"/>
      <c r="I1286" s="8"/>
      <c r="J1286" s="8"/>
      <c r="K1286" s="8"/>
      <c r="L1286" s="9" t="s">
        <v>1158</v>
      </c>
      <c r="M1286" s="8"/>
    </row>
    <row r="1287" spans="1:13" x14ac:dyDescent="0.25">
      <c r="A1287" s="71" t="s">
        <v>2912</v>
      </c>
      <c r="B1287" s="67">
        <v>45378515890</v>
      </c>
      <c r="C1287" s="72" t="s">
        <v>2913</v>
      </c>
      <c r="D1287" s="69">
        <v>35635754520</v>
      </c>
      <c r="E1287" s="9">
        <v>1752</v>
      </c>
      <c r="F1287" s="25">
        <v>43051</v>
      </c>
      <c r="G1287" s="70" t="s">
        <v>1004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2914</v>
      </c>
      <c r="B1288" s="67">
        <v>41274505844</v>
      </c>
      <c r="C1288" s="18" t="s">
        <v>2915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2916</v>
      </c>
      <c r="B1289" s="67">
        <v>46583836831</v>
      </c>
      <c r="C1289" s="72" t="s">
        <v>2917</v>
      </c>
      <c r="D1289" s="69">
        <v>39199167867</v>
      </c>
      <c r="E1289" s="9">
        <v>292</v>
      </c>
      <c r="F1289" s="25">
        <v>43168</v>
      </c>
      <c r="G1289" s="9" t="s">
        <v>1004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2918</v>
      </c>
      <c r="B1290" s="67"/>
      <c r="C1290" s="29" t="s">
        <v>2919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2920</v>
      </c>
      <c r="B1291" s="67">
        <v>37483362847</v>
      </c>
      <c r="C1291" s="29" t="s">
        <v>2921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2922</v>
      </c>
      <c r="B1292" s="67">
        <v>43663899837</v>
      </c>
      <c r="C1292" s="18" t="s">
        <v>2923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2924</v>
      </c>
      <c r="B1293" s="67">
        <v>39203446850</v>
      </c>
      <c r="C1293" s="72" t="s">
        <v>2925</v>
      </c>
      <c r="D1293" s="69">
        <v>39255518836</v>
      </c>
      <c r="E1293" s="9">
        <v>292</v>
      </c>
      <c r="F1293" s="25">
        <v>43168</v>
      </c>
      <c r="G1293" s="70" t="s">
        <v>1004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2926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2927</v>
      </c>
      <c r="B1295" s="67">
        <v>45722318850</v>
      </c>
      <c r="C1295" s="72" t="s">
        <v>2928</v>
      </c>
      <c r="D1295" s="69">
        <v>61122102313</v>
      </c>
      <c r="E1295" s="9">
        <v>229</v>
      </c>
      <c r="F1295" s="25">
        <v>43151</v>
      </c>
      <c r="G1295" s="70" t="s">
        <v>1004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2929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1004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2930</v>
      </c>
      <c r="B1297" s="67">
        <v>47697684861</v>
      </c>
      <c r="C1297" s="72" t="s">
        <v>2931</v>
      </c>
      <c r="D1297" s="69">
        <v>42642601838</v>
      </c>
      <c r="E1297" s="9">
        <v>229</v>
      </c>
      <c r="F1297" s="25">
        <v>43151</v>
      </c>
      <c r="G1297" s="70" t="s">
        <v>1004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2932</v>
      </c>
      <c r="B1298" s="67">
        <v>97503479515</v>
      </c>
      <c r="C1298" s="15" t="s">
        <v>2933</v>
      </c>
      <c r="D1298" s="69">
        <v>28269015830</v>
      </c>
      <c r="E1298" s="9">
        <v>262</v>
      </c>
      <c r="F1298" s="25">
        <v>43160</v>
      </c>
      <c r="G1298" s="70" t="s">
        <v>1004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2934</v>
      </c>
      <c r="B1299" s="67">
        <v>84327510491</v>
      </c>
      <c r="C1299" s="72" t="s">
        <v>2935</v>
      </c>
      <c r="D1299" s="69">
        <v>17305875856</v>
      </c>
      <c r="E1299" s="9">
        <v>292</v>
      </c>
      <c r="F1299" s="25">
        <v>43168</v>
      </c>
      <c r="G1299" s="70" t="s">
        <v>1004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2936</v>
      </c>
      <c r="B1300" s="67">
        <v>24870791854</v>
      </c>
      <c r="C1300" s="68" t="s">
        <v>2937</v>
      </c>
      <c r="D1300" s="69">
        <v>4398744835</v>
      </c>
      <c r="E1300" s="9">
        <v>1128</v>
      </c>
      <c r="F1300" s="25">
        <v>42972</v>
      </c>
      <c r="G1300" s="70" t="s">
        <v>1004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2938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1004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2939</v>
      </c>
      <c r="B1302" s="67"/>
      <c r="C1302" s="18" t="s">
        <v>1117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2940</v>
      </c>
      <c r="B1303" s="67">
        <v>25533246851</v>
      </c>
      <c r="C1303" s="72" t="s">
        <v>2941</v>
      </c>
      <c r="D1303" s="69">
        <v>2336832836</v>
      </c>
      <c r="E1303" s="9">
        <v>810</v>
      </c>
      <c r="F1303" s="25">
        <v>42915</v>
      </c>
      <c r="G1303" s="70" t="s">
        <v>1004</v>
      </c>
      <c r="H1303" s="9"/>
      <c r="I1303" s="8"/>
      <c r="J1303" s="8"/>
      <c r="K1303" s="8"/>
      <c r="L1303" s="9" t="s">
        <v>1126</v>
      </c>
      <c r="M1303" s="8"/>
    </row>
    <row r="1304" spans="1:13" x14ac:dyDescent="0.25">
      <c r="A1304" s="71" t="s">
        <v>2942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1004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2943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2944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2945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2946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2947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2948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2949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1004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2950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1004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2951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2952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2953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1004</v>
      </c>
      <c r="H1315" s="9"/>
      <c r="I1315" s="8"/>
      <c r="J1315" s="8"/>
      <c r="K1315" s="8"/>
      <c r="L1315" s="9" t="s">
        <v>1241</v>
      </c>
      <c r="M1315" s="8"/>
    </row>
    <row r="1316" spans="1:13" x14ac:dyDescent="0.25">
      <c r="A1316" s="71" t="s">
        <v>2954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1004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2955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2956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1004</v>
      </c>
      <c r="H1318" s="9"/>
      <c r="I1318" s="8"/>
      <c r="J1318" s="8"/>
      <c r="K1318" s="8"/>
      <c r="L1318" s="9" t="s">
        <v>1490</v>
      </c>
      <c r="M1318" s="8"/>
    </row>
    <row r="1319" spans="1:13" x14ac:dyDescent="0.25">
      <c r="A1319" s="15" t="s">
        <v>2957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2958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2959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1004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2960</v>
      </c>
      <c r="B1322" s="67">
        <v>10519320921</v>
      </c>
      <c r="C1322" s="77" t="s">
        <v>2961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2962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1004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2963</v>
      </c>
      <c r="B1324" s="67"/>
      <c r="C1324" s="18" t="s">
        <v>1117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2964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2965</v>
      </c>
      <c r="B1326" s="67"/>
      <c r="C1326" s="29" t="s">
        <v>1117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2966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1004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2967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2968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1004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2969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2970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1004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2971</v>
      </c>
      <c r="B1332" s="67">
        <v>27211072830</v>
      </c>
      <c r="C1332" s="72" t="s">
        <v>2972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2973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2974</v>
      </c>
      <c r="B1334" s="67">
        <v>35197770880</v>
      </c>
      <c r="C1334" s="72" t="s">
        <v>2975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2976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2977</v>
      </c>
      <c r="B1336" s="67">
        <v>35236970857</v>
      </c>
      <c r="C1336" s="68" t="s">
        <v>2978</v>
      </c>
      <c r="D1336" s="69">
        <v>41901199894</v>
      </c>
      <c r="E1336" s="9">
        <v>1417</v>
      </c>
      <c r="F1336" s="25">
        <v>43017</v>
      </c>
      <c r="G1336" s="70" t="s">
        <v>1004</v>
      </c>
      <c r="H1336" s="76">
        <v>43213</v>
      </c>
      <c r="I1336" s="8"/>
      <c r="J1336" s="8"/>
      <c r="K1336" s="8"/>
      <c r="L1336" s="9" t="s">
        <v>1241</v>
      </c>
      <c r="M1336" s="8"/>
    </row>
    <row r="1337" spans="1:13" x14ac:dyDescent="0.25">
      <c r="A1337" s="71" t="s">
        <v>2979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1004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2980</v>
      </c>
      <c r="B1338" s="67"/>
      <c r="C1338" s="29" t="s">
        <v>1117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2981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1004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2982</v>
      </c>
      <c r="B1340" s="67">
        <v>5263835850</v>
      </c>
      <c r="C1340" s="72" t="s">
        <v>2983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2984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1004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2985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1004</v>
      </c>
      <c r="H1342" s="76">
        <v>43213</v>
      </c>
      <c r="I1342" s="8"/>
      <c r="J1342" s="8"/>
      <c r="K1342" s="8"/>
      <c r="L1342" s="9" t="s">
        <v>1158</v>
      </c>
      <c r="M1342" s="8"/>
    </row>
    <row r="1343" spans="1:13" x14ac:dyDescent="0.25">
      <c r="A1343" s="29" t="s">
        <v>2986</v>
      </c>
      <c r="B1343" s="67">
        <v>31148209808</v>
      </c>
      <c r="C1343" s="18" t="s">
        <v>1117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2987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2988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1004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2989</v>
      </c>
      <c r="B1346" s="67">
        <v>85794398507</v>
      </c>
      <c r="C1346" s="72" t="s">
        <v>2990</v>
      </c>
      <c r="D1346" s="69">
        <v>59689188534</v>
      </c>
      <c r="E1346" s="9">
        <v>292</v>
      </c>
      <c r="F1346" s="25">
        <v>43168</v>
      </c>
      <c r="G1346" s="70" t="s">
        <v>1004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2991</v>
      </c>
      <c r="B1347" s="67">
        <v>2770765442</v>
      </c>
      <c r="C1347" s="72" t="s">
        <v>2992</v>
      </c>
      <c r="D1347" s="69">
        <v>24730161866</v>
      </c>
      <c r="E1347" s="9">
        <v>229</v>
      </c>
      <c r="F1347" s="25">
        <v>43151</v>
      </c>
      <c r="G1347" s="70" t="s">
        <v>1004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2993</v>
      </c>
      <c r="B1348" s="67">
        <v>1295044838</v>
      </c>
      <c r="C1348" s="72" t="s">
        <v>2994</v>
      </c>
      <c r="D1348" s="69">
        <v>29976206860</v>
      </c>
      <c r="E1348" s="9">
        <v>485</v>
      </c>
      <c r="F1348" s="25">
        <v>43196</v>
      </c>
      <c r="G1348" s="70" t="s">
        <v>1010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2995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1004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2996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2997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2998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1004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2999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1004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3000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3001</v>
      </c>
      <c r="B1355" s="67">
        <v>75678772520</v>
      </c>
      <c r="C1355" s="72" t="s">
        <v>3002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3003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3004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3005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1004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3006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1004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3007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1004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3008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1004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3009</v>
      </c>
      <c r="B1362" s="67"/>
      <c r="C1362" s="18" t="s">
        <v>1117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3010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3011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3012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1004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3013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1004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3014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3015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1004</v>
      </c>
      <c r="H1368" s="9"/>
      <c r="I1368" s="8"/>
      <c r="J1368" s="8"/>
      <c r="K1368" s="8"/>
      <c r="L1368" s="9" t="s">
        <v>1158</v>
      </c>
      <c r="M1368" s="8"/>
    </row>
    <row r="1369" spans="1:13" x14ac:dyDescent="0.25">
      <c r="A1369" s="29" t="s">
        <v>3016</v>
      </c>
      <c r="B1369" s="67"/>
      <c r="C1369" s="29" t="s">
        <v>1117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3017</v>
      </c>
      <c r="B1370" s="67">
        <v>87915170520</v>
      </c>
      <c r="C1370" s="72" t="s">
        <v>3018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3019</v>
      </c>
      <c r="B1371" s="67">
        <v>30693970855</v>
      </c>
      <c r="C1371" s="72" t="s">
        <v>3020</v>
      </c>
      <c r="D1371" s="69">
        <v>6402681610</v>
      </c>
      <c r="E1371" s="9">
        <v>608</v>
      </c>
      <c r="F1371" s="25">
        <v>43012</v>
      </c>
      <c r="G1371" s="70" t="s">
        <v>1010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3021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3022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3023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3024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1004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3025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1004</v>
      </c>
      <c r="H1376" s="9"/>
      <c r="I1376" s="8"/>
      <c r="J1376" s="8"/>
      <c r="K1376" s="8"/>
      <c r="L1376" s="9" t="s">
        <v>1126</v>
      </c>
      <c r="M1376" s="8"/>
    </row>
    <row r="1377" spans="1:13" x14ac:dyDescent="0.25">
      <c r="A1377" s="71" t="s">
        <v>3026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1004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3027</v>
      </c>
      <c r="B1378" s="78" t="s">
        <v>3028</v>
      </c>
      <c r="C1378" s="72"/>
      <c r="D1378" s="69"/>
      <c r="E1378" s="9">
        <v>292</v>
      </c>
      <c r="F1378" s="25">
        <v>43168</v>
      </c>
      <c r="G1378" s="9" t="s">
        <v>1004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3029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3030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1004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3031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1004</v>
      </c>
      <c r="H1381" s="9"/>
      <c r="I1381" s="8"/>
      <c r="J1381" s="8"/>
      <c r="K1381" s="8"/>
      <c r="L1381" s="9" t="s">
        <v>1386</v>
      </c>
      <c r="M1381" s="8"/>
    </row>
    <row r="1382" spans="1:13" x14ac:dyDescent="0.25">
      <c r="A1382" s="71" t="s">
        <v>3032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3033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3034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1004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3035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1004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3036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1004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3037</v>
      </c>
      <c r="B1387" s="67">
        <v>5753509894</v>
      </c>
      <c r="C1387" s="9" t="s">
        <v>1117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3038</v>
      </c>
      <c r="B1388" s="67"/>
      <c r="C1388" s="18" t="s">
        <v>3039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3040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3041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1004</v>
      </c>
      <c r="H1390" s="9"/>
      <c r="I1390" s="8"/>
      <c r="J1390" s="8"/>
      <c r="K1390" s="8"/>
      <c r="L1390" s="9" t="s">
        <v>1126</v>
      </c>
      <c r="M1390" s="8"/>
    </row>
    <row r="1391" spans="1:13" x14ac:dyDescent="0.25">
      <c r="A1391" s="71" t="s">
        <v>3042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1004</v>
      </c>
      <c r="H1391" s="9"/>
      <c r="I1391" s="8"/>
      <c r="J1391" s="8"/>
      <c r="K1391" s="8"/>
      <c r="L1391" s="9" t="s">
        <v>1126</v>
      </c>
      <c r="M1391" s="8"/>
    </row>
    <row r="1392" spans="1:13" x14ac:dyDescent="0.25">
      <c r="A1392" s="13" t="s">
        <v>3043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1004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3044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1010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3045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3046</v>
      </c>
      <c r="B1395" s="67">
        <v>61260606449</v>
      </c>
      <c r="C1395" s="72" t="s">
        <v>3047</v>
      </c>
      <c r="D1395" s="69">
        <v>73505854468</v>
      </c>
      <c r="E1395" s="9">
        <v>608</v>
      </c>
      <c r="F1395" s="25">
        <v>43012</v>
      </c>
      <c r="G1395" s="70" t="s">
        <v>1004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3048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1004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3049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3050</v>
      </c>
      <c r="B1398" s="67">
        <v>68516274853</v>
      </c>
      <c r="C1398" s="18" t="s">
        <v>1117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3051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1004</v>
      </c>
      <c r="H1399" s="9"/>
      <c r="I1399" s="8"/>
      <c r="J1399" s="8"/>
      <c r="K1399" s="8"/>
      <c r="L1399" s="9" t="s">
        <v>1148</v>
      </c>
      <c r="M1399" s="8"/>
    </row>
    <row r="1400" spans="1:13" x14ac:dyDescent="0.25">
      <c r="A1400" s="15" t="s">
        <v>3052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1004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3053</v>
      </c>
      <c r="B1401" s="67">
        <v>85576492820</v>
      </c>
      <c r="C1401" s="72" t="s">
        <v>3054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3055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3056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1004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3057</v>
      </c>
      <c r="B1404" s="67">
        <v>27903916882</v>
      </c>
      <c r="C1404" s="32" t="s">
        <v>3058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3059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1004</v>
      </c>
      <c r="H1405" s="9"/>
      <c r="I1405" s="8"/>
      <c r="J1405" s="8"/>
      <c r="K1405" s="8"/>
      <c r="L1405" s="9" t="s">
        <v>1148</v>
      </c>
      <c r="M1405" s="8"/>
    </row>
    <row r="1406" spans="1:13" x14ac:dyDescent="0.25">
      <c r="A1406" s="71" t="s">
        <v>3060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1010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3061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1004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3062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1004</v>
      </c>
      <c r="H1408" s="9"/>
      <c r="I1408" s="8"/>
      <c r="J1408" s="8"/>
      <c r="K1408" s="8"/>
      <c r="L1408" s="9" t="s">
        <v>1126</v>
      </c>
      <c r="M1408" s="8"/>
    </row>
    <row r="1409" spans="1:13" x14ac:dyDescent="0.25">
      <c r="A1409" s="15" t="s">
        <v>3063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1004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3064</v>
      </c>
      <c r="B1410" s="67">
        <v>754731863</v>
      </c>
      <c r="C1410" s="72" t="s">
        <v>3065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3066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1004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3067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1004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3068</v>
      </c>
      <c r="B1413" s="67" t="s">
        <v>3069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3070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1004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3071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1004</v>
      </c>
      <c r="H1415" s="9"/>
      <c r="I1415" s="8"/>
      <c r="J1415" s="8"/>
      <c r="K1415" s="8"/>
      <c r="L1415" s="9" t="s">
        <v>1126</v>
      </c>
      <c r="M1415" s="8"/>
    </row>
    <row r="1416" spans="1:13" x14ac:dyDescent="0.25">
      <c r="A1416" s="71" t="s">
        <v>3072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1004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3073</v>
      </c>
      <c r="B1417" s="67">
        <v>32045988880</v>
      </c>
      <c r="C1417" s="72" t="s">
        <v>3074</v>
      </c>
      <c r="D1417" s="69">
        <v>28522432880</v>
      </c>
      <c r="E1417" s="9">
        <v>85</v>
      </c>
      <c r="F1417" s="25">
        <v>43109</v>
      </c>
      <c r="G1417" s="70" t="s">
        <v>1004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3075</v>
      </c>
      <c r="B1418" s="67">
        <v>14692639806</v>
      </c>
      <c r="C1418" s="18" t="s">
        <v>1117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3076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3077</v>
      </c>
      <c r="B1420" s="67">
        <v>25745713801</v>
      </c>
      <c r="C1420" s="29" t="s">
        <v>3078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3079</v>
      </c>
      <c r="B1421" s="67">
        <v>10373973802</v>
      </c>
      <c r="C1421" s="72" t="s">
        <v>3080</v>
      </c>
      <c r="D1421" s="69">
        <v>3613530813</v>
      </c>
      <c r="E1421" s="9">
        <v>1752</v>
      </c>
      <c r="F1421" s="25">
        <v>43051</v>
      </c>
      <c r="G1421" s="70" t="s">
        <v>1004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3081</v>
      </c>
      <c r="B1422" s="67">
        <v>25397304859</v>
      </c>
      <c r="C1422" s="29" t="s">
        <v>3082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3083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3084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1004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3085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3086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3087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1004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3088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1004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3089</v>
      </c>
      <c r="B1429" s="67">
        <v>31115215833</v>
      </c>
      <c r="C1429" s="72" t="s">
        <v>3090</v>
      </c>
      <c r="D1429" s="69">
        <v>54134781515</v>
      </c>
      <c r="E1429" s="9">
        <v>608</v>
      </c>
      <c r="F1429" s="25">
        <v>43012</v>
      </c>
      <c r="G1429" s="70" t="s">
        <v>1004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3091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1004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3092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1004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3093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1004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3094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1004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3095</v>
      </c>
      <c r="B1434" s="67">
        <v>35198444863</v>
      </c>
      <c r="C1434" s="72" t="s">
        <v>3096</v>
      </c>
      <c r="D1434" s="69">
        <v>30956969810</v>
      </c>
      <c r="E1434" s="9">
        <v>1489</v>
      </c>
      <c r="F1434" s="25">
        <v>43038</v>
      </c>
      <c r="G1434" s="70" t="s">
        <v>1004</v>
      </c>
      <c r="H1434" s="9"/>
      <c r="I1434" s="8"/>
      <c r="J1434" s="8"/>
      <c r="K1434" s="8"/>
      <c r="L1434" s="9" t="s">
        <v>1148</v>
      </c>
      <c r="M1434" s="8"/>
    </row>
    <row r="1435" spans="1:13" x14ac:dyDescent="0.25">
      <c r="A1435" s="72" t="s">
        <v>3097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3098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1004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3099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1004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3100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1004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3101</v>
      </c>
      <c r="B1439" s="67">
        <v>1930099517</v>
      </c>
      <c r="C1439" s="68" t="s">
        <v>3102</v>
      </c>
      <c r="D1439" s="69">
        <v>91788226534</v>
      </c>
      <c r="E1439" s="9">
        <v>1752</v>
      </c>
      <c r="F1439" s="25">
        <v>43051</v>
      </c>
      <c r="G1439" s="70" t="s">
        <v>1004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3103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3104</v>
      </c>
      <c r="B1441" s="67">
        <v>31068143819</v>
      </c>
      <c r="C1441" s="72" t="s">
        <v>3105</v>
      </c>
      <c r="D1441" s="69">
        <v>27121002809</v>
      </c>
      <c r="E1441" s="9">
        <v>608</v>
      </c>
      <c r="F1441" s="25">
        <v>43012</v>
      </c>
      <c r="G1441" s="70" t="s">
        <v>1010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3106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1004</v>
      </c>
      <c r="H1442" s="9"/>
      <c r="I1442" s="8"/>
      <c r="J1442" s="8"/>
      <c r="K1442" s="8"/>
      <c r="L1442" s="9" t="s">
        <v>1490</v>
      </c>
      <c r="M1442" s="8"/>
    </row>
    <row r="1443" spans="1:13" x14ac:dyDescent="0.25">
      <c r="A1443" s="15" t="s">
        <v>3107</v>
      </c>
      <c r="B1443" s="67">
        <v>33100600800</v>
      </c>
      <c r="C1443" s="72" t="s">
        <v>3108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3109</v>
      </c>
      <c r="B1444" s="67">
        <v>23284980865</v>
      </c>
      <c r="C1444" s="72" t="s">
        <v>3110</v>
      </c>
      <c r="D1444" s="69">
        <v>8170993792</v>
      </c>
      <c r="E1444" s="9">
        <v>1214</v>
      </c>
      <c r="F1444" s="25">
        <v>42989</v>
      </c>
      <c r="G1444" s="70" t="s">
        <v>1004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3111</v>
      </c>
      <c r="B1445" s="67">
        <v>27235231874</v>
      </c>
      <c r="C1445" s="72" t="s">
        <v>3112</v>
      </c>
      <c r="D1445" s="69">
        <v>36182133520</v>
      </c>
      <c r="E1445" s="9">
        <v>1106</v>
      </c>
      <c r="F1445" s="25">
        <v>42965</v>
      </c>
      <c r="G1445" s="70" t="s">
        <v>1004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3113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3114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1004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3115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3116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3117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3118</v>
      </c>
      <c r="B1451" s="67">
        <v>774242809</v>
      </c>
      <c r="C1451" s="72" t="s">
        <v>3119</v>
      </c>
      <c r="D1451" s="69">
        <v>16619607829</v>
      </c>
      <c r="E1451" s="9">
        <v>1824</v>
      </c>
      <c r="F1451" s="25">
        <v>43091</v>
      </c>
      <c r="G1451" s="70" t="s">
        <v>1004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3120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1004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3121</v>
      </c>
      <c r="B1453" s="67">
        <v>34817829850</v>
      </c>
      <c r="C1453" s="72" t="s">
        <v>3122</v>
      </c>
      <c r="D1453" s="69">
        <v>8025534863</v>
      </c>
      <c r="E1453" s="9">
        <v>1241</v>
      </c>
      <c r="F1453" s="25">
        <v>42992</v>
      </c>
      <c r="G1453" s="70" t="s">
        <v>1018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3123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3124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1004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3125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1004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3126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1287</v>
      </c>
      <c r="M1457" s="8"/>
    </row>
    <row r="1458" spans="1:13" x14ac:dyDescent="0.25">
      <c r="A1458" s="14" t="s">
        <v>3127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1004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3128</v>
      </c>
      <c r="B1459" s="67">
        <v>32547457873</v>
      </c>
      <c r="C1459" s="72" t="s">
        <v>3129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3130</v>
      </c>
      <c r="B1460" s="67">
        <v>16784597800</v>
      </c>
      <c r="C1460" s="72" t="s">
        <v>3131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2178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3132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1004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3133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3134</v>
      </c>
      <c r="B1464" s="67">
        <v>2467378403</v>
      </c>
      <c r="C1464" s="72" t="s">
        <v>3135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3136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3137</v>
      </c>
      <c r="B1466" s="67">
        <v>34247512862</v>
      </c>
      <c r="C1466" s="77" t="s">
        <v>3138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1287</v>
      </c>
      <c r="M1466" s="8"/>
    </row>
    <row r="1467" spans="1:13" x14ac:dyDescent="0.25">
      <c r="A1467" s="71" t="s">
        <v>3139</v>
      </c>
      <c r="B1467" s="67" t="s">
        <v>3140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3141</v>
      </c>
      <c r="B1468" s="67">
        <v>47168211889</v>
      </c>
      <c r="C1468" s="72" t="s">
        <v>3142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3143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1004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3144</v>
      </c>
      <c r="B1470" s="67">
        <v>1532239521</v>
      </c>
      <c r="C1470" s="72" t="s">
        <v>3145</v>
      </c>
      <c r="D1470" s="69">
        <v>37104060804</v>
      </c>
      <c r="E1470" s="9">
        <v>810</v>
      </c>
      <c r="F1470" s="25">
        <v>42915</v>
      </c>
      <c r="G1470" s="70" t="s">
        <v>1004</v>
      </c>
      <c r="H1470" s="9"/>
      <c r="I1470" s="8"/>
      <c r="J1470" s="8"/>
      <c r="K1470" s="8"/>
      <c r="L1470" s="9" t="s">
        <v>1126</v>
      </c>
      <c r="M1470" s="8"/>
    </row>
    <row r="1471" spans="1:13" x14ac:dyDescent="0.25">
      <c r="A1471" s="15" t="s">
        <v>3146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1004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3147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1004</v>
      </c>
      <c r="H1472" s="9"/>
      <c r="I1472" s="8"/>
      <c r="J1472" s="8"/>
      <c r="K1472" s="8"/>
      <c r="L1472" s="9" t="s">
        <v>1126</v>
      </c>
      <c r="M1472" s="8"/>
    </row>
    <row r="1473" spans="1:13" x14ac:dyDescent="0.25">
      <c r="A1473" s="71" t="s">
        <v>3148</v>
      </c>
      <c r="B1473" s="67">
        <v>37117512881</v>
      </c>
      <c r="C1473" s="75" t="s">
        <v>3149</v>
      </c>
      <c r="D1473" s="69">
        <v>39740259871</v>
      </c>
      <c r="E1473" s="9">
        <v>1106</v>
      </c>
      <c r="F1473" s="25">
        <v>42965</v>
      </c>
      <c r="G1473" s="70" t="s">
        <v>1004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3150</v>
      </c>
      <c r="B1474" s="67">
        <v>39967942827</v>
      </c>
      <c r="C1474" s="72" t="s">
        <v>3151</v>
      </c>
      <c r="D1474" s="69">
        <v>32777947848</v>
      </c>
      <c r="E1474" s="9">
        <v>1267</v>
      </c>
      <c r="F1474" s="25">
        <v>42998</v>
      </c>
      <c r="G1474" s="70" t="s">
        <v>1004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3152</v>
      </c>
      <c r="B1475" s="67">
        <v>18464307802</v>
      </c>
      <c r="C1475" s="72" t="s">
        <v>3153</v>
      </c>
      <c r="D1475" s="69">
        <v>13642437842</v>
      </c>
      <c r="E1475" s="9">
        <v>608</v>
      </c>
      <c r="F1475" s="25">
        <v>43012</v>
      </c>
      <c r="G1475" s="70" t="s">
        <v>1010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3154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1004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3155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1004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3156</v>
      </c>
      <c r="B1478" s="67">
        <v>91413168515</v>
      </c>
      <c r="C1478" s="72" t="s">
        <v>3157</v>
      </c>
      <c r="D1478" s="69">
        <v>12713438861</v>
      </c>
      <c r="E1478" s="9">
        <v>810</v>
      </c>
      <c r="F1478" s="25">
        <v>42915</v>
      </c>
      <c r="G1478" s="70" t="s">
        <v>1004</v>
      </c>
      <c r="H1478" s="9"/>
      <c r="I1478" s="8"/>
      <c r="J1478" s="8"/>
      <c r="K1478" s="8"/>
      <c r="L1478" s="9" t="s">
        <v>1126</v>
      </c>
      <c r="M1478" s="8"/>
    </row>
    <row r="1479" spans="1:13" x14ac:dyDescent="0.25">
      <c r="A1479" s="72" t="s">
        <v>3158</v>
      </c>
      <c r="B1479" s="67">
        <v>13554461806</v>
      </c>
      <c r="C1479" s="72" t="s">
        <v>3159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3160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1004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3161</v>
      </c>
      <c r="B1481" s="67">
        <v>23473313882</v>
      </c>
      <c r="C1481" s="72" t="s">
        <v>3162</v>
      </c>
      <c r="D1481" s="69">
        <v>51042797404</v>
      </c>
      <c r="E1481" s="9">
        <v>485</v>
      </c>
      <c r="F1481" s="25">
        <v>43196</v>
      </c>
      <c r="G1481" s="70" t="s">
        <v>1010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3163</v>
      </c>
      <c r="B1482" s="67">
        <v>7753877895</v>
      </c>
      <c r="C1482" s="68" t="s">
        <v>3164</v>
      </c>
      <c r="D1482" s="69">
        <v>66725372872</v>
      </c>
      <c r="E1482" s="9">
        <v>1214</v>
      </c>
      <c r="F1482" s="25">
        <v>42989</v>
      </c>
      <c r="G1482" s="70" t="s">
        <v>1004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3165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3166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1004</v>
      </c>
      <c r="H1484" s="9"/>
      <c r="I1484" s="8"/>
      <c r="J1484" s="8"/>
      <c r="K1484" s="8"/>
      <c r="L1484" s="9" t="s">
        <v>1126</v>
      </c>
      <c r="M1484" s="8"/>
    </row>
    <row r="1485" spans="1:13" x14ac:dyDescent="0.25">
      <c r="A1485" s="71" t="s">
        <v>3167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1004</v>
      </c>
      <c r="H1485" s="9"/>
      <c r="I1485" s="8"/>
      <c r="J1485" s="8"/>
      <c r="K1485" s="8"/>
      <c r="L1485" s="9" t="s">
        <v>1126</v>
      </c>
      <c r="M1485" s="8"/>
    </row>
    <row r="1486" spans="1:13" x14ac:dyDescent="0.25">
      <c r="A1486" s="13" t="s">
        <v>3168</v>
      </c>
      <c r="B1486" s="67">
        <v>40779583850</v>
      </c>
      <c r="C1486" s="68" t="s">
        <v>3169</v>
      </c>
      <c r="D1486" s="69">
        <v>36411481890</v>
      </c>
      <c r="E1486" s="9">
        <v>1343</v>
      </c>
      <c r="F1486" s="25">
        <v>43004</v>
      </c>
      <c r="G1486" s="70" t="s">
        <v>1004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3170</v>
      </c>
      <c r="B1487" s="67"/>
      <c r="C1487" s="29" t="s">
        <v>1117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3171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3172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1004</v>
      </c>
      <c r="H1489" s="9"/>
      <c r="I1489" s="8"/>
      <c r="J1489" s="8"/>
      <c r="K1489" s="8"/>
      <c r="L1489" s="9" t="s">
        <v>1126</v>
      </c>
      <c r="M1489" s="8"/>
    </row>
    <row r="1490" spans="1:13" x14ac:dyDescent="0.25">
      <c r="A1490" s="15" t="s">
        <v>3173</v>
      </c>
      <c r="B1490" s="67">
        <v>45854900866</v>
      </c>
      <c r="C1490" s="72" t="s">
        <v>3174</v>
      </c>
      <c r="D1490" s="69">
        <v>23474048813</v>
      </c>
      <c r="E1490" s="9">
        <v>229</v>
      </c>
      <c r="F1490" s="25">
        <v>43151</v>
      </c>
      <c r="G1490" s="70" t="s">
        <v>1004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3175</v>
      </c>
      <c r="B1491" s="67">
        <v>40870285858</v>
      </c>
      <c r="C1491" s="72" t="s">
        <v>3176</v>
      </c>
      <c r="D1491" s="69">
        <v>39638342854</v>
      </c>
      <c r="E1491" s="9">
        <v>229</v>
      </c>
      <c r="F1491" s="25">
        <v>43151</v>
      </c>
      <c r="G1491" s="70" t="s">
        <v>1018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3177</v>
      </c>
      <c r="B1492" s="67">
        <v>43053164809</v>
      </c>
      <c r="C1492" s="71" t="s">
        <v>3178</v>
      </c>
      <c r="D1492" s="69">
        <v>35649973857</v>
      </c>
      <c r="E1492" s="9">
        <v>292</v>
      </c>
      <c r="F1492" s="25">
        <v>43168</v>
      </c>
      <c r="G1492" s="70" t="s">
        <v>1010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3179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3180</v>
      </c>
      <c r="B1494" s="67">
        <v>34727823829</v>
      </c>
      <c r="C1494" s="72" t="s">
        <v>3181</v>
      </c>
      <c r="D1494" s="69">
        <v>33790197807</v>
      </c>
      <c r="E1494" s="9">
        <v>262</v>
      </c>
      <c r="F1494" s="25">
        <v>43160</v>
      </c>
      <c r="G1494" s="70" t="s">
        <v>1010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3182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3183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1004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3184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3185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1004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3186</v>
      </c>
      <c r="B1499" s="67">
        <v>13576812830</v>
      </c>
      <c r="C1499" s="72" t="s">
        <v>3187</v>
      </c>
      <c r="D1499" s="69">
        <v>1075554845</v>
      </c>
      <c r="E1499" s="9">
        <v>1489</v>
      </c>
      <c r="F1499" s="25">
        <v>43038</v>
      </c>
      <c r="G1499" s="70" t="s">
        <v>1004</v>
      </c>
      <c r="H1499" s="9"/>
      <c r="I1499" s="8"/>
      <c r="J1499" s="8"/>
      <c r="K1499" s="8"/>
      <c r="L1499" s="9" t="s">
        <v>1148</v>
      </c>
      <c r="M1499" s="8"/>
    </row>
    <row r="1500" spans="1:13" x14ac:dyDescent="0.25">
      <c r="A1500" s="71" t="s">
        <v>3188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3189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3190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1004</v>
      </c>
      <c r="H1502" s="9"/>
      <c r="I1502" s="8"/>
      <c r="J1502" s="8"/>
      <c r="K1502" s="8"/>
      <c r="L1502" s="9" t="s">
        <v>1126</v>
      </c>
      <c r="M1502" s="8"/>
    </row>
    <row r="1503" spans="1:13" x14ac:dyDescent="0.25">
      <c r="A1503" s="71" t="s">
        <v>3191</v>
      </c>
      <c r="B1503" s="67">
        <v>42490041800</v>
      </c>
      <c r="C1503" s="71" t="s">
        <v>3192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3193</v>
      </c>
      <c r="B1504" s="67">
        <v>37150144829</v>
      </c>
      <c r="C1504" s="72" t="s">
        <v>3194</v>
      </c>
      <c r="D1504" s="69">
        <v>33420633866</v>
      </c>
      <c r="E1504" s="9">
        <v>1417</v>
      </c>
      <c r="F1504" s="25">
        <v>43017</v>
      </c>
      <c r="G1504" s="70" t="s">
        <v>1018</v>
      </c>
      <c r="H1504" s="9"/>
      <c r="I1504" s="8"/>
      <c r="J1504" s="8"/>
      <c r="K1504" s="8"/>
      <c r="L1504" s="9" t="s">
        <v>1241</v>
      </c>
      <c r="M1504" s="8"/>
    </row>
    <row r="1505" spans="1:13" x14ac:dyDescent="0.25">
      <c r="A1505" s="71" t="s">
        <v>3195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3196</v>
      </c>
      <c r="B1506" s="67">
        <v>95482300544</v>
      </c>
      <c r="C1506" s="72" t="s">
        <v>3197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3198</v>
      </c>
      <c r="B1507" s="67">
        <v>3915987590</v>
      </c>
      <c r="C1507" s="72" t="s">
        <v>3199</v>
      </c>
      <c r="D1507" s="69">
        <v>1733607501</v>
      </c>
      <c r="E1507" s="9">
        <v>85</v>
      </c>
      <c r="F1507" s="25">
        <v>43109</v>
      </c>
      <c r="G1507" s="70" t="s">
        <v>1004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3200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1004</v>
      </c>
      <c r="H1508" s="9"/>
      <c r="I1508" s="8"/>
      <c r="J1508" s="8"/>
      <c r="K1508" s="8"/>
      <c r="L1508" s="9" t="s">
        <v>1490</v>
      </c>
      <c r="M1508" s="8"/>
    </row>
    <row r="1509" spans="1:13" x14ac:dyDescent="0.25">
      <c r="A1509" s="71" t="s">
        <v>3201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1004</v>
      </c>
      <c r="H1509" s="9"/>
      <c r="I1509" s="8"/>
      <c r="J1509" s="8"/>
      <c r="K1509" s="8"/>
      <c r="L1509" s="9" t="s">
        <v>1158</v>
      </c>
      <c r="M1509" s="8"/>
    </row>
    <row r="1510" spans="1:13" x14ac:dyDescent="0.25">
      <c r="A1510" s="29" t="s">
        <v>3202</v>
      </c>
      <c r="B1510" s="67"/>
      <c r="C1510" s="18" t="s">
        <v>1117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3203</v>
      </c>
      <c r="B1511" s="80">
        <v>39490354864</v>
      </c>
      <c r="C1511" s="81" t="s">
        <v>3204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3205</v>
      </c>
      <c r="B1512" s="67">
        <v>36190827829</v>
      </c>
      <c r="C1512" s="72" t="s">
        <v>3206</v>
      </c>
      <c r="D1512" s="69">
        <v>6501914809</v>
      </c>
      <c r="E1512" s="9">
        <v>1489</v>
      </c>
      <c r="F1512" s="25">
        <v>43038</v>
      </c>
      <c r="G1512" s="70" t="s">
        <v>1004</v>
      </c>
      <c r="H1512" s="9"/>
      <c r="I1512" s="8"/>
      <c r="J1512" s="8"/>
      <c r="K1512" s="8"/>
      <c r="L1512" s="9" t="s">
        <v>1148</v>
      </c>
      <c r="M1512" s="8"/>
    </row>
    <row r="1513" spans="1:13" x14ac:dyDescent="0.25">
      <c r="A1513" s="71" t="s">
        <v>3207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1004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3208</v>
      </c>
      <c r="B1514" s="67">
        <v>37978221890</v>
      </c>
      <c r="C1514" s="15" t="s">
        <v>3209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3210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1287</v>
      </c>
      <c r="M1515" s="8"/>
    </row>
    <row r="1516" spans="1:13" x14ac:dyDescent="0.25">
      <c r="A1516" s="71" t="s">
        <v>3211</v>
      </c>
      <c r="B1516" s="67">
        <v>23341671854</v>
      </c>
      <c r="C1516" s="72" t="s">
        <v>3212</v>
      </c>
      <c r="D1516" s="69">
        <v>34413431820</v>
      </c>
      <c r="E1516" s="9">
        <v>810</v>
      </c>
      <c r="F1516" s="25">
        <v>42915</v>
      </c>
      <c r="G1516" s="83" t="s">
        <v>1004</v>
      </c>
      <c r="H1516" s="9"/>
      <c r="I1516" s="8"/>
      <c r="J1516" s="8"/>
      <c r="K1516" s="8"/>
      <c r="L1516" s="9" t="s">
        <v>1126</v>
      </c>
      <c r="M1516" s="8"/>
    </row>
    <row r="1517" spans="1:13" x14ac:dyDescent="0.25">
      <c r="A1517" s="71" t="s">
        <v>3213</v>
      </c>
      <c r="B1517" s="67">
        <v>35934079816</v>
      </c>
      <c r="C1517" s="72" t="s">
        <v>3214</v>
      </c>
      <c r="D1517" s="69">
        <v>2511538512</v>
      </c>
      <c r="E1517" s="9">
        <v>262</v>
      </c>
      <c r="F1517" s="25">
        <v>43160</v>
      </c>
      <c r="G1517" s="70" t="s">
        <v>1004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3215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1004</v>
      </c>
      <c r="H1518" s="9"/>
      <c r="I1518" s="8"/>
      <c r="J1518" s="8"/>
      <c r="K1518" s="8"/>
      <c r="L1518" s="9" t="s">
        <v>1158</v>
      </c>
      <c r="M1518" s="8"/>
    </row>
    <row r="1519" spans="1:13" x14ac:dyDescent="0.25">
      <c r="A1519" s="71" t="s">
        <v>3216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1004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3217</v>
      </c>
      <c r="B1520" s="67">
        <v>37395316819</v>
      </c>
      <c r="C1520" s="72" t="s">
        <v>3218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3219</v>
      </c>
      <c r="B1521" s="80">
        <v>47168651854</v>
      </c>
      <c r="C1521" s="50" t="s">
        <v>3220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3221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3222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1004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3223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1004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3224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3225</v>
      </c>
      <c r="B1526" s="67">
        <v>36776791848</v>
      </c>
      <c r="C1526" s="72" t="s">
        <v>3226</v>
      </c>
      <c r="D1526" s="69">
        <v>23340578869</v>
      </c>
      <c r="E1526" s="9">
        <v>608</v>
      </c>
      <c r="F1526" s="25">
        <v>43012</v>
      </c>
      <c r="G1526" s="70" t="s">
        <v>1004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3227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3228</v>
      </c>
      <c r="B1528" s="67">
        <v>32561817830</v>
      </c>
      <c r="C1528" s="72" t="s">
        <v>3229</v>
      </c>
      <c r="D1528" s="69">
        <v>30328335827</v>
      </c>
      <c r="E1528" s="9">
        <v>1824</v>
      </c>
      <c r="F1528" s="25">
        <v>43091</v>
      </c>
      <c r="G1528" s="70" t="s">
        <v>1010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3230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1004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3231</v>
      </c>
      <c r="B1530" s="67">
        <v>36044847829</v>
      </c>
      <c r="C1530" s="72" t="s">
        <v>3232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3233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3234</v>
      </c>
      <c r="B1532" s="67">
        <v>35070422820</v>
      </c>
      <c r="C1532" s="72" t="s">
        <v>3235</v>
      </c>
      <c r="D1532" s="69">
        <v>24871235831</v>
      </c>
      <c r="E1532" s="9">
        <v>292</v>
      </c>
      <c r="F1532" s="25">
        <v>43168</v>
      </c>
      <c r="G1532" s="70" t="s">
        <v>1004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3236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1287</v>
      </c>
      <c r="M1533" s="8"/>
    </row>
    <row r="1534" spans="1:13" x14ac:dyDescent="0.25">
      <c r="A1534" s="15" t="s">
        <v>3237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3238</v>
      </c>
      <c r="B1535" s="67"/>
      <c r="C1535" s="29" t="s">
        <v>3239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3240</v>
      </c>
      <c r="B1536" s="67">
        <v>47240915840</v>
      </c>
      <c r="C1536" s="72"/>
      <c r="D1536" s="69"/>
      <c r="E1536" s="9"/>
      <c r="F1536" s="25"/>
      <c r="G1536" s="70" t="s">
        <v>1004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3241</v>
      </c>
      <c r="B1537" s="67"/>
      <c r="C1537" s="18" t="s">
        <v>1117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3242</v>
      </c>
      <c r="B1538" s="67">
        <v>42424051895</v>
      </c>
      <c r="C1538" s="72" t="s">
        <v>3243</v>
      </c>
      <c r="D1538" s="69">
        <v>34920392869</v>
      </c>
      <c r="E1538" s="9">
        <v>1214</v>
      </c>
      <c r="F1538" s="25">
        <v>42989</v>
      </c>
      <c r="G1538" s="70" t="s">
        <v>1004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3244</v>
      </c>
      <c r="B1539" s="67">
        <v>45298965873</v>
      </c>
      <c r="C1539" s="18" t="s">
        <v>1117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3245</v>
      </c>
      <c r="B1540" s="67">
        <v>48176009857</v>
      </c>
      <c r="C1540" s="18" t="s">
        <v>1117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3246</v>
      </c>
      <c r="B1541" s="67">
        <v>32645353860</v>
      </c>
      <c r="C1541" s="71" t="s">
        <v>3247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3248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1004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3249</v>
      </c>
      <c r="B1543" s="67">
        <v>34899686897</v>
      </c>
      <c r="C1543" s="72" t="s">
        <v>3250</v>
      </c>
      <c r="D1543" s="69">
        <v>34782852835</v>
      </c>
      <c r="E1543" s="9">
        <v>810</v>
      </c>
      <c r="F1543" s="25">
        <v>42915</v>
      </c>
      <c r="G1543" s="70" t="s">
        <v>1004</v>
      </c>
      <c r="H1543" s="76">
        <v>43213</v>
      </c>
      <c r="I1543" s="8"/>
      <c r="J1543" s="8"/>
      <c r="K1543" s="8"/>
      <c r="L1543" s="9" t="s">
        <v>1126</v>
      </c>
      <c r="M1543" s="8"/>
    </row>
    <row r="1544" spans="1:13" x14ac:dyDescent="0.25">
      <c r="A1544" s="71" t="s">
        <v>3251</v>
      </c>
      <c r="B1544" s="67">
        <v>39778910812</v>
      </c>
      <c r="C1544" s="68" t="s">
        <v>3252</v>
      </c>
      <c r="D1544" s="69">
        <v>34703237806</v>
      </c>
      <c r="E1544" s="9">
        <v>1128</v>
      </c>
      <c r="F1544" s="25">
        <v>42972</v>
      </c>
      <c r="G1544" s="70" t="s">
        <v>1004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3253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1287</v>
      </c>
      <c r="M1545" s="8"/>
    </row>
    <row r="1546" spans="1:13" x14ac:dyDescent="0.25">
      <c r="A1546" s="72" t="s">
        <v>3254</v>
      </c>
      <c r="B1546" s="67">
        <v>22429349884</v>
      </c>
      <c r="C1546" s="72" t="s">
        <v>3255</v>
      </c>
      <c r="D1546" s="69">
        <v>32307277897</v>
      </c>
      <c r="E1546" s="9">
        <v>1417</v>
      </c>
      <c r="F1546" s="25">
        <v>43017</v>
      </c>
      <c r="G1546" s="70" t="s">
        <v>1004</v>
      </c>
      <c r="H1546" s="9"/>
      <c r="I1546" s="8"/>
      <c r="J1546" s="8"/>
      <c r="K1546" s="8"/>
      <c r="L1546" s="9" t="s">
        <v>1241</v>
      </c>
      <c r="M1546" s="8"/>
    </row>
    <row r="1547" spans="1:13" x14ac:dyDescent="0.25">
      <c r="A1547" s="13" t="s">
        <v>3256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1004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3257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1287</v>
      </c>
      <c r="M1548" s="8"/>
    </row>
    <row r="1549" spans="1:13" x14ac:dyDescent="0.25">
      <c r="A1549" s="15" t="s">
        <v>3258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1004</v>
      </c>
      <c r="H1549" s="9"/>
      <c r="I1549" s="8"/>
      <c r="J1549" s="8"/>
      <c r="K1549" s="8"/>
      <c r="L1549" s="9" t="s">
        <v>1158</v>
      </c>
      <c r="M1549" s="8"/>
    </row>
    <row r="1550" spans="1:13" x14ac:dyDescent="0.25">
      <c r="A1550" s="15" t="s">
        <v>3259</v>
      </c>
      <c r="B1550" s="67">
        <v>7081215432</v>
      </c>
      <c r="C1550" s="15" t="s">
        <v>3260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1287</v>
      </c>
      <c r="M1550" s="8"/>
    </row>
    <row r="1551" spans="1:13" x14ac:dyDescent="0.25">
      <c r="A1551" s="71" t="s">
        <v>3261</v>
      </c>
      <c r="B1551" s="67">
        <v>37104895809</v>
      </c>
      <c r="C1551" s="72" t="s">
        <v>3262</v>
      </c>
      <c r="D1551" s="69">
        <v>34256763856</v>
      </c>
      <c r="E1551" s="9">
        <v>1752</v>
      </c>
      <c r="F1551" s="25">
        <v>43051</v>
      </c>
      <c r="G1551" s="70" t="s">
        <v>1018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3263</v>
      </c>
      <c r="B1552" s="67"/>
      <c r="C1552" s="29" t="s">
        <v>1117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3264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1287</v>
      </c>
      <c r="M1553" s="8"/>
    </row>
    <row r="1554" spans="1:13" x14ac:dyDescent="0.25">
      <c r="A1554" s="14" t="s">
        <v>3265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1004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3266</v>
      </c>
      <c r="B1555" s="67">
        <v>45862437835</v>
      </c>
      <c r="C1555" s="72" t="s">
        <v>3267</v>
      </c>
      <c r="D1555" s="69">
        <v>2301226280</v>
      </c>
      <c r="E1555" s="9">
        <v>1752</v>
      </c>
      <c r="F1555" s="25">
        <v>43051</v>
      </c>
      <c r="G1555" s="70" t="s">
        <v>1004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3268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1004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3269</v>
      </c>
      <c r="B1557" s="67"/>
      <c r="C1557" s="29" t="s">
        <v>3270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3271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3272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1287</v>
      </c>
      <c r="M1559" s="8"/>
    </row>
    <row r="1560" spans="1:13" x14ac:dyDescent="0.25">
      <c r="A1560" s="71" t="s">
        <v>3273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1004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3274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1004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3275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1004</v>
      </c>
      <c r="H1562" s="9"/>
      <c r="I1562" s="8"/>
      <c r="J1562" s="8"/>
      <c r="K1562" s="8"/>
      <c r="L1562" s="9" t="s">
        <v>1126</v>
      </c>
      <c r="M1562" s="8"/>
    </row>
    <row r="1563" spans="1:13" x14ac:dyDescent="0.25">
      <c r="A1563" s="15" t="s">
        <v>3276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1004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3277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1004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3278</v>
      </c>
      <c r="B1565" s="67">
        <v>33390811826</v>
      </c>
      <c r="C1565" s="72" t="s">
        <v>3279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3280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1004</v>
      </c>
      <c r="H1566" s="9"/>
      <c r="I1566" s="8"/>
      <c r="J1566" s="8"/>
      <c r="K1566" s="8"/>
      <c r="L1566" s="9" t="s">
        <v>1241</v>
      </c>
      <c r="M1566" s="8"/>
    </row>
    <row r="1567" spans="1:13" x14ac:dyDescent="0.25">
      <c r="A1567" s="29" t="s">
        <v>3281</v>
      </c>
      <c r="B1567" s="67">
        <v>22173656813</v>
      </c>
      <c r="C1567" s="18" t="s">
        <v>1117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3282</v>
      </c>
      <c r="B1568" s="67">
        <v>30690514808</v>
      </c>
      <c r="C1568" s="72" t="s">
        <v>3283</v>
      </c>
      <c r="D1568" s="69">
        <v>22622085818</v>
      </c>
      <c r="E1568" s="9">
        <v>423</v>
      </c>
      <c r="F1568" s="25">
        <v>43182</v>
      </c>
      <c r="G1568" s="9" t="s">
        <v>1004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3284</v>
      </c>
      <c r="B1569" s="67">
        <v>43901748865</v>
      </c>
      <c r="C1569" s="72" t="s">
        <v>3285</v>
      </c>
      <c r="D1569" s="69">
        <v>34818027812</v>
      </c>
      <c r="E1569" s="9">
        <v>1824</v>
      </c>
      <c r="F1569" s="25">
        <v>43091</v>
      </c>
      <c r="G1569" s="70" t="s">
        <v>1004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3286</v>
      </c>
      <c r="B1570" s="67"/>
      <c r="C1570" s="18" t="s">
        <v>1117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3287</v>
      </c>
      <c r="B1571" s="67">
        <v>5212444390</v>
      </c>
      <c r="C1571" s="15" t="s">
        <v>3288</v>
      </c>
      <c r="D1571" s="69">
        <v>2231738350</v>
      </c>
      <c r="E1571" s="9">
        <v>292</v>
      </c>
      <c r="F1571" s="25">
        <v>43168</v>
      </c>
      <c r="G1571" s="70" t="s">
        <v>1004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3289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3290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1004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3291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3292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1004</v>
      </c>
      <c r="H1575" s="9"/>
      <c r="I1575" s="8"/>
      <c r="J1575" s="8"/>
      <c r="K1575" s="8"/>
      <c r="L1575" s="9" t="s">
        <v>1126</v>
      </c>
      <c r="M1575" s="8"/>
    </row>
    <row r="1576" spans="1:13" x14ac:dyDescent="0.25">
      <c r="A1576" s="71" t="s">
        <v>3293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1004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3294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3295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3296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3297</v>
      </c>
      <c r="B1580" s="67">
        <v>88436144520</v>
      </c>
      <c r="C1580" s="29" t="s">
        <v>1117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3298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3299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1004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3300</v>
      </c>
      <c r="B1583" s="67">
        <v>4967493580</v>
      </c>
      <c r="C1583" s="15" t="s">
        <v>3301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3302</v>
      </c>
      <c r="B1584" s="67">
        <v>28043649847</v>
      </c>
      <c r="C1584" s="72" t="s">
        <v>3303</v>
      </c>
      <c r="D1584" s="69">
        <v>37064432870</v>
      </c>
      <c r="E1584" s="9">
        <v>117</v>
      </c>
      <c r="F1584" s="25">
        <v>43117</v>
      </c>
      <c r="G1584" s="70" t="s">
        <v>1004</v>
      </c>
      <c r="H1584" s="9"/>
      <c r="I1584" s="8"/>
      <c r="J1584" s="8"/>
      <c r="K1584" s="8"/>
      <c r="L1584" s="9" t="s">
        <v>1158</v>
      </c>
      <c r="M1584" s="8"/>
    </row>
    <row r="1585" spans="1:13" x14ac:dyDescent="0.25">
      <c r="A1585" s="71" t="s">
        <v>3304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1004</v>
      </c>
      <c r="H1585" s="9"/>
      <c r="I1585" s="8"/>
      <c r="J1585" s="8"/>
      <c r="K1585" s="8"/>
      <c r="L1585" s="9" t="s">
        <v>1126</v>
      </c>
      <c r="M1585" s="8"/>
    </row>
    <row r="1586" spans="1:13" x14ac:dyDescent="0.25">
      <c r="A1586" s="73" t="s">
        <v>3305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1004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3306</v>
      </c>
      <c r="B1587" s="67">
        <v>45671290325</v>
      </c>
      <c r="C1587" s="72" t="s">
        <v>3307</v>
      </c>
      <c r="D1587" s="69">
        <v>13019071895</v>
      </c>
      <c r="E1587" s="9">
        <v>117</v>
      </c>
      <c r="F1587" s="25">
        <v>43117</v>
      </c>
      <c r="G1587" s="70" t="s">
        <v>1018</v>
      </c>
      <c r="H1587" s="9"/>
      <c r="I1587" s="8"/>
      <c r="J1587" s="8"/>
      <c r="K1587" s="8"/>
      <c r="L1587" s="9" t="s">
        <v>1158</v>
      </c>
      <c r="M1587" s="8"/>
    </row>
    <row r="1588" spans="1:13" x14ac:dyDescent="0.25">
      <c r="A1588" s="13" t="s">
        <v>3308</v>
      </c>
      <c r="B1588" s="67">
        <v>7677424864</v>
      </c>
      <c r="C1588" s="72" t="s">
        <v>3309</v>
      </c>
      <c r="D1588" s="69">
        <v>6128186831</v>
      </c>
      <c r="E1588" s="9">
        <v>1570</v>
      </c>
      <c r="F1588" s="25">
        <v>43077</v>
      </c>
      <c r="G1588" s="70" t="s">
        <v>1004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3310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3311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1004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3312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1004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3313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3314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1004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3315</v>
      </c>
      <c r="B1594" s="67"/>
      <c r="C1594" s="29" t="s">
        <v>1117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3316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1004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3317</v>
      </c>
      <c r="B1596" s="67">
        <v>47555303850</v>
      </c>
      <c r="C1596" s="18" t="s">
        <v>1117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3318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1004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3319</v>
      </c>
      <c r="B1598" s="67">
        <v>25966733805</v>
      </c>
      <c r="C1598" s="72" t="s">
        <v>3320</v>
      </c>
      <c r="D1598" s="69">
        <v>19681706854</v>
      </c>
      <c r="E1598" s="9">
        <v>1752</v>
      </c>
      <c r="F1598" s="25">
        <v>43051</v>
      </c>
      <c r="G1598" s="70" t="s">
        <v>1010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3321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1004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3322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1004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3323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3324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1004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3325</v>
      </c>
      <c r="B1603" s="67">
        <v>32448230846</v>
      </c>
      <c r="C1603" s="18" t="s">
        <v>3326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3327</v>
      </c>
      <c r="B1604" s="67">
        <v>56151250559</v>
      </c>
      <c r="C1604" s="18" t="s">
        <v>3328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3329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1004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3330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3331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1004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3332</v>
      </c>
      <c r="B1608" s="67">
        <v>36713930840</v>
      </c>
      <c r="C1608" s="68" t="s">
        <v>3333</v>
      </c>
      <c r="D1608" s="69">
        <v>30171047885</v>
      </c>
      <c r="E1608" s="9">
        <v>1128</v>
      </c>
      <c r="F1608" s="25">
        <v>42972</v>
      </c>
      <c r="G1608" s="70" t="s">
        <v>1004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3334</v>
      </c>
      <c r="B1609" s="67">
        <v>37138221827</v>
      </c>
      <c r="C1609" s="29" t="s">
        <v>3335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3336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1004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3337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1004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3338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1004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3339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3340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1004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3341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1004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3342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1004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3343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3344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1004</v>
      </c>
      <c r="H1618" s="9"/>
      <c r="I1618" s="8"/>
      <c r="J1618" s="8"/>
      <c r="K1618" s="8"/>
      <c r="L1618" s="9" t="s">
        <v>1126</v>
      </c>
      <c r="M1618" s="8"/>
    </row>
    <row r="1619" spans="1:13" x14ac:dyDescent="0.25">
      <c r="A1619" s="71" t="s">
        <v>3345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1004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3346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1004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3347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3348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3349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1004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3350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3351</v>
      </c>
      <c r="B1625" s="67">
        <v>37338189897</v>
      </c>
      <c r="C1625" s="72" t="s">
        <v>3352</v>
      </c>
      <c r="D1625" s="69">
        <v>27359655897</v>
      </c>
      <c r="E1625" s="9">
        <v>1824</v>
      </c>
      <c r="F1625" s="25">
        <v>43091</v>
      </c>
      <c r="G1625" s="70" t="s">
        <v>1004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3353</v>
      </c>
      <c r="B1626" s="67">
        <v>45632601854</v>
      </c>
      <c r="C1626" s="32" t="s">
        <v>3354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1287</v>
      </c>
      <c r="M1626" s="8"/>
    </row>
    <row r="1627" spans="1:13" x14ac:dyDescent="0.25">
      <c r="A1627" s="29" t="s">
        <v>3355</v>
      </c>
      <c r="B1627" s="67"/>
      <c r="C1627" s="29" t="s">
        <v>3356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3357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3358</v>
      </c>
      <c r="B1629" s="67">
        <v>38150547886</v>
      </c>
      <c r="C1629" s="72" t="s">
        <v>3359</v>
      </c>
      <c r="D1629" s="69">
        <v>36270820871</v>
      </c>
      <c r="E1629" s="9">
        <v>262</v>
      </c>
      <c r="F1629" s="25">
        <v>43160</v>
      </c>
      <c r="G1629" s="9" t="s">
        <v>1004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3360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3361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3362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3363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3364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1004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3365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1004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3366</v>
      </c>
      <c r="B1636" s="67">
        <v>44852605858</v>
      </c>
      <c r="C1636" s="15" t="s">
        <v>3367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3368</v>
      </c>
      <c r="B1637" s="67">
        <v>42130610862</v>
      </c>
      <c r="C1637" s="29" t="s">
        <v>3369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3370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1004</v>
      </c>
      <c r="H1638" s="9"/>
      <c r="I1638" s="8"/>
      <c r="J1638" s="8"/>
      <c r="K1638" s="8"/>
      <c r="L1638" s="9" t="s">
        <v>1158</v>
      </c>
      <c r="M1638" s="8"/>
    </row>
    <row r="1639" spans="1:13" x14ac:dyDescent="0.25">
      <c r="A1639" s="15" t="s">
        <v>3371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3372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1004</v>
      </c>
      <c r="H1640" s="9"/>
      <c r="I1640" s="8"/>
      <c r="J1640" s="8"/>
      <c r="K1640" s="8"/>
      <c r="L1640" s="9" t="s">
        <v>1158</v>
      </c>
      <c r="M1640" s="8"/>
    </row>
    <row r="1641" spans="1:13" x14ac:dyDescent="0.25">
      <c r="A1641" s="71" t="s">
        <v>3373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1004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3374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3375</v>
      </c>
      <c r="B1643" s="67">
        <v>25399089858</v>
      </c>
      <c r="C1643" s="18" t="s">
        <v>3376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3377</v>
      </c>
      <c r="B1644" s="67">
        <v>36758489817</v>
      </c>
      <c r="C1644" s="72" t="s">
        <v>3378</v>
      </c>
      <c r="D1644" s="69">
        <v>15602238808</v>
      </c>
      <c r="E1644" s="9">
        <v>117</v>
      </c>
      <c r="F1644" s="25">
        <v>43117</v>
      </c>
      <c r="G1644" s="70" t="s">
        <v>1004</v>
      </c>
      <c r="H1644" s="9"/>
      <c r="I1644" s="8"/>
      <c r="J1644" s="8"/>
      <c r="K1644" s="8"/>
      <c r="L1644" s="9" t="s">
        <v>1158</v>
      </c>
      <c r="M1644" s="8"/>
    </row>
    <row r="1645" spans="1:13" x14ac:dyDescent="0.25">
      <c r="A1645" s="71" t="s">
        <v>3379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1004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3380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3381</v>
      </c>
      <c r="B1647" s="67">
        <v>3051791440</v>
      </c>
      <c r="C1647" s="72" t="s">
        <v>3382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3383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1004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3384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3385</v>
      </c>
      <c r="B1650" s="67">
        <v>8774817841</v>
      </c>
      <c r="C1650" s="18" t="s">
        <v>1117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3386</v>
      </c>
      <c r="B1651" s="67">
        <v>15730438850</v>
      </c>
      <c r="C1651" s="72" t="s">
        <v>3387</v>
      </c>
      <c r="D1651" s="69">
        <v>11253544883</v>
      </c>
      <c r="E1651" s="9">
        <v>1628</v>
      </c>
      <c r="F1651" s="25">
        <v>43077</v>
      </c>
      <c r="G1651" s="70" t="s">
        <v>1004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3388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3389</v>
      </c>
      <c r="B1653" s="67">
        <v>16416601800</v>
      </c>
      <c r="C1653" s="72" t="s">
        <v>3390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3391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3392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1004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3393</v>
      </c>
      <c r="B1656" s="67">
        <v>6595999617</v>
      </c>
      <c r="C1656" s="68" t="s">
        <v>3394</v>
      </c>
      <c r="D1656" s="69">
        <v>9929242430</v>
      </c>
      <c r="E1656" s="9">
        <v>1128</v>
      </c>
      <c r="F1656" s="25">
        <v>42972</v>
      </c>
      <c r="G1656" s="70" t="s">
        <v>1004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3395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1004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3396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3397</v>
      </c>
      <c r="B1659" s="67">
        <v>28785359874</v>
      </c>
      <c r="C1659" s="72" t="s">
        <v>3398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3399</v>
      </c>
      <c r="B1660" s="67">
        <v>36460261890</v>
      </c>
      <c r="C1660" s="72" t="s">
        <v>3400</v>
      </c>
      <c r="D1660" s="69">
        <v>7468402841</v>
      </c>
      <c r="E1660" s="9">
        <v>608</v>
      </c>
      <c r="F1660" s="25">
        <v>43012</v>
      </c>
      <c r="G1660" s="70" t="s">
        <v>1004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3401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1004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3402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1004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3403</v>
      </c>
      <c r="B1663" s="67">
        <v>34385358826</v>
      </c>
      <c r="C1663" s="72" t="s">
        <v>3404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3405</v>
      </c>
      <c r="B1664" s="67">
        <v>24820428870</v>
      </c>
      <c r="C1664" s="72" t="s">
        <v>3406</v>
      </c>
      <c r="D1664" s="69">
        <v>22012255833</v>
      </c>
      <c r="E1664" s="9">
        <v>1417</v>
      </c>
      <c r="F1664" s="25">
        <v>43017</v>
      </c>
      <c r="G1664" s="70" t="s">
        <v>1004</v>
      </c>
      <c r="H1664" s="9"/>
      <c r="I1664" s="8"/>
      <c r="J1664" s="8"/>
      <c r="K1664" s="8"/>
      <c r="L1664" s="9" t="s">
        <v>1241</v>
      </c>
      <c r="M1664" s="8"/>
    </row>
    <row r="1665" spans="1:13" x14ac:dyDescent="0.25">
      <c r="A1665" s="29" t="s">
        <v>3407</v>
      </c>
      <c r="B1665" s="67">
        <v>31148609822</v>
      </c>
      <c r="C1665" s="29" t="s">
        <v>3408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3409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1018</v>
      </c>
      <c r="H1666" s="9"/>
      <c r="I1666" s="8"/>
      <c r="J1666" s="8"/>
      <c r="K1666" s="8"/>
      <c r="L1666" s="9" t="s">
        <v>1158</v>
      </c>
      <c r="M1666" s="8"/>
    </row>
    <row r="1667" spans="1:13" x14ac:dyDescent="0.25">
      <c r="A1667" s="14" t="s">
        <v>3410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3410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1004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3411</v>
      </c>
      <c r="B1669" s="67">
        <v>44772896856</v>
      </c>
      <c r="C1669" s="72" t="s">
        <v>3412</v>
      </c>
      <c r="D1669" s="69">
        <v>39313729873</v>
      </c>
      <c r="E1669" s="9">
        <v>117</v>
      </c>
      <c r="F1669" s="25">
        <v>43117</v>
      </c>
      <c r="G1669" s="70" t="s">
        <v>1004</v>
      </c>
      <c r="H1669" s="9"/>
      <c r="I1669" s="8"/>
      <c r="J1669" s="8"/>
      <c r="K1669" s="8"/>
      <c r="L1669" s="9" t="s">
        <v>1158</v>
      </c>
      <c r="M1669" s="8"/>
    </row>
    <row r="1670" spans="1:13" x14ac:dyDescent="0.25">
      <c r="A1670" s="29" t="s">
        <v>3413</v>
      </c>
      <c r="B1670" s="67">
        <v>28501359840</v>
      </c>
      <c r="C1670" s="29" t="s">
        <v>3414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3415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3416</v>
      </c>
      <c r="B1672" s="67">
        <v>30131142828</v>
      </c>
      <c r="C1672" s="77" t="s">
        <v>3417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3418</v>
      </c>
      <c r="B1673" s="67"/>
      <c r="C1673" s="29" t="s">
        <v>1117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3419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1004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3420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1004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3421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1004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3422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1004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3423</v>
      </c>
      <c r="B1678" s="67">
        <v>30319988805</v>
      </c>
      <c r="C1678" s="29" t="s">
        <v>1117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3424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3425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1004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3426</v>
      </c>
      <c r="B1681" s="67">
        <v>1565236122</v>
      </c>
      <c r="C1681" s="72" t="s">
        <v>3427</v>
      </c>
      <c r="D1681" s="69">
        <v>218506589</v>
      </c>
      <c r="E1681" s="9">
        <v>1241</v>
      </c>
      <c r="F1681" s="25">
        <v>42992</v>
      </c>
      <c r="G1681" s="70" t="s">
        <v>1004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3428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3429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1004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3430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3431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3432</v>
      </c>
      <c r="B1686" s="67">
        <v>28842233803</v>
      </c>
      <c r="C1686" s="72" t="s">
        <v>3433</v>
      </c>
      <c r="D1686" s="69">
        <v>39207708892</v>
      </c>
      <c r="E1686" s="9">
        <v>262</v>
      </c>
      <c r="F1686" s="25">
        <v>43160</v>
      </c>
      <c r="G1686" s="70" t="s">
        <v>1010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3434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1004</v>
      </c>
      <c r="H1687" s="9"/>
      <c r="I1687" s="8"/>
      <c r="J1687" s="8"/>
      <c r="K1687" s="8"/>
      <c r="L1687" s="9" t="s">
        <v>1126</v>
      </c>
      <c r="M1687" s="8"/>
    </row>
    <row r="1688" spans="1:13" x14ac:dyDescent="0.25">
      <c r="A1688" s="71" t="s">
        <v>3435</v>
      </c>
      <c r="B1688" s="67">
        <v>39111957883</v>
      </c>
      <c r="C1688" s="72" t="s">
        <v>3436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3437</v>
      </c>
      <c r="B1689" s="67">
        <v>26763450877</v>
      </c>
      <c r="C1689" s="72" t="s">
        <v>3438</v>
      </c>
      <c r="D1689" s="69">
        <v>23405053803</v>
      </c>
      <c r="E1689" s="9">
        <v>292</v>
      </c>
      <c r="F1689" s="25">
        <v>43168</v>
      </c>
      <c r="G1689" s="70" t="s">
        <v>1004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3439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1004</v>
      </c>
      <c r="H1690" s="9"/>
      <c r="I1690" s="8"/>
      <c r="J1690" s="8"/>
      <c r="K1690" s="8"/>
      <c r="L1690" s="9" t="s">
        <v>1158</v>
      </c>
      <c r="M1690" s="8"/>
    </row>
    <row r="1691" spans="1:13" x14ac:dyDescent="0.25">
      <c r="A1691" s="29" t="s">
        <v>3440</v>
      </c>
      <c r="B1691" s="67">
        <v>41696411831</v>
      </c>
      <c r="C1691" s="29" t="s">
        <v>3441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3442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3443</v>
      </c>
      <c r="B1693" s="67"/>
      <c r="C1693" s="18" t="s">
        <v>1117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3444</v>
      </c>
      <c r="B1694" s="67">
        <v>8946062479</v>
      </c>
      <c r="C1694" s="15" t="s">
        <v>3445</v>
      </c>
      <c r="D1694" s="69">
        <v>9671165460</v>
      </c>
      <c r="E1694" s="9">
        <v>292</v>
      </c>
      <c r="F1694" s="25">
        <v>43168</v>
      </c>
      <c r="G1694" s="70" t="s">
        <v>1010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3446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1004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3447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1004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3448</v>
      </c>
      <c r="B1697" s="67"/>
      <c r="C1697" s="18" t="s">
        <v>1117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3449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1004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3450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3451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3452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3453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3454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3455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3456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3457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1004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3458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1004</v>
      </c>
      <c r="H1707" s="9"/>
      <c r="I1707" s="8"/>
      <c r="J1707" s="8"/>
      <c r="K1707" s="8"/>
      <c r="L1707" s="9" t="s">
        <v>1241</v>
      </c>
      <c r="M1707" s="8"/>
    </row>
    <row r="1708" spans="1:13" x14ac:dyDescent="0.25">
      <c r="A1708" s="13" t="s">
        <v>3459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1004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3460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3461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3462</v>
      </c>
      <c r="B1711" s="67"/>
      <c r="C1711" s="18" t="s">
        <v>1117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3463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1004</v>
      </c>
      <c r="H1712" s="9"/>
      <c r="I1712" s="8"/>
      <c r="J1712" s="8"/>
      <c r="K1712" s="8"/>
      <c r="L1712" s="9" t="s">
        <v>1158</v>
      </c>
      <c r="M1712" s="8"/>
    </row>
    <row r="1713" spans="1:13" x14ac:dyDescent="0.25">
      <c r="A1713" s="71" t="s">
        <v>3464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1004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3465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1004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3466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3467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1004</v>
      </c>
      <c r="H1716" s="9"/>
      <c r="I1716" s="8"/>
      <c r="J1716" s="8"/>
      <c r="K1716" s="8"/>
      <c r="L1716" s="9" t="s">
        <v>1126</v>
      </c>
      <c r="M1716" s="8"/>
    </row>
    <row r="1717" spans="1:13" x14ac:dyDescent="0.25">
      <c r="A1717" s="71" t="s">
        <v>3468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3469</v>
      </c>
      <c r="B1718" s="67">
        <v>26903961810</v>
      </c>
      <c r="C1718" s="72" t="s">
        <v>3470</v>
      </c>
      <c r="D1718" s="69">
        <v>40904229904</v>
      </c>
      <c r="E1718" s="9">
        <v>1555</v>
      </c>
      <c r="F1718" s="25">
        <v>43049</v>
      </c>
      <c r="G1718" s="70" t="s">
        <v>1004</v>
      </c>
      <c r="H1718" s="9"/>
      <c r="I1718" s="8"/>
      <c r="J1718" s="8"/>
      <c r="K1718" s="8"/>
      <c r="L1718" s="9" t="s">
        <v>1386</v>
      </c>
      <c r="M1718" s="8"/>
    </row>
    <row r="1719" spans="1:13" x14ac:dyDescent="0.25">
      <c r="A1719" s="18" t="s">
        <v>3471</v>
      </c>
      <c r="B1719" s="67">
        <v>31611651875</v>
      </c>
      <c r="C1719" s="18" t="s">
        <v>3472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3473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1004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3474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3475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1004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3476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3477</v>
      </c>
      <c r="B1724" s="69">
        <v>22580790802</v>
      </c>
      <c r="C1724" s="71" t="s">
        <v>3478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3479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3480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3481</v>
      </c>
      <c r="B1727" s="69">
        <v>88565386520</v>
      </c>
      <c r="C1727" s="15" t="s">
        <v>3482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3483</v>
      </c>
      <c r="B1728" s="67">
        <v>1147816565</v>
      </c>
      <c r="C1728" s="72" t="s">
        <v>3484</v>
      </c>
      <c r="D1728" s="69">
        <v>24692193883</v>
      </c>
      <c r="E1728" s="9">
        <v>262</v>
      </c>
      <c r="F1728" s="25">
        <v>43160</v>
      </c>
      <c r="G1728" s="70" t="s">
        <v>1004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3485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1004</v>
      </c>
      <c r="H1729" s="9"/>
      <c r="I1729" s="8"/>
      <c r="J1729" s="8"/>
      <c r="K1729" s="8"/>
      <c r="L1729" s="9" t="s">
        <v>1126</v>
      </c>
      <c r="M1729" s="8"/>
    </row>
    <row r="1730" spans="1:13" x14ac:dyDescent="0.25">
      <c r="A1730" s="14" t="s">
        <v>3486</v>
      </c>
      <c r="B1730" s="67">
        <v>7039189402</v>
      </c>
      <c r="C1730" s="72" t="s">
        <v>3487</v>
      </c>
      <c r="D1730" s="69">
        <v>5531291558</v>
      </c>
      <c r="E1730" s="9">
        <v>262</v>
      </c>
      <c r="F1730" s="25">
        <v>43160</v>
      </c>
      <c r="G1730" s="70" t="s">
        <v>1004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3488</v>
      </c>
      <c r="B1731" s="67">
        <v>34602647804</v>
      </c>
      <c r="C1731" s="72" t="s">
        <v>3489</v>
      </c>
      <c r="D1731" s="69">
        <v>27640163870</v>
      </c>
      <c r="E1731" s="9">
        <v>229</v>
      </c>
      <c r="F1731" s="25">
        <v>43151</v>
      </c>
      <c r="G1731" s="70" t="s">
        <v>1004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3490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1004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3491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1004</v>
      </c>
      <c r="H1733" s="9"/>
      <c r="I1733" s="8"/>
      <c r="J1733" s="8"/>
      <c r="K1733" s="8"/>
      <c r="L1733" s="9" t="s">
        <v>1490</v>
      </c>
      <c r="M1733" s="8"/>
    </row>
    <row r="1734" spans="1:13" x14ac:dyDescent="0.25">
      <c r="A1734" s="71" t="s">
        <v>3492</v>
      </c>
      <c r="B1734" s="67">
        <v>4656282570</v>
      </c>
      <c r="C1734" s="72" t="s">
        <v>3493</v>
      </c>
      <c r="D1734" s="69">
        <v>85025780578</v>
      </c>
      <c r="E1734" s="9">
        <v>85</v>
      </c>
      <c r="F1734" s="25">
        <v>43109</v>
      </c>
      <c r="G1734" s="70" t="s">
        <v>1004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3494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3495</v>
      </c>
      <c r="B1736" s="67">
        <v>44808773805</v>
      </c>
      <c r="C1736" s="72" t="s">
        <v>3496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3497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1004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3498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3499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1004</v>
      </c>
      <c r="H1739" s="9"/>
      <c r="I1739" s="8"/>
      <c r="J1739" s="8"/>
      <c r="K1739" s="8"/>
      <c r="L1739" s="9" t="s">
        <v>1126</v>
      </c>
      <c r="M1739" s="8"/>
    </row>
    <row r="1740" spans="1:13" x14ac:dyDescent="0.25">
      <c r="A1740" s="71" t="s">
        <v>3500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1018</v>
      </c>
      <c r="H1740" s="9"/>
      <c r="I1740" s="8"/>
      <c r="J1740" s="8"/>
      <c r="K1740" s="8"/>
      <c r="L1740" s="9" t="s">
        <v>1241</v>
      </c>
      <c r="M1740" s="8"/>
    </row>
    <row r="1741" spans="1:13" x14ac:dyDescent="0.25">
      <c r="A1741" s="15" t="s">
        <v>3501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1004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3502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3503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3504</v>
      </c>
      <c r="B1744" s="67">
        <v>19129440491</v>
      </c>
      <c r="C1744" s="72" t="s">
        <v>3505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3506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1004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3507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1004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3508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1004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3509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1004</v>
      </c>
      <c r="H1748" s="9"/>
      <c r="I1748" s="8"/>
      <c r="J1748" s="8"/>
      <c r="K1748" s="8"/>
      <c r="L1748" s="9" t="s">
        <v>1386</v>
      </c>
      <c r="M1748" s="8"/>
    </row>
    <row r="1749" spans="1:13" x14ac:dyDescent="0.25">
      <c r="A1749" s="13" t="s">
        <v>3510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1004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3511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3512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1004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3513</v>
      </c>
      <c r="B1752" s="67">
        <v>15634351871</v>
      </c>
      <c r="C1752" s="72" t="s">
        <v>3514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3515</v>
      </c>
      <c r="B1753" s="67">
        <v>35994306835</v>
      </c>
      <c r="C1753" s="72" t="s">
        <v>3516</v>
      </c>
      <c r="D1753" s="69">
        <v>25021610880</v>
      </c>
      <c r="E1753" s="9">
        <v>262</v>
      </c>
      <c r="F1753" s="25">
        <v>43160</v>
      </c>
      <c r="G1753" s="70" t="s">
        <v>1004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3517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1004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3518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3519</v>
      </c>
      <c r="B1756" s="67">
        <v>32525046854</v>
      </c>
      <c r="C1756" s="29" t="s">
        <v>1117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3520</v>
      </c>
      <c r="B1757" s="67">
        <v>23704553816</v>
      </c>
      <c r="C1757" s="77" t="s">
        <v>3521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1287</v>
      </c>
      <c r="M1757" s="8"/>
    </row>
    <row r="1758" spans="1:13" x14ac:dyDescent="0.25">
      <c r="A1758" s="71" t="s">
        <v>3522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1004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3523</v>
      </c>
      <c r="B1759" s="67">
        <v>3180351543</v>
      </c>
      <c r="C1759" s="72" t="s">
        <v>3524</v>
      </c>
      <c r="D1759" s="69">
        <v>38259838893</v>
      </c>
      <c r="E1759" s="9">
        <v>1752</v>
      </c>
      <c r="F1759" s="25">
        <v>43051</v>
      </c>
      <c r="G1759" s="70" t="s">
        <v>1004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3525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1004</v>
      </c>
      <c r="H1760" s="9"/>
      <c r="I1760" s="8"/>
      <c r="J1760" s="8"/>
      <c r="K1760" s="8"/>
      <c r="L1760" s="9" t="s">
        <v>1126</v>
      </c>
      <c r="M1760" s="8"/>
    </row>
    <row r="1761" spans="1:13" x14ac:dyDescent="0.25">
      <c r="A1761" s="71" t="s">
        <v>3526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1004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3527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3528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1004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3529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1004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3530</v>
      </c>
      <c r="B1765" s="80">
        <v>27034088896</v>
      </c>
      <c r="C1765" s="81" t="s">
        <v>3531</v>
      </c>
      <c r="D1765" s="82">
        <v>31801530831</v>
      </c>
      <c r="E1765" s="47">
        <v>1267</v>
      </c>
      <c r="F1765" s="48">
        <v>42998</v>
      </c>
      <c r="G1765" s="83" t="s">
        <v>1010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3532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3533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3534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1004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3535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1004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3536</v>
      </c>
      <c r="B1770" s="67">
        <v>13035980861</v>
      </c>
      <c r="C1770" s="72" t="s">
        <v>3537</v>
      </c>
      <c r="D1770" s="69">
        <v>60623608553</v>
      </c>
      <c r="E1770" s="9">
        <v>1752</v>
      </c>
      <c r="F1770" s="25">
        <v>43051</v>
      </c>
      <c r="G1770" s="70" t="s">
        <v>1004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3538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3539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1004</v>
      </c>
      <c r="H1772" s="9"/>
      <c r="I1772" s="8"/>
      <c r="J1772" s="8"/>
      <c r="K1772" s="8"/>
      <c r="L1772" s="9" t="s">
        <v>1126</v>
      </c>
      <c r="M1772" s="8"/>
    </row>
    <row r="1773" spans="1:13" x14ac:dyDescent="0.25">
      <c r="A1773" s="29" t="s">
        <v>3540</v>
      </c>
      <c r="B1773" s="67">
        <v>7965453401</v>
      </c>
      <c r="C1773" s="29" t="s">
        <v>3541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3542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1004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3543</v>
      </c>
      <c r="B1775" s="67">
        <v>29335127850</v>
      </c>
      <c r="C1775" s="68" t="s">
        <v>3544</v>
      </c>
      <c r="D1775" s="69">
        <v>18384225877</v>
      </c>
      <c r="E1775" s="9">
        <v>1214</v>
      </c>
      <c r="F1775" s="25">
        <v>42989</v>
      </c>
      <c r="G1775" s="70" t="s">
        <v>1004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3545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1004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3546</v>
      </c>
      <c r="B1777" s="67">
        <v>22530539880</v>
      </c>
      <c r="C1777" s="72" t="s">
        <v>3547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3548</v>
      </c>
      <c r="B1778" s="67">
        <v>22135571873</v>
      </c>
      <c r="C1778" s="72" t="s">
        <v>3549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3550</v>
      </c>
      <c r="B1779" s="67">
        <v>29928831823</v>
      </c>
      <c r="C1779" s="72" t="s">
        <v>3551</v>
      </c>
      <c r="D1779" s="69">
        <v>9500916428</v>
      </c>
      <c r="E1779" s="9">
        <v>810</v>
      </c>
      <c r="F1779" s="25">
        <v>42915</v>
      </c>
      <c r="G1779" s="70" t="s">
        <v>1004</v>
      </c>
      <c r="H1779" s="9"/>
      <c r="I1779" s="8"/>
      <c r="J1779" s="8"/>
      <c r="K1779" s="8"/>
      <c r="L1779" s="9" t="s">
        <v>1126</v>
      </c>
      <c r="M1779" s="8"/>
    </row>
    <row r="1780" spans="1:13" x14ac:dyDescent="0.25">
      <c r="A1780" s="72" t="s">
        <v>3552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3553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1004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3554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3555</v>
      </c>
      <c r="B1783" s="67"/>
      <c r="C1783" s="29" t="s">
        <v>1117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3556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1004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3557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1004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3558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1004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3559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1004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3560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1004</v>
      </c>
      <c r="H1788" s="9"/>
      <c r="I1788" s="8"/>
      <c r="J1788" s="8"/>
      <c r="K1788" s="8"/>
      <c r="L1788" s="9" t="s">
        <v>1126</v>
      </c>
      <c r="M1788" s="8"/>
    </row>
    <row r="1789" spans="1:13" x14ac:dyDescent="0.25">
      <c r="A1789" s="71" t="s">
        <v>3561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1004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3562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1004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3563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1004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3564</v>
      </c>
      <c r="B1792" s="67">
        <v>29652104825</v>
      </c>
      <c r="C1792" s="68" t="s">
        <v>3565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3566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1004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3567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3568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3569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1004</v>
      </c>
      <c r="H1796" s="9"/>
      <c r="I1796" s="8"/>
      <c r="J1796" s="8"/>
      <c r="K1796" s="8"/>
      <c r="L1796" s="9" t="s">
        <v>1490</v>
      </c>
      <c r="M1796" s="8"/>
    </row>
    <row r="1797" spans="1:13" x14ac:dyDescent="0.25">
      <c r="A1797" s="71" t="s">
        <v>3570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1004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3571</v>
      </c>
      <c r="B1798" s="67">
        <v>6896659890</v>
      </c>
      <c r="C1798" s="29" t="s">
        <v>3572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3573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1004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3574</v>
      </c>
      <c r="B1800" s="67">
        <v>60230380506</v>
      </c>
      <c r="C1800" s="72" t="s">
        <v>3575</v>
      </c>
      <c r="D1800" s="69">
        <v>30853536821</v>
      </c>
      <c r="E1800" s="9">
        <v>1570</v>
      </c>
      <c r="F1800" s="25">
        <v>43051</v>
      </c>
      <c r="G1800" s="70" t="s">
        <v>1010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3576</v>
      </c>
      <c r="B1801" s="67">
        <v>44556393817</v>
      </c>
      <c r="C1801" s="72" t="s">
        <v>3577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3578</v>
      </c>
      <c r="B1802" s="67">
        <v>35780076847</v>
      </c>
      <c r="C1802" s="29" t="s">
        <v>3579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3580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1004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3581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1004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3582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3583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3584</v>
      </c>
      <c r="B1807" s="67">
        <v>8265497806</v>
      </c>
      <c r="C1807" s="18" t="s">
        <v>1117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3585</v>
      </c>
      <c r="B1808" s="67">
        <v>27435732877</v>
      </c>
      <c r="C1808" s="29" t="s">
        <v>1117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3586</v>
      </c>
      <c r="B1809" s="67">
        <v>17620421858</v>
      </c>
      <c r="C1809" s="72" t="s">
        <v>3587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3588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1004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3589</v>
      </c>
      <c r="B1811" s="78" t="s">
        <v>3590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3591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1004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3592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3593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3594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1004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3595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1287</v>
      </c>
      <c r="M1816" s="8"/>
    </row>
    <row r="1817" spans="1:13" x14ac:dyDescent="0.25">
      <c r="A1817" s="14" t="s">
        <v>3596</v>
      </c>
      <c r="B1817" s="67">
        <v>24655581883</v>
      </c>
      <c r="C1817" s="72" t="s">
        <v>3597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3598</v>
      </c>
      <c r="B1818" s="67">
        <v>6455171861</v>
      </c>
      <c r="C1818" s="72" t="s">
        <v>3599</v>
      </c>
      <c r="D1818" s="69">
        <v>34375910534</v>
      </c>
      <c r="E1818" s="9">
        <v>1417</v>
      </c>
      <c r="F1818" s="25">
        <v>43017</v>
      </c>
      <c r="G1818" s="70" t="s">
        <v>1004</v>
      </c>
      <c r="H1818" s="9"/>
      <c r="I1818" s="8"/>
      <c r="J1818" s="8"/>
      <c r="K1818" s="8"/>
      <c r="L1818" s="9" t="s">
        <v>1241</v>
      </c>
      <c r="M1818" s="8"/>
    </row>
    <row r="1819" spans="1:13" x14ac:dyDescent="0.25">
      <c r="A1819" s="71" t="s">
        <v>3600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1004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3601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1004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3602</v>
      </c>
      <c r="B1821" s="67">
        <v>16417318850</v>
      </c>
      <c r="C1821" s="72" t="s">
        <v>3603</v>
      </c>
      <c r="D1821" s="69">
        <v>18195940846</v>
      </c>
      <c r="E1821" s="9">
        <v>810</v>
      </c>
      <c r="F1821" s="25">
        <v>42915</v>
      </c>
      <c r="G1821" s="70" t="s">
        <v>1010</v>
      </c>
      <c r="H1821" s="9"/>
      <c r="I1821" s="8"/>
      <c r="J1821" s="8"/>
      <c r="K1821" s="8"/>
      <c r="L1821" s="9" t="s">
        <v>1126</v>
      </c>
      <c r="M1821" s="8"/>
    </row>
    <row r="1822" spans="1:13" x14ac:dyDescent="0.25">
      <c r="A1822" s="14" t="s">
        <v>3604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1004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3605</v>
      </c>
      <c r="B1823" s="67">
        <v>14369207878</v>
      </c>
      <c r="C1823" s="72" t="s">
        <v>3606</v>
      </c>
      <c r="D1823" s="69">
        <v>7358923421</v>
      </c>
      <c r="E1823" s="9">
        <v>292</v>
      </c>
      <c r="F1823" s="25">
        <v>43168</v>
      </c>
      <c r="G1823" s="9" t="s">
        <v>1004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3607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3607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3608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1004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3609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3610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3611</v>
      </c>
      <c r="B1829" s="67" t="s">
        <v>3612</v>
      </c>
      <c r="C1829" s="72" t="s">
        <v>3613</v>
      </c>
      <c r="D1829" s="69">
        <v>43860821822</v>
      </c>
      <c r="E1829" s="9">
        <v>1752</v>
      </c>
      <c r="F1829" s="25">
        <v>43051</v>
      </c>
      <c r="G1829" s="70" t="s">
        <v>1004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3611</v>
      </c>
      <c r="B1830" s="67"/>
      <c r="C1830" s="18" t="s">
        <v>1117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3614</v>
      </c>
      <c r="B1831" s="67">
        <v>32969576856</v>
      </c>
      <c r="C1831" s="72" t="s">
        <v>3615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3616</v>
      </c>
      <c r="B1832" s="67">
        <v>23651706842</v>
      </c>
      <c r="C1832" s="18" t="s">
        <v>3617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3618</v>
      </c>
      <c r="B1833" s="67"/>
      <c r="C1833" s="29" t="s">
        <v>3619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3620</v>
      </c>
      <c r="B1834" s="67">
        <v>24891699809</v>
      </c>
      <c r="C1834" s="72" t="s">
        <v>3621</v>
      </c>
      <c r="D1834" s="69">
        <v>17610300861</v>
      </c>
      <c r="E1834" s="9">
        <v>262</v>
      </c>
      <c r="F1834" s="25">
        <v>43160</v>
      </c>
      <c r="G1834" s="70" t="s">
        <v>1010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3622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1004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3623</v>
      </c>
      <c r="B1836" s="67">
        <v>79465617687</v>
      </c>
      <c r="C1836" s="77" t="s">
        <v>3624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1287</v>
      </c>
      <c r="M1836" s="8"/>
    </row>
    <row r="1837" spans="1:13" x14ac:dyDescent="0.25">
      <c r="A1837" s="29" t="s">
        <v>3625</v>
      </c>
      <c r="B1837" s="67"/>
      <c r="C1837" s="29" t="s">
        <v>1117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3626</v>
      </c>
      <c r="B1838" s="67" t="s">
        <v>3627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3628</v>
      </c>
      <c r="B1839" s="67">
        <v>8545670893</v>
      </c>
      <c r="C1839" s="18" t="s">
        <v>3629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3628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1004</v>
      </c>
      <c r="H1840" s="9"/>
      <c r="I1840" s="8"/>
      <c r="J1840" s="8"/>
      <c r="K1840" s="8"/>
      <c r="L1840" s="9" t="s">
        <v>1126</v>
      </c>
      <c r="M1840" s="8"/>
    </row>
    <row r="1841" spans="1:13" x14ac:dyDescent="0.25">
      <c r="A1841" s="72" t="s">
        <v>3630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3631</v>
      </c>
      <c r="B1842" s="67"/>
      <c r="C1842" s="29" t="s">
        <v>1117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3632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1004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3633</v>
      </c>
      <c r="B1844" s="69">
        <v>84920157487</v>
      </c>
      <c r="C1844" s="71" t="s">
        <v>3634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3635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3636</v>
      </c>
      <c r="B1846" s="67">
        <v>35331745814</v>
      </c>
      <c r="C1846" s="75" t="s">
        <v>3637</v>
      </c>
      <c r="D1846" s="69">
        <v>33184459837</v>
      </c>
      <c r="E1846" s="9">
        <v>1106</v>
      </c>
      <c r="F1846" s="25">
        <v>42965</v>
      </c>
      <c r="G1846" s="70" t="s">
        <v>1004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3638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1004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3639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3640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1004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3641</v>
      </c>
      <c r="B1850" s="67">
        <v>14686278805</v>
      </c>
      <c r="C1850" s="18" t="s">
        <v>1117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3642</v>
      </c>
      <c r="B1851" s="67">
        <v>14857592851</v>
      </c>
      <c r="C1851" s="72" t="s">
        <v>3643</v>
      </c>
      <c r="D1851" s="69">
        <v>35142215885</v>
      </c>
      <c r="E1851" s="9">
        <v>1106</v>
      </c>
      <c r="F1851" s="25">
        <v>42965</v>
      </c>
      <c r="G1851" s="70" t="s">
        <v>1004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3644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1004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3645</v>
      </c>
      <c r="B1853" s="67">
        <v>35714112857</v>
      </c>
      <c r="C1853" s="72" t="s">
        <v>3646</v>
      </c>
      <c r="D1853" s="69">
        <v>32342783850</v>
      </c>
      <c r="E1853" s="9">
        <v>810</v>
      </c>
      <c r="F1853" s="25">
        <v>42915</v>
      </c>
      <c r="G1853" s="70" t="s">
        <v>1004</v>
      </c>
      <c r="H1853" s="9"/>
      <c r="I1853" s="8"/>
      <c r="J1853" s="8"/>
      <c r="K1853" s="8"/>
      <c r="L1853" s="9" t="s">
        <v>1126</v>
      </c>
      <c r="M1853" s="8"/>
    </row>
    <row r="1854" spans="1:13" x14ac:dyDescent="0.25">
      <c r="A1854" s="15" t="s">
        <v>3647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3648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1004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3649</v>
      </c>
      <c r="B1856" s="67">
        <v>22009621859</v>
      </c>
      <c r="C1856" s="72" t="s">
        <v>3650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3651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1004</v>
      </c>
      <c r="H1857" s="9"/>
      <c r="I1857" s="8"/>
      <c r="J1857" s="8"/>
      <c r="K1857" s="8"/>
      <c r="L1857" s="9" t="s">
        <v>1126</v>
      </c>
      <c r="M1857" s="8"/>
    </row>
    <row r="1858" spans="1:13" x14ac:dyDescent="0.25">
      <c r="A1858" s="71" t="s">
        <v>3652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1004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3653</v>
      </c>
      <c r="B1859" s="67">
        <v>32752183879</v>
      </c>
      <c r="C1859" s="72" t="s">
        <v>3654</v>
      </c>
      <c r="D1859" s="69">
        <v>15202346867</v>
      </c>
      <c r="E1859" s="9">
        <v>85</v>
      </c>
      <c r="F1859" s="25">
        <v>43109</v>
      </c>
      <c r="G1859" s="70" t="s">
        <v>1004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3655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3656</v>
      </c>
      <c r="B1861" s="67">
        <v>13622732873</v>
      </c>
      <c r="C1861" s="68"/>
      <c r="D1861" s="69"/>
      <c r="E1861" s="9"/>
      <c r="F1861" s="25"/>
      <c r="G1861" s="70" t="s">
        <v>1004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3657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3658</v>
      </c>
      <c r="B1863" s="67">
        <v>17094778813</v>
      </c>
      <c r="C1863" s="72" t="s">
        <v>3659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3660</v>
      </c>
      <c r="B1864" s="67"/>
      <c r="C1864" s="72" t="s">
        <v>3661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3662</v>
      </c>
      <c r="B1865" s="67">
        <v>43289674878</v>
      </c>
      <c r="C1865" s="72" t="s">
        <v>3663</v>
      </c>
      <c r="D1865" s="69">
        <v>39726735823</v>
      </c>
      <c r="E1865" s="9">
        <v>810</v>
      </c>
      <c r="F1865" s="25">
        <v>42915</v>
      </c>
      <c r="G1865" s="70" t="s">
        <v>1004</v>
      </c>
      <c r="H1865" s="9"/>
      <c r="I1865" s="8"/>
      <c r="J1865" s="8"/>
      <c r="K1865" s="8"/>
      <c r="L1865" s="9" t="s">
        <v>1126</v>
      </c>
      <c r="M1865" s="8"/>
    </row>
    <row r="1866" spans="1:13" x14ac:dyDescent="0.25">
      <c r="A1866" s="29" t="s">
        <v>3664</v>
      </c>
      <c r="B1866" s="67">
        <v>3778856812</v>
      </c>
      <c r="C1866" s="18" t="s">
        <v>1117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3665</v>
      </c>
      <c r="B1867" s="67">
        <v>36074731888</v>
      </c>
      <c r="C1867" s="29" t="s">
        <v>1117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3666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3667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1004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3668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1287</v>
      </c>
      <c r="M1870" s="8"/>
    </row>
    <row r="1871" spans="1:13" x14ac:dyDescent="0.25">
      <c r="A1871" s="71" t="s">
        <v>3669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3670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1004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3671</v>
      </c>
      <c r="B1873" s="67">
        <v>35885861803</v>
      </c>
      <c r="C1873" s="72" t="s">
        <v>3672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3673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3674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1004</v>
      </c>
      <c r="H1875" s="9"/>
      <c r="I1875" s="8"/>
      <c r="J1875" s="8"/>
      <c r="K1875" s="8"/>
      <c r="L1875" s="9" t="s">
        <v>1126</v>
      </c>
      <c r="M1875" s="8"/>
    </row>
    <row r="1876" spans="1:13" x14ac:dyDescent="0.25">
      <c r="A1876" s="13" t="s">
        <v>3675</v>
      </c>
      <c r="B1876" s="67">
        <v>14888258821</v>
      </c>
      <c r="C1876" s="72" t="s">
        <v>3676</v>
      </c>
      <c r="D1876" s="69">
        <v>9173891827</v>
      </c>
      <c r="E1876" s="9">
        <v>229</v>
      </c>
      <c r="F1876" s="25">
        <v>43151</v>
      </c>
      <c r="G1876" s="70" t="s">
        <v>1004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3677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1004</v>
      </c>
      <c r="H1877" s="9"/>
      <c r="I1877" s="8"/>
      <c r="J1877" s="8"/>
      <c r="K1877" s="8"/>
      <c r="L1877" s="9" t="s">
        <v>1490</v>
      </c>
      <c r="M1877" s="8"/>
    </row>
    <row r="1878" spans="1:13" x14ac:dyDescent="0.25">
      <c r="A1878" s="73" t="s">
        <v>3678</v>
      </c>
      <c r="B1878" s="67">
        <v>36238125870</v>
      </c>
      <c r="C1878" s="72" t="s">
        <v>3679</v>
      </c>
      <c r="D1878" s="69">
        <v>44321368391</v>
      </c>
      <c r="E1878" s="9">
        <v>1106</v>
      </c>
      <c r="F1878" s="25">
        <v>42965</v>
      </c>
      <c r="G1878" s="70" t="s">
        <v>1004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3680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1004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3681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3682</v>
      </c>
      <c r="B1881" s="67">
        <v>25970465836</v>
      </c>
      <c r="C1881" s="29" t="s">
        <v>3683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3684</v>
      </c>
      <c r="B1882" s="67">
        <v>26569869825</v>
      </c>
      <c r="C1882" s="15" t="s">
        <v>3685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3686</v>
      </c>
      <c r="B1883" s="67">
        <v>87835053349</v>
      </c>
      <c r="C1883" s="72" t="s">
        <v>3687</v>
      </c>
      <c r="D1883" s="69">
        <v>18172850840</v>
      </c>
      <c r="E1883" s="9">
        <v>1106</v>
      </c>
      <c r="F1883" s="25">
        <v>42965</v>
      </c>
      <c r="G1883" s="70" t="s">
        <v>1004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3688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1287</v>
      </c>
      <c r="M1884" s="8"/>
    </row>
    <row r="1885" spans="1:13" x14ac:dyDescent="0.25">
      <c r="A1885" s="72" t="s">
        <v>3689</v>
      </c>
      <c r="B1885" s="67">
        <v>32747471810</v>
      </c>
      <c r="C1885" s="72" t="s">
        <v>3690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3691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3692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1004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3693</v>
      </c>
      <c r="B1888" s="67">
        <v>31413965822</v>
      </c>
      <c r="C1888" s="72" t="s">
        <v>3694</v>
      </c>
      <c r="D1888" s="69">
        <v>17486425882</v>
      </c>
      <c r="E1888" s="9">
        <v>1106</v>
      </c>
      <c r="F1888" s="25">
        <v>42965</v>
      </c>
      <c r="G1888" s="70" t="s">
        <v>1004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3695</v>
      </c>
      <c r="B1889" s="67">
        <v>35736302861</v>
      </c>
      <c r="C1889" s="72" t="s">
        <v>3696</v>
      </c>
      <c r="D1889" s="69">
        <v>39355200854</v>
      </c>
      <c r="E1889" s="9">
        <v>229</v>
      </c>
      <c r="F1889" s="25">
        <v>43151</v>
      </c>
      <c r="G1889" s="70" t="s">
        <v>1004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3697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1004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3698</v>
      </c>
      <c r="B1891" s="67">
        <v>16364261825</v>
      </c>
      <c r="C1891" s="72" t="s">
        <v>3699</v>
      </c>
      <c r="D1891" s="69">
        <v>3293003427</v>
      </c>
      <c r="E1891" s="9">
        <v>117</v>
      </c>
      <c r="F1891" s="25">
        <v>43117</v>
      </c>
      <c r="G1891" s="70" t="s">
        <v>1004</v>
      </c>
      <c r="H1891" s="9"/>
      <c r="I1891" s="8"/>
      <c r="J1891" s="8"/>
      <c r="K1891" s="8"/>
      <c r="L1891" s="9" t="s">
        <v>1158</v>
      </c>
      <c r="M1891" s="8"/>
    </row>
    <row r="1892" spans="1:13" x14ac:dyDescent="0.25">
      <c r="A1892" s="84" t="s">
        <v>3700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3701</v>
      </c>
      <c r="B1893" s="67">
        <v>33729129856</v>
      </c>
      <c r="C1893" s="72" t="s">
        <v>3702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3703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1004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3704</v>
      </c>
      <c r="B1895" s="67">
        <v>6579182458</v>
      </c>
      <c r="C1895" s="72" t="s">
        <v>3705</v>
      </c>
      <c r="D1895" s="69">
        <v>7424068490</v>
      </c>
      <c r="E1895" s="9">
        <v>810</v>
      </c>
      <c r="F1895" s="25">
        <v>42915</v>
      </c>
      <c r="G1895" s="70" t="s">
        <v>1004</v>
      </c>
      <c r="H1895" s="9"/>
      <c r="I1895" s="8"/>
      <c r="J1895" s="8"/>
      <c r="K1895" s="8"/>
      <c r="L1895" s="9" t="s">
        <v>1126</v>
      </c>
      <c r="M1895" s="8"/>
    </row>
    <row r="1896" spans="1:13" x14ac:dyDescent="0.25">
      <c r="A1896" s="71" t="s">
        <v>3706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3707</v>
      </c>
      <c r="B1897" s="67">
        <v>65195140553</v>
      </c>
      <c r="C1897" s="29" t="s">
        <v>1117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3708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3708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1004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3709</v>
      </c>
      <c r="B1900" s="67">
        <v>17146759806</v>
      </c>
      <c r="C1900" s="72" t="s">
        <v>3710</v>
      </c>
      <c r="D1900" s="69">
        <v>39095494896</v>
      </c>
      <c r="E1900" s="9">
        <v>1262</v>
      </c>
      <c r="F1900" s="25">
        <v>42997</v>
      </c>
      <c r="G1900" s="70" t="s">
        <v>1010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3711</v>
      </c>
      <c r="B1901" s="67">
        <v>3893020403</v>
      </c>
      <c r="C1901" s="68" t="s">
        <v>3712</v>
      </c>
      <c r="D1901" s="69">
        <v>31615704809</v>
      </c>
      <c r="E1901" s="9">
        <v>1128</v>
      </c>
      <c r="F1901" s="25">
        <v>42972</v>
      </c>
      <c r="G1901" s="70" t="s">
        <v>1004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3713</v>
      </c>
      <c r="B1902" s="67">
        <v>70116695404</v>
      </c>
      <c r="C1902" s="72" t="s">
        <v>3714</v>
      </c>
      <c r="D1902" s="69">
        <v>66319943491</v>
      </c>
      <c r="E1902" s="9">
        <v>1106</v>
      </c>
      <c r="F1902" s="25">
        <v>42965</v>
      </c>
      <c r="G1902" s="70" t="s">
        <v>1004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3715</v>
      </c>
      <c r="B1903" s="67"/>
      <c r="C1903" s="29" t="s">
        <v>3716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3717</v>
      </c>
      <c r="B1904" s="67"/>
      <c r="C1904" s="29" t="s">
        <v>1117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3718</v>
      </c>
      <c r="B1905" s="67"/>
      <c r="C1905" s="29" t="s">
        <v>3719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3720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1004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3721</v>
      </c>
      <c r="B1907" s="67">
        <v>6936214436</v>
      </c>
      <c r="C1907" s="72" t="s">
        <v>3722</v>
      </c>
      <c r="D1907" s="69">
        <v>8583452423</v>
      </c>
      <c r="E1907" s="9">
        <v>85</v>
      </c>
      <c r="F1907" s="25">
        <v>43109</v>
      </c>
      <c r="G1907" s="70" t="s">
        <v>1004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3723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1004</v>
      </c>
      <c r="H1908" s="9"/>
      <c r="I1908" s="8"/>
      <c r="J1908" s="8"/>
      <c r="K1908" s="8"/>
      <c r="L1908" s="9" t="s">
        <v>1126</v>
      </c>
      <c r="M1908" s="8"/>
    </row>
    <row r="1909" spans="1:13" x14ac:dyDescent="0.25">
      <c r="A1909" s="15" t="s">
        <v>3724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1004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3725</v>
      </c>
      <c r="B1910" s="67">
        <v>35264817847</v>
      </c>
      <c r="C1910" s="29" t="s">
        <v>1117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3726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3727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1004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3728</v>
      </c>
      <c r="B1913" s="67">
        <v>90046226591</v>
      </c>
      <c r="C1913" s="72" t="s">
        <v>3729</v>
      </c>
      <c r="D1913" s="69">
        <v>74829505591</v>
      </c>
      <c r="E1913" s="9">
        <v>262</v>
      </c>
      <c r="F1913" s="25">
        <v>43160</v>
      </c>
      <c r="G1913" s="9" t="s">
        <v>1004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3730</v>
      </c>
      <c r="B1914" s="67">
        <v>29871369867</v>
      </c>
      <c r="C1914" s="72" t="s">
        <v>3731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3732</v>
      </c>
      <c r="B1915" s="67">
        <v>26681571883</v>
      </c>
      <c r="C1915" s="71" t="s">
        <v>3733</v>
      </c>
      <c r="D1915" s="69">
        <v>18465693897</v>
      </c>
      <c r="E1915" s="9">
        <v>292</v>
      </c>
      <c r="F1915" s="25">
        <v>43168</v>
      </c>
      <c r="G1915" s="70" t="s">
        <v>1004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3734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3735</v>
      </c>
      <c r="B1917" s="67">
        <v>26526680801</v>
      </c>
      <c r="C1917" s="68" t="s">
        <v>3736</v>
      </c>
      <c r="D1917" s="69">
        <v>7117205631</v>
      </c>
      <c r="E1917" s="9">
        <v>1128</v>
      </c>
      <c r="F1917" s="25">
        <v>42972</v>
      </c>
      <c r="G1917" s="70" t="s">
        <v>1004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3737</v>
      </c>
      <c r="B1918" s="67">
        <v>67285902420</v>
      </c>
      <c r="C1918" s="72" t="s">
        <v>2505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1287</v>
      </c>
      <c r="M1918" s="8"/>
    </row>
    <row r="1919" spans="1:13" x14ac:dyDescent="0.25">
      <c r="A1919" s="29" t="s">
        <v>3738</v>
      </c>
      <c r="B1919" s="67"/>
      <c r="C1919" s="18" t="s">
        <v>1117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3739</v>
      </c>
      <c r="B1920" s="67">
        <v>1097111490</v>
      </c>
      <c r="C1920" s="77" t="s">
        <v>3740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1287</v>
      </c>
      <c r="M1920" s="8"/>
    </row>
    <row r="1921" spans="1:13" x14ac:dyDescent="0.25">
      <c r="A1921" s="71" t="s">
        <v>3741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1004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3742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1004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3743</v>
      </c>
      <c r="B1923" s="67">
        <v>16756911856</v>
      </c>
      <c r="C1923" s="72" t="s">
        <v>3744</v>
      </c>
      <c r="D1923" s="69">
        <v>10411415808</v>
      </c>
      <c r="E1923" s="9">
        <v>1752</v>
      </c>
      <c r="F1923" s="25">
        <v>43051</v>
      </c>
      <c r="G1923" s="70" t="s">
        <v>1004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3745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3746</v>
      </c>
      <c r="B1925" s="67"/>
      <c r="C1925" s="72" t="s">
        <v>3747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3748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1010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3749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3750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1004</v>
      </c>
      <c r="H1928" s="9"/>
      <c r="I1928" s="8"/>
      <c r="J1928" s="8"/>
      <c r="K1928" s="8"/>
      <c r="L1928" s="9" t="s">
        <v>1490</v>
      </c>
      <c r="M1928" s="8"/>
    </row>
    <row r="1929" spans="1:13" x14ac:dyDescent="0.25">
      <c r="A1929" s="29" t="s">
        <v>3751</v>
      </c>
      <c r="B1929" s="67"/>
      <c r="C1929" s="29" t="s">
        <v>1117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3752</v>
      </c>
      <c r="B1930" s="67"/>
      <c r="C1930" s="29" t="s">
        <v>3753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3754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1004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3755</v>
      </c>
      <c r="B1932" s="67">
        <v>30900118830</v>
      </c>
      <c r="C1932" s="72" t="s">
        <v>3756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3757</v>
      </c>
      <c r="B1933" s="67">
        <v>64217299400</v>
      </c>
      <c r="C1933" s="18" t="s">
        <v>3758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3759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3760</v>
      </c>
      <c r="B1935" s="67">
        <v>95875409487</v>
      </c>
      <c r="C1935" s="72" t="s">
        <v>3761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3762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3763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1004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3764</v>
      </c>
      <c r="B1938" s="67">
        <v>26655730325</v>
      </c>
      <c r="C1938" s="72" t="s">
        <v>3765</v>
      </c>
      <c r="D1938" s="69">
        <v>59222891520</v>
      </c>
      <c r="E1938" s="9">
        <v>262</v>
      </c>
      <c r="F1938" s="25">
        <v>43160</v>
      </c>
      <c r="G1938" s="70" t="s">
        <v>1004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3766</v>
      </c>
      <c r="B1939" s="67">
        <v>15696788807</v>
      </c>
      <c r="C1939" s="72" t="s">
        <v>3767</v>
      </c>
      <c r="D1939" s="69">
        <v>4231184801</v>
      </c>
      <c r="E1939" s="9">
        <v>1555</v>
      </c>
      <c r="F1939" s="25">
        <v>43049</v>
      </c>
      <c r="G1939" s="70" t="s">
        <v>1004</v>
      </c>
      <c r="H1939" s="9"/>
      <c r="I1939" s="8"/>
      <c r="J1939" s="8"/>
      <c r="K1939" s="8"/>
      <c r="L1939" s="9" t="s">
        <v>1386</v>
      </c>
      <c r="M1939" s="8"/>
    </row>
    <row r="1940" spans="1:13" x14ac:dyDescent="0.25">
      <c r="A1940" s="71" t="s">
        <v>3768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1010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3769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1004</v>
      </c>
      <c r="H1941" s="9"/>
      <c r="I1941" s="8"/>
      <c r="J1941" s="8"/>
      <c r="K1941" s="8"/>
      <c r="L1941" s="9" t="s">
        <v>1158</v>
      </c>
      <c r="M1941" s="8"/>
    </row>
    <row r="1942" spans="1:13" x14ac:dyDescent="0.25">
      <c r="A1942" s="71" t="s">
        <v>3770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1004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3771</v>
      </c>
      <c r="B1943" s="67">
        <v>1280254688</v>
      </c>
      <c r="C1943" s="72" t="s">
        <v>3772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3773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1004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3774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3775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3776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1004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3777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3777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1004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3777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1004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3778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3779</v>
      </c>
      <c r="B1952" s="67">
        <v>33635659843</v>
      </c>
      <c r="C1952" s="29" t="s">
        <v>3780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3781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1004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3781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1287</v>
      </c>
      <c r="M1954" s="8"/>
    </row>
    <row r="1955" spans="1:13" x14ac:dyDescent="0.25">
      <c r="A1955" s="71" t="s">
        <v>3782</v>
      </c>
      <c r="B1955" s="67">
        <v>36841231880</v>
      </c>
      <c r="C1955" s="77" t="s">
        <v>3783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3784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1004</v>
      </c>
      <c r="H1956" s="9"/>
      <c r="I1956" s="8"/>
      <c r="J1956" s="8"/>
      <c r="K1956" s="8"/>
      <c r="L1956" s="9" t="s">
        <v>1148</v>
      </c>
      <c r="M1956" s="8"/>
    </row>
    <row r="1957" spans="1:13" x14ac:dyDescent="0.25">
      <c r="A1957" s="29" t="s">
        <v>3785</v>
      </c>
      <c r="B1957" s="67"/>
      <c r="C1957" s="29" t="s">
        <v>1117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3786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1004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3787</v>
      </c>
      <c r="B1959" s="67"/>
      <c r="C1959" s="29" t="s">
        <v>3788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3789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3790</v>
      </c>
      <c r="B1961" s="67">
        <v>64404714734</v>
      </c>
      <c r="C1961" s="29" t="s">
        <v>3791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3792</v>
      </c>
      <c r="B1962" s="67">
        <v>29783527878</v>
      </c>
      <c r="C1962" s="29" t="s">
        <v>3793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3794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1004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3795</v>
      </c>
      <c r="B1964" s="67">
        <v>70155356372</v>
      </c>
      <c r="C1964" s="18" t="s">
        <v>3796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3797</v>
      </c>
      <c r="B1965" s="67">
        <v>4350125337</v>
      </c>
      <c r="C1965" s="72" t="s">
        <v>3798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3799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1018</v>
      </c>
      <c r="H1966" s="9"/>
      <c r="I1966" s="8"/>
      <c r="J1966" s="8"/>
      <c r="K1966" s="8"/>
      <c r="L1966" s="9" t="s">
        <v>1241</v>
      </c>
      <c r="M1966" s="8"/>
    </row>
    <row r="1967" spans="1:13" x14ac:dyDescent="0.25">
      <c r="A1967" s="72" t="s">
        <v>3800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1004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3801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3802</v>
      </c>
      <c r="B1969" s="67"/>
      <c r="C1969" s="29" t="s">
        <v>1117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3803</v>
      </c>
      <c r="B1970" s="67">
        <v>49628474812</v>
      </c>
      <c r="C1970" s="72" t="s">
        <v>3804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3805</v>
      </c>
      <c r="B1971" s="67">
        <v>37473032852</v>
      </c>
      <c r="C1971" s="72" t="s">
        <v>3806</v>
      </c>
      <c r="D1971" s="69">
        <v>21894541820</v>
      </c>
      <c r="E1971" s="9">
        <v>1824</v>
      </c>
      <c r="F1971" s="25">
        <v>43091</v>
      </c>
      <c r="G1971" s="70" t="s">
        <v>1018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3807</v>
      </c>
      <c r="B1972" s="67">
        <v>36383878875</v>
      </c>
      <c r="C1972" s="72" t="s">
        <v>3808</v>
      </c>
      <c r="D1972" s="69">
        <v>39907872849</v>
      </c>
      <c r="E1972" s="9">
        <v>117</v>
      </c>
      <c r="F1972" s="25">
        <v>43117</v>
      </c>
      <c r="G1972" s="70" t="s">
        <v>1010</v>
      </c>
      <c r="H1972" s="9"/>
      <c r="I1972" s="8"/>
      <c r="J1972" s="8"/>
      <c r="K1972" s="8"/>
      <c r="L1972" s="9" t="s">
        <v>1158</v>
      </c>
      <c r="M1972" s="8"/>
    </row>
    <row r="1973" spans="1:13" x14ac:dyDescent="0.25">
      <c r="A1973" s="71" t="s">
        <v>3809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1004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3810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1004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3810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1004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3810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1004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3811</v>
      </c>
      <c r="B1977" s="80">
        <v>87102331487</v>
      </c>
      <c r="C1977" s="81" t="s">
        <v>3812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1126</v>
      </c>
      <c r="M1977" s="49"/>
    </row>
    <row r="1978" spans="1:13" x14ac:dyDescent="0.25">
      <c r="A1978" s="15" t="s">
        <v>3813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1004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3814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1004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3815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1004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3816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1004</v>
      </c>
      <c r="H1981" s="9"/>
      <c r="I1981" s="8"/>
      <c r="J1981" s="8"/>
      <c r="K1981" s="8"/>
      <c r="L1981" s="9" t="s">
        <v>1158</v>
      </c>
      <c r="M1981" s="8"/>
    </row>
    <row r="1982" spans="1:13" x14ac:dyDescent="0.25">
      <c r="A1982" s="71" t="s">
        <v>3817</v>
      </c>
      <c r="B1982" s="67">
        <v>18360384886</v>
      </c>
      <c r="C1982" s="72" t="s">
        <v>3818</v>
      </c>
      <c r="D1982" s="69">
        <v>28828648848</v>
      </c>
      <c r="E1982" s="9">
        <v>1214</v>
      </c>
      <c r="F1982" s="25">
        <v>42989</v>
      </c>
      <c r="G1982" s="70" t="s">
        <v>1004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3819</v>
      </c>
      <c r="B1983" s="67">
        <v>8224204812</v>
      </c>
      <c r="C1983" s="72" t="s">
        <v>3820</v>
      </c>
      <c r="D1983" s="69">
        <v>5373139823</v>
      </c>
      <c r="E1983" s="9">
        <v>1752</v>
      </c>
      <c r="F1983" s="25">
        <v>43051</v>
      </c>
      <c r="G1983" s="70" t="s">
        <v>1004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3821</v>
      </c>
      <c r="B1984" s="67">
        <v>61232386200</v>
      </c>
      <c r="C1984" s="72" t="s">
        <v>3822</v>
      </c>
      <c r="D1984" s="69">
        <v>30971900310</v>
      </c>
      <c r="E1984" s="9">
        <v>1267</v>
      </c>
      <c r="F1984" s="25">
        <v>42998</v>
      </c>
      <c r="G1984" s="70" t="s">
        <v>1004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3823</v>
      </c>
      <c r="B1985" s="67">
        <v>68688210420</v>
      </c>
      <c r="C1985" s="32" t="s">
        <v>3824</v>
      </c>
      <c r="D1985" s="69">
        <v>3241531805</v>
      </c>
      <c r="E1985" s="9">
        <v>1570</v>
      </c>
      <c r="F1985" s="25">
        <v>43077</v>
      </c>
      <c r="G1985" s="70" t="s">
        <v>1004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3825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1004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3826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1004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3827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3828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1004</v>
      </c>
      <c r="H1989" s="9"/>
      <c r="I1989" s="8"/>
      <c r="J1989" s="8"/>
      <c r="K1989" s="8"/>
      <c r="L1989" s="9" t="s">
        <v>1126</v>
      </c>
      <c r="M1989" s="8"/>
    </row>
    <row r="1990" spans="1:13" x14ac:dyDescent="0.25">
      <c r="A1990" s="71" t="s">
        <v>3829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1004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3830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3831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3832</v>
      </c>
      <c r="B1993" s="67">
        <v>22566146896</v>
      </c>
      <c r="C1993" s="72" t="s">
        <v>3833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3834</v>
      </c>
      <c r="B1994" s="67">
        <v>27957199836</v>
      </c>
      <c r="C1994" s="72" t="s">
        <v>3835</v>
      </c>
      <c r="D1994" s="69">
        <v>14369564808</v>
      </c>
      <c r="E1994" s="9">
        <v>292</v>
      </c>
      <c r="F1994" s="25">
        <v>43168</v>
      </c>
      <c r="G1994" s="70" t="s">
        <v>1004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3836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1004</v>
      </c>
      <c r="H1995" s="9"/>
      <c r="I1995" s="8"/>
      <c r="J1995" s="8"/>
      <c r="K1995" s="8"/>
      <c r="L1995" s="9" t="s">
        <v>1386</v>
      </c>
      <c r="M1995" s="8"/>
    </row>
    <row r="1996" spans="1:13" x14ac:dyDescent="0.25">
      <c r="A1996" s="18" t="s">
        <v>3837</v>
      </c>
      <c r="B1996" s="67"/>
      <c r="C1996" s="18" t="s">
        <v>3838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3839</v>
      </c>
      <c r="B1997" s="67">
        <v>12723195805</v>
      </c>
      <c r="C1997" s="72" t="s">
        <v>3840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3841</v>
      </c>
      <c r="B1998" s="67">
        <v>15731373833</v>
      </c>
      <c r="C1998" s="75" t="s">
        <v>3842</v>
      </c>
      <c r="D1998" s="69">
        <v>12858074801</v>
      </c>
      <c r="E1998" s="9">
        <v>1106</v>
      </c>
      <c r="F1998" s="25">
        <v>42965</v>
      </c>
      <c r="G1998" s="70" t="s">
        <v>1010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3843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1004</v>
      </c>
      <c r="H1999" s="9"/>
      <c r="I1999" s="8"/>
      <c r="J1999" s="8"/>
      <c r="K1999" s="8"/>
      <c r="L1999" s="9" t="s">
        <v>1126</v>
      </c>
      <c r="M1999" s="8"/>
    </row>
    <row r="2000" spans="1:13" x14ac:dyDescent="0.25">
      <c r="A2000" s="71" t="s">
        <v>3844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3845</v>
      </c>
      <c r="B2001" s="67">
        <v>38402878806</v>
      </c>
      <c r="C2001" s="72" t="s">
        <v>3846</v>
      </c>
      <c r="D2001" s="69">
        <v>23700547862</v>
      </c>
      <c r="E2001" s="9">
        <v>262</v>
      </c>
      <c r="F2001" s="25">
        <v>43160</v>
      </c>
      <c r="G2001" s="9" t="s">
        <v>1004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3847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3848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3849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3850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3851</v>
      </c>
      <c r="B2006" s="67">
        <v>27023833862</v>
      </c>
      <c r="C2006" s="29" t="s">
        <v>3852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3853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3854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1004</v>
      </c>
      <c r="H2008" s="9"/>
      <c r="I2008" s="8"/>
      <c r="J2008" s="8"/>
      <c r="K2008" s="8"/>
      <c r="L2008" s="9" t="s">
        <v>1158</v>
      </c>
      <c r="M2008" s="8"/>
    </row>
    <row r="2009" spans="1:13" x14ac:dyDescent="0.25">
      <c r="A2009" s="71" t="s">
        <v>3855</v>
      </c>
      <c r="B2009" s="67">
        <v>38815800344</v>
      </c>
      <c r="C2009" s="72" t="s">
        <v>3856</v>
      </c>
      <c r="D2009" s="69">
        <v>39085252334</v>
      </c>
      <c r="E2009" s="9">
        <v>85</v>
      </c>
      <c r="F2009" s="25">
        <v>43109</v>
      </c>
      <c r="G2009" s="70" t="s">
        <v>1004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3857</v>
      </c>
      <c r="B2010" s="67">
        <v>36154299826</v>
      </c>
      <c r="C2010" s="72" t="s">
        <v>3858</v>
      </c>
      <c r="D2010" s="69">
        <v>34489273843</v>
      </c>
      <c r="E2010" s="9">
        <v>1267</v>
      </c>
      <c r="F2010" s="25">
        <v>42998</v>
      </c>
      <c r="G2010" s="70" t="s">
        <v>1010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3859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1004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3860</v>
      </c>
      <c r="B2012" s="67"/>
      <c r="C2012" s="18" t="s">
        <v>1117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3861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3862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1004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3863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1004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3864</v>
      </c>
      <c r="B2016" s="67">
        <v>64174182434</v>
      </c>
      <c r="C2016" s="72" t="s">
        <v>3865</v>
      </c>
      <c r="D2016" s="69">
        <v>98105183587</v>
      </c>
      <c r="E2016" s="9">
        <v>262</v>
      </c>
      <c r="F2016" s="25">
        <v>43160</v>
      </c>
      <c r="G2016" s="70" t="s">
        <v>1004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3866</v>
      </c>
      <c r="B2017" s="67">
        <v>4148505485</v>
      </c>
      <c r="C2017" s="29" t="s">
        <v>3867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3868</v>
      </c>
      <c r="B2018" s="67">
        <v>39364828372</v>
      </c>
      <c r="C2018" s="72" t="s">
        <v>3869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3870</v>
      </c>
      <c r="B2019" s="67">
        <v>82046042468</v>
      </c>
      <c r="C2019" s="72" t="s">
        <v>3871</v>
      </c>
      <c r="D2019" s="69">
        <v>88251098491</v>
      </c>
      <c r="E2019" s="9">
        <v>85</v>
      </c>
      <c r="F2019" s="25">
        <v>43109</v>
      </c>
      <c r="G2019" s="70" t="s">
        <v>1004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3872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1004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3873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1004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3874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1004</v>
      </c>
      <c r="H2022" s="9"/>
      <c r="I2022" s="8"/>
      <c r="J2022" s="8"/>
      <c r="K2022" s="8"/>
      <c r="L2022" s="9" t="s">
        <v>1241</v>
      </c>
      <c r="M2022" s="8"/>
    </row>
    <row r="2023" spans="1:13" x14ac:dyDescent="0.25">
      <c r="A2023" s="72" t="s">
        <v>3875</v>
      </c>
      <c r="B2023" s="67">
        <v>37806851836</v>
      </c>
      <c r="C2023" s="72" t="s">
        <v>3876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3877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3878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3879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3880</v>
      </c>
      <c r="B2027" s="67">
        <v>27506021811</v>
      </c>
      <c r="C2027" s="72" t="s">
        <v>3881</v>
      </c>
      <c r="D2027" s="69">
        <v>13130281851</v>
      </c>
      <c r="E2027" s="9">
        <v>810</v>
      </c>
      <c r="F2027" s="25">
        <v>42915</v>
      </c>
      <c r="G2027" s="70" t="s">
        <v>1004</v>
      </c>
      <c r="H2027" s="9"/>
      <c r="I2027" s="8"/>
      <c r="J2027" s="8"/>
      <c r="K2027" s="8"/>
      <c r="L2027" s="9" t="s">
        <v>1126</v>
      </c>
      <c r="M2027" s="8"/>
    </row>
    <row r="2028" spans="1:13" x14ac:dyDescent="0.25">
      <c r="A2028" s="15" t="s">
        <v>3882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1004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3883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1004</v>
      </c>
      <c r="H2029" s="9"/>
      <c r="I2029" s="8"/>
      <c r="J2029" s="8"/>
      <c r="K2029" s="8"/>
      <c r="L2029" s="9" t="s">
        <v>1241</v>
      </c>
      <c r="M2029" s="8"/>
    </row>
    <row r="2030" spans="1:13" x14ac:dyDescent="0.25">
      <c r="A2030" s="15" t="s">
        <v>3884</v>
      </c>
      <c r="B2030" s="67">
        <v>660919346</v>
      </c>
      <c r="C2030" s="72" t="s">
        <v>3885</v>
      </c>
      <c r="D2030" s="69">
        <v>296516384</v>
      </c>
      <c r="E2030" s="9">
        <v>262</v>
      </c>
      <c r="F2030" s="25">
        <v>43160</v>
      </c>
      <c r="G2030" s="70" t="s">
        <v>1010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3886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1004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3887</v>
      </c>
      <c r="B2032" s="67">
        <v>55075746500</v>
      </c>
      <c r="C2032" s="72" t="s">
        <v>3888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3889</v>
      </c>
      <c r="B2033" s="67">
        <v>34549590807</v>
      </c>
      <c r="C2033" s="72" t="s">
        <v>3890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3891</v>
      </c>
      <c r="B2034" s="67"/>
      <c r="C2034" s="18" t="s">
        <v>1117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3892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3893</v>
      </c>
      <c r="B2036" s="67">
        <v>41292199873</v>
      </c>
      <c r="C2036" s="72" t="s">
        <v>3894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3895</v>
      </c>
      <c r="B2037" s="67"/>
      <c r="C2037" s="29" t="s">
        <v>1117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3896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3897</v>
      </c>
      <c r="B2039" s="67">
        <v>42318039860</v>
      </c>
      <c r="C2039" s="72" t="s">
        <v>3898</v>
      </c>
      <c r="D2039" s="69">
        <v>23059375801</v>
      </c>
      <c r="E2039" s="9">
        <v>85</v>
      </c>
      <c r="F2039" s="25">
        <v>43109</v>
      </c>
      <c r="G2039" s="70" t="s">
        <v>1004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3899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1004</v>
      </c>
      <c r="H2040" s="9"/>
      <c r="I2040" s="8"/>
      <c r="J2040" s="8"/>
      <c r="K2040" s="8"/>
      <c r="L2040" s="9" t="s">
        <v>1126</v>
      </c>
      <c r="M2040" s="8"/>
    </row>
    <row r="2041" spans="1:13" x14ac:dyDescent="0.25">
      <c r="A2041" s="71" t="s">
        <v>3900</v>
      </c>
      <c r="B2041" s="67">
        <v>2693234573</v>
      </c>
      <c r="C2041" s="71" t="s">
        <v>3901</v>
      </c>
      <c r="D2041" s="69">
        <v>36131987890</v>
      </c>
      <c r="E2041" s="9">
        <v>292</v>
      </c>
      <c r="F2041" s="25">
        <v>43168</v>
      </c>
      <c r="G2041" s="9" t="s">
        <v>1004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3902</v>
      </c>
      <c r="B2042" s="67">
        <v>19677621807</v>
      </c>
      <c r="C2042" s="72" t="s">
        <v>3903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3904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1004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3905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3906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1004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3907</v>
      </c>
      <c r="B2046" s="67">
        <v>22583603825</v>
      </c>
      <c r="C2046" s="72" t="s">
        <v>3908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3909</v>
      </c>
      <c r="B2047" s="67">
        <v>14858077861</v>
      </c>
      <c r="C2047" s="15" t="s">
        <v>3910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3911</v>
      </c>
      <c r="B2048" s="67">
        <v>32291860879</v>
      </c>
      <c r="C2048" s="29" t="s">
        <v>3912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3913</v>
      </c>
      <c r="B2049" s="67">
        <v>76396126320</v>
      </c>
      <c r="C2049" s="72" t="s">
        <v>3914</v>
      </c>
      <c r="D2049" s="69">
        <v>62133390510</v>
      </c>
      <c r="E2049" s="9">
        <v>1262</v>
      </c>
      <c r="F2049" s="25">
        <v>42997</v>
      </c>
      <c r="G2049" s="70" t="s">
        <v>1004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3915</v>
      </c>
      <c r="B2050" s="67">
        <v>34303186880</v>
      </c>
      <c r="C2050" s="72" t="s">
        <v>3916</v>
      </c>
      <c r="D2050" s="69">
        <v>39695431852</v>
      </c>
      <c r="E2050" s="9">
        <v>1570</v>
      </c>
      <c r="F2050" s="25">
        <v>43077</v>
      </c>
      <c r="G2050" s="70" t="s">
        <v>1004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3917</v>
      </c>
      <c r="B2051" s="67">
        <v>14331980880</v>
      </c>
      <c r="C2051" s="8" t="s">
        <v>3918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3917</v>
      </c>
      <c r="B2052" s="67">
        <v>14331980880</v>
      </c>
      <c r="C2052" s="77" t="s">
        <v>3918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3919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3920</v>
      </c>
      <c r="B2054" s="67"/>
      <c r="C2054" s="29" t="s">
        <v>3921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3922</v>
      </c>
      <c r="B2055" s="67">
        <v>31662836848</v>
      </c>
      <c r="C2055" s="72" t="s">
        <v>3923</v>
      </c>
      <c r="D2055" s="69">
        <v>12871784809</v>
      </c>
      <c r="E2055" s="9">
        <v>1570</v>
      </c>
      <c r="F2055" s="25">
        <v>43077</v>
      </c>
      <c r="G2055" s="70" t="s">
        <v>1004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3924</v>
      </c>
      <c r="B2056" s="67">
        <v>39000389372</v>
      </c>
      <c r="C2056" s="72" t="s">
        <v>3925</v>
      </c>
      <c r="D2056" s="69">
        <v>14683732858</v>
      </c>
      <c r="E2056" s="9">
        <v>1417</v>
      </c>
      <c r="F2056" s="25">
        <v>43017</v>
      </c>
      <c r="G2056" s="70" t="s">
        <v>1004</v>
      </c>
      <c r="H2056" s="9"/>
      <c r="I2056" s="8"/>
      <c r="J2056" s="8"/>
      <c r="K2056" s="8"/>
      <c r="L2056" s="9" t="s">
        <v>1241</v>
      </c>
      <c r="M2056" s="8"/>
    </row>
    <row r="2057" spans="1:13" x14ac:dyDescent="0.25">
      <c r="A2057" s="18" t="s">
        <v>3926</v>
      </c>
      <c r="B2057" s="67">
        <v>10349044856</v>
      </c>
      <c r="C2057" s="18" t="s">
        <v>3197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3927</v>
      </c>
      <c r="B2058" s="67">
        <v>25058845873</v>
      </c>
      <c r="C2058" s="71" t="s">
        <v>3928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3929</v>
      </c>
      <c r="B2059" s="67"/>
      <c r="C2059" s="29" t="s">
        <v>3930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3931</v>
      </c>
      <c r="B2060" s="67">
        <v>5088717431</v>
      </c>
      <c r="C2060" s="72" t="s">
        <v>3932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1287</v>
      </c>
      <c r="M2060" s="8"/>
    </row>
    <row r="2061" spans="1:13" x14ac:dyDescent="0.25">
      <c r="A2061" s="13" t="s">
        <v>3933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1004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3934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3935</v>
      </c>
      <c r="B2063" s="67">
        <v>33517044881</v>
      </c>
      <c r="C2063" s="72" t="s">
        <v>3936</v>
      </c>
      <c r="D2063" s="69">
        <v>28076571847</v>
      </c>
      <c r="E2063" s="9">
        <v>85</v>
      </c>
      <c r="F2063" s="25">
        <v>43109</v>
      </c>
      <c r="G2063" s="93" t="s">
        <v>1010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3937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1004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3938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3939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1004</v>
      </c>
      <c r="H2066" s="9"/>
      <c r="I2066" s="8"/>
      <c r="J2066" s="8"/>
      <c r="K2066" s="8"/>
      <c r="L2066" s="9" t="s">
        <v>1386</v>
      </c>
      <c r="M2066" s="8"/>
    </row>
    <row r="2067" spans="1:13" x14ac:dyDescent="0.25">
      <c r="A2067" s="71" t="s">
        <v>3940</v>
      </c>
      <c r="B2067" s="67">
        <v>16488724843</v>
      </c>
      <c r="C2067" s="73" t="s">
        <v>3941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3942</v>
      </c>
      <c r="B2068" s="67">
        <v>22230898876</v>
      </c>
      <c r="C2068" s="18" t="s">
        <v>1117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3943</v>
      </c>
      <c r="B2069" s="67">
        <v>1218219866</v>
      </c>
      <c r="C2069" s="18" t="s">
        <v>1117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3944</v>
      </c>
      <c r="B2070" s="67">
        <v>75696312772</v>
      </c>
      <c r="C2070" s="77" t="s">
        <v>3945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3946</v>
      </c>
      <c r="B2071" s="67">
        <v>12772099873</v>
      </c>
      <c r="C2071" s="29" t="s">
        <v>3947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3948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1287</v>
      </c>
      <c r="M2072" s="8"/>
    </row>
    <row r="2073" spans="1:13" x14ac:dyDescent="0.25">
      <c r="A2073" s="18" t="s">
        <v>1405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1405</v>
      </c>
      <c r="B2074" s="67">
        <v>40312801491</v>
      </c>
      <c r="C2074" s="72" t="s">
        <v>3949</v>
      </c>
      <c r="D2074" s="69">
        <v>36270235823</v>
      </c>
      <c r="E2074" s="9">
        <v>810</v>
      </c>
      <c r="F2074" s="25">
        <v>42915</v>
      </c>
      <c r="G2074" s="70" t="s">
        <v>1004</v>
      </c>
      <c r="H2074" s="9"/>
      <c r="I2074" s="8"/>
      <c r="J2074" s="8"/>
      <c r="K2074" s="8"/>
      <c r="L2074" s="9" t="s">
        <v>1126</v>
      </c>
      <c r="M2074" s="8"/>
    </row>
    <row r="2075" spans="1:13" x14ac:dyDescent="0.25">
      <c r="A2075" s="71" t="s">
        <v>1405</v>
      </c>
      <c r="B2075" s="67">
        <v>13016641895</v>
      </c>
      <c r="C2075" s="72" t="s">
        <v>3950</v>
      </c>
      <c r="D2075" s="69">
        <v>2681565731</v>
      </c>
      <c r="E2075" s="9">
        <v>810</v>
      </c>
      <c r="F2075" s="25">
        <v>42915</v>
      </c>
      <c r="G2075" s="70" t="s">
        <v>1004</v>
      </c>
      <c r="H2075" s="9"/>
      <c r="I2075" s="8"/>
      <c r="J2075" s="8"/>
      <c r="K2075" s="8"/>
      <c r="L2075" s="9" t="s">
        <v>1126</v>
      </c>
      <c r="M2075" s="8"/>
    </row>
    <row r="2076" spans="1:13" x14ac:dyDescent="0.25">
      <c r="A2076" s="71" t="s">
        <v>3951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3952</v>
      </c>
      <c r="B2077" s="67">
        <v>18472653838</v>
      </c>
      <c r="C2077" s="72" t="s">
        <v>3953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3954</v>
      </c>
      <c r="B2078" s="67"/>
      <c r="C2078" s="18" t="s">
        <v>1117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3955</v>
      </c>
      <c r="B2079" s="67">
        <v>21531362885</v>
      </c>
      <c r="C2079" s="72" t="s">
        <v>3956</v>
      </c>
      <c r="D2079" s="69">
        <v>27454333850</v>
      </c>
      <c r="E2079" s="9">
        <v>117</v>
      </c>
      <c r="F2079" s="25">
        <v>43117</v>
      </c>
      <c r="G2079" s="70" t="s">
        <v>1004</v>
      </c>
      <c r="H2079" s="9"/>
      <c r="I2079" s="8"/>
      <c r="J2079" s="8"/>
      <c r="K2079" s="8"/>
      <c r="L2079" s="9" t="s">
        <v>1158</v>
      </c>
      <c r="M2079" s="8"/>
    </row>
    <row r="2080" spans="1:13" x14ac:dyDescent="0.25">
      <c r="A2080" s="13" t="s">
        <v>3955</v>
      </c>
      <c r="B2080" s="67">
        <v>35537854899</v>
      </c>
      <c r="C2080" s="72" t="s">
        <v>3957</v>
      </c>
      <c r="D2080" s="69">
        <v>35365081897</v>
      </c>
      <c r="E2080" s="9">
        <v>1128</v>
      </c>
      <c r="F2080" s="25">
        <v>42972</v>
      </c>
      <c r="G2080" s="70" t="s">
        <v>1004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3958</v>
      </c>
      <c r="B2081" s="67"/>
      <c r="C2081" s="29" t="s">
        <v>3959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3960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1004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3961</v>
      </c>
      <c r="B2083" s="67">
        <v>35483702840</v>
      </c>
      <c r="C2083" s="72" t="s">
        <v>3962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3963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1004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3964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1287</v>
      </c>
      <c r="M2085" s="8"/>
    </row>
    <row r="2086" spans="1:13" x14ac:dyDescent="0.25">
      <c r="A2086" s="72" t="s">
        <v>3965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3966</v>
      </c>
      <c r="B2087" s="67">
        <v>3322258440</v>
      </c>
      <c r="C2087" s="18" t="s">
        <v>3967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3968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3969</v>
      </c>
      <c r="B2089" s="67"/>
      <c r="C2089" s="18" t="s">
        <v>1117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3970</v>
      </c>
      <c r="B2090" s="67">
        <v>25564758897</v>
      </c>
      <c r="C2090" s="72" t="s">
        <v>3971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3972</v>
      </c>
      <c r="B2091" s="67">
        <v>9722276875</v>
      </c>
      <c r="C2091" s="72" t="s">
        <v>3973</v>
      </c>
      <c r="D2091" s="69">
        <v>7777516825</v>
      </c>
      <c r="E2091" s="9">
        <v>810</v>
      </c>
      <c r="F2091" s="25">
        <v>42915</v>
      </c>
      <c r="G2091" s="70" t="s">
        <v>1004</v>
      </c>
      <c r="H2091" s="9"/>
      <c r="I2091" s="8"/>
      <c r="J2091" s="8"/>
      <c r="K2091" s="8"/>
      <c r="L2091" s="9" t="s">
        <v>1126</v>
      </c>
      <c r="M2091" s="8"/>
    </row>
    <row r="2092" spans="1:13" x14ac:dyDescent="0.25">
      <c r="A2092" s="71" t="s">
        <v>3974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3975</v>
      </c>
      <c r="B2093" s="67">
        <v>27192176893</v>
      </c>
      <c r="C2093" s="68" t="s">
        <v>3976</v>
      </c>
      <c r="D2093" s="69">
        <v>8367664825</v>
      </c>
      <c r="E2093" s="9">
        <v>608</v>
      </c>
      <c r="F2093" s="25">
        <v>43012</v>
      </c>
      <c r="G2093" s="70" t="s">
        <v>1004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3977</v>
      </c>
      <c r="B2094" s="67">
        <v>16514255825</v>
      </c>
      <c r="C2094" s="18" t="s">
        <v>3978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3979</v>
      </c>
      <c r="B2095" s="67">
        <v>4809644324</v>
      </c>
      <c r="C2095" s="72" t="s">
        <v>3980</v>
      </c>
      <c r="D2095" s="69">
        <v>31827963808</v>
      </c>
      <c r="E2095" s="9">
        <v>1214</v>
      </c>
      <c r="F2095" s="25">
        <v>42989</v>
      </c>
      <c r="G2095" s="70" t="s">
        <v>1004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3981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1004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3982</v>
      </c>
      <c r="B2097" s="67">
        <v>11894918428</v>
      </c>
      <c r="C2097" s="72" t="s">
        <v>3983</v>
      </c>
      <c r="D2097" s="69">
        <v>37623185810</v>
      </c>
      <c r="E2097" s="9">
        <v>810</v>
      </c>
      <c r="F2097" s="25">
        <v>42915</v>
      </c>
      <c r="G2097" s="70" t="s">
        <v>1004</v>
      </c>
      <c r="H2097" s="9"/>
      <c r="I2097" s="8"/>
      <c r="J2097" s="8"/>
      <c r="K2097" s="8"/>
      <c r="L2097" s="9" t="s">
        <v>1126</v>
      </c>
      <c r="M2097" s="8"/>
    </row>
    <row r="2098" spans="1:13" x14ac:dyDescent="0.25">
      <c r="A2098" s="15" t="s">
        <v>3984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1004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3985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3986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1287</v>
      </c>
      <c r="M2100" s="8"/>
    </row>
    <row r="2101" spans="1:13" x14ac:dyDescent="0.25">
      <c r="A2101" s="15" t="s">
        <v>3987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3988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1004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3989</v>
      </c>
      <c r="B2103" s="67"/>
      <c r="C2103" s="29" t="s">
        <v>1117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3990</v>
      </c>
      <c r="B2104" s="67">
        <v>4241745377</v>
      </c>
      <c r="C2104" s="72" t="s">
        <v>3991</v>
      </c>
      <c r="D2104" s="69">
        <v>4417028303</v>
      </c>
      <c r="E2104" s="9">
        <v>85</v>
      </c>
      <c r="F2104" s="25">
        <v>43109</v>
      </c>
      <c r="G2104" s="70" t="s">
        <v>1004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3992</v>
      </c>
      <c r="B2105" s="67"/>
      <c r="C2105" s="29" t="s">
        <v>3993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3994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1004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3995</v>
      </c>
      <c r="B2107" s="67">
        <v>2182682708</v>
      </c>
      <c r="C2107" s="72" t="s">
        <v>3996</v>
      </c>
      <c r="D2107" s="69">
        <v>1409950727</v>
      </c>
      <c r="E2107" s="9">
        <v>810</v>
      </c>
      <c r="F2107" s="25">
        <v>42915</v>
      </c>
      <c r="G2107" s="70" t="s">
        <v>1018</v>
      </c>
      <c r="H2107" s="9"/>
      <c r="I2107" s="8"/>
      <c r="J2107" s="8"/>
      <c r="K2107" s="8"/>
      <c r="L2107" s="9" t="s">
        <v>1126</v>
      </c>
      <c r="M2107" s="8"/>
    </row>
    <row r="2108" spans="1:13" x14ac:dyDescent="0.25">
      <c r="A2108" s="71" t="s">
        <v>3997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3998</v>
      </c>
      <c r="B2109" s="67">
        <v>11694151808</v>
      </c>
      <c r="C2109" s="72" t="s">
        <v>3999</v>
      </c>
      <c r="D2109" s="69">
        <v>29721167800</v>
      </c>
      <c r="E2109" s="9">
        <v>485</v>
      </c>
      <c r="F2109" s="25">
        <v>43196</v>
      </c>
      <c r="G2109" s="70" t="s">
        <v>1010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4000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1004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4001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4002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1004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4003</v>
      </c>
      <c r="B2113" s="67">
        <v>24613427843</v>
      </c>
      <c r="C2113" s="72" t="s">
        <v>4004</v>
      </c>
      <c r="D2113" s="69">
        <v>6003706821</v>
      </c>
      <c r="E2113" s="9">
        <v>810</v>
      </c>
      <c r="F2113" s="25">
        <v>42915</v>
      </c>
      <c r="G2113" s="70" t="s">
        <v>1004</v>
      </c>
      <c r="H2113" s="76">
        <v>43213</v>
      </c>
      <c r="I2113" s="8"/>
      <c r="J2113" s="8"/>
      <c r="K2113" s="8"/>
      <c r="L2113" s="9" t="s">
        <v>1126</v>
      </c>
      <c r="M2113" s="8"/>
    </row>
    <row r="2114" spans="1:13" x14ac:dyDescent="0.25">
      <c r="A2114" s="72" t="s">
        <v>4005</v>
      </c>
      <c r="B2114" s="67">
        <v>61234508400</v>
      </c>
      <c r="C2114" s="72" t="s">
        <v>4006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4007</v>
      </c>
      <c r="B2115" s="67"/>
      <c r="C2115" s="18" t="s">
        <v>1117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4008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1004</v>
      </c>
      <c r="H2116" s="76">
        <v>43213</v>
      </c>
      <c r="I2116" s="8"/>
      <c r="J2116" s="8"/>
      <c r="K2116" s="8"/>
      <c r="L2116" s="9" t="s">
        <v>1126</v>
      </c>
      <c r="M2116" s="8"/>
    </row>
    <row r="2117" spans="1:13" x14ac:dyDescent="0.25">
      <c r="A2117" s="71" t="s">
        <v>4009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1018</v>
      </c>
      <c r="H2117" s="76">
        <v>43213</v>
      </c>
      <c r="I2117" s="8"/>
      <c r="J2117" s="8"/>
      <c r="K2117" s="8"/>
      <c r="L2117" s="9" t="s">
        <v>1386</v>
      </c>
      <c r="M2117" s="8"/>
    </row>
    <row r="2118" spans="1:13" x14ac:dyDescent="0.25">
      <c r="A2118" s="71" t="s">
        <v>4010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4011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4012</v>
      </c>
      <c r="B2120" s="67">
        <v>3493507364</v>
      </c>
      <c r="C2120" s="72" t="s">
        <v>4013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4014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1004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4015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1004</v>
      </c>
      <c r="H2122" s="9"/>
      <c r="I2122" s="8"/>
      <c r="J2122" s="8"/>
      <c r="K2122" s="8"/>
      <c r="L2122" s="9" t="s">
        <v>1126</v>
      </c>
      <c r="M2122" s="8"/>
    </row>
    <row r="2123" spans="1:13" x14ac:dyDescent="0.25">
      <c r="A2123" s="71" t="s">
        <v>4016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4017</v>
      </c>
      <c r="B2124" s="67">
        <v>31365484858</v>
      </c>
      <c r="C2124" s="71" t="s">
        <v>4018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4019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1004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4020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1004</v>
      </c>
      <c r="H2126" s="9"/>
      <c r="I2126" s="8"/>
      <c r="J2126" s="8"/>
      <c r="K2126" s="8"/>
      <c r="L2126" s="9" t="s">
        <v>1126</v>
      </c>
      <c r="M2126" s="8"/>
    </row>
    <row r="2127" spans="1:13" x14ac:dyDescent="0.25">
      <c r="A2127" s="14" t="s">
        <v>4021</v>
      </c>
      <c r="B2127" s="67">
        <v>69813043504</v>
      </c>
      <c r="C2127" s="72" t="s">
        <v>4022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4023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4024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1004</v>
      </c>
      <c r="H2129" s="9"/>
      <c r="I2129" s="8"/>
      <c r="J2129" s="8"/>
      <c r="K2129" s="8"/>
      <c r="L2129" s="9" t="s">
        <v>1158</v>
      </c>
      <c r="M2129" s="8"/>
    </row>
    <row r="2130" spans="1:13" x14ac:dyDescent="0.25">
      <c r="A2130" s="18" t="s">
        <v>4025</v>
      </c>
      <c r="B2130" s="67">
        <v>15800175845</v>
      </c>
      <c r="C2130" s="18" t="s">
        <v>4026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4027</v>
      </c>
      <c r="B2131" s="67">
        <v>13018290801</v>
      </c>
      <c r="C2131" s="72" t="s">
        <v>4028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4029</v>
      </c>
      <c r="B2132" s="67">
        <v>61505078318</v>
      </c>
      <c r="C2132" s="18" t="s">
        <v>4030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4031</v>
      </c>
      <c r="B2133" s="67">
        <v>6097323824</v>
      </c>
      <c r="C2133" s="72" t="s">
        <v>4032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4033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1004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4034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1004</v>
      </c>
      <c r="H2135" s="76">
        <v>43213</v>
      </c>
      <c r="I2135" s="8"/>
      <c r="J2135" s="8"/>
      <c r="K2135" s="8"/>
      <c r="L2135" s="9" t="s">
        <v>1126</v>
      </c>
      <c r="M2135" s="8"/>
    </row>
    <row r="2136" spans="1:13" x14ac:dyDescent="0.25">
      <c r="A2136" s="71" t="s">
        <v>4035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1004</v>
      </c>
      <c r="H2136" s="76">
        <v>43213</v>
      </c>
      <c r="I2136" s="8"/>
      <c r="J2136" s="8"/>
      <c r="K2136" s="8"/>
      <c r="L2136" s="9" t="s">
        <v>1126</v>
      </c>
      <c r="M2136" s="8"/>
    </row>
    <row r="2137" spans="1:13" x14ac:dyDescent="0.25">
      <c r="A2137" s="71" t="s">
        <v>4036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1004</v>
      </c>
      <c r="H2137" s="76">
        <v>43213</v>
      </c>
      <c r="I2137" s="8"/>
      <c r="J2137" s="8"/>
      <c r="K2137" s="8"/>
      <c r="L2137" s="9" t="s">
        <v>1126</v>
      </c>
      <c r="M2137" s="8"/>
    </row>
    <row r="2138" spans="1:13" x14ac:dyDescent="0.25">
      <c r="A2138" s="71" t="s">
        <v>4037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4038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1004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4039</v>
      </c>
      <c r="B2140" s="67">
        <v>33005130819</v>
      </c>
      <c r="C2140" s="72" t="s">
        <v>4040</v>
      </c>
      <c r="D2140" s="69">
        <v>29843431820</v>
      </c>
      <c r="E2140" s="9">
        <v>117</v>
      </c>
      <c r="F2140" s="25">
        <v>43117</v>
      </c>
      <c r="G2140" s="70" t="s">
        <v>1004</v>
      </c>
      <c r="H2140" s="76">
        <v>43213</v>
      </c>
      <c r="I2140" s="8"/>
      <c r="J2140" s="8"/>
      <c r="K2140" s="8"/>
      <c r="L2140" s="9" t="s">
        <v>1158</v>
      </c>
      <c r="M2140" s="8"/>
    </row>
    <row r="2141" spans="1:13" x14ac:dyDescent="0.25">
      <c r="A2141" s="71" t="s">
        <v>4041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1004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4042</v>
      </c>
      <c r="B2142" s="67">
        <v>42840674866</v>
      </c>
      <c r="C2142" s="72" t="s">
        <v>4043</v>
      </c>
      <c r="D2142" s="69">
        <v>33066015866</v>
      </c>
      <c r="E2142" s="9">
        <v>117</v>
      </c>
      <c r="F2142" s="25">
        <v>43117</v>
      </c>
      <c r="G2142" s="70" t="s">
        <v>1004</v>
      </c>
      <c r="H2142" s="9"/>
      <c r="I2142" s="8"/>
      <c r="J2142" s="8"/>
      <c r="K2142" s="8"/>
      <c r="L2142" s="9" t="s">
        <v>1158</v>
      </c>
      <c r="M2142" s="8"/>
    </row>
    <row r="2143" spans="1:13" x14ac:dyDescent="0.25">
      <c r="A2143" s="71" t="s">
        <v>4044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4045</v>
      </c>
      <c r="B2144" s="67">
        <v>2312065851</v>
      </c>
      <c r="C2144" s="73" t="s">
        <v>4046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4047</v>
      </c>
      <c r="B2145" s="67">
        <v>48549010472</v>
      </c>
      <c r="C2145" s="72" t="s">
        <v>4048</v>
      </c>
      <c r="D2145" s="69">
        <v>7796014830</v>
      </c>
      <c r="E2145" s="9">
        <v>1267</v>
      </c>
      <c r="F2145" s="25">
        <v>42998</v>
      </c>
      <c r="G2145" s="70" t="s">
        <v>1004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4049</v>
      </c>
      <c r="B2146" s="67"/>
      <c r="C2146" s="18" t="s">
        <v>1117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4049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4050</v>
      </c>
      <c r="B2148" s="67">
        <v>38348922890</v>
      </c>
      <c r="C2148" s="72" t="s">
        <v>4051</v>
      </c>
      <c r="D2148" s="69">
        <v>22580367802</v>
      </c>
      <c r="E2148" s="9">
        <v>810</v>
      </c>
      <c r="F2148" s="25">
        <v>42915</v>
      </c>
      <c r="G2148" s="70" t="s">
        <v>1004</v>
      </c>
      <c r="H2148" s="9"/>
      <c r="I2148" s="8"/>
      <c r="J2148" s="8"/>
      <c r="K2148" s="8"/>
      <c r="L2148" s="9" t="s">
        <v>1126</v>
      </c>
      <c r="M2148" s="8"/>
    </row>
    <row r="2149" spans="1:13" x14ac:dyDescent="0.25">
      <c r="A2149" s="72" t="s">
        <v>4052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1004</v>
      </c>
      <c r="H2149" s="9"/>
      <c r="I2149" s="8"/>
      <c r="J2149" s="8"/>
      <c r="K2149" s="8"/>
      <c r="L2149" s="9" t="s">
        <v>1158</v>
      </c>
      <c r="M2149" s="8"/>
    </row>
    <row r="2150" spans="1:13" x14ac:dyDescent="0.25">
      <c r="A2150" s="71" t="s">
        <v>4053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4054</v>
      </c>
      <c r="B2151" s="67">
        <v>36691354800</v>
      </c>
      <c r="C2151" s="72" t="s">
        <v>4055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4056</v>
      </c>
      <c r="B2152" s="67">
        <v>2599679559</v>
      </c>
      <c r="C2152" s="72" t="s">
        <v>4057</v>
      </c>
      <c r="D2152" s="69">
        <v>99002051549</v>
      </c>
      <c r="E2152" s="9">
        <v>1824</v>
      </c>
      <c r="F2152" s="25">
        <v>43091</v>
      </c>
      <c r="G2152" s="70" t="s">
        <v>1018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4058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4059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1004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4060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1004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4061</v>
      </c>
      <c r="B2156" s="67">
        <v>94813078591</v>
      </c>
      <c r="C2156" s="18" t="s">
        <v>4062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4063</v>
      </c>
      <c r="B2157" s="67">
        <v>6522038846</v>
      </c>
      <c r="C2157" s="72" t="s">
        <v>4064</v>
      </c>
      <c r="D2157" s="69">
        <v>390582808</v>
      </c>
      <c r="E2157" s="9">
        <v>292</v>
      </c>
      <c r="F2157" s="25">
        <v>43168</v>
      </c>
      <c r="G2157" s="70" t="s">
        <v>1004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4065</v>
      </c>
      <c r="B2158" s="67">
        <v>70986847402</v>
      </c>
      <c r="C2158" s="72" t="s">
        <v>4066</v>
      </c>
      <c r="D2158" s="69">
        <v>39640099899</v>
      </c>
      <c r="E2158" s="9">
        <v>229</v>
      </c>
      <c r="F2158" s="25">
        <v>43151</v>
      </c>
      <c r="G2158" s="70" t="s">
        <v>1004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4067</v>
      </c>
      <c r="B2159" s="67">
        <v>37737032878</v>
      </c>
      <c r="C2159" s="72" t="s">
        <v>4068</v>
      </c>
      <c r="D2159" s="69">
        <v>24659778819</v>
      </c>
      <c r="E2159" s="9">
        <v>1417</v>
      </c>
      <c r="F2159" s="25">
        <v>43017</v>
      </c>
      <c r="G2159" s="70" t="s">
        <v>1010</v>
      </c>
      <c r="H2159" s="9"/>
      <c r="I2159" s="8"/>
      <c r="J2159" s="8"/>
      <c r="K2159" s="8"/>
      <c r="L2159" s="9" t="s">
        <v>1241</v>
      </c>
      <c r="M2159" s="8"/>
    </row>
    <row r="2160" spans="1:13" x14ac:dyDescent="0.25">
      <c r="A2160" s="71" t="s">
        <v>4069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4070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1004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4071</v>
      </c>
      <c r="B2162" s="67">
        <v>15716959822</v>
      </c>
      <c r="C2162" s="72" t="s">
        <v>4072</v>
      </c>
      <c r="D2162" s="69">
        <v>10451985877</v>
      </c>
      <c r="E2162" s="9">
        <v>262</v>
      </c>
      <c r="F2162" s="25">
        <v>43160</v>
      </c>
      <c r="G2162" s="70" t="s">
        <v>1004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4073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4074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1004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4075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1004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4076</v>
      </c>
      <c r="B2166" s="67">
        <v>32241408875</v>
      </c>
      <c r="C2166" s="72" t="s">
        <v>4077</v>
      </c>
      <c r="D2166" s="69">
        <v>7164250413</v>
      </c>
      <c r="E2166" s="9">
        <v>1824</v>
      </c>
      <c r="F2166" s="25">
        <v>43091</v>
      </c>
      <c r="G2166" s="70" t="s">
        <v>1004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4078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1004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4079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1004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4080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4081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4082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1004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4083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1004</v>
      </c>
      <c r="H2172" s="9"/>
      <c r="I2172" s="8"/>
      <c r="J2172" s="8"/>
      <c r="K2172" s="8"/>
      <c r="L2172" s="9" t="s">
        <v>1241</v>
      </c>
      <c r="M2172" s="8"/>
    </row>
    <row r="2173" spans="1:13" x14ac:dyDescent="0.25">
      <c r="A2173" s="71" t="s">
        <v>4084</v>
      </c>
      <c r="B2173" s="67">
        <v>8983229870</v>
      </c>
      <c r="C2173" s="72" t="s">
        <v>4085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4086</v>
      </c>
      <c r="B2174" s="67">
        <v>9269199894</v>
      </c>
      <c r="C2174" s="72" t="s">
        <v>4087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4088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1004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4089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1004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4090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1004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4091</v>
      </c>
      <c r="B2178" s="67">
        <v>34641758808</v>
      </c>
      <c r="C2178" s="72" t="s">
        <v>4092</v>
      </c>
      <c r="D2178" s="69">
        <v>30083315802</v>
      </c>
      <c r="E2178" s="9">
        <v>810</v>
      </c>
      <c r="F2178" s="25">
        <v>42915</v>
      </c>
      <c r="G2178" s="70" t="s">
        <v>1004</v>
      </c>
      <c r="H2178" s="9"/>
      <c r="I2178" s="8"/>
      <c r="J2178" s="8"/>
      <c r="K2178" s="8"/>
      <c r="L2178" s="9" t="s">
        <v>1126</v>
      </c>
      <c r="M2178" s="8"/>
    </row>
    <row r="2179" spans="1:13" x14ac:dyDescent="0.25">
      <c r="A2179" s="71" t="s">
        <v>4093</v>
      </c>
      <c r="B2179" s="67">
        <v>1335459383</v>
      </c>
      <c r="C2179" s="71" t="s">
        <v>4094</v>
      </c>
      <c r="D2179" s="69">
        <v>2369426381</v>
      </c>
      <c r="E2179" s="9">
        <v>292</v>
      </c>
      <c r="F2179" s="25">
        <v>43168</v>
      </c>
      <c r="G2179" s="70" t="s">
        <v>1004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4095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1004</v>
      </c>
      <c r="H2180" s="9"/>
      <c r="I2180" s="8"/>
      <c r="J2180" s="8"/>
      <c r="K2180" s="8"/>
      <c r="L2180" s="9" t="s">
        <v>1158</v>
      </c>
      <c r="M2180" s="8"/>
    </row>
    <row r="2181" spans="1:13" x14ac:dyDescent="0.25">
      <c r="A2181" s="71" t="s">
        <v>4096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1004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4097</v>
      </c>
      <c r="B2182" s="67">
        <v>38248770826</v>
      </c>
      <c r="C2182" s="29" t="s">
        <v>4098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4099</v>
      </c>
      <c r="B2183" s="67">
        <v>32857847840</v>
      </c>
      <c r="C2183" s="72" t="s">
        <v>4100</v>
      </c>
      <c r="D2183" s="69">
        <v>33885204886</v>
      </c>
      <c r="E2183" s="9">
        <v>810</v>
      </c>
      <c r="F2183" s="25">
        <v>42915</v>
      </c>
      <c r="G2183" s="70" t="s">
        <v>1004</v>
      </c>
      <c r="H2183" s="9"/>
      <c r="I2183" s="8"/>
      <c r="J2183" s="8"/>
      <c r="K2183" s="8"/>
      <c r="L2183" s="9" t="s">
        <v>1126</v>
      </c>
      <c r="M2183" s="8"/>
    </row>
    <row r="2184" spans="1:13" x14ac:dyDescent="0.25">
      <c r="A2184" s="14" t="s">
        <v>4101</v>
      </c>
      <c r="B2184" s="67">
        <v>25367069827</v>
      </c>
      <c r="C2184" s="72" t="s">
        <v>4102</v>
      </c>
      <c r="D2184" s="69">
        <v>28922275855</v>
      </c>
      <c r="E2184" s="9">
        <v>262</v>
      </c>
      <c r="F2184" s="25">
        <v>43160</v>
      </c>
      <c r="G2184" s="70" t="s">
        <v>1010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4103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1004</v>
      </c>
      <c r="H2185" s="9"/>
      <c r="I2185" s="8"/>
      <c r="J2185" s="8"/>
      <c r="K2185" s="8"/>
      <c r="L2185" s="9" t="s">
        <v>1158</v>
      </c>
      <c r="M2185" s="8"/>
    </row>
    <row r="2186" spans="1:13" x14ac:dyDescent="0.25">
      <c r="A2186" s="71" t="s">
        <v>4104</v>
      </c>
      <c r="B2186" s="67">
        <v>29652533866</v>
      </c>
      <c r="C2186" s="72" t="s">
        <v>4105</v>
      </c>
      <c r="D2186" s="69">
        <v>21898199892</v>
      </c>
      <c r="E2186" s="9">
        <v>1752</v>
      </c>
      <c r="F2186" s="25">
        <v>43051</v>
      </c>
      <c r="G2186" s="70" t="s">
        <v>1004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4106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1004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4107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1004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4108</v>
      </c>
      <c r="B2189" s="67">
        <v>34777966836</v>
      </c>
      <c r="C2189" s="72" t="s">
        <v>4109</v>
      </c>
      <c r="D2189" s="69">
        <v>33600648870</v>
      </c>
      <c r="E2189" s="9">
        <v>117</v>
      </c>
      <c r="F2189" s="25">
        <v>43117</v>
      </c>
      <c r="G2189" s="70" t="s">
        <v>1004</v>
      </c>
      <c r="H2189" s="9"/>
      <c r="I2189" s="8"/>
      <c r="J2189" s="8"/>
      <c r="K2189" s="8"/>
      <c r="L2189" s="9" t="s">
        <v>1158</v>
      </c>
      <c r="M2189" s="8"/>
    </row>
    <row r="2190" spans="1:13" x14ac:dyDescent="0.25">
      <c r="A2190" s="29" t="s">
        <v>4110</v>
      </c>
      <c r="B2190" s="67"/>
      <c r="C2190" s="29" t="s">
        <v>4111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4112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1004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4113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4114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1004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4115</v>
      </c>
      <c r="B2194" s="67">
        <v>27082581840</v>
      </c>
      <c r="C2194" s="77" t="s">
        <v>4116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4117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4118</v>
      </c>
      <c r="B2196" s="67">
        <v>40878539859</v>
      </c>
      <c r="C2196" s="72" t="s">
        <v>4119</v>
      </c>
      <c r="D2196" s="69"/>
      <c r="E2196" s="9">
        <v>1489</v>
      </c>
      <c r="F2196" s="25">
        <v>43038</v>
      </c>
      <c r="G2196" s="70" t="s">
        <v>1004</v>
      </c>
      <c r="H2196" s="9"/>
      <c r="I2196" s="8"/>
      <c r="J2196" s="8"/>
      <c r="K2196" s="8"/>
      <c r="L2196" s="9" t="s">
        <v>1148</v>
      </c>
      <c r="M2196" s="8"/>
    </row>
    <row r="2197" spans="1:13" x14ac:dyDescent="0.25">
      <c r="A2197" s="71" t="s">
        <v>4120</v>
      </c>
      <c r="B2197" s="67">
        <v>35643661802</v>
      </c>
      <c r="C2197" s="68" t="s">
        <v>4121</v>
      </c>
      <c r="D2197" s="69">
        <v>34613571898</v>
      </c>
      <c r="E2197" s="9">
        <v>1128</v>
      </c>
      <c r="F2197" s="25">
        <v>42972</v>
      </c>
      <c r="G2197" s="70" t="s">
        <v>1004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4122</v>
      </c>
      <c r="B2198" s="67">
        <v>89251660549</v>
      </c>
      <c r="C2198" s="18" t="s">
        <v>1117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4123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1004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4124</v>
      </c>
      <c r="B2200" s="67">
        <v>28280731814</v>
      </c>
      <c r="C2200" s="68" t="s">
        <v>4125</v>
      </c>
      <c r="D2200" s="69">
        <v>36523032884</v>
      </c>
      <c r="E2200" s="9">
        <v>1128</v>
      </c>
      <c r="F2200" s="25">
        <v>42972</v>
      </c>
      <c r="G2200" s="70" t="s">
        <v>1004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4126</v>
      </c>
      <c r="B2201" s="67">
        <v>12525223802</v>
      </c>
      <c r="C2201" s="68" t="s">
        <v>4127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4128</v>
      </c>
      <c r="B2202" s="67">
        <v>37014825860</v>
      </c>
      <c r="C2202" s="72" t="s">
        <v>4129</v>
      </c>
      <c r="D2202" s="69">
        <v>38869051870</v>
      </c>
      <c r="E2202" s="9">
        <v>1752</v>
      </c>
      <c r="F2202" s="25">
        <v>43051</v>
      </c>
      <c r="G2202" s="70" t="s">
        <v>1004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4130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1004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4131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1004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4132</v>
      </c>
      <c r="B2205" s="67">
        <v>15095801825</v>
      </c>
      <c r="C2205" s="72" t="s">
        <v>4133</v>
      </c>
      <c r="D2205" s="69">
        <v>16417229831</v>
      </c>
      <c r="E2205" s="9">
        <v>85</v>
      </c>
      <c r="F2205" s="25">
        <v>43109</v>
      </c>
      <c r="G2205" s="70" t="s">
        <v>1004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4134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4135</v>
      </c>
      <c r="B2207" s="67">
        <v>58037845249</v>
      </c>
      <c r="C2207" s="72" t="s">
        <v>4136</v>
      </c>
      <c r="D2207" s="69">
        <v>496500333</v>
      </c>
      <c r="E2207" s="9">
        <v>117</v>
      </c>
      <c r="F2207" s="25">
        <v>43117</v>
      </c>
      <c r="G2207" s="70" t="s">
        <v>1004</v>
      </c>
      <c r="H2207" s="9"/>
      <c r="I2207" s="8"/>
      <c r="J2207" s="8"/>
      <c r="K2207" s="8"/>
      <c r="L2207" s="9" t="s">
        <v>1158</v>
      </c>
      <c r="M2207" s="8"/>
    </row>
    <row r="2208" spans="1:13" x14ac:dyDescent="0.25">
      <c r="A2208" s="84" t="s">
        <v>4137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4138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4139</v>
      </c>
      <c r="B2210" s="67">
        <v>4416847858</v>
      </c>
      <c r="C2210" s="72" t="s">
        <v>4140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4141</v>
      </c>
      <c r="B2211" s="67"/>
      <c r="C2211" s="18" t="s">
        <v>1117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4142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1004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4143</v>
      </c>
      <c r="B2213" s="67">
        <v>35325197800</v>
      </c>
      <c r="C2213" s="72" t="s">
        <v>4144</v>
      </c>
      <c r="D2213" s="69">
        <v>38159378840</v>
      </c>
      <c r="E2213" s="9">
        <v>810</v>
      </c>
      <c r="F2213" s="25">
        <v>42915</v>
      </c>
      <c r="G2213" s="70" t="s">
        <v>1004</v>
      </c>
      <c r="H2213" s="9"/>
      <c r="I2213" s="8"/>
      <c r="J2213" s="8"/>
      <c r="K2213" s="8"/>
      <c r="L2213" s="9" t="s">
        <v>1126</v>
      </c>
      <c r="M2213" s="8"/>
    </row>
    <row r="2214" spans="1:13" x14ac:dyDescent="0.25">
      <c r="A2214" s="71" t="s">
        <v>4145</v>
      </c>
      <c r="B2214" s="67">
        <v>37527821884</v>
      </c>
      <c r="C2214" s="72" t="s">
        <v>4146</v>
      </c>
      <c r="D2214" s="69">
        <v>69447810420</v>
      </c>
      <c r="E2214" s="9">
        <v>262</v>
      </c>
      <c r="F2214" s="25">
        <v>43160</v>
      </c>
      <c r="G2214" s="70" t="s">
        <v>1004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4147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1004</v>
      </c>
      <c r="H2215" s="9"/>
      <c r="I2215" s="8"/>
      <c r="J2215" s="8"/>
      <c r="K2215" s="8"/>
      <c r="L2215" s="9" t="s">
        <v>1158</v>
      </c>
      <c r="M2215" s="8"/>
    </row>
    <row r="2216" spans="1:13" x14ac:dyDescent="0.25">
      <c r="A2216" s="15" t="s">
        <v>4148</v>
      </c>
      <c r="B2216" s="67">
        <v>85281050672</v>
      </c>
      <c r="C2216" s="72" t="s">
        <v>4149</v>
      </c>
      <c r="D2216" s="69">
        <v>5490696664</v>
      </c>
      <c r="E2216" s="9">
        <v>229</v>
      </c>
      <c r="F2216" s="25">
        <v>43151</v>
      </c>
      <c r="G2216" s="70" t="s">
        <v>1004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4150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1004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4151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1010</v>
      </c>
      <c r="H2218" s="9"/>
      <c r="I2218" s="8"/>
      <c r="J2218" s="8"/>
      <c r="K2218" s="8"/>
      <c r="L2218" s="9" t="s">
        <v>1158</v>
      </c>
      <c r="M2218" s="8"/>
    </row>
    <row r="2219" spans="1:13" x14ac:dyDescent="0.25">
      <c r="A2219" s="71" t="s">
        <v>4152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4153</v>
      </c>
      <c r="B2220" s="67">
        <v>27851461820</v>
      </c>
      <c r="C2220" s="72" t="s">
        <v>4154</v>
      </c>
      <c r="D2220" s="69">
        <v>27264565882</v>
      </c>
      <c r="E2220" s="9">
        <v>117</v>
      </c>
      <c r="F2220" s="25">
        <v>43117</v>
      </c>
      <c r="G2220" s="70" t="s">
        <v>1004</v>
      </c>
      <c r="H2220" s="9"/>
      <c r="I2220" s="8"/>
      <c r="J2220" s="8"/>
      <c r="K2220" s="8"/>
      <c r="L2220" s="9" t="s">
        <v>1158</v>
      </c>
      <c r="M2220" s="8"/>
    </row>
    <row r="2221" spans="1:13" x14ac:dyDescent="0.25">
      <c r="A2221" s="71" t="s">
        <v>4155</v>
      </c>
      <c r="B2221" s="67">
        <v>32960731832</v>
      </c>
      <c r="C2221" s="77" t="s">
        <v>4156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4157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4158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1004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4159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1004</v>
      </c>
      <c r="H2224" s="9"/>
      <c r="I2224" s="8"/>
      <c r="J2224" s="8"/>
      <c r="K2224" s="8"/>
      <c r="L2224" s="9" t="s">
        <v>1148</v>
      </c>
      <c r="M2224" s="8"/>
    </row>
    <row r="2225" spans="1:13" x14ac:dyDescent="0.25">
      <c r="A2225" s="71" t="s">
        <v>4160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1004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4161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1004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4162</v>
      </c>
      <c r="B2227" s="67"/>
      <c r="C2227" s="18" t="s">
        <v>1117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4163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1004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4164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1004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4165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4166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1004</v>
      </c>
      <c r="H2231" s="9"/>
      <c r="I2231" s="8"/>
      <c r="J2231" s="8"/>
      <c r="K2231" s="8"/>
      <c r="L2231" s="9" t="s">
        <v>1158</v>
      </c>
      <c r="M2231" s="8"/>
    </row>
    <row r="2232" spans="1:13" x14ac:dyDescent="0.25">
      <c r="A2232" s="14" t="s">
        <v>4167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4168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1004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4169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4170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4171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4172</v>
      </c>
      <c r="B2237" s="67">
        <v>22548549844</v>
      </c>
      <c r="C2237" s="77" t="s">
        <v>4173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4174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1004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4175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1004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4176</v>
      </c>
      <c r="B2240" s="67">
        <v>27757716888</v>
      </c>
      <c r="C2240" s="77" t="s">
        <v>4177</v>
      </c>
      <c r="D2240" s="69" t="s">
        <v>4178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4179</v>
      </c>
      <c r="B2241" s="67">
        <v>30926413880</v>
      </c>
      <c r="C2241" s="72" t="s">
        <v>4180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1287</v>
      </c>
      <c r="M2241" s="8"/>
    </row>
    <row r="2242" spans="1:13" x14ac:dyDescent="0.25">
      <c r="A2242" s="71" t="s">
        <v>4181</v>
      </c>
      <c r="B2242" s="67">
        <v>32954076810</v>
      </c>
      <c r="C2242" s="72" t="s">
        <v>4182</v>
      </c>
      <c r="D2242" s="69">
        <v>82353131468</v>
      </c>
      <c r="E2242" s="9">
        <v>292</v>
      </c>
      <c r="F2242" s="25">
        <v>43168</v>
      </c>
      <c r="G2242" s="70" t="s">
        <v>1004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4183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1010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4184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1004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4185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1004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4186</v>
      </c>
      <c r="B2246" s="67">
        <v>23171032805</v>
      </c>
      <c r="C2246" s="72" t="s">
        <v>4187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4188</v>
      </c>
      <c r="B2247" s="67">
        <v>33375182813</v>
      </c>
      <c r="C2247" s="75" t="s">
        <v>4189</v>
      </c>
      <c r="D2247" s="69">
        <v>30178836800</v>
      </c>
      <c r="E2247" s="9">
        <v>1106</v>
      </c>
      <c r="F2247" s="25">
        <v>42965</v>
      </c>
      <c r="G2247" s="70" t="s">
        <v>1004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4190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1004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4191</v>
      </c>
      <c r="B2249" s="67">
        <v>15712243865</v>
      </c>
      <c r="C2249" s="72" t="s">
        <v>4192</v>
      </c>
      <c r="D2249" s="69">
        <v>501095705</v>
      </c>
      <c r="E2249" s="9">
        <v>1752</v>
      </c>
      <c r="F2249" s="25">
        <v>43051</v>
      </c>
      <c r="G2249" s="70" t="s">
        <v>1004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4193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1004</v>
      </c>
      <c r="H2250" s="9"/>
      <c r="I2250" s="8"/>
      <c r="J2250" s="8"/>
      <c r="K2250" s="8"/>
      <c r="L2250" s="9" t="s">
        <v>1126</v>
      </c>
      <c r="M2250" s="8"/>
    </row>
    <row r="2251" spans="1:13" x14ac:dyDescent="0.25">
      <c r="A2251" s="15" t="s">
        <v>4194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1004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4195</v>
      </c>
      <c r="B2252" s="67">
        <v>22403927899</v>
      </c>
      <c r="C2252" s="72" t="s">
        <v>4196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4197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1004</v>
      </c>
      <c r="H2253" s="9"/>
      <c r="I2253" s="8"/>
      <c r="J2253" s="8"/>
      <c r="K2253" s="8"/>
      <c r="L2253" s="9" t="s">
        <v>1158</v>
      </c>
      <c r="M2253" s="8"/>
    </row>
    <row r="2254" spans="1:13" x14ac:dyDescent="0.25">
      <c r="A2254" s="14" t="s">
        <v>4198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4199</v>
      </c>
      <c r="B2255" s="67">
        <v>32624504800</v>
      </c>
      <c r="C2255" s="72" t="s">
        <v>4200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4201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1004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4202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1010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4203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4204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1004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4205</v>
      </c>
      <c r="B2260" s="67">
        <v>14688456832</v>
      </c>
      <c r="C2260" s="72" t="s">
        <v>4206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4207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1004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4208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1004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4209</v>
      </c>
      <c r="B2263" s="67">
        <v>38726646897</v>
      </c>
      <c r="C2263" s="18" t="s">
        <v>4210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4211</v>
      </c>
      <c r="B2264" s="67">
        <v>45171952876</v>
      </c>
      <c r="C2264" s="29" t="s">
        <v>4212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4213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1004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4214</v>
      </c>
      <c r="B2266" s="67">
        <v>36695082871</v>
      </c>
      <c r="C2266" s="72" t="s">
        <v>4215</v>
      </c>
      <c r="D2266" s="69">
        <v>36736721857</v>
      </c>
      <c r="E2266" s="9">
        <v>1241</v>
      </c>
      <c r="F2266" s="25">
        <v>42992</v>
      </c>
      <c r="G2266" s="70" t="s">
        <v>1004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4216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4217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4218</v>
      </c>
      <c r="B2269" s="67">
        <v>42141950864</v>
      </c>
      <c r="C2269" s="72" t="s">
        <v>4219</v>
      </c>
      <c r="D2269" s="69"/>
      <c r="E2269" s="9">
        <v>1214</v>
      </c>
      <c r="F2269" s="25">
        <v>42989</v>
      </c>
      <c r="G2269" s="70" t="s">
        <v>1004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4220</v>
      </c>
      <c r="B2270" s="67">
        <v>47270275858</v>
      </c>
      <c r="C2270" s="72" t="s">
        <v>4221</v>
      </c>
      <c r="D2270" s="69">
        <v>34861975840</v>
      </c>
      <c r="E2270" s="9">
        <v>1824</v>
      </c>
      <c r="F2270" s="25">
        <v>43091</v>
      </c>
      <c r="G2270" s="70" t="s">
        <v>1004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4222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1004</v>
      </c>
      <c r="H2271" s="9"/>
      <c r="I2271" s="8"/>
      <c r="J2271" s="8"/>
      <c r="K2271" s="8"/>
      <c r="L2271" s="9" t="s">
        <v>1158</v>
      </c>
      <c r="M2271" s="8"/>
    </row>
    <row r="2272" spans="1:13" x14ac:dyDescent="0.25">
      <c r="A2272" s="29" t="s">
        <v>4223</v>
      </c>
      <c r="B2272" s="67">
        <v>22899917838</v>
      </c>
      <c r="C2272" s="18" t="s">
        <v>1117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4224</v>
      </c>
      <c r="B2273" s="67"/>
      <c r="C2273" s="29" t="s">
        <v>1117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4225</v>
      </c>
      <c r="B2274" s="67">
        <v>45477385804</v>
      </c>
      <c r="C2274" s="72" t="s">
        <v>4226</v>
      </c>
      <c r="D2274" s="69">
        <v>40972166866</v>
      </c>
      <c r="E2274" s="9">
        <v>1417</v>
      </c>
      <c r="F2274" s="25">
        <v>43017</v>
      </c>
      <c r="G2274" s="70" t="s">
        <v>1004</v>
      </c>
      <c r="H2274" s="9"/>
      <c r="I2274" s="8"/>
      <c r="J2274" s="8"/>
      <c r="K2274" s="8"/>
      <c r="L2274" s="9" t="s">
        <v>1241</v>
      </c>
      <c r="M2274" s="8"/>
    </row>
    <row r="2275" spans="1:13" x14ac:dyDescent="0.25">
      <c r="A2275" s="71" t="s">
        <v>4227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1004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4228</v>
      </c>
      <c r="B2276" s="67"/>
      <c r="C2276" s="29" t="s">
        <v>4229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4230</v>
      </c>
      <c r="B2277" s="67">
        <v>8990461855</v>
      </c>
      <c r="C2277" s="15" t="s">
        <v>4069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4231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4232</v>
      </c>
      <c r="B2279" s="67"/>
      <c r="C2279" s="29" t="s">
        <v>4233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4234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1004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4235</v>
      </c>
      <c r="B2281" s="67">
        <v>38917984827</v>
      </c>
      <c r="C2281" s="72" t="s">
        <v>4236</v>
      </c>
      <c r="D2281" s="69">
        <v>42231603896</v>
      </c>
      <c r="E2281" s="9">
        <v>229</v>
      </c>
      <c r="F2281" s="25">
        <v>43151</v>
      </c>
      <c r="G2281" s="70" t="s">
        <v>1004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4237</v>
      </c>
      <c r="B2282" s="67">
        <v>37870673889</v>
      </c>
      <c r="C2282" s="72" t="s">
        <v>4238</v>
      </c>
      <c r="D2282" s="69">
        <v>2786569516</v>
      </c>
      <c r="E2282" s="9">
        <v>262</v>
      </c>
      <c r="F2282" s="25">
        <v>43160</v>
      </c>
      <c r="G2282" s="70" t="s">
        <v>1004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4239</v>
      </c>
      <c r="B2283" s="67">
        <v>10441616801</v>
      </c>
      <c r="C2283" s="72" t="s">
        <v>4240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4241</v>
      </c>
      <c r="B2284" s="67">
        <v>11702039811</v>
      </c>
      <c r="C2284" s="32" t="s">
        <v>4242</v>
      </c>
      <c r="D2284" s="69">
        <v>14689396884</v>
      </c>
      <c r="E2284" s="9">
        <v>1350</v>
      </c>
      <c r="F2284" s="25">
        <v>43006</v>
      </c>
      <c r="G2284" s="70" t="s">
        <v>1004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4243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1004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4244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4245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4246</v>
      </c>
      <c r="B2288" s="67">
        <v>46959766842</v>
      </c>
      <c r="C2288" s="72" t="s">
        <v>4247</v>
      </c>
      <c r="D2288" s="69">
        <v>40096022876</v>
      </c>
      <c r="E2288" s="9">
        <v>1350</v>
      </c>
      <c r="F2288" s="25">
        <v>43006</v>
      </c>
      <c r="G2288" s="70" t="s">
        <v>1004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4248</v>
      </c>
      <c r="B2289" s="67">
        <v>15147799869</v>
      </c>
      <c r="C2289" s="72" t="s">
        <v>4249</v>
      </c>
      <c r="D2289" s="69">
        <v>18304595893</v>
      </c>
      <c r="E2289" s="9">
        <v>1824</v>
      </c>
      <c r="F2289" s="25">
        <v>43091</v>
      </c>
      <c r="G2289" s="70" t="s">
        <v>1004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4250</v>
      </c>
      <c r="B2290" s="67">
        <v>29012884802</v>
      </c>
      <c r="C2290" s="72" t="s">
        <v>4251</v>
      </c>
      <c r="D2290" s="69">
        <v>16761377854</v>
      </c>
      <c r="E2290" s="9">
        <v>85</v>
      </c>
      <c r="F2290" s="25">
        <v>43109</v>
      </c>
      <c r="G2290" s="70" t="s">
        <v>1004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4252</v>
      </c>
      <c r="B2291" s="67">
        <v>13009518854</v>
      </c>
      <c r="C2291" s="72" t="s">
        <v>4253</v>
      </c>
      <c r="D2291" s="69">
        <v>59636467749</v>
      </c>
      <c r="E2291" s="9">
        <v>1267</v>
      </c>
      <c r="F2291" s="25">
        <v>42998</v>
      </c>
      <c r="G2291" s="70" t="s">
        <v>1018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4254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4255</v>
      </c>
      <c r="B2293" s="67">
        <v>38605259809</v>
      </c>
      <c r="C2293" s="72" t="s">
        <v>4256</v>
      </c>
      <c r="D2293" s="69">
        <v>1090388519</v>
      </c>
      <c r="E2293" s="9">
        <v>117</v>
      </c>
      <c r="F2293" s="25">
        <v>43117</v>
      </c>
      <c r="G2293" s="70" t="s">
        <v>1004</v>
      </c>
      <c r="H2293" s="9"/>
      <c r="I2293" s="8"/>
      <c r="J2293" s="8"/>
      <c r="K2293" s="8"/>
      <c r="L2293" s="9" t="s">
        <v>1158</v>
      </c>
      <c r="M2293" s="8"/>
    </row>
    <row r="2294" spans="1:13" x14ac:dyDescent="0.25">
      <c r="A2294" s="15" t="s">
        <v>4257</v>
      </c>
      <c r="B2294" s="67">
        <v>9333321810</v>
      </c>
      <c r="C2294" s="72" t="s">
        <v>4258</v>
      </c>
      <c r="D2294" s="69">
        <v>16122645818</v>
      </c>
      <c r="E2294" s="9">
        <v>117</v>
      </c>
      <c r="F2294" s="25">
        <v>43117</v>
      </c>
      <c r="G2294" s="70" t="s">
        <v>1004</v>
      </c>
      <c r="H2294" s="9"/>
      <c r="I2294" s="8"/>
      <c r="J2294" s="8"/>
      <c r="K2294" s="8"/>
      <c r="L2294" s="9" t="s">
        <v>1158</v>
      </c>
      <c r="M2294" s="8"/>
    </row>
    <row r="2295" spans="1:13" x14ac:dyDescent="0.25">
      <c r="A2295" s="71" t="s">
        <v>4259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1004</v>
      </c>
      <c r="H2295" s="9"/>
      <c r="I2295" s="8"/>
      <c r="J2295" s="8"/>
      <c r="K2295" s="8"/>
      <c r="L2295" s="9" t="s">
        <v>1126</v>
      </c>
      <c r="M2295" s="8"/>
    </row>
    <row r="2296" spans="1:13" x14ac:dyDescent="0.25">
      <c r="A2296" s="71" t="s">
        <v>4260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4261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4262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4263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4264</v>
      </c>
      <c r="B2300" s="67">
        <v>35810601839</v>
      </c>
      <c r="C2300" s="18" t="s">
        <v>4265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4266</v>
      </c>
      <c r="B2301" s="67">
        <v>32203433841</v>
      </c>
      <c r="C2301" s="72" t="s">
        <v>4267</v>
      </c>
      <c r="D2301" s="69">
        <v>36256617890</v>
      </c>
      <c r="E2301" s="9">
        <v>810</v>
      </c>
      <c r="F2301" s="25">
        <v>42915</v>
      </c>
      <c r="G2301" s="70" t="s">
        <v>1004</v>
      </c>
      <c r="H2301" s="9"/>
      <c r="I2301" s="8"/>
      <c r="J2301" s="8"/>
      <c r="K2301" s="8"/>
      <c r="L2301" s="9" t="s">
        <v>1126</v>
      </c>
      <c r="M2301" s="8"/>
    </row>
    <row r="2302" spans="1:13" x14ac:dyDescent="0.25">
      <c r="A2302" s="72" t="s">
        <v>4268</v>
      </c>
      <c r="B2302" s="67">
        <v>29816586894</v>
      </c>
      <c r="C2302" s="72" t="s">
        <v>4269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4270</v>
      </c>
      <c r="B2303" s="67">
        <v>3087797545</v>
      </c>
      <c r="C2303" s="71" t="s">
        <v>4271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4272</v>
      </c>
      <c r="B2304" s="67">
        <v>44135110851</v>
      </c>
      <c r="C2304" s="18" t="s">
        <v>4273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4274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1004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4275</v>
      </c>
      <c r="B2306" s="67">
        <v>5416929847</v>
      </c>
      <c r="C2306" s="72" t="s">
        <v>4276</v>
      </c>
      <c r="D2306" s="69">
        <v>69220670887</v>
      </c>
      <c r="E2306" s="9">
        <v>292</v>
      </c>
      <c r="F2306" s="25">
        <v>43168</v>
      </c>
      <c r="G2306" s="70" t="s">
        <v>1010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4277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1004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4278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4279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1004</v>
      </c>
      <c r="H2309" s="70"/>
      <c r="I2309" s="8"/>
      <c r="J2309" s="8"/>
      <c r="K2309" s="8"/>
      <c r="L2309" s="9" t="s">
        <v>1241</v>
      </c>
      <c r="M2309" s="8"/>
    </row>
    <row r="2310" spans="1:13" x14ac:dyDescent="0.25">
      <c r="A2310" s="71" t="s">
        <v>4280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1004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4281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4282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1004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4283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1004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4284</v>
      </c>
      <c r="B2314" s="67">
        <v>60363616373</v>
      </c>
      <c r="C2314" s="72" t="s">
        <v>4285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4286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1004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4287</v>
      </c>
      <c r="B2316" s="67">
        <v>6780677833</v>
      </c>
      <c r="C2316" s="29" t="s">
        <v>4288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4289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4290</v>
      </c>
      <c r="B2318" s="67"/>
      <c r="C2318" s="29" t="s">
        <v>1117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4291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4292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4293</v>
      </c>
      <c r="B2321" s="67"/>
      <c r="C2321" s="18" t="s">
        <v>4294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4295</v>
      </c>
      <c r="B2322" s="67">
        <v>47104776800</v>
      </c>
      <c r="C2322" s="72" t="s">
        <v>4296</v>
      </c>
      <c r="D2322" s="69">
        <v>29524413833</v>
      </c>
      <c r="E2322" s="9">
        <v>117</v>
      </c>
      <c r="F2322" s="25">
        <v>43117</v>
      </c>
      <c r="G2322" s="70" t="s">
        <v>1004</v>
      </c>
      <c r="H2322" s="70"/>
      <c r="I2322" s="8"/>
      <c r="J2322" s="8"/>
      <c r="K2322" s="8"/>
      <c r="L2322" s="9" t="s">
        <v>1158</v>
      </c>
      <c r="M2322" s="8"/>
    </row>
    <row r="2323" spans="1:13" x14ac:dyDescent="0.25">
      <c r="A2323" s="71" t="s">
        <v>4297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1004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4298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1004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4299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4300</v>
      </c>
      <c r="B2326" s="67"/>
      <c r="C2326" s="29" t="s">
        <v>4301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4302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1004</v>
      </c>
      <c r="H2327" s="9"/>
      <c r="I2327" s="8"/>
      <c r="J2327" s="8"/>
      <c r="K2327" s="8"/>
      <c r="L2327" s="9" t="s">
        <v>1158</v>
      </c>
      <c r="M2327" s="8"/>
    </row>
    <row r="2328" spans="1:13" x14ac:dyDescent="0.25">
      <c r="A2328" s="71" t="s">
        <v>4303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4304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4305</v>
      </c>
      <c r="B2330" s="67">
        <v>44920823878</v>
      </c>
      <c r="C2330" s="72" t="s">
        <v>4306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4307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4308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4309</v>
      </c>
      <c r="B2333" s="67">
        <v>8665698809</v>
      </c>
      <c r="C2333" s="72" t="s">
        <v>4310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4311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1004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4312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4313</v>
      </c>
      <c r="B2336" s="67">
        <v>37383675860</v>
      </c>
      <c r="C2336" s="72" t="s">
        <v>4314</v>
      </c>
      <c r="D2336" s="69">
        <v>37457320814</v>
      </c>
      <c r="E2336" s="9">
        <v>1824</v>
      </c>
      <c r="F2336" s="25">
        <v>43091</v>
      </c>
      <c r="G2336" s="70" t="s">
        <v>1004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4315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1004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4316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1004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4317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4318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4319</v>
      </c>
      <c r="B2341" s="67">
        <v>36394093882</v>
      </c>
      <c r="C2341" s="72" t="s">
        <v>4320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4321</v>
      </c>
      <c r="B2342" s="80">
        <v>38327155687</v>
      </c>
      <c r="C2342" s="81" t="s">
        <v>4322</v>
      </c>
      <c r="D2342" s="82">
        <v>20534089879</v>
      </c>
      <c r="E2342" s="47">
        <v>1824</v>
      </c>
      <c r="F2342" s="48">
        <v>43091</v>
      </c>
      <c r="G2342" s="83" t="s">
        <v>1018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4323</v>
      </c>
      <c r="B2343" s="67">
        <v>36553625875</v>
      </c>
      <c r="C2343" s="72" t="s">
        <v>4324</v>
      </c>
      <c r="D2343" s="69">
        <v>34615418850</v>
      </c>
      <c r="E2343" s="9">
        <v>608</v>
      </c>
      <c r="F2343" s="25">
        <v>43012</v>
      </c>
      <c r="G2343" s="70" t="s">
        <v>1004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4325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1004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4326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1004</v>
      </c>
      <c r="H2345" s="9"/>
      <c r="I2345" s="8"/>
      <c r="J2345" s="8"/>
      <c r="K2345" s="8"/>
      <c r="L2345" s="9" t="s">
        <v>1126</v>
      </c>
      <c r="M2345" s="8"/>
    </row>
    <row r="2346" spans="1:13" x14ac:dyDescent="0.25">
      <c r="A2346" s="13" t="s">
        <v>4327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1004</v>
      </c>
      <c r="H2346" s="9"/>
      <c r="I2346" s="8"/>
      <c r="J2346" s="8"/>
      <c r="K2346" s="8"/>
      <c r="L2346" s="9" t="s">
        <v>1148</v>
      </c>
      <c r="M2346" s="8"/>
    </row>
    <row r="2347" spans="1:13" x14ac:dyDescent="0.25">
      <c r="A2347" s="71" t="s">
        <v>4328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4329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1004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4330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1004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4331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1004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4332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1004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4333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4334</v>
      </c>
      <c r="B2353" s="67">
        <v>2267811863</v>
      </c>
      <c r="C2353" s="68" t="s">
        <v>4335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4336</v>
      </c>
      <c r="B2354" s="67">
        <v>4640546726</v>
      </c>
      <c r="C2354" s="72" t="s">
        <v>4337</v>
      </c>
      <c r="D2354" s="69">
        <v>72849215791</v>
      </c>
      <c r="E2354" s="9">
        <v>262</v>
      </c>
      <c r="F2354" s="25">
        <v>43160</v>
      </c>
      <c r="G2354" s="70" t="s">
        <v>1004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4338</v>
      </c>
      <c r="B2355" s="67">
        <v>11862093806</v>
      </c>
      <c r="C2355" s="18" t="s">
        <v>1117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4339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1004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4340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1004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4341</v>
      </c>
      <c r="B2358" s="67">
        <v>12983214842</v>
      </c>
      <c r="C2358" s="72" t="s">
        <v>4342</v>
      </c>
      <c r="D2358" s="69">
        <v>33776403802</v>
      </c>
      <c r="E2358" s="9">
        <v>85</v>
      </c>
      <c r="F2358" s="25">
        <v>43109</v>
      </c>
      <c r="G2358" s="70" t="s">
        <v>1004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4343</v>
      </c>
      <c r="B2359" s="67">
        <v>3343521507</v>
      </c>
      <c r="C2359" s="15" t="s">
        <v>4344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4345</v>
      </c>
      <c r="B2360" s="67">
        <v>41812689500</v>
      </c>
      <c r="C2360" s="72" t="s">
        <v>4346</v>
      </c>
      <c r="D2360" s="69">
        <v>14037047837</v>
      </c>
      <c r="E2360" s="9">
        <v>1106</v>
      </c>
      <c r="F2360" s="25">
        <v>42965</v>
      </c>
      <c r="G2360" s="70" t="s">
        <v>1004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4347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4348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1004</v>
      </c>
      <c r="H2362" s="9"/>
      <c r="I2362" s="8"/>
      <c r="J2362" s="8"/>
      <c r="K2362" s="8"/>
      <c r="L2362" s="9" t="s">
        <v>1126</v>
      </c>
      <c r="M2362" s="8"/>
    </row>
    <row r="2363" spans="1:13" x14ac:dyDescent="0.25">
      <c r="A2363" s="71" t="s">
        <v>4349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4350</v>
      </c>
      <c r="B2364" s="67">
        <v>45479391879</v>
      </c>
      <c r="C2364" s="30" t="s">
        <v>4351</v>
      </c>
      <c r="D2364" s="67">
        <v>35624185820</v>
      </c>
      <c r="E2364" s="9">
        <v>1350</v>
      </c>
      <c r="F2364" s="25">
        <v>43006</v>
      </c>
      <c r="G2364" s="70" t="s">
        <v>1004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4352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1018</v>
      </c>
      <c r="H2365" s="9"/>
      <c r="I2365" s="8"/>
      <c r="J2365" s="8"/>
      <c r="K2365" s="8"/>
      <c r="L2365" s="9" t="s">
        <v>1490</v>
      </c>
      <c r="M2365" s="8"/>
    </row>
    <row r="2366" spans="1:13" x14ac:dyDescent="0.25">
      <c r="A2366" s="15" t="s">
        <v>4353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1004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4354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4355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4356</v>
      </c>
      <c r="B2369" s="67">
        <v>36159577840</v>
      </c>
      <c r="C2369" s="72" t="s">
        <v>4357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4358</v>
      </c>
      <c r="B2370" s="67">
        <v>39308828842</v>
      </c>
      <c r="C2370" s="72" t="s">
        <v>4359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4360</v>
      </c>
      <c r="B2371" s="67">
        <v>6619801897</v>
      </c>
      <c r="C2371" s="29" t="s">
        <v>4361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4362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4363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1004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4364</v>
      </c>
      <c r="B2374" s="67">
        <v>36138056850</v>
      </c>
      <c r="C2374" s="72" t="s">
        <v>4365</v>
      </c>
      <c r="D2374" s="69">
        <v>56721897504</v>
      </c>
      <c r="E2374" s="9">
        <v>262</v>
      </c>
      <c r="F2374" s="25">
        <v>43160</v>
      </c>
      <c r="G2374" s="70" t="s">
        <v>1004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4366</v>
      </c>
      <c r="B2375" s="67">
        <v>22365509878</v>
      </c>
      <c r="C2375" s="72" t="s">
        <v>4367</v>
      </c>
      <c r="D2375" s="69">
        <v>9353681839</v>
      </c>
      <c r="E2375" s="9">
        <v>810</v>
      </c>
      <c r="F2375" s="25">
        <v>42915</v>
      </c>
      <c r="G2375" s="70" t="s">
        <v>1004</v>
      </c>
      <c r="H2375" s="9"/>
      <c r="I2375" s="8"/>
      <c r="J2375" s="8"/>
      <c r="K2375" s="8"/>
      <c r="L2375" s="9" t="s">
        <v>1126</v>
      </c>
      <c r="M2375" s="8"/>
    </row>
    <row r="2376" spans="1:13" x14ac:dyDescent="0.25">
      <c r="A2376" s="72" t="s">
        <v>4368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4369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1004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4370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4371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1004</v>
      </c>
      <c r="H2379" s="9"/>
      <c r="I2379" s="8"/>
      <c r="J2379" s="8"/>
      <c r="K2379" s="8"/>
      <c r="L2379" s="9" t="s">
        <v>1386</v>
      </c>
      <c r="M2379" s="8"/>
    </row>
    <row r="2380" spans="1:13" x14ac:dyDescent="0.25">
      <c r="A2380" s="71" t="s">
        <v>4372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1004</v>
      </c>
      <c r="H2380" s="9"/>
      <c r="I2380" s="8"/>
      <c r="J2380" s="8"/>
      <c r="K2380" s="8"/>
      <c r="L2380" s="9" t="s">
        <v>1158</v>
      </c>
      <c r="M2380" s="8"/>
    </row>
    <row r="2381" spans="1:13" x14ac:dyDescent="0.25">
      <c r="A2381" s="71" t="s">
        <v>4373</v>
      </c>
      <c r="B2381" s="67">
        <v>40878398856</v>
      </c>
      <c r="C2381" s="72" t="s">
        <v>4374</v>
      </c>
      <c r="D2381" s="69">
        <v>73226718568</v>
      </c>
      <c r="E2381" s="9">
        <v>262</v>
      </c>
      <c r="F2381" s="25">
        <v>43160</v>
      </c>
      <c r="G2381" s="70" t="s">
        <v>1004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4375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1004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4376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1004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4377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1004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4378</v>
      </c>
      <c r="B2385" s="67">
        <v>33475393387</v>
      </c>
      <c r="C2385" s="72" t="s">
        <v>4379</v>
      </c>
      <c r="D2385" s="69">
        <v>21580260306</v>
      </c>
      <c r="E2385" s="9">
        <v>292</v>
      </c>
      <c r="F2385" s="25">
        <v>43168</v>
      </c>
      <c r="G2385" s="70" t="s">
        <v>1004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4380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4381</v>
      </c>
      <c r="B2387" s="67">
        <v>15114386816</v>
      </c>
      <c r="C2387" s="29" t="s">
        <v>4382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4383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1004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4384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1004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4385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4386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4387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4388</v>
      </c>
      <c r="B2393" s="67">
        <v>38754982839</v>
      </c>
      <c r="C2393" s="72" t="s">
        <v>4389</v>
      </c>
      <c r="D2393" s="69">
        <v>34941494881</v>
      </c>
      <c r="E2393" s="9">
        <v>85</v>
      </c>
      <c r="F2393" s="25">
        <v>43109</v>
      </c>
      <c r="G2393" s="70" t="s">
        <v>1018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4390</v>
      </c>
      <c r="B2394" s="67">
        <v>33401168819</v>
      </c>
      <c r="C2394" s="72" t="s">
        <v>4391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4392</v>
      </c>
      <c r="B2395" s="67">
        <v>42116294843</v>
      </c>
      <c r="C2395" s="72" t="s">
        <v>4393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4394</v>
      </c>
      <c r="B2396" s="67">
        <v>12648968679</v>
      </c>
      <c r="C2396" s="72" t="s">
        <v>4395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4396</v>
      </c>
      <c r="B2397" s="67">
        <v>34361698899</v>
      </c>
      <c r="C2397" s="72" t="s">
        <v>4397</v>
      </c>
      <c r="D2397" s="69">
        <v>21266025839</v>
      </c>
      <c r="E2397" s="9">
        <v>1489</v>
      </c>
      <c r="F2397" s="25">
        <v>43038</v>
      </c>
      <c r="G2397" s="70" t="s">
        <v>1004</v>
      </c>
      <c r="H2397" s="9"/>
      <c r="I2397" s="8"/>
      <c r="J2397" s="8"/>
      <c r="K2397" s="8"/>
      <c r="L2397" s="9" t="s">
        <v>1148</v>
      </c>
      <c r="M2397" s="8"/>
    </row>
    <row r="2398" spans="1:13" x14ac:dyDescent="0.25">
      <c r="A2398" s="71" t="s">
        <v>4398</v>
      </c>
      <c r="B2398" s="67">
        <v>12835905812</v>
      </c>
      <c r="C2398" s="72" t="s">
        <v>4399</v>
      </c>
      <c r="D2398" s="69">
        <v>26821342890</v>
      </c>
      <c r="E2398" s="9">
        <v>262</v>
      </c>
      <c r="F2398" s="25">
        <v>43160</v>
      </c>
      <c r="G2398" s="70" t="s">
        <v>1010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4400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1004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4401</v>
      </c>
      <c r="B2400" s="67">
        <v>22713517826</v>
      </c>
      <c r="C2400" s="72" t="s">
        <v>4402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4403</v>
      </c>
      <c r="B2401" s="67">
        <v>28467390808</v>
      </c>
      <c r="C2401" s="72" t="s">
        <v>4404</v>
      </c>
      <c r="D2401" s="69">
        <v>90847547</v>
      </c>
      <c r="E2401" s="9">
        <v>810</v>
      </c>
      <c r="F2401" s="25">
        <v>42915</v>
      </c>
      <c r="G2401" s="70" t="s">
        <v>1004</v>
      </c>
      <c r="H2401" s="9"/>
      <c r="I2401" s="8"/>
      <c r="J2401" s="8"/>
      <c r="K2401" s="8"/>
      <c r="L2401" s="9" t="s">
        <v>1126</v>
      </c>
      <c r="M2401" s="8"/>
    </row>
    <row r="2402" spans="1:13" x14ac:dyDescent="0.25">
      <c r="A2402" s="71" t="s">
        <v>4405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1004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4406</v>
      </c>
      <c r="B2403" s="67">
        <v>32033541878</v>
      </c>
      <c r="C2403" s="72" t="s">
        <v>4407</v>
      </c>
      <c r="D2403" s="69">
        <v>19674006877</v>
      </c>
      <c r="E2403" s="9">
        <v>1752</v>
      </c>
      <c r="F2403" s="25">
        <v>43051</v>
      </c>
      <c r="G2403" s="70" t="s">
        <v>1004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4408</v>
      </c>
      <c r="B2404" s="67">
        <v>23241720896</v>
      </c>
      <c r="C2404" s="18" t="s">
        <v>4409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4410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4411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1004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4412</v>
      </c>
      <c r="B2407" s="67">
        <v>1889333360</v>
      </c>
      <c r="C2407" s="72" t="s">
        <v>4413</v>
      </c>
      <c r="D2407" s="69">
        <v>580003302</v>
      </c>
      <c r="E2407" s="9">
        <v>1241</v>
      </c>
      <c r="F2407" s="25">
        <v>42992</v>
      </c>
      <c r="G2407" s="70" t="s">
        <v>1004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4414</v>
      </c>
      <c r="B2408" s="67">
        <v>40321655800</v>
      </c>
      <c r="C2408" s="72" t="s">
        <v>4415</v>
      </c>
      <c r="D2408" s="69">
        <v>37378835803</v>
      </c>
      <c r="E2408" s="9">
        <v>810</v>
      </c>
      <c r="F2408" s="25">
        <v>42915</v>
      </c>
      <c r="G2408" s="70" t="s">
        <v>1004</v>
      </c>
      <c r="H2408" s="9"/>
      <c r="I2408" s="8"/>
      <c r="J2408" s="8"/>
      <c r="K2408" s="8"/>
      <c r="L2408" s="9" t="s">
        <v>1126</v>
      </c>
      <c r="M2408" s="8"/>
    </row>
    <row r="2409" spans="1:13" x14ac:dyDescent="0.25">
      <c r="A2409" s="14" t="s">
        <v>4416</v>
      </c>
      <c r="B2409" s="67">
        <v>5117256557</v>
      </c>
      <c r="C2409" s="72" t="s">
        <v>4417</v>
      </c>
      <c r="D2409" s="69">
        <v>5063737544</v>
      </c>
      <c r="E2409" s="9">
        <v>262</v>
      </c>
      <c r="F2409" s="25">
        <v>43160</v>
      </c>
      <c r="G2409" s="70" t="s">
        <v>1010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4418</v>
      </c>
      <c r="B2410" s="67">
        <v>21863985832</v>
      </c>
      <c r="C2410" s="72" t="s">
        <v>4419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4420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1004</v>
      </c>
      <c r="H2411" s="9"/>
      <c r="I2411" s="8"/>
      <c r="J2411" s="8"/>
      <c r="K2411" s="8"/>
      <c r="L2411" s="9" t="s">
        <v>1241</v>
      </c>
      <c r="M2411" s="8"/>
    </row>
    <row r="2412" spans="1:13" x14ac:dyDescent="0.25">
      <c r="A2412" s="18" t="s">
        <v>4421</v>
      </c>
      <c r="B2412" s="67">
        <v>31694477851</v>
      </c>
      <c r="C2412" s="18" t="s">
        <v>4422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4423</v>
      </c>
      <c r="B2413" s="67">
        <v>14690610827</v>
      </c>
      <c r="C2413" s="72" t="s">
        <v>4424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4425</v>
      </c>
      <c r="B2414" s="67">
        <v>1740803523</v>
      </c>
      <c r="C2414" s="72" t="s">
        <v>4426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4427</v>
      </c>
      <c r="B2415" s="67">
        <v>23328195840</v>
      </c>
      <c r="C2415" s="72" t="s">
        <v>4428</v>
      </c>
      <c r="D2415" s="69">
        <v>770249310</v>
      </c>
      <c r="E2415" s="9">
        <v>810</v>
      </c>
      <c r="F2415" s="25">
        <v>42915</v>
      </c>
      <c r="G2415" s="70" t="s">
        <v>1004</v>
      </c>
      <c r="H2415" s="9"/>
      <c r="I2415" s="8"/>
      <c r="J2415" s="8"/>
      <c r="K2415" s="8"/>
      <c r="L2415" s="9" t="s">
        <v>1126</v>
      </c>
      <c r="M2415" s="8"/>
    </row>
    <row r="2416" spans="1:13" x14ac:dyDescent="0.25">
      <c r="A2416" s="71" t="s">
        <v>4429</v>
      </c>
      <c r="B2416" s="67">
        <v>28082388862</v>
      </c>
      <c r="C2416" s="72" t="s">
        <v>4430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4431</v>
      </c>
      <c r="B2417" s="67">
        <v>43054747867</v>
      </c>
      <c r="C2417" s="29" t="s">
        <v>4432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4433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4434</v>
      </c>
      <c r="B2419" s="67">
        <v>89863704504</v>
      </c>
      <c r="C2419" s="72" t="s">
        <v>4435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4436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4437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1004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4438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4439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1004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4440</v>
      </c>
      <c r="B2424" s="67">
        <v>33538686823</v>
      </c>
      <c r="C2424" s="72" t="s">
        <v>4441</v>
      </c>
      <c r="D2424" s="69">
        <v>37104062858</v>
      </c>
      <c r="E2424" s="9">
        <v>810</v>
      </c>
      <c r="F2424" s="25">
        <v>42915</v>
      </c>
      <c r="G2424" s="9" t="s">
        <v>1004</v>
      </c>
      <c r="H2424" s="9"/>
      <c r="I2424" s="8"/>
      <c r="J2424" s="8"/>
      <c r="K2424" s="8"/>
      <c r="L2424" s="9" t="s">
        <v>1126</v>
      </c>
      <c r="M2424" s="8"/>
    </row>
    <row r="2425" spans="1:13" x14ac:dyDescent="0.25">
      <c r="A2425" s="18" t="s">
        <v>4442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4443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1004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4444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4445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1004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4446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1004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4447</v>
      </c>
      <c r="B2430" s="67"/>
      <c r="C2430" s="29" t="s">
        <v>1117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4448</v>
      </c>
      <c r="B2431" s="67">
        <v>39308964860</v>
      </c>
      <c r="C2431" s="72" t="s">
        <v>4449</v>
      </c>
      <c r="D2431" s="69">
        <v>39308963898</v>
      </c>
      <c r="E2431" s="9">
        <v>229</v>
      </c>
      <c r="F2431" s="25">
        <v>43151</v>
      </c>
      <c r="G2431" s="70" t="s">
        <v>1004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4450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1004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4451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1004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4452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4453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1004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4454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4455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4456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4457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1004</v>
      </c>
      <c r="H2439" s="9"/>
      <c r="I2439" s="8"/>
      <c r="J2439" s="8"/>
      <c r="K2439" s="8"/>
      <c r="L2439" s="9" t="s">
        <v>1158</v>
      </c>
      <c r="M2439" s="8"/>
    </row>
    <row r="2440" spans="1:13" x14ac:dyDescent="0.25">
      <c r="A2440" s="71" t="s">
        <v>4458</v>
      </c>
      <c r="B2440" s="67">
        <v>36344864818</v>
      </c>
      <c r="C2440" s="72" t="s">
        <v>4459</v>
      </c>
      <c r="D2440" s="69">
        <v>35601867810</v>
      </c>
      <c r="E2440" s="9">
        <v>810</v>
      </c>
      <c r="F2440" s="25">
        <v>42915</v>
      </c>
      <c r="G2440" s="70" t="s">
        <v>1004</v>
      </c>
      <c r="H2440" s="9"/>
      <c r="I2440" s="8"/>
      <c r="J2440" s="8"/>
      <c r="K2440" s="8"/>
      <c r="L2440" s="9" t="s">
        <v>1126</v>
      </c>
      <c r="M2440" s="8"/>
    </row>
    <row r="2441" spans="1:13" x14ac:dyDescent="0.25">
      <c r="A2441" s="29" t="s">
        <v>4460</v>
      </c>
      <c r="B2441" s="67"/>
      <c r="C2441" s="29" t="s">
        <v>1117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4461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1004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4462</v>
      </c>
      <c r="B2443" s="67">
        <v>23969560861</v>
      </c>
      <c r="C2443" s="72" t="s">
        <v>4463</v>
      </c>
      <c r="D2443" s="69">
        <v>16141701850</v>
      </c>
      <c r="E2443" s="9">
        <v>1267</v>
      </c>
      <c r="F2443" s="25">
        <v>42998</v>
      </c>
      <c r="G2443" s="70" t="s">
        <v>1004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4464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4465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1004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4466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1004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4467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4468</v>
      </c>
      <c r="B2448" s="67">
        <v>35193151817</v>
      </c>
      <c r="C2448" s="72" t="s">
        <v>4469</v>
      </c>
      <c r="D2448" s="69">
        <v>26084005829</v>
      </c>
      <c r="E2448" s="9">
        <v>229</v>
      </c>
      <c r="F2448" s="25">
        <v>43151</v>
      </c>
      <c r="G2448" s="70" t="s">
        <v>1004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4470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4471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4472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1004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4473</v>
      </c>
      <c r="B2452" s="67">
        <v>34674605857</v>
      </c>
      <c r="C2452" s="72" t="s">
        <v>4474</v>
      </c>
      <c r="D2452" s="69">
        <v>36771603830</v>
      </c>
      <c r="E2452" s="9">
        <v>810</v>
      </c>
      <c r="F2452" s="25">
        <v>42915</v>
      </c>
      <c r="G2452" s="70" t="s">
        <v>1004</v>
      </c>
      <c r="H2452" s="9"/>
      <c r="I2452" s="8"/>
      <c r="J2452" s="8"/>
      <c r="K2452" s="8"/>
      <c r="L2452" s="9" t="s">
        <v>1126</v>
      </c>
      <c r="M2452" s="8"/>
    </row>
    <row r="2453" spans="1:13" x14ac:dyDescent="0.25">
      <c r="A2453" s="71" t="s">
        <v>4475</v>
      </c>
      <c r="B2453" s="67">
        <v>33248807857</v>
      </c>
      <c r="C2453" s="72" t="s">
        <v>4476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4477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1004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4478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1004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4479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4480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1004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4481</v>
      </c>
      <c r="B2458" s="67">
        <v>7143855901</v>
      </c>
      <c r="C2458" s="18" t="s">
        <v>1117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4482</v>
      </c>
      <c r="B2459" s="67"/>
      <c r="C2459" s="29" t="s">
        <v>1117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4483</v>
      </c>
      <c r="B2460" s="67">
        <v>5365375505</v>
      </c>
      <c r="C2460" s="68" t="s">
        <v>4484</v>
      </c>
      <c r="D2460" s="69">
        <v>34658162857</v>
      </c>
      <c r="E2460" s="9">
        <v>1128</v>
      </c>
      <c r="F2460" s="25">
        <v>42972</v>
      </c>
      <c r="G2460" s="70" t="s">
        <v>1004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4485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4486</v>
      </c>
      <c r="B2462" s="67">
        <v>66691990404</v>
      </c>
      <c r="C2462" s="29" t="s">
        <v>4487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4488</v>
      </c>
      <c r="B2463" s="67">
        <v>60347000355</v>
      </c>
      <c r="C2463" s="72" t="s">
        <v>4489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4490</v>
      </c>
      <c r="B2464" s="67">
        <v>37467543808</v>
      </c>
      <c r="C2464" s="72" t="s">
        <v>4491</v>
      </c>
      <c r="D2464" s="69">
        <v>40552745804</v>
      </c>
      <c r="E2464" s="9">
        <v>229</v>
      </c>
      <c r="F2464" s="25">
        <v>43151</v>
      </c>
      <c r="G2464" s="70" t="s">
        <v>1004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4492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4493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4494</v>
      </c>
      <c r="B2467" s="67"/>
      <c r="C2467" s="18" t="s">
        <v>1117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4495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1004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4496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4497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4498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4499</v>
      </c>
      <c r="B2472" s="67"/>
      <c r="C2472" s="18" t="s">
        <v>1117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4500</v>
      </c>
      <c r="B2473" s="67">
        <v>34907942818</v>
      </c>
      <c r="C2473" s="72" t="s">
        <v>4501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4502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4503</v>
      </c>
      <c r="B2475" s="67">
        <v>40642684820</v>
      </c>
      <c r="C2475" s="72" t="s">
        <v>4504</v>
      </c>
      <c r="D2475" s="69">
        <v>43189527890</v>
      </c>
      <c r="E2475" s="9">
        <v>292</v>
      </c>
      <c r="F2475" s="25">
        <v>43168</v>
      </c>
      <c r="G2475" s="70" t="s">
        <v>1004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4505</v>
      </c>
      <c r="B2476" s="67">
        <v>36401343893</v>
      </c>
      <c r="C2476" s="72" t="s">
        <v>4506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1287</v>
      </c>
      <c r="M2476" s="8"/>
    </row>
    <row r="2477" spans="1:13" x14ac:dyDescent="0.25">
      <c r="A2477" s="15" t="s">
        <v>4507</v>
      </c>
      <c r="B2477" s="67">
        <v>10413301460</v>
      </c>
      <c r="C2477" s="72" t="s">
        <v>4508</v>
      </c>
      <c r="D2477" s="69">
        <v>10931047404</v>
      </c>
      <c r="E2477" s="9">
        <v>117</v>
      </c>
      <c r="F2477" s="25">
        <v>43117</v>
      </c>
      <c r="G2477" s="70" t="s">
        <v>1004</v>
      </c>
      <c r="H2477" s="9"/>
      <c r="I2477" s="8"/>
      <c r="J2477" s="8"/>
      <c r="K2477" s="8"/>
      <c r="L2477" s="9" t="s">
        <v>1158</v>
      </c>
      <c r="M2477" s="8"/>
    </row>
    <row r="2478" spans="1:13" x14ac:dyDescent="0.25">
      <c r="A2478" s="15" t="s">
        <v>4509</v>
      </c>
      <c r="B2478" s="67">
        <v>42030087866</v>
      </c>
      <c r="C2478" s="72" t="s">
        <v>4510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4511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4512</v>
      </c>
      <c r="B2480" s="67">
        <v>38302413801</v>
      </c>
      <c r="C2480" s="77" t="s">
        <v>4513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4514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1004</v>
      </c>
      <c r="H2481" s="9"/>
      <c r="I2481" s="8"/>
      <c r="J2481" s="8"/>
      <c r="K2481" s="8"/>
      <c r="L2481" s="9" t="s">
        <v>1126</v>
      </c>
      <c r="M2481" s="8"/>
    </row>
    <row r="2482" spans="1:13" x14ac:dyDescent="0.25">
      <c r="A2482" s="71" t="s">
        <v>4515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4516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1010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4517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1004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4518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1004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4519</v>
      </c>
      <c r="B2486" s="67">
        <v>34034498315</v>
      </c>
      <c r="C2486" s="72" t="s">
        <v>4520</v>
      </c>
      <c r="D2486" s="69">
        <v>30620015349</v>
      </c>
      <c r="E2486" s="9">
        <v>1470</v>
      </c>
      <c r="F2486" s="25">
        <v>43031</v>
      </c>
      <c r="G2486" s="70" t="s">
        <v>1004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4521</v>
      </c>
      <c r="B2487" s="67">
        <v>38027861810</v>
      </c>
      <c r="C2487" s="72" t="s">
        <v>4522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4523</v>
      </c>
      <c r="B2488" s="67">
        <v>34557275818</v>
      </c>
      <c r="C2488" s="72" t="s">
        <v>4524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4525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1004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4526</v>
      </c>
      <c r="B2490" s="67"/>
      <c r="C2490" s="29" t="s">
        <v>4527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4528</v>
      </c>
      <c r="B2491" s="67">
        <v>40298877830</v>
      </c>
      <c r="C2491" s="72" t="s">
        <v>4529</v>
      </c>
      <c r="D2491" s="69">
        <v>5551703576</v>
      </c>
      <c r="E2491" s="9">
        <v>262</v>
      </c>
      <c r="F2491" s="25">
        <v>43160</v>
      </c>
      <c r="G2491" s="70" t="s">
        <v>1004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4530</v>
      </c>
      <c r="B2492" s="67">
        <v>36295512895</v>
      </c>
      <c r="C2492" s="72" t="s">
        <v>4531</v>
      </c>
      <c r="D2492" s="69">
        <v>29129585805</v>
      </c>
      <c r="E2492" s="9">
        <v>292</v>
      </c>
      <c r="F2492" s="25">
        <v>43168</v>
      </c>
      <c r="G2492" s="70" t="s">
        <v>1004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4532</v>
      </c>
      <c r="B2493" s="67">
        <v>13188101830</v>
      </c>
      <c r="C2493" s="72" t="s">
        <v>4533</v>
      </c>
      <c r="D2493" s="69">
        <v>55072399320</v>
      </c>
      <c r="E2493" s="9">
        <v>1752</v>
      </c>
      <c r="F2493" s="25">
        <v>43051</v>
      </c>
      <c r="G2493" s="70" t="s">
        <v>1010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4534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4535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1004</v>
      </c>
      <c r="H2495" s="9"/>
      <c r="I2495" s="8"/>
      <c r="J2495" s="8"/>
      <c r="K2495" s="8"/>
      <c r="L2495" s="9" t="s">
        <v>1148</v>
      </c>
      <c r="M2495" s="8"/>
    </row>
    <row r="2496" spans="1:13" x14ac:dyDescent="0.25">
      <c r="A2496" s="71" t="s">
        <v>4536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4537</v>
      </c>
      <c r="B2497" s="67">
        <v>18468597864</v>
      </c>
      <c r="C2497" s="72" t="s">
        <v>4538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4539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1004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4540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1004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4541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1004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4542</v>
      </c>
      <c r="B2501" s="67">
        <v>23134916843</v>
      </c>
      <c r="C2501" s="72" t="s">
        <v>4543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4544</v>
      </c>
      <c r="B2502" s="67">
        <v>60939966468</v>
      </c>
      <c r="C2502" s="72" t="s">
        <v>4545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4546</v>
      </c>
      <c r="B2503" s="67"/>
      <c r="C2503" s="29" t="s">
        <v>4547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4548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1004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4549</v>
      </c>
      <c r="B2505" s="67">
        <v>33594407810</v>
      </c>
      <c r="C2505" s="68" t="s">
        <v>4550</v>
      </c>
      <c r="D2505" s="69">
        <v>5613611777</v>
      </c>
      <c r="E2505" s="9">
        <v>1128</v>
      </c>
      <c r="F2505" s="25">
        <v>42972</v>
      </c>
      <c r="G2505" s="70" t="s">
        <v>1004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4551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1004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4552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4553</v>
      </c>
      <c r="B2508" s="67">
        <v>38404903832</v>
      </c>
      <c r="C2508" s="72" t="s">
        <v>4554</v>
      </c>
      <c r="D2508" s="69">
        <v>35612360819</v>
      </c>
      <c r="E2508" s="9">
        <v>810</v>
      </c>
      <c r="F2508" s="25">
        <v>42915</v>
      </c>
      <c r="G2508" s="70" t="s">
        <v>1004</v>
      </c>
      <c r="H2508" s="9"/>
      <c r="I2508" s="8"/>
      <c r="J2508" s="8"/>
      <c r="K2508" s="8"/>
      <c r="L2508" s="9" t="s">
        <v>1126</v>
      </c>
      <c r="M2508" s="8"/>
    </row>
    <row r="2509" spans="1:13" x14ac:dyDescent="0.25">
      <c r="A2509" s="71" t="s">
        <v>4555</v>
      </c>
      <c r="B2509" s="67">
        <v>33198410843</v>
      </c>
      <c r="C2509" s="72" t="s">
        <v>4556</v>
      </c>
      <c r="D2509" s="69">
        <v>32853865843</v>
      </c>
      <c r="E2509" s="9">
        <v>810</v>
      </c>
      <c r="F2509" s="25">
        <v>42915</v>
      </c>
      <c r="G2509" s="70" t="s">
        <v>1004</v>
      </c>
      <c r="H2509" s="9"/>
      <c r="I2509" s="8"/>
      <c r="J2509" s="8"/>
      <c r="K2509" s="8"/>
      <c r="L2509" s="9" t="s">
        <v>1126</v>
      </c>
      <c r="M2509" s="8"/>
    </row>
    <row r="2510" spans="1:13" x14ac:dyDescent="0.25">
      <c r="A2510" s="71" t="s">
        <v>4557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1004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4558</v>
      </c>
      <c r="B2511" s="67">
        <v>46962268831</v>
      </c>
      <c r="C2511" s="72" t="s">
        <v>4559</v>
      </c>
      <c r="D2511" s="69">
        <v>40564058831</v>
      </c>
      <c r="E2511" s="9">
        <v>1752</v>
      </c>
      <c r="F2511" s="25">
        <v>43051</v>
      </c>
      <c r="G2511" s="70" t="s">
        <v>1018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4560</v>
      </c>
      <c r="B2512" s="67">
        <v>33337344860</v>
      </c>
      <c r="C2512" s="72" t="s">
        <v>4561</v>
      </c>
      <c r="D2512" s="69">
        <v>33436663867</v>
      </c>
      <c r="E2512" s="9">
        <v>810</v>
      </c>
      <c r="F2512" s="25">
        <v>42915</v>
      </c>
      <c r="G2512" s="70" t="s">
        <v>1004</v>
      </c>
      <c r="H2512" s="9"/>
      <c r="I2512" s="8"/>
      <c r="J2512" s="8"/>
      <c r="K2512" s="8"/>
      <c r="L2512" s="9" t="s">
        <v>1126</v>
      </c>
      <c r="M2512" s="8"/>
    </row>
    <row r="2513" spans="1:13" x14ac:dyDescent="0.25">
      <c r="A2513" s="14" t="s">
        <v>4562</v>
      </c>
      <c r="B2513" s="67">
        <v>11587518694</v>
      </c>
      <c r="C2513" s="72" t="s">
        <v>4563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4564</v>
      </c>
      <c r="B2514" s="67">
        <v>37957151809</v>
      </c>
      <c r="C2514" s="72" t="s">
        <v>4565</v>
      </c>
      <c r="D2514" s="69">
        <v>28342788814</v>
      </c>
      <c r="E2514" s="9">
        <v>1570</v>
      </c>
      <c r="F2514" s="25">
        <v>43077</v>
      </c>
      <c r="G2514" s="70" t="s">
        <v>1004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4566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1287</v>
      </c>
      <c r="M2515" s="8"/>
    </row>
    <row r="2516" spans="1:13" x14ac:dyDescent="0.25">
      <c r="A2516" s="29" t="s">
        <v>4567</v>
      </c>
      <c r="B2516" s="67">
        <v>35434226852</v>
      </c>
      <c r="C2516" s="29" t="s">
        <v>4568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4569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1004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4570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1004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4571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1004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4572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4573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4574</v>
      </c>
      <c r="B2522" s="67">
        <v>31989585809</v>
      </c>
      <c r="C2522" s="72" t="s">
        <v>4575</v>
      </c>
      <c r="D2522" s="69">
        <v>4312861919</v>
      </c>
      <c r="E2522" s="9">
        <v>1824</v>
      </c>
      <c r="F2522" s="25">
        <v>43091</v>
      </c>
      <c r="G2522" s="70" t="s">
        <v>1018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4576</v>
      </c>
      <c r="B2523" s="67">
        <v>30264611802</v>
      </c>
      <c r="C2523" s="29" t="s">
        <v>4577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4578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1004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4579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1004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4580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1004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4581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1004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4582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4583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4584</v>
      </c>
      <c r="B2530" s="67">
        <v>31117169880</v>
      </c>
      <c r="C2530" s="72" t="s">
        <v>4585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4586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1004</v>
      </c>
      <c r="H2531" s="9"/>
      <c r="I2531" s="8"/>
      <c r="J2531" s="8"/>
      <c r="K2531" s="8"/>
      <c r="L2531" s="9" t="s">
        <v>1158</v>
      </c>
      <c r="M2531" s="8"/>
    </row>
    <row r="2532" spans="1:13" x14ac:dyDescent="0.25">
      <c r="A2532" s="29" t="s">
        <v>4587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4588</v>
      </c>
      <c r="B2533" s="67">
        <v>34800386896</v>
      </c>
      <c r="C2533" s="72" t="s">
        <v>4589</v>
      </c>
      <c r="D2533" s="69">
        <v>33748068808</v>
      </c>
      <c r="E2533" s="9">
        <v>810</v>
      </c>
      <c r="F2533" s="25">
        <v>42915</v>
      </c>
      <c r="G2533" s="70" t="s">
        <v>1004</v>
      </c>
      <c r="H2533" s="9"/>
      <c r="I2533" s="8"/>
      <c r="J2533" s="8"/>
      <c r="K2533" s="8"/>
      <c r="L2533" s="9" t="s">
        <v>1126</v>
      </c>
      <c r="M2533" s="8"/>
    </row>
    <row r="2534" spans="1:13" x14ac:dyDescent="0.25">
      <c r="A2534" s="72" t="s">
        <v>4590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4591</v>
      </c>
      <c r="B2535" s="67">
        <v>38858760867</v>
      </c>
      <c r="C2535" s="68" t="s">
        <v>4592</v>
      </c>
      <c r="D2535" s="69">
        <v>37279553842</v>
      </c>
      <c r="E2535" s="9">
        <v>1128</v>
      </c>
      <c r="F2535" s="25">
        <v>42972</v>
      </c>
      <c r="G2535" s="70" t="s">
        <v>1004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4593</v>
      </c>
      <c r="B2536" s="67">
        <v>43621579800</v>
      </c>
      <c r="C2536" s="29" t="s">
        <v>1117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4594</v>
      </c>
      <c r="B2537" s="67">
        <v>37412192825</v>
      </c>
      <c r="C2537" s="72" t="s">
        <v>4595</v>
      </c>
      <c r="D2537" s="69">
        <v>27576214830</v>
      </c>
      <c r="E2537" s="9">
        <v>1489</v>
      </c>
      <c r="F2537" s="25">
        <v>43038</v>
      </c>
      <c r="G2537" s="70" t="s">
        <v>1004</v>
      </c>
      <c r="H2537" s="9"/>
      <c r="I2537" s="8"/>
      <c r="J2537" s="8"/>
      <c r="K2537" s="8"/>
      <c r="L2537" s="9" t="s">
        <v>1148</v>
      </c>
      <c r="M2537" s="8"/>
    </row>
    <row r="2538" spans="1:13" x14ac:dyDescent="0.25">
      <c r="A2538" s="71" t="s">
        <v>4596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1004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4597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1004</v>
      </c>
      <c r="H2539" s="9"/>
      <c r="I2539" s="8"/>
      <c r="J2539" s="8"/>
      <c r="K2539" s="8"/>
      <c r="L2539" s="9" t="s">
        <v>1126</v>
      </c>
      <c r="M2539" s="8"/>
    </row>
    <row r="2540" spans="1:13" x14ac:dyDescent="0.25">
      <c r="A2540" s="71" t="s">
        <v>4598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4599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4600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4601</v>
      </c>
      <c r="B2543" s="67">
        <v>36613563803</v>
      </c>
      <c r="C2543" s="72" t="s">
        <v>4602</v>
      </c>
      <c r="D2543" s="69">
        <v>27798369899</v>
      </c>
      <c r="E2543" s="9">
        <v>292</v>
      </c>
      <c r="F2543" s="25">
        <v>43168</v>
      </c>
      <c r="G2543" s="70" t="s">
        <v>1004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4603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4604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1004</v>
      </c>
      <c r="H2545" s="9"/>
      <c r="I2545" s="8"/>
      <c r="J2545" s="8"/>
      <c r="K2545" s="8"/>
      <c r="L2545" s="9" t="s">
        <v>1126</v>
      </c>
      <c r="M2545" s="8"/>
    </row>
    <row r="2546" spans="1:13" ht="30" x14ac:dyDescent="0.25">
      <c r="A2546" s="91" t="s">
        <v>4605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1004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4606</v>
      </c>
      <c r="B2547" s="67">
        <v>2950068545</v>
      </c>
      <c r="C2547" s="15" t="s">
        <v>4607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4608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1004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4609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1010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4610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4611</v>
      </c>
      <c r="B2551" s="67">
        <v>44618522453</v>
      </c>
      <c r="C2551" s="68" t="s">
        <v>4612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4613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1004</v>
      </c>
      <c r="H2552" s="9"/>
      <c r="I2552" s="8"/>
      <c r="J2552" s="8"/>
      <c r="K2552" s="8"/>
      <c r="L2552" s="9" t="s">
        <v>1158</v>
      </c>
      <c r="M2552" s="8"/>
    </row>
    <row r="2553" spans="1:13" x14ac:dyDescent="0.25">
      <c r="A2553" s="71" t="s">
        <v>4614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1004</v>
      </c>
      <c r="H2553" s="9"/>
      <c r="I2553" s="8"/>
      <c r="J2553" s="8"/>
      <c r="K2553" s="8"/>
      <c r="L2553" s="9" t="s">
        <v>1241</v>
      </c>
      <c r="M2553" s="8"/>
    </row>
    <row r="2554" spans="1:13" x14ac:dyDescent="0.25">
      <c r="A2554" s="71" t="s">
        <v>4615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4616</v>
      </c>
      <c r="B2555" s="67">
        <v>26333731862</v>
      </c>
      <c r="C2555" s="72" t="s">
        <v>4617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4618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1287</v>
      </c>
      <c r="M2556" s="8"/>
    </row>
    <row r="2557" spans="1:13" x14ac:dyDescent="0.25">
      <c r="A2557" s="71" t="s">
        <v>4619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1004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4620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1004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4621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1004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4622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1004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4623</v>
      </c>
      <c r="B2561" s="67">
        <v>2035513545</v>
      </c>
      <c r="C2561" s="77" t="s">
        <v>4624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4625</v>
      </c>
      <c r="B2562" s="67">
        <v>32375610881</v>
      </c>
      <c r="C2562" s="72" t="s">
        <v>4626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4627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1004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4628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1004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4629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4630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1004</v>
      </c>
      <c r="H2566" s="9"/>
      <c r="I2566" s="8"/>
      <c r="J2566" s="8"/>
      <c r="K2566" s="8"/>
      <c r="L2566" s="9" t="s">
        <v>1148</v>
      </c>
      <c r="M2566" s="8"/>
    </row>
    <row r="2567" spans="1:13" x14ac:dyDescent="0.25">
      <c r="A2567" s="71" t="s">
        <v>4631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1004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4632</v>
      </c>
      <c r="B2568" s="67">
        <v>28040254892</v>
      </c>
      <c r="C2568" s="72" t="s">
        <v>4633</v>
      </c>
      <c r="D2568" s="69">
        <v>27414145808</v>
      </c>
      <c r="E2568" s="9">
        <v>810</v>
      </c>
      <c r="F2568" s="25">
        <v>42915</v>
      </c>
      <c r="G2568" s="70" t="s">
        <v>1004</v>
      </c>
      <c r="H2568" s="25">
        <v>42921</v>
      </c>
      <c r="I2568" s="8"/>
      <c r="J2568" s="8"/>
      <c r="K2568" s="8"/>
      <c r="L2568" s="9" t="s">
        <v>1126</v>
      </c>
      <c r="M2568" s="8"/>
    </row>
    <row r="2569" spans="1:13" x14ac:dyDescent="0.25">
      <c r="A2569" s="71" t="s">
        <v>4634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1004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4635</v>
      </c>
      <c r="B2570" s="67">
        <v>19585439859</v>
      </c>
      <c r="C2570" s="72" t="s">
        <v>4636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4637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1004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4638</v>
      </c>
      <c r="B2572" s="67">
        <v>33167057831</v>
      </c>
      <c r="C2572" s="18" t="s">
        <v>1117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4639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1004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4640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1004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4641</v>
      </c>
      <c r="B2575" s="67">
        <v>41360953841</v>
      </c>
      <c r="C2575" s="72" t="s">
        <v>4642</v>
      </c>
      <c r="D2575" s="69">
        <v>39212484859</v>
      </c>
      <c r="E2575" s="9">
        <v>117</v>
      </c>
      <c r="F2575" s="25">
        <v>43117</v>
      </c>
      <c r="G2575" s="70" t="s">
        <v>1004</v>
      </c>
      <c r="H2575" s="25">
        <v>43151</v>
      </c>
      <c r="I2575" s="8"/>
      <c r="J2575" s="8"/>
      <c r="K2575" s="8"/>
      <c r="L2575" s="9" t="s">
        <v>1158</v>
      </c>
      <c r="M2575" s="8"/>
    </row>
    <row r="2576" spans="1:13" x14ac:dyDescent="0.25">
      <c r="A2576" s="15" t="s">
        <v>4643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1004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4644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1004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4645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1004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4646</v>
      </c>
      <c r="B2579" s="67"/>
      <c r="C2579" s="29" t="s">
        <v>1117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4647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4648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1004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4649</v>
      </c>
      <c r="B2582" s="67">
        <v>39407601889</v>
      </c>
      <c r="C2582" s="72" t="s">
        <v>4650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4651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1004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4652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4653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1004</v>
      </c>
      <c r="H2585" s="25">
        <v>42921</v>
      </c>
      <c r="I2585" s="8"/>
      <c r="J2585" s="8"/>
      <c r="K2585" s="8"/>
      <c r="L2585" s="9" t="s">
        <v>1126</v>
      </c>
      <c r="M2585" s="8"/>
    </row>
    <row r="2586" spans="1:13" x14ac:dyDescent="0.25">
      <c r="A2586" s="71" t="s">
        <v>4654</v>
      </c>
      <c r="B2586" s="67">
        <v>40831453826</v>
      </c>
      <c r="C2586" s="72" t="s">
        <v>4655</v>
      </c>
      <c r="D2586" s="69">
        <v>41787837858</v>
      </c>
      <c r="E2586" s="9">
        <v>1214</v>
      </c>
      <c r="F2586" s="25">
        <v>42989</v>
      </c>
      <c r="G2586" s="70" t="s">
        <v>1004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4656</v>
      </c>
      <c r="B2587" s="67">
        <v>23043868811</v>
      </c>
      <c r="C2587" s="18" t="s">
        <v>4657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4658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1004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4659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1004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4660</v>
      </c>
      <c r="B2590" s="67">
        <v>11739082850</v>
      </c>
      <c r="C2590" s="72" t="s">
        <v>4661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4662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1004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4663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1004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4664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1004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4665</v>
      </c>
      <c r="B2594" s="67">
        <v>36782552809</v>
      </c>
      <c r="C2594" s="72" t="s">
        <v>4666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4667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4668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1004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4669</v>
      </c>
      <c r="B2597" s="67">
        <v>28249902874</v>
      </c>
      <c r="C2597" s="29" t="s">
        <v>4670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4671</v>
      </c>
      <c r="B2598" s="67">
        <v>36169238836</v>
      </c>
      <c r="C2598" s="77" t="s">
        <v>4672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4673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1004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4674</v>
      </c>
      <c r="B2600" s="67">
        <v>30886267870</v>
      </c>
      <c r="C2600" s="29" t="s">
        <v>4675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4676</v>
      </c>
      <c r="B2601" s="67"/>
      <c r="C2601" s="29" t="s">
        <v>4677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4678</v>
      </c>
      <c r="B2602" s="67">
        <v>26107569847</v>
      </c>
      <c r="C2602" s="77" t="s">
        <v>4679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4680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1004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4681</v>
      </c>
      <c r="B2604" s="67">
        <v>13516251875</v>
      </c>
      <c r="C2604" s="68" t="s">
        <v>4682</v>
      </c>
      <c r="D2604" s="69">
        <v>10146756851</v>
      </c>
      <c r="E2604" s="9">
        <v>1214</v>
      </c>
      <c r="F2604" s="25">
        <v>42989</v>
      </c>
      <c r="G2604" s="70" t="s">
        <v>1004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4683</v>
      </c>
      <c r="B2605" s="67">
        <v>3597715486</v>
      </c>
      <c r="C2605" s="72" t="s">
        <v>4684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4685</v>
      </c>
      <c r="B2606" s="67">
        <v>1563161532</v>
      </c>
      <c r="C2606" s="68" t="s">
        <v>4686</v>
      </c>
      <c r="D2606" s="69">
        <v>92557732591</v>
      </c>
      <c r="E2606" s="9">
        <v>1128</v>
      </c>
      <c r="F2606" s="25">
        <v>42972</v>
      </c>
      <c r="G2606" s="70" t="s">
        <v>1004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4687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4688</v>
      </c>
      <c r="B2608" s="67">
        <v>31914362861</v>
      </c>
      <c r="C2608" s="72" t="s">
        <v>4689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1287</v>
      </c>
      <c r="M2608" s="8"/>
    </row>
    <row r="2609" spans="1:13" x14ac:dyDescent="0.25">
      <c r="A2609" s="18" t="s">
        <v>4690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4691</v>
      </c>
      <c r="B2610" s="67">
        <v>35218693855</v>
      </c>
      <c r="C2610" s="72" t="s">
        <v>4692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4693</v>
      </c>
      <c r="B2611" s="67">
        <v>30947166874</v>
      </c>
      <c r="C2611" s="72" t="s">
        <v>4694</v>
      </c>
      <c r="D2611" s="69">
        <v>1304805506</v>
      </c>
      <c r="E2611" s="9">
        <v>1241</v>
      </c>
      <c r="F2611" s="25">
        <v>42992</v>
      </c>
      <c r="G2611" s="70" t="s">
        <v>1004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4695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4696</v>
      </c>
      <c r="B2613" s="67">
        <v>3632265593</v>
      </c>
      <c r="C2613" s="72" t="s">
        <v>4697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4698</v>
      </c>
      <c r="B2614" s="67">
        <v>9500687801</v>
      </c>
      <c r="C2614" s="77" t="s">
        <v>4699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1287</v>
      </c>
      <c r="M2614" s="8"/>
    </row>
    <row r="2615" spans="1:13" x14ac:dyDescent="0.25">
      <c r="A2615" s="71" t="s">
        <v>4700</v>
      </c>
      <c r="B2615" s="67">
        <v>78808405400</v>
      </c>
      <c r="C2615" s="72" t="s">
        <v>4701</v>
      </c>
      <c r="D2615" s="69">
        <v>6840084400</v>
      </c>
      <c r="E2615" s="9">
        <v>1824</v>
      </c>
      <c r="F2615" s="25">
        <v>43091</v>
      </c>
      <c r="G2615" s="70" t="s">
        <v>1004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4702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1004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4703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4704</v>
      </c>
      <c r="B2618" s="67">
        <v>37500289820</v>
      </c>
      <c r="C2618" s="68" t="s">
        <v>4705</v>
      </c>
      <c r="D2618" s="69">
        <v>26607571867</v>
      </c>
      <c r="E2618" s="9">
        <v>1350</v>
      </c>
      <c r="F2618" s="25">
        <v>43006</v>
      </c>
      <c r="G2618" s="70" t="s">
        <v>1004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4706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4707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1004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4708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4709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1004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4710</v>
      </c>
      <c r="B2623" s="67">
        <v>8192130800</v>
      </c>
      <c r="C2623" s="72" t="s">
        <v>4711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4712</v>
      </c>
      <c r="B2624" s="67">
        <v>26853070879</v>
      </c>
      <c r="C2624" s="18" t="s">
        <v>4713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4714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1004</v>
      </c>
      <c r="H2625" s="25">
        <v>43027</v>
      </c>
      <c r="I2625" s="8"/>
      <c r="J2625" s="8"/>
      <c r="K2625" s="8"/>
      <c r="L2625" s="9" t="s">
        <v>1241</v>
      </c>
      <c r="M2625" s="8"/>
    </row>
    <row r="2626" spans="1:13" x14ac:dyDescent="0.25">
      <c r="A2626" s="13" t="s">
        <v>4715</v>
      </c>
      <c r="B2626" s="67">
        <v>27440063864</v>
      </c>
      <c r="C2626" s="68" t="s">
        <v>4716</v>
      </c>
      <c r="D2626" s="69">
        <v>66533287400</v>
      </c>
      <c r="E2626" s="9">
        <v>1241</v>
      </c>
      <c r="F2626" s="25">
        <v>42992</v>
      </c>
      <c r="G2626" s="70" t="s">
        <v>1004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4717</v>
      </c>
      <c r="B2627" s="67">
        <v>32362879852</v>
      </c>
      <c r="C2627" s="72" t="s">
        <v>4718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1287</v>
      </c>
      <c r="M2627" s="8"/>
    </row>
    <row r="2628" spans="1:13" x14ac:dyDescent="0.25">
      <c r="A2628" s="15" t="s">
        <v>4719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1004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4720</v>
      </c>
      <c r="B2629" s="67">
        <v>37904123843</v>
      </c>
      <c r="C2629" s="72" t="s">
        <v>4721</v>
      </c>
      <c r="D2629" s="69">
        <v>16565739897</v>
      </c>
      <c r="E2629" s="9">
        <v>292</v>
      </c>
      <c r="F2629" s="25">
        <v>43168</v>
      </c>
      <c r="G2629" s="70" t="s">
        <v>1004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4722</v>
      </c>
      <c r="B2630" s="67">
        <v>30775860883</v>
      </c>
      <c r="C2630" s="72" t="s">
        <v>4723</v>
      </c>
      <c r="D2630" s="69">
        <v>34227894808</v>
      </c>
      <c r="E2630" s="9">
        <v>1359</v>
      </c>
      <c r="F2630" s="25">
        <v>43006</v>
      </c>
      <c r="G2630" s="70" t="s">
        <v>1004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4724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1004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4725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1004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4726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1004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4727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1004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4728</v>
      </c>
      <c r="B2635" s="67">
        <v>29287401802</v>
      </c>
      <c r="C2635" s="72" t="s">
        <v>4729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4607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1004</v>
      </c>
      <c r="H2636" s="25">
        <v>43151</v>
      </c>
      <c r="I2636" s="8"/>
      <c r="J2636" s="8"/>
      <c r="K2636" s="8"/>
      <c r="L2636" s="9" t="s">
        <v>1158</v>
      </c>
      <c r="M2636" s="8"/>
    </row>
    <row r="2637" spans="1:13" x14ac:dyDescent="0.25">
      <c r="A2637" s="71" t="s">
        <v>4730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4731</v>
      </c>
      <c r="B2638" s="67">
        <v>36051425837</v>
      </c>
      <c r="C2638" s="77" t="s">
        <v>4732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4733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1004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4734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1287</v>
      </c>
      <c r="M2640" s="8"/>
    </row>
    <row r="2641" spans="1:13" x14ac:dyDescent="0.25">
      <c r="A2641" s="72" t="s">
        <v>4735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4736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1004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4737</v>
      </c>
      <c r="B2643" s="67">
        <v>3212055375</v>
      </c>
      <c r="C2643" s="77" t="s">
        <v>4738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4739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1004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4740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1004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4741</v>
      </c>
      <c r="B2646" s="67">
        <v>11452168890</v>
      </c>
      <c r="C2646" s="72" t="s">
        <v>4742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4743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4744</v>
      </c>
      <c r="B2648" s="67">
        <v>31856157865</v>
      </c>
      <c r="C2648" s="72" t="s">
        <v>4745</v>
      </c>
      <c r="D2648" s="69">
        <v>94552967568</v>
      </c>
      <c r="E2648" s="9">
        <v>810</v>
      </c>
      <c r="F2648" s="25">
        <v>42915</v>
      </c>
      <c r="G2648" s="70" t="s">
        <v>1004</v>
      </c>
      <c r="H2648" s="25">
        <v>42921</v>
      </c>
      <c r="I2648" s="8"/>
      <c r="J2648" s="8"/>
      <c r="K2648" s="8"/>
      <c r="L2648" s="9" t="s">
        <v>1126</v>
      </c>
      <c r="M2648" s="8"/>
    </row>
    <row r="2649" spans="1:13" x14ac:dyDescent="0.25">
      <c r="A2649" s="71" t="s">
        <v>4746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1004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4747</v>
      </c>
      <c r="B2650" s="67">
        <v>37478827810</v>
      </c>
      <c r="C2650" s="72" t="s">
        <v>4748</v>
      </c>
      <c r="D2650" s="69">
        <v>37591131842</v>
      </c>
      <c r="E2650" s="9">
        <v>292</v>
      </c>
      <c r="F2650" s="25">
        <v>43168</v>
      </c>
      <c r="G2650" s="70" t="s">
        <v>1004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4749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1004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4750</v>
      </c>
      <c r="B2652" s="67">
        <v>23465596870</v>
      </c>
      <c r="C2652" s="72" t="s">
        <v>4751</v>
      </c>
      <c r="D2652" s="69">
        <v>23522451848</v>
      </c>
      <c r="E2652" s="9">
        <v>292</v>
      </c>
      <c r="F2652" s="25">
        <v>43168</v>
      </c>
      <c r="G2652" s="70" t="s">
        <v>1004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4752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1287</v>
      </c>
      <c r="M2653" s="8"/>
    </row>
    <row r="2654" spans="1:13" x14ac:dyDescent="0.25">
      <c r="A2654" s="73" t="s">
        <v>4753</v>
      </c>
      <c r="B2654" s="67">
        <v>34274784835</v>
      </c>
      <c r="C2654" s="72" t="s">
        <v>4754</v>
      </c>
      <c r="D2654" s="69">
        <v>19379885890</v>
      </c>
      <c r="E2654" s="9">
        <v>810</v>
      </c>
      <c r="F2654" s="25">
        <v>42915</v>
      </c>
      <c r="G2654" s="70" t="s">
        <v>1004</v>
      </c>
      <c r="H2654" s="25">
        <v>42921</v>
      </c>
      <c r="I2654" s="8"/>
      <c r="J2654" s="8"/>
      <c r="K2654" s="8"/>
      <c r="L2654" s="9" t="s">
        <v>1126</v>
      </c>
      <c r="M2654" s="8"/>
    </row>
    <row r="2655" spans="1:13" x14ac:dyDescent="0.25">
      <c r="A2655" s="71" t="s">
        <v>4755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1004</v>
      </c>
      <c r="H2655" s="25">
        <v>42921</v>
      </c>
      <c r="I2655" s="8"/>
      <c r="J2655" s="8"/>
      <c r="K2655" s="8"/>
      <c r="L2655" s="9" t="s">
        <v>1126</v>
      </c>
      <c r="M2655" s="8"/>
    </row>
    <row r="2656" spans="1:13" x14ac:dyDescent="0.25">
      <c r="A2656" s="71" t="s">
        <v>4756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1004</v>
      </c>
      <c r="H2656" s="25">
        <v>42921</v>
      </c>
      <c r="I2656" s="8"/>
      <c r="J2656" s="8"/>
      <c r="K2656" s="8"/>
      <c r="L2656" s="9" t="s">
        <v>1126</v>
      </c>
      <c r="M2656" s="8"/>
    </row>
    <row r="2657" spans="1:13" x14ac:dyDescent="0.25">
      <c r="A2657" s="71" t="s">
        <v>4757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1004</v>
      </c>
      <c r="H2657" s="25">
        <v>43151</v>
      </c>
      <c r="I2657" s="8"/>
      <c r="J2657" s="8"/>
      <c r="K2657" s="8"/>
      <c r="L2657" s="9" t="s">
        <v>1158</v>
      </c>
      <c r="M2657" s="8"/>
    </row>
    <row r="2658" spans="1:13" x14ac:dyDescent="0.25">
      <c r="A2658" s="71" t="s">
        <v>4758</v>
      </c>
      <c r="B2658" s="67">
        <v>41491764856</v>
      </c>
      <c r="C2658" s="72" t="s">
        <v>4759</v>
      </c>
      <c r="D2658" s="69">
        <v>91076447520</v>
      </c>
      <c r="E2658" s="9">
        <v>292</v>
      </c>
      <c r="F2658" s="25">
        <v>43168</v>
      </c>
      <c r="G2658" s="70" t="s">
        <v>1004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4760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1004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4761</v>
      </c>
      <c r="B2660" s="67">
        <v>32962624820</v>
      </c>
      <c r="C2660" s="72" t="s">
        <v>4762</v>
      </c>
      <c r="D2660" s="69">
        <v>3430918871</v>
      </c>
      <c r="E2660" s="9"/>
      <c r="F2660" s="25"/>
      <c r="G2660" s="70" t="s">
        <v>1004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4763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1010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4764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4765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4766</v>
      </c>
      <c r="B2664" s="67" t="s">
        <v>4767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4768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1004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4769</v>
      </c>
      <c r="B2666" s="67">
        <v>99048957753</v>
      </c>
      <c r="C2666" s="29" t="s">
        <v>4770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4771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4772</v>
      </c>
      <c r="B2668" s="67">
        <v>11234152851</v>
      </c>
      <c r="C2668" s="72" t="s">
        <v>4773</v>
      </c>
      <c r="D2668" s="69">
        <v>11353668886</v>
      </c>
      <c r="E2668" s="9">
        <v>117</v>
      </c>
      <c r="F2668" s="25">
        <v>43117</v>
      </c>
      <c r="G2668" s="70" t="s">
        <v>1004</v>
      </c>
      <c r="H2668" s="25">
        <v>43151</v>
      </c>
      <c r="I2668" s="8"/>
      <c r="J2668" s="8"/>
      <c r="K2668" s="8"/>
      <c r="L2668" s="9" t="s">
        <v>1158</v>
      </c>
      <c r="M2668" s="8"/>
    </row>
    <row r="2669" spans="1:13" x14ac:dyDescent="0.25">
      <c r="A2669" s="14" t="s">
        <v>4774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4775</v>
      </c>
      <c r="B2670" s="67">
        <v>39109326812</v>
      </c>
      <c r="C2670" s="29" t="s">
        <v>4776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4777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1004</v>
      </c>
      <c r="H2671" s="25">
        <v>42921</v>
      </c>
      <c r="I2671" s="8"/>
      <c r="J2671" s="8"/>
      <c r="K2671" s="8"/>
      <c r="L2671" s="9" t="s">
        <v>1126</v>
      </c>
      <c r="M2671" s="8"/>
    </row>
    <row r="2672" spans="1:13" x14ac:dyDescent="0.25">
      <c r="A2672" s="71" t="s">
        <v>4778</v>
      </c>
      <c r="B2672" s="67">
        <v>33211970819</v>
      </c>
      <c r="C2672" s="72" t="s">
        <v>4779</v>
      </c>
      <c r="D2672" s="69">
        <v>22546816802</v>
      </c>
      <c r="E2672" s="9">
        <v>810</v>
      </c>
      <c r="F2672" s="25">
        <v>42915</v>
      </c>
      <c r="G2672" s="70" t="s">
        <v>1004</v>
      </c>
      <c r="H2672" s="25">
        <v>42921</v>
      </c>
      <c r="I2672" s="8"/>
      <c r="J2672" s="8"/>
      <c r="K2672" s="8"/>
      <c r="L2672" s="9" t="s">
        <v>1126</v>
      </c>
      <c r="M2672" s="8"/>
    </row>
    <row r="2673" spans="1:13" x14ac:dyDescent="0.25">
      <c r="A2673" s="71" t="s">
        <v>4780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1004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4781</v>
      </c>
      <c r="B2674" s="67">
        <v>45170442890</v>
      </c>
      <c r="C2674" s="18" t="s">
        <v>1117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4782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1004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4783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1004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4784</v>
      </c>
      <c r="B2677" s="67"/>
      <c r="C2677" s="71" t="s">
        <v>4785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4786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4787</v>
      </c>
      <c r="B2679" s="67"/>
      <c r="C2679" s="29" t="s">
        <v>1117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4788</v>
      </c>
      <c r="B2680" s="67">
        <v>1846996490</v>
      </c>
      <c r="C2680" s="72" t="s">
        <v>4789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4790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1004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4791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1004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4792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1004</v>
      </c>
      <c r="H2683" s="25">
        <v>43027</v>
      </c>
      <c r="I2683" s="8"/>
      <c r="J2683" s="8"/>
      <c r="K2683" s="8"/>
      <c r="L2683" s="9" t="s">
        <v>1241</v>
      </c>
      <c r="M2683" s="8"/>
    </row>
    <row r="2684" spans="1:13" x14ac:dyDescent="0.25">
      <c r="A2684" s="13" t="s">
        <v>4793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1004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4794</v>
      </c>
      <c r="B2685" s="67"/>
      <c r="C2685" s="29" t="s">
        <v>1117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4795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1004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4796</v>
      </c>
      <c r="B2687" s="67">
        <v>18033634871</v>
      </c>
      <c r="C2687" s="72" t="s">
        <v>4797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4798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4799</v>
      </c>
      <c r="B2689" s="67">
        <v>16155105839</v>
      </c>
      <c r="C2689" s="72" t="s">
        <v>4800</v>
      </c>
      <c r="D2689" s="69">
        <v>53581717468</v>
      </c>
      <c r="E2689" s="9">
        <v>1359</v>
      </c>
      <c r="F2689" s="25">
        <v>43006</v>
      </c>
      <c r="G2689" s="70" t="s">
        <v>1004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4801</v>
      </c>
      <c r="B2690" s="67">
        <v>33244692877</v>
      </c>
      <c r="C2690" s="72" t="s">
        <v>4802</v>
      </c>
      <c r="D2690" s="69">
        <v>7582246802</v>
      </c>
      <c r="E2690" s="9">
        <v>1417</v>
      </c>
      <c r="F2690" s="25">
        <v>43017</v>
      </c>
      <c r="G2690" s="70" t="s">
        <v>1004</v>
      </c>
      <c r="H2690" s="25">
        <v>43027</v>
      </c>
      <c r="I2690" s="8"/>
      <c r="J2690" s="8"/>
      <c r="K2690" s="8"/>
      <c r="L2690" s="9" t="s">
        <v>1241</v>
      </c>
      <c r="M2690" s="8"/>
    </row>
    <row r="2691" spans="1:13" x14ac:dyDescent="0.25">
      <c r="A2691" s="71" t="s">
        <v>4803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4804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4805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4806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4807</v>
      </c>
      <c r="B2695" s="67">
        <v>8715634795</v>
      </c>
      <c r="C2695" s="72" t="s">
        <v>4808</v>
      </c>
      <c r="D2695" s="69">
        <v>30386378827</v>
      </c>
      <c r="E2695" s="9">
        <v>1106</v>
      </c>
      <c r="F2695" s="25">
        <v>42965</v>
      </c>
      <c r="G2695" s="70" t="s">
        <v>1004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4809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1004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4810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1004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4811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4812</v>
      </c>
      <c r="B2699" s="67">
        <v>85941933517</v>
      </c>
      <c r="C2699" s="72" t="s">
        <v>4813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4814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4815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4816</v>
      </c>
      <c r="B2702" s="67"/>
      <c r="C2702" s="18" t="s">
        <v>1117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4817</v>
      </c>
      <c r="B2703" s="67">
        <v>39766945845</v>
      </c>
      <c r="C2703" s="72" t="s">
        <v>4818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4819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1004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4820</v>
      </c>
      <c r="B2705" s="67">
        <v>16374846826</v>
      </c>
      <c r="C2705" s="72" t="s">
        <v>4821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4822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4823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1004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4824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1004</v>
      </c>
      <c r="H2708" s="9"/>
      <c r="I2708" s="8"/>
      <c r="J2708" s="8"/>
      <c r="K2708" s="8"/>
      <c r="L2708" s="9" t="s">
        <v>1386</v>
      </c>
      <c r="M2708" s="8"/>
    </row>
    <row r="2709" spans="1:13" x14ac:dyDescent="0.25">
      <c r="A2709" s="71" t="s">
        <v>4825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1004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4826</v>
      </c>
      <c r="B2710" s="67">
        <v>14337129898</v>
      </c>
      <c r="C2710" s="77" t="s">
        <v>4827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4828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1004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4829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1004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4830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4831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4832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1004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4833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4834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4835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1018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4836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1004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4837</v>
      </c>
      <c r="B2720" s="67">
        <v>38482003844</v>
      </c>
      <c r="C2720" s="72" t="s">
        <v>4838</v>
      </c>
      <c r="D2720" s="69">
        <v>34337869840</v>
      </c>
      <c r="E2720" s="9">
        <v>117</v>
      </c>
      <c r="F2720" s="25">
        <v>43117</v>
      </c>
      <c r="G2720" s="70" t="s">
        <v>1004</v>
      </c>
      <c r="H2720" s="25">
        <v>43151</v>
      </c>
      <c r="I2720" s="8"/>
      <c r="J2720" s="8"/>
      <c r="K2720" s="8"/>
      <c r="L2720" s="9" t="s">
        <v>1158</v>
      </c>
      <c r="M2720" s="8"/>
    </row>
    <row r="2721" spans="1:13" x14ac:dyDescent="0.25">
      <c r="A2721" s="71" t="s">
        <v>4839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4840</v>
      </c>
      <c r="B2722" s="67">
        <v>33079736818</v>
      </c>
      <c r="C2722" s="72" t="s">
        <v>4841</v>
      </c>
      <c r="D2722" s="69">
        <v>35642667807</v>
      </c>
      <c r="E2722" s="9">
        <v>262</v>
      </c>
      <c r="F2722" s="25">
        <v>43160</v>
      </c>
      <c r="G2722" s="70" t="s">
        <v>1004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4842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4843</v>
      </c>
      <c r="B2724" s="67">
        <v>31620090813</v>
      </c>
      <c r="C2724" s="72" t="s">
        <v>4844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4845</v>
      </c>
      <c r="B2725" s="67">
        <v>39621579805</v>
      </c>
      <c r="C2725" s="77" t="s">
        <v>4846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4847</v>
      </c>
      <c r="B2726" s="67">
        <v>221267328</v>
      </c>
      <c r="C2726" s="72" t="s">
        <v>4848</v>
      </c>
      <c r="D2726" s="69">
        <v>98610830306</v>
      </c>
      <c r="E2726" s="9">
        <v>85</v>
      </c>
      <c r="F2726" s="25">
        <v>43109</v>
      </c>
      <c r="G2726" s="70" t="s">
        <v>1004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4849</v>
      </c>
      <c r="B2727" s="67">
        <v>35706262888</v>
      </c>
      <c r="C2727" s="71" t="s">
        <v>4850</v>
      </c>
      <c r="D2727" s="69">
        <v>28992397836</v>
      </c>
      <c r="E2727" s="9">
        <v>292</v>
      </c>
      <c r="F2727" s="25">
        <v>43168</v>
      </c>
      <c r="G2727" s="9" t="s">
        <v>1004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4851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1004</v>
      </c>
      <c r="H2728" s="25">
        <v>42921</v>
      </c>
      <c r="I2728" s="8"/>
      <c r="J2728" s="8"/>
      <c r="K2728" s="8"/>
      <c r="L2728" s="9" t="s">
        <v>1126</v>
      </c>
      <c r="M2728" s="8"/>
    </row>
    <row r="2729" spans="1:13" x14ac:dyDescent="0.25">
      <c r="A2729" s="71" t="s">
        <v>4852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1004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4853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4854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1004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4855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4856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4857</v>
      </c>
      <c r="B2734" s="67">
        <v>34393827880</v>
      </c>
      <c r="C2734" s="72" t="s">
        <v>4858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4859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4860</v>
      </c>
      <c r="B2736" s="67">
        <v>35679630826</v>
      </c>
      <c r="C2736" s="72" t="s">
        <v>4861</v>
      </c>
      <c r="D2736" s="69">
        <v>34083542861</v>
      </c>
      <c r="E2736" s="9">
        <v>1752</v>
      </c>
      <c r="F2736" s="25">
        <v>43051</v>
      </c>
      <c r="G2736" s="70" t="s">
        <v>1004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4862</v>
      </c>
      <c r="B2737" s="67">
        <v>34949006800</v>
      </c>
      <c r="C2737" s="18" t="s">
        <v>4863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4864</v>
      </c>
      <c r="B2738" s="67">
        <v>1157524559</v>
      </c>
      <c r="C2738" s="72" t="s">
        <v>4865</v>
      </c>
      <c r="D2738" s="69">
        <v>1436524512</v>
      </c>
      <c r="E2738" s="9">
        <v>117</v>
      </c>
      <c r="F2738" s="25">
        <v>43117</v>
      </c>
      <c r="G2738" s="70" t="s">
        <v>1010</v>
      </c>
      <c r="H2738" s="25">
        <v>43151</v>
      </c>
      <c r="I2738" s="8"/>
      <c r="J2738" s="8"/>
      <c r="K2738" s="8"/>
      <c r="L2738" s="9" t="s">
        <v>1158</v>
      </c>
      <c r="M2738" s="8"/>
    </row>
    <row r="2739" spans="1:13" x14ac:dyDescent="0.25">
      <c r="A2739" s="71" t="s">
        <v>4866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1004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4867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1004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4868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1004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4869</v>
      </c>
      <c r="B2742" s="67">
        <v>21686263830</v>
      </c>
      <c r="C2742" s="29" t="s">
        <v>4870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4871</v>
      </c>
      <c r="B2743" s="67">
        <v>22497995800</v>
      </c>
      <c r="C2743" s="18" t="s">
        <v>4872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4873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1004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4874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4875</v>
      </c>
      <c r="B2746" s="67">
        <v>40291692877</v>
      </c>
      <c r="C2746" s="72" t="s">
        <v>4876</v>
      </c>
      <c r="D2746" s="69">
        <v>1566073367</v>
      </c>
      <c r="E2746" s="9">
        <v>810</v>
      </c>
      <c r="F2746" s="25">
        <v>42915</v>
      </c>
      <c r="G2746" s="70" t="s">
        <v>1004</v>
      </c>
      <c r="H2746" s="25">
        <v>42921</v>
      </c>
      <c r="I2746" s="8"/>
      <c r="J2746" s="8"/>
      <c r="K2746" s="8"/>
      <c r="L2746" s="9" t="s">
        <v>1126</v>
      </c>
      <c r="M2746" s="8"/>
    </row>
    <row r="2747" spans="1:13" x14ac:dyDescent="0.25">
      <c r="A2747" s="72" t="s">
        <v>4877</v>
      </c>
      <c r="B2747" s="67">
        <v>11767064896</v>
      </c>
      <c r="C2747" s="72" t="s">
        <v>4878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4879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1004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4880</v>
      </c>
      <c r="B2749" s="67">
        <v>49009893391</v>
      </c>
      <c r="C2749" s="72" t="s">
        <v>4881</v>
      </c>
      <c r="D2749" s="69">
        <v>37349813368</v>
      </c>
      <c r="E2749" s="9">
        <v>292</v>
      </c>
      <c r="F2749" s="25">
        <v>43168</v>
      </c>
      <c r="G2749" s="70" t="s">
        <v>1004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4882</v>
      </c>
      <c r="B2750" s="67">
        <v>92361587572</v>
      </c>
      <c r="C2750" s="72" t="s">
        <v>4883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4884</v>
      </c>
      <c r="B2751" s="67">
        <v>17487435890</v>
      </c>
      <c r="C2751" s="72" t="s">
        <v>4885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4886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1004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4887</v>
      </c>
      <c r="B2753" s="67">
        <v>86815121615</v>
      </c>
      <c r="C2753" s="72" t="s">
        <v>4888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4889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4890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4891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1004</v>
      </c>
      <c r="H2756" s="25">
        <v>42921</v>
      </c>
      <c r="I2756" s="8"/>
      <c r="J2756" s="8"/>
      <c r="K2756" s="8"/>
      <c r="L2756" s="9" t="s">
        <v>1126</v>
      </c>
      <c r="M2756" s="8"/>
    </row>
    <row r="2757" spans="1:13" x14ac:dyDescent="0.25">
      <c r="A2757" s="72" t="s">
        <v>4892</v>
      </c>
      <c r="B2757" s="67">
        <v>25261161800</v>
      </c>
      <c r="C2757" s="72" t="s">
        <v>4893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4894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1004</v>
      </c>
      <c r="H2758" s="25">
        <v>43151</v>
      </c>
      <c r="I2758" s="8"/>
      <c r="J2758" s="8"/>
      <c r="K2758" s="8"/>
      <c r="L2758" s="9" t="s">
        <v>1158</v>
      </c>
      <c r="M2758" s="8"/>
    </row>
    <row r="2759" spans="1:13" x14ac:dyDescent="0.25">
      <c r="A2759" s="71" t="s">
        <v>4895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1004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4896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4897</v>
      </c>
      <c r="B2761" s="67">
        <v>22638604879</v>
      </c>
      <c r="C2761" s="72" t="s">
        <v>4898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4899</v>
      </c>
      <c r="B2762" s="67" t="s">
        <v>4900</v>
      </c>
      <c r="C2762" s="18" t="s">
        <v>4901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4902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4903</v>
      </c>
      <c r="B2764" s="67">
        <v>32880462886</v>
      </c>
      <c r="C2764" s="72" t="s">
        <v>4904</v>
      </c>
      <c r="D2764" s="69">
        <v>30845711806</v>
      </c>
      <c r="E2764" s="9">
        <v>810</v>
      </c>
      <c r="F2764" s="25">
        <v>42915</v>
      </c>
      <c r="G2764" s="70" t="s">
        <v>1004</v>
      </c>
      <c r="H2764" s="25">
        <v>42921</v>
      </c>
      <c r="I2764" s="8"/>
      <c r="J2764" s="8"/>
      <c r="K2764" s="8"/>
      <c r="L2764" s="9" t="s">
        <v>1126</v>
      </c>
      <c r="M2764" s="8"/>
    </row>
    <row r="2765" spans="1:13" x14ac:dyDescent="0.25">
      <c r="A2765" s="29" t="s">
        <v>4905</v>
      </c>
      <c r="B2765" s="67">
        <v>31228758883</v>
      </c>
      <c r="C2765" s="29" t="s">
        <v>4906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4907</v>
      </c>
      <c r="B2766" s="67">
        <v>40443218846</v>
      </c>
      <c r="C2766" s="88" t="s">
        <v>4908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4909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1004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4910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1010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4911</v>
      </c>
      <c r="B2769" s="67"/>
      <c r="C2769" s="29" t="s">
        <v>4912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4913</v>
      </c>
      <c r="B2770" s="67">
        <v>34462426860</v>
      </c>
      <c r="C2770" s="72" t="s">
        <v>4914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1287</v>
      </c>
      <c r="M2770" s="8"/>
    </row>
    <row r="2771" spans="1:13" x14ac:dyDescent="0.25">
      <c r="A2771" s="15" t="s">
        <v>4915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1004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4916</v>
      </c>
      <c r="B2772" s="67">
        <v>39600488827</v>
      </c>
      <c r="C2772" s="72" t="s">
        <v>4917</v>
      </c>
      <c r="D2772" s="69">
        <v>34795746885</v>
      </c>
      <c r="E2772" s="9">
        <v>292</v>
      </c>
      <c r="F2772" s="25">
        <v>43168</v>
      </c>
      <c r="G2772" s="70" t="s">
        <v>1004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4918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4919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1018</v>
      </c>
      <c r="H2774" s="25">
        <v>42921</v>
      </c>
      <c r="I2774" s="8"/>
      <c r="J2774" s="8"/>
      <c r="K2774" s="8"/>
      <c r="L2774" s="9" t="s">
        <v>1126</v>
      </c>
      <c r="M2774" s="8"/>
    </row>
    <row r="2775" spans="1:13" x14ac:dyDescent="0.25">
      <c r="A2775" s="71" t="s">
        <v>4920</v>
      </c>
      <c r="B2775" s="67">
        <v>32768872822</v>
      </c>
      <c r="C2775" s="72" t="s">
        <v>4921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4922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1004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4923</v>
      </c>
      <c r="B2777" s="67">
        <v>85942588104</v>
      </c>
      <c r="C2777" s="88" t="s">
        <v>4924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4925</v>
      </c>
      <c r="B2778" s="67"/>
      <c r="C2778" s="29" t="s">
        <v>1117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4926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1004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4927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1004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4928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4929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4930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1004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4931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1004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4932</v>
      </c>
      <c r="B2785" s="67">
        <v>30834349876</v>
      </c>
      <c r="C2785" s="72" t="s">
        <v>4933</v>
      </c>
      <c r="D2785" s="69">
        <v>58355561520</v>
      </c>
      <c r="E2785" s="9">
        <v>262</v>
      </c>
      <c r="F2785" s="25">
        <v>43160</v>
      </c>
      <c r="G2785" s="70" t="s">
        <v>1004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4934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1004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4935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1010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4936</v>
      </c>
      <c r="B2788" s="67">
        <v>22682142818</v>
      </c>
      <c r="C2788" s="72" t="s">
        <v>3736</v>
      </c>
      <c r="D2788" s="69">
        <v>22853401847</v>
      </c>
      <c r="E2788" s="9">
        <v>117</v>
      </c>
      <c r="F2788" s="25">
        <v>43117</v>
      </c>
      <c r="G2788" s="70" t="s">
        <v>1004</v>
      </c>
      <c r="H2788" s="25">
        <v>43151</v>
      </c>
      <c r="I2788" s="8"/>
      <c r="J2788" s="8"/>
      <c r="K2788" s="8"/>
      <c r="L2788" s="9" t="s">
        <v>1158</v>
      </c>
      <c r="M2788" s="8"/>
    </row>
    <row r="2789" spans="1:13" x14ac:dyDescent="0.25">
      <c r="A2789" s="71" t="s">
        <v>4937</v>
      </c>
      <c r="B2789" s="67">
        <v>32700235886</v>
      </c>
      <c r="C2789" s="72" t="s">
        <v>4938</v>
      </c>
      <c r="D2789" s="69">
        <v>30542314886</v>
      </c>
      <c r="E2789" s="9">
        <v>292</v>
      </c>
      <c r="F2789" s="25">
        <v>43168</v>
      </c>
      <c r="G2789" s="70" t="s">
        <v>1004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4939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4940</v>
      </c>
      <c r="B2791" s="67">
        <v>12487731877</v>
      </c>
      <c r="C2791" s="72" t="s">
        <v>4941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4942</v>
      </c>
      <c r="B2792" s="67" t="s">
        <v>4943</v>
      </c>
      <c r="C2792" s="88" t="s">
        <v>4944</v>
      </c>
      <c r="D2792" s="69" t="s">
        <v>4945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4946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1004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4947</v>
      </c>
      <c r="B2794" s="67">
        <v>35705436840</v>
      </c>
      <c r="C2794" s="88" t="s">
        <v>4948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4949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1018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4950</v>
      </c>
      <c r="B2796" s="67">
        <v>34086913801</v>
      </c>
      <c r="C2796" s="72" t="s">
        <v>4951</v>
      </c>
      <c r="D2796" s="69">
        <v>31013050800</v>
      </c>
      <c r="E2796" s="9">
        <v>229</v>
      </c>
      <c r="F2796" s="25">
        <v>43151</v>
      </c>
      <c r="G2796" s="70" t="s">
        <v>1004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4952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1004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4953</v>
      </c>
      <c r="B2798" s="67">
        <v>24648996828</v>
      </c>
      <c r="C2798" s="72" t="s">
        <v>4954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4955</v>
      </c>
      <c r="B2799" s="67">
        <v>87445824472</v>
      </c>
      <c r="C2799" s="72" t="s">
        <v>4956</v>
      </c>
      <c r="D2799" s="69">
        <v>30439764874</v>
      </c>
      <c r="E2799" s="9">
        <v>1417</v>
      </c>
      <c r="F2799" s="25">
        <v>43017</v>
      </c>
      <c r="G2799" s="70" t="s">
        <v>1004</v>
      </c>
      <c r="H2799" s="25">
        <v>43027</v>
      </c>
      <c r="I2799" s="8"/>
      <c r="J2799" s="8"/>
      <c r="K2799" s="8"/>
      <c r="L2799" s="9" t="s">
        <v>1241</v>
      </c>
      <c r="M2799" s="8"/>
    </row>
    <row r="2800" spans="1:13" x14ac:dyDescent="0.25">
      <c r="A2800" s="71" t="s">
        <v>4957</v>
      </c>
      <c r="B2800" s="67">
        <v>25630230840</v>
      </c>
      <c r="C2800" s="77" t="s">
        <v>4958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1287</v>
      </c>
      <c r="M2800" s="8"/>
    </row>
    <row r="2801" spans="1:13" x14ac:dyDescent="0.25">
      <c r="A2801" s="71" t="s">
        <v>4959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1004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4960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1004</v>
      </c>
      <c r="H2802" s="25">
        <v>43027</v>
      </c>
      <c r="I2802" s="8"/>
      <c r="J2802" s="8"/>
      <c r="K2802" s="8"/>
      <c r="L2802" s="9" t="s">
        <v>1241</v>
      </c>
      <c r="M2802" s="8"/>
    </row>
    <row r="2803" spans="1:13" x14ac:dyDescent="0.25">
      <c r="A2803" s="71" t="s">
        <v>4961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4962</v>
      </c>
      <c r="B2804" s="67">
        <v>17128618830</v>
      </c>
      <c r="C2804" s="72" t="s">
        <v>4963</v>
      </c>
      <c r="D2804" s="69">
        <v>69305315534</v>
      </c>
      <c r="E2804" s="9">
        <v>810</v>
      </c>
      <c r="F2804" s="25">
        <v>42915</v>
      </c>
      <c r="G2804" s="70" t="s">
        <v>1010</v>
      </c>
      <c r="H2804" s="25">
        <v>42921</v>
      </c>
      <c r="I2804" s="8"/>
      <c r="J2804" s="8"/>
      <c r="K2804" s="8"/>
      <c r="L2804" s="9" t="s">
        <v>1126</v>
      </c>
      <c r="M2804" s="8"/>
    </row>
    <row r="2805" spans="1:13" x14ac:dyDescent="0.25">
      <c r="A2805" s="71" t="s">
        <v>4964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4965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4966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4967</v>
      </c>
      <c r="B2808" s="67">
        <v>79572421468</v>
      </c>
      <c r="C2808" s="29" t="s">
        <v>4968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4969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1004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4970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4971</v>
      </c>
      <c r="B2811" s="67">
        <v>44518427866</v>
      </c>
      <c r="C2811" s="72" t="s">
        <v>4972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4973</v>
      </c>
      <c r="B2812" s="67">
        <v>35625515840</v>
      </c>
      <c r="C2812" s="72" t="s">
        <v>4974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4975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4976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1287</v>
      </c>
      <c r="M2814" s="8"/>
    </row>
    <row r="2815" spans="1:13" x14ac:dyDescent="0.25">
      <c r="A2815" s="18" t="s">
        <v>4977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4978</v>
      </c>
      <c r="B2816" s="67">
        <v>40663707803</v>
      </c>
      <c r="C2816" s="72" t="s">
        <v>4979</v>
      </c>
      <c r="D2816" s="69">
        <v>35138540807</v>
      </c>
      <c r="E2816" s="9">
        <v>262</v>
      </c>
      <c r="F2816" s="25">
        <v>43160</v>
      </c>
      <c r="G2816" s="70" t="s">
        <v>1004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4980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4981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4982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1004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4983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1004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4984</v>
      </c>
      <c r="B2821" s="67"/>
      <c r="C2821" s="29" t="s">
        <v>4985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4986</v>
      </c>
      <c r="B2822" s="67">
        <v>40874659850</v>
      </c>
      <c r="C2822" s="77" t="s">
        <v>4987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1287</v>
      </c>
      <c r="M2822" s="8"/>
    </row>
    <row r="2823" spans="1:13" x14ac:dyDescent="0.25">
      <c r="A2823" s="29" t="s">
        <v>4988</v>
      </c>
      <c r="B2823" s="67"/>
      <c r="C2823" s="29" t="s">
        <v>4989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4990</v>
      </c>
      <c r="B2824" s="67">
        <v>37028047814</v>
      </c>
      <c r="C2824" s="72" t="s">
        <v>4991</v>
      </c>
      <c r="D2824" s="69">
        <v>34812554896</v>
      </c>
      <c r="E2824" s="9">
        <v>1824</v>
      </c>
      <c r="F2824" s="25">
        <v>43091</v>
      </c>
      <c r="G2824" s="70" t="s">
        <v>1004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4992</v>
      </c>
      <c r="B2825" s="67">
        <v>10774591650</v>
      </c>
      <c r="C2825" s="72" t="s">
        <v>4993</v>
      </c>
      <c r="D2825" s="69">
        <v>33230795822</v>
      </c>
      <c r="E2825" s="9">
        <v>292</v>
      </c>
      <c r="F2825" s="25">
        <v>43168</v>
      </c>
      <c r="G2825" s="70" t="s">
        <v>1004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4994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1004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4995</v>
      </c>
      <c r="B2827" s="67">
        <v>42779099810</v>
      </c>
      <c r="C2827" s="18" t="s">
        <v>4996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4997</v>
      </c>
      <c r="B2828" s="67">
        <v>50748310835</v>
      </c>
      <c r="C2828" s="18" t="s">
        <v>4998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4999</v>
      </c>
      <c r="B2829" s="67">
        <v>42651266850</v>
      </c>
      <c r="C2829" s="72" t="s">
        <v>5000</v>
      </c>
      <c r="D2829" s="69">
        <v>3580715429</v>
      </c>
      <c r="E2829" s="9">
        <v>1350</v>
      </c>
      <c r="F2829" s="25">
        <v>43006</v>
      </c>
      <c r="G2829" s="70" t="s">
        <v>1004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5001</v>
      </c>
      <c r="B2830" s="67">
        <v>36474824808</v>
      </c>
      <c r="C2830" s="72" t="s">
        <v>5002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5003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5004</v>
      </c>
      <c r="B2832" s="67">
        <v>22034628845</v>
      </c>
      <c r="C2832" s="72" t="s">
        <v>5005</v>
      </c>
      <c r="D2832" s="69">
        <v>26990288515</v>
      </c>
      <c r="E2832" s="9">
        <v>1555</v>
      </c>
      <c r="F2832" s="25">
        <v>43049</v>
      </c>
      <c r="G2832" s="70" t="s">
        <v>1004</v>
      </c>
      <c r="H2832" s="9"/>
      <c r="I2832" s="8"/>
      <c r="J2832" s="8"/>
      <c r="K2832" s="8"/>
      <c r="L2832" s="9" t="s">
        <v>1386</v>
      </c>
      <c r="M2832" s="8"/>
    </row>
    <row r="2833" spans="1:13" x14ac:dyDescent="0.25">
      <c r="A2833" s="71" t="s">
        <v>5006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5007</v>
      </c>
      <c r="B2834" s="67">
        <v>10782475876</v>
      </c>
      <c r="C2834" s="72" t="s">
        <v>5008</v>
      </c>
      <c r="D2834" s="69">
        <v>616947895</v>
      </c>
      <c r="E2834" s="9">
        <v>1214</v>
      </c>
      <c r="F2834" s="25">
        <v>42989</v>
      </c>
      <c r="G2834" s="70" t="s">
        <v>1004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5009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1004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5010</v>
      </c>
      <c r="B2836" s="67"/>
      <c r="C2836" s="18" t="s">
        <v>1117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5011</v>
      </c>
      <c r="B2837" s="67">
        <v>42151049809</v>
      </c>
      <c r="C2837" s="68" t="s">
        <v>5012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5013</v>
      </c>
      <c r="B2838" s="67">
        <v>38785656828</v>
      </c>
      <c r="C2838" s="18" t="s">
        <v>5014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5015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5016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1004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5017</v>
      </c>
      <c r="B2841" s="67">
        <v>22815009854</v>
      </c>
      <c r="C2841" s="77" t="s">
        <v>5018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5019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1010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5020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5021</v>
      </c>
      <c r="B2844" s="67">
        <v>40506629813</v>
      </c>
      <c r="C2844" s="72" t="s">
        <v>5022</v>
      </c>
      <c r="D2844" s="69">
        <v>32485329800</v>
      </c>
      <c r="E2844" s="9">
        <v>262</v>
      </c>
      <c r="F2844" s="25">
        <v>43160</v>
      </c>
      <c r="G2844" s="70" t="s">
        <v>1004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5023</v>
      </c>
      <c r="B2845" s="67">
        <v>31504729897</v>
      </c>
      <c r="C2845" s="68" t="s">
        <v>5024</v>
      </c>
      <c r="D2845" s="69">
        <v>24816878840</v>
      </c>
      <c r="E2845" s="9">
        <v>1214</v>
      </c>
      <c r="F2845" s="25">
        <v>42989</v>
      </c>
      <c r="G2845" s="70" t="s">
        <v>1004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5025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1004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5026</v>
      </c>
      <c r="B2847" s="67">
        <v>12925287700</v>
      </c>
      <c r="C2847" s="72" t="s">
        <v>5027</v>
      </c>
      <c r="D2847" s="69">
        <v>37253983807</v>
      </c>
      <c r="E2847" s="9">
        <v>1752</v>
      </c>
      <c r="F2847" s="25">
        <v>43051</v>
      </c>
      <c r="G2847" s="70" t="s">
        <v>1004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5028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1287</v>
      </c>
      <c r="M2848" s="8"/>
    </row>
    <row r="2849" spans="1:13" x14ac:dyDescent="0.25">
      <c r="A2849" s="71" t="s">
        <v>5029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1004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5030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1004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5031</v>
      </c>
      <c r="B2851" s="67">
        <v>26735743873</v>
      </c>
      <c r="C2851" s="72" t="s">
        <v>5032</v>
      </c>
      <c r="D2851" s="69">
        <v>14913845810</v>
      </c>
      <c r="E2851" s="9">
        <v>1214</v>
      </c>
      <c r="F2851" s="25">
        <v>42989</v>
      </c>
      <c r="G2851" s="70" t="s">
        <v>1010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5033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1004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5034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1004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5035</v>
      </c>
      <c r="B2854" s="67">
        <v>26193222863</v>
      </c>
      <c r="C2854" s="18" t="s">
        <v>5036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5037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5038</v>
      </c>
      <c r="B2856" s="67">
        <v>3381508890</v>
      </c>
      <c r="C2856" s="72" t="s">
        <v>5039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1287</v>
      </c>
      <c r="M2856" s="8"/>
    </row>
    <row r="2857" spans="1:13" x14ac:dyDescent="0.25">
      <c r="A2857" s="15" t="s">
        <v>5040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1004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5041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5042</v>
      </c>
      <c r="B2859" s="67">
        <v>11507771843</v>
      </c>
      <c r="C2859" s="72" t="s">
        <v>5043</v>
      </c>
      <c r="D2859" s="69">
        <v>6898979876</v>
      </c>
      <c r="E2859" s="9">
        <v>292</v>
      </c>
      <c r="F2859" s="25">
        <v>43168</v>
      </c>
      <c r="G2859" s="70" t="s">
        <v>1004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5044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1004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5045</v>
      </c>
      <c r="B2861" s="67">
        <v>42597970850</v>
      </c>
      <c r="C2861" s="72" t="s">
        <v>5046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5047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5048</v>
      </c>
      <c r="B2863" s="67"/>
      <c r="C2863" s="29" t="s">
        <v>5049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5050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1004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5051</v>
      </c>
      <c r="B2865" s="67">
        <v>48081983805</v>
      </c>
      <c r="C2865" s="77" t="s">
        <v>5052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5053</v>
      </c>
      <c r="B2866" s="67">
        <v>43249836826</v>
      </c>
      <c r="C2866" s="72" t="s">
        <v>5054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5055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1004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5056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5057</v>
      </c>
      <c r="B2869" s="67">
        <v>11894872681</v>
      </c>
      <c r="C2869" s="72" t="s">
        <v>5058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5059</v>
      </c>
      <c r="B2870" s="67">
        <v>40155044885</v>
      </c>
      <c r="C2870" s="72" t="s">
        <v>5060</v>
      </c>
      <c r="D2870" s="69">
        <v>34935837888</v>
      </c>
      <c r="E2870" s="9">
        <v>292</v>
      </c>
      <c r="F2870" s="25">
        <v>43168</v>
      </c>
      <c r="G2870" s="9" t="s">
        <v>1004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5061</v>
      </c>
      <c r="B2871" s="67">
        <v>35165262898</v>
      </c>
      <c r="C2871" s="68" t="s">
        <v>5062</v>
      </c>
      <c r="D2871" s="69">
        <v>34112749805</v>
      </c>
      <c r="E2871" s="9">
        <v>1241</v>
      </c>
      <c r="F2871" s="25">
        <v>42992</v>
      </c>
      <c r="G2871" s="70" t="s">
        <v>1004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5063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1004</v>
      </c>
      <c r="H2872" s="25">
        <v>43151</v>
      </c>
      <c r="I2872" s="8"/>
      <c r="J2872" s="8"/>
      <c r="K2872" s="8"/>
      <c r="L2872" s="9" t="s">
        <v>1158</v>
      </c>
      <c r="M2872" s="8"/>
    </row>
    <row r="2873" spans="1:13" x14ac:dyDescent="0.25">
      <c r="A2873" s="72" t="s">
        <v>5064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5065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1004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5066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1004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5067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1004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5068</v>
      </c>
      <c r="B2877" s="67">
        <v>40770970885</v>
      </c>
      <c r="C2877" s="72" t="s">
        <v>5069</v>
      </c>
      <c r="D2877" s="69">
        <v>43652847890</v>
      </c>
      <c r="E2877" s="9">
        <v>117</v>
      </c>
      <c r="F2877" s="25">
        <v>43117</v>
      </c>
      <c r="G2877" s="70" t="s">
        <v>1004</v>
      </c>
      <c r="H2877" s="25">
        <v>43151</v>
      </c>
      <c r="I2877" s="8"/>
      <c r="J2877" s="8"/>
      <c r="K2877" s="8"/>
      <c r="L2877" s="9" t="s">
        <v>1158</v>
      </c>
      <c r="M2877" s="8"/>
    </row>
    <row r="2878" spans="1:13" x14ac:dyDescent="0.25">
      <c r="A2878" s="29" t="s">
        <v>5070</v>
      </c>
      <c r="B2878" s="67"/>
      <c r="C2878" s="18" t="s">
        <v>1117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5071</v>
      </c>
      <c r="B2879" s="67">
        <v>38462624800</v>
      </c>
      <c r="C2879" s="18" t="s">
        <v>1117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5072</v>
      </c>
      <c r="B2880" s="67">
        <v>30942876890</v>
      </c>
      <c r="C2880" s="72" t="s">
        <v>5073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5074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1004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5075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1004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5076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1004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5077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5078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1004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5079</v>
      </c>
      <c r="B2886" s="67">
        <v>28965520819</v>
      </c>
      <c r="C2886" s="72" t="s">
        <v>5080</v>
      </c>
      <c r="D2886" s="69">
        <v>8432372447</v>
      </c>
      <c r="E2886" s="9">
        <v>1824</v>
      </c>
      <c r="F2886" s="25">
        <v>43091</v>
      </c>
      <c r="G2886" s="70" t="s">
        <v>1010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5081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5082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1287</v>
      </c>
      <c r="M2888" s="8"/>
    </row>
    <row r="2889" spans="1:13" x14ac:dyDescent="0.25">
      <c r="A2889" s="71" t="s">
        <v>5083</v>
      </c>
      <c r="B2889" s="67">
        <v>31336065818</v>
      </c>
      <c r="C2889" s="72" t="s">
        <v>5084</v>
      </c>
      <c r="D2889" s="69">
        <v>43264481804</v>
      </c>
      <c r="E2889" s="9">
        <v>1214</v>
      </c>
      <c r="F2889" s="25">
        <v>42989</v>
      </c>
      <c r="G2889" s="70" t="s">
        <v>1004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5085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5086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1004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5087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1004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5088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1004</v>
      </c>
      <c r="H2893" s="25">
        <v>43027</v>
      </c>
      <c r="I2893" s="8"/>
      <c r="J2893" s="8"/>
      <c r="K2893" s="8"/>
      <c r="L2893" s="9" t="s">
        <v>1490</v>
      </c>
      <c r="M2893" s="8"/>
    </row>
    <row r="2894" spans="1:13" x14ac:dyDescent="0.25">
      <c r="A2894" s="15" t="s">
        <v>5089</v>
      </c>
      <c r="B2894" s="67">
        <v>2655794494</v>
      </c>
      <c r="C2894" s="72" t="s">
        <v>5090</v>
      </c>
      <c r="D2894" s="69">
        <v>96385081591</v>
      </c>
      <c r="E2894" s="9">
        <v>117</v>
      </c>
      <c r="F2894" s="25">
        <v>43117</v>
      </c>
      <c r="G2894" s="70" t="s">
        <v>1004</v>
      </c>
      <c r="H2894" s="25">
        <v>43151</v>
      </c>
      <c r="I2894" s="8"/>
      <c r="J2894" s="8"/>
      <c r="K2894" s="8"/>
      <c r="L2894" s="9" t="s">
        <v>1158</v>
      </c>
      <c r="M2894" s="8"/>
    </row>
    <row r="2895" spans="1:13" x14ac:dyDescent="0.25">
      <c r="A2895" s="71" t="s">
        <v>5091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1004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5092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1004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5093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1004</v>
      </c>
      <c r="H2897" s="9"/>
      <c r="I2897" s="9">
        <v>229</v>
      </c>
      <c r="J2897" s="25">
        <v>43151</v>
      </c>
      <c r="K2897" s="25">
        <v>43158</v>
      </c>
      <c r="L2897" s="9" t="s">
        <v>1148</v>
      </c>
      <c r="M2897" s="25"/>
    </row>
    <row r="2898" spans="1:13" x14ac:dyDescent="0.25">
      <c r="A2898" s="71" t="s">
        <v>5094</v>
      </c>
      <c r="B2898" s="67">
        <v>38085002809</v>
      </c>
      <c r="C2898" s="72" t="s">
        <v>5095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5096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1004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5097</v>
      </c>
      <c r="B2900" s="67">
        <v>23357346877</v>
      </c>
      <c r="C2900" s="72" t="s">
        <v>5098</v>
      </c>
      <c r="D2900" s="69">
        <v>39917830880</v>
      </c>
      <c r="E2900" s="9">
        <v>1555</v>
      </c>
      <c r="F2900" s="25">
        <v>43049</v>
      </c>
      <c r="G2900" s="70" t="s">
        <v>1004</v>
      </c>
      <c r="H2900" s="9"/>
      <c r="I2900" s="8"/>
      <c r="J2900" s="8"/>
      <c r="K2900" s="8"/>
      <c r="L2900" s="9" t="s">
        <v>1386</v>
      </c>
      <c r="M2900" s="8"/>
    </row>
    <row r="2901" spans="1:13" x14ac:dyDescent="0.25">
      <c r="A2901" s="71" t="s">
        <v>5099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5100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1004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5101</v>
      </c>
      <c r="B2903" s="67">
        <v>33733642805</v>
      </c>
      <c r="C2903" s="72" t="s">
        <v>5102</v>
      </c>
      <c r="D2903" s="69">
        <v>1860087590</v>
      </c>
      <c r="E2903" s="9">
        <v>85</v>
      </c>
      <c r="F2903" s="25">
        <v>43109</v>
      </c>
      <c r="G2903" s="70" t="s">
        <v>1004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5103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1004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5104</v>
      </c>
      <c r="B2905" s="67">
        <v>5387678802</v>
      </c>
      <c r="C2905" s="72" t="s">
        <v>5105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5106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1004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5107</v>
      </c>
      <c r="B2907" s="67">
        <v>41173451846</v>
      </c>
      <c r="C2907" s="72" t="s">
        <v>5108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5109</v>
      </c>
      <c r="B2908" s="67">
        <v>36432395801</v>
      </c>
      <c r="C2908" s="77" t="s">
        <v>5110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5111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5112</v>
      </c>
      <c r="B2910" s="67">
        <v>28196011890</v>
      </c>
      <c r="C2910" s="72" t="s">
        <v>5113</v>
      </c>
      <c r="D2910" s="69">
        <v>73582980553</v>
      </c>
      <c r="E2910" s="9">
        <v>1262</v>
      </c>
      <c r="F2910" s="25">
        <v>42997</v>
      </c>
      <c r="G2910" s="70" t="s">
        <v>1004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5114</v>
      </c>
      <c r="B2911" s="67">
        <v>8710545409</v>
      </c>
      <c r="C2911" s="72" t="s">
        <v>5115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5116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5117</v>
      </c>
      <c r="B2913" s="67">
        <v>27279265880</v>
      </c>
      <c r="C2913" s="77" t="s">
        <v>5118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5119</v>
      </c>
      <c r="B2914" s="67">
        <v>2973007844</v>
      </c>
      <c r="C2914" s="18" t="s">
        <v>1117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5120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5121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1004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5122</v>
      </c>
      <c r="B2917" s="67">
        <v>97080756391</v>
      </c>
      <c r="C2917" s="68" t="s">
        <v>5123</v>
      </c>
      <c r="D2917" s="69">
        <v>78464463391</v>
      </c>
      <c r="E2917" s="9">
        <v>1343</v>
      </c>
      <c r="F2917" s="25">
        <v>43004</v>
      </c>
      <c r="G2917" s="70" t="s">
        <v>1004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5124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5125</v>
      </c>
      <c r="B2919" s="67">
        <v>542688778</v>
      </c>
      <c r="C2919" s="18" t="s">
        <v>1117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5126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5127</v>
      </c>
      <c r="B2921" s="67">
        <v>19521938854</v>
      </c>
      <c r="C2921" s="72" t="s">
        <v>5128</v>
      </c>
      <c r="D2921" s="69">
        <v>16398980506</v>
      </c>
      <c r="E2921" s="9">
        <v>1214</v>
      </c>
      <c r="F2921" s="25">
        <v>42989</v>
      </c>
      <c r="G2921" s="70" t="s">
        <v>1004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5129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5130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1004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5131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1004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5132</v>
      </c>
      <c r="B2925" s="67">
        <v>81710763272</v>
      </c>
      <c r="C2925" s="77" t="s">
        <v>5133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5134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1004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5135</v>
      </c>
      <c r="B2927" s="67">
        <v>35453812850</v>
      </c>
      <c r="C2927" s="18" t="s">
        <v>5136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5137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5138</v>
      </c>
      <c r="B2929" s="67">
        <v>22665008807</v>
      </c>
      <c r="C2929" s="72" t="s">
        <v>5139</v>
      </c>
      <c r="D2929" s="69">
        <v>35575903800</v>
      </c>
      <c r="E2929" s="9">
        <v>262</v>
      </c>
      <c r="F2929" s="25">
        <v>43160</v>
      </c>
      <c r="G2929" s="9" t="s">
        <v>1004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5140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1004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5141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5142</v>
      </c>
      <c r="B2932" s="67">
        <v>60615920357</v>
      </c>
      <c r="C2932" s="72" t="s">
        <v>5143</v>
      </c>
      <c r="D2932" s="69">
        <v>4818511358</v>
      </c>
      <c r="E2932" s="9">
        <v>292</v>
      </c>
      <c r="F2932" s="25">
        <v>43168</v>
      </c>
      <c r="G2932" s="9" t="s">
        <v>1004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5144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1004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5145</v>
      </c>
      <c r="B2934" s="67">
        <v>31633338851</v>
      </c>
      <c r="C2934" s="72" t="s">
        <v>5146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1287</v>
      </c>
      <c r="M2934" s="8"/>
    </row>
    <row r="2935" spans="1:13" x14ac:dyDescent="0.25">
      <c r="A2935" s="71" t="s">
        <v>5147</v>
      </c>
      <c r="B2935" s="67">
        <v>42518509801</v>
      </c>
      <c r="C2935" s="72" t="s">
        <v>5148</v>
      </c>
      <c r="D2935" s="69">
        <v>36320707844</v>
      </c>
      <c r="E2935" s="9">
        <v>1752</v>
      </c>
      <c r="F2935" s="25">
        <v>43051</v>
      </c>
      <c r="G2935" s="70" t="s">
        <v>1018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5149</v>
      </c>
      <c r="B2936" s="67">
        <v>22958464806</v>
      </c>
      <c r="C2936" s="72" t="s">
        <v>5150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5151</v>
      </c>
      <c r="B2937" s="67">
        <v>31152044850</v>
      </c>
      <c r="C2937" s="72" t="s">
        <v>5152</v>
      </c>
      <c r="D2937" s="69">
        <v>31152043889</v>
      </c>
      <c r="E2937" s="9">
        <v>1128</v>
      </c>
      <c r="F2937" s="25">
        <v>42972</v>
      </c>
      <c r="G2937" s="70" t="s">
        <v>1004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5153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1004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5154</v>
      </c>
      <c r="B2939" s="80">
        <v>35805723859</v>
      </c>
      <c r="C2939" s="81" t="s">
        <v>5155</v>
      </c>
      <c r="D2939" s="82">
        <v>12726161855</v>
      </c>
      <c r="E2939" s="47">
        <v>1824</v>
      </c>
      <c r="F2939" s="48">
        <v>43091</v>
      </c>
      <c r="G2939" s="83" t="s">
        <v>1010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5156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1004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5157</v>
      </c>
      <c r="B2941" s="67">
        <v>7358002431</v>
      </c>
      <c r="C2941" s="72" t="s">
        <v>5158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5159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1004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5160</v>
      </c>
      <c r="B2943" s="67">
        <v>43354497807</v>
      </c>
      <c r="C2943" s="72" t="s">
        <v>5161</v>
      </c>
      <c r="D2943" s="69">
        <v>40802896855</v>
      </c>
      <c r="E2943" s="9">
        <v>1214</v>
      </c>
      <c r="F2943" s="25">
        <v>42989</v>
      </c>
      <c r="G2943" s="70" t="s">
        <v>1004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5162</v>
      </c>
      <c r="B2944" s="67">
        <v>43586522800</v>
      </c>
      <c r="C2944" s="68" t="s">
        <v>5163</v>
      </c>
      <c r="D2944" s="69">
        <v>43586522800</v>
      </c>
      <c r="E2944" s="9">
        <v>1128</v>
      </c>
      <c r="F2944" s="25">
        <v>42972</v>
      </c>
      <c r="G2944" s="70" t="s">
        <v>1004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5164</v>
      </c>
      <c r="B2945" s="67">
        <v>17447067865</v>
      </c>
      <c r="C2945" s="72" t="s">
        <v>5165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5166</v>
      </c>
      <c r="B2946" s="67">
        <v>3568560542</v>
      </c>
      <c r="C2946" s="72" t="s">
        <v>5167</v>
      </c>
      <c r="D2946" s="69">
        <v>4078587500</v>
      </c>
      <c r="E2946" s="9">
        <v>1106</v>
      </c>
      <c r="F2946" s="25">
        <v>42965</v>
      </c>
      <c r="G2946" s="70" t="s">
        <v>1004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5168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5169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5170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1158</v>
      </c>
      <c r="M2949" s="8"/>
    </row>
    <row r="2950" spans="1:13" x14ac:dyDescent="0.25">
      <c r="A2950" s="71" t="s">
        <v>5171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1004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5172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1004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5173</v>
      </c>
      <c r="B2952" s="67"/>
      <c r="C2952" s="29" t="s">
        <v>5174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5175</v>
      </c>
      <c r="B2953" s="67">
        <v>1326462857</v>
      </c>
      <c r="C2953" s="72" t="s">
        <v>5176</v>
      </c>
      <c r="D2953" s="69">
        <v>4906141838</v>
      </c>
      <c r="E2953" s="9">
        <v>229</v>
      </c>
      <c r="F2953" s="25">
        <v>43151</v>
      </c>
      <c r="G2953" s="70" t="s">
        <v>1004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5177</v>
      </c>
      <c r="B2954" s="67">
        <v>7722903428</v>
      </c>
      <c r="C2954" s="29" t="s">
        <v>5178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5179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5180</v>
      </c>
      <c r="B2956" s="67">
        <v>37794411874</v>
      </c>
      <c r="C2956" s="72" t="s">
        <v>5181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5182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5183</v>
      </c>
      <c r="B2958" s="67">
        <v>34093287856</v>
      </c>
      <c r="C2958" s="68" t="s">
        <v>5184</v>
      </c>
      <c r="D2958" s="69">
        <v>1517221536</v>
      </c>
      <c r="E2958" s="9">
        <v>1489</v>
      </c>
      <c r="F2958" s="25"/>
      <c r="G2958" s="70" t="s">
        <v>1004</v>
      </c>
      <c r="H2958" s="9"/>
      <c r="I2958" s="8"/>
      <c r="J2958" s="8"/>
      <c r="K2958" s="8"/>
      <c r="L2958" s="9" t="s">
        <v>1148</v>
      </c>
      <c r="M2958" s="8"/>
    </row>
    <row r="2959" spans="1:13" x14ac:dyDescent="0.25">
      <c r="A2959" s="71" t="s">
        <v>5185</v>
      </c>
      <c r="B2959" s="67">
        <v>29289559845</v>
      </c>
      <c r="C2959" s="72" t="s">
        <v>5186</v>
      </c>
      <c r="D2959" s="69">
        <v>25585724827</v>
      </c>
      <c r="E2959" s="9">
        <v>1752</v>
      </c>
      <c r="F2959" s="25">
        <v>43051</v>
      </c>
      <c r="G2959" s="70" t="s">
        <v>1004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5187</v>
      </c>
      <c r="B2960" s="67"/>
      <c r="C2960" s="29" t="s">
        <v>5188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5189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5190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5191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5192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5193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1004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5194</v>
      </c>
      <c r="B2966" s="67">
        <v>32368859802</v>
      </c>
      <c r="C2966" s="68" t="s">
        <v>5195</v>
      </c>
      <c r="D2966" s="69">
        <v>28517056876</v>
      </c>
      <c r="E2966" s="9">
        <v>1343</v>
      </c>
      <c r="F2966" s="25">
        <v>43004</v>
      </c>
      <c r="G2966" s="70" t="s">
        <v>1004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5196</v>
      </c>
      <c r="B2967" s="67">
        <v>35104711803</v>
      </c>
      <c r="C2967" s="72" t="s">
        <v>5197</v>
      </c>
      <c r="D2967" s="69">
        <v>34881906844</v>
      </c>
      <c r="E2967" s="9">
        <v>292</v>
      </c>
      <c r="F2967" s="25">
        <v>43168</v>
      </c>
      <c r="G2967" s="9" t="s">
        <v>1004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5198</v>
      </c>
      <c r="B2968" s="67">
        <v>23093033802</v>
      </c>
      <c r="C2968" s="29" t="s">
        <v>5199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5200</v>
      </c>
      <c r="B2969" s="67">
        <v>92605494420</v>
      </c>
      <c r="C2969" s="72" t="s">
        <v>5201</v>
      </c>
      <c r="D2969" s="69">
        <v>37622834866</v>
      </c>
      <c r="E2969" s="9">
        <v>608</v>
      </c>
      <c r="F2969" s="25">
        <v>43012</v>
      </c>
      <c r="G2969" s="70" t="s">
        <v>1004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5202</v>
      </c>
      <c r="B2970" s="67">
        <v>27646989843</v>
      </c>
      <c r="C2970" s="72" t="s">
        <v>5203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5204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1004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5205</v>
      </c>
      <c r="B2972" s="67">
        <v>29312608860</v>
      </c>
      <c r="C2972" s="29" t="s">
        <v>5206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5207</v>
      </c>
      <c r="B2973" s="67"/>
      <c r="C2973" s="29" t="s">
        <v>5208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5209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1004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5210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5211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5212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5213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5214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5215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1004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5216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1004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5217</v>
      </c>
      <c r="B2982" s="67">
        <v>13562151810</v>
      </c>
      <c r="C2982" s="72" t="s">
        <v>5218</v>
      </c>
      <c r="D2982" s="69">
        <v>47393076772</v>
      </c>
      <c r="E2982" s="9">
        <v>292</v>
      </c>
      <c r="F2982" s="25">
        <v>43168</v>
      </c>
      <c r="G2982" s="70" t="s">
        <v>1010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5219</v>
      </c>
      <c r="B2983" s="67">
        <v>10488541832</v>
      </c>
      <c r="C2983" s="72" t="s">
        <v>5220</v>
      </c>
      <c r="D2983" s="69">
        <v>8437233860</v>
      </c>
      <c r="E2983" s="9">
        <v>229</v>
      </c>
      <c r="F2983" s="25">
        <v>43151</v>
      </c>
      <c r="G2983" s="70" t="s">
        <v>1004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5221</v>
      </c>
      <c r="B2984" s="67">
        <v>52291168894</v>
      </c>
      <c r="C2984" s="29" t="s">
        <v>1117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5222</v>
      </c>
      <c r="B2985" s="67">
        <v>32455945855</v>
      </c>
      <c r="C2985" s="77" t="s">
        <v>5223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5224</v>
      </c>
      <c r="B2986" s="67">
        <v>7127228663</v>
      </c>
      <c r="C2986" s="72" t="s">
        <v>5225</v>
      </c>
      <c r="D2986" s="69">
        <v>18053058833</v>
      </c>
      <c r="E2986" s="9">
        <v>1628</v>
      </c>
      <c r="F2986" s="25">
        <v>43077</v>
      </c>
      <c r="G2986" s="70" t="s">
        <v>1004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5226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1004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5227</v>
      </c>
      <c r="B2988" s="67">
        <v>32318059888</v>
      </c>
      <c r="C2988" s="68" t="s">
        <v>5228</v>
      </c>
      <c r="D2988" s="69">
        <v>38564888807</v>
      </c>
      <c r="E2988" s="9">
        <v>1128</v>
      </c>
      <c r="F2988" s="25">
        <v>42972</v>
      </c>
      <c r="G2988" s="70" t="s">
        <v>1004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5229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5230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1004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5231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1004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5232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1004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5233</v>
      </c>
      <c r="B2993" s="67">
        <v>45255799866</v>
      </c>
      <c r="C2993" s="72" t="s">
        <v>5234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5235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1004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5236</v>
      </c>
      <c r="B2995" s="67">
        <v>37570860829</v>
      </c>
      <c r="C2995" s="72" t="s">
        <v>5237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5238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1004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5239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5240</v>
      </c>
      <c r="B2998" s="67">
        <v>25712620847</v>
      </c>
      <c r="C2998" s="18" t="s">
        <v>5241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5242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1287</v>
      </c>
      <c r="M2999" s="8"/>
    </row>
    <row r="3000" spans="1:13" x14ac:dyDescent="0.25">
      <c r="A3000" s="72" t="s">
        <v>5243</v>
      </c>
      <c r="B3000" s="67">
        <v>40000949809</v>
      </c>
      <c r="C3000" s="72" t="s">
        <v>5244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1287</v>
      </c>
      <c r="M3000" s="8"/>
    </row>
    <row r="3001" spans="1:13" x14ac:dyDescent="0.25">
      <c r="A3001" s="71" t="s">
        <v>5245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5246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5247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5248</v>
      </c>
      <c r="B3004" s="67"/>
      <c r="C3004" s="29" t="s">
        <v>1117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5249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1004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5250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5251</v>
      </c>
      <c r="B3007" s="67">
        <v>13517396893</v>
      </c>
      <c r="C3007" s="72" t="s">
        <v>5252</v>
      </c>
      <c r="D3007" s="69">
        <v>61574252453</v>
      </c>
      <c r="E3007" s="9">
        <v>262</v>
      </c>
      <c r="F3007" s="25">
        <v>43160</v>
      </c>
      <c r="G3007" s="70" t="s">
        <v>1010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5253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1004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5254</v>
      </c>
      <c r="B3009" s="67"/>
      <c r="C3009" s="29" t="s">
        <v>5255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5256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1004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5257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1004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5258</v>
      </c>
      <c r="B3012" s="67">
        <v>4609966654</v>
      </c>
      <c r="C3012" s="72" t="s">
        <v>5259</v>
      </c>
      <c r="D3012" s="69">
        <v>28402756867</v>
      </c>
      <c r="E3012" s="9">
        <v>292</v>
      </c>
      <c r="F3012" s="25">
        <v>43168</v>
      </c>
      <c r="G3012" s="70" t="s">
        <v>1004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5260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1004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5261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1004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5262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5263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1004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5264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5264</v>
      </c>
      <c r="B3018" s="67"/>
      <c r="C3018" s="18" t="s">
        <v>1117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5265</v>
      </c>
      <c r="B3019" s="67"/>
      <c r="C3019" s="29" t="s">
        <v>1117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5266</v>
      </c>
      <c r="B3020" s="67">
        <v>40882575880</v>
      </c>
      <c r="C3020" s="72" t="s">
        <v>5267</v>
      </c>
      <c r="D3020" s="69">
        <v>39163987848</v>
      </c>
      <c r="E3020" s="9">
        <v>292</v>
      </c>
      <c r="F3020" s="25">
        <v>43168</v>
      </c>
      <c r="G3020" s="70" t="s">
        <v>1004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5268</v>
      </c>
      <c r="B3021" s="67"/>
      <c r="C3021" s="29" t="s">
        <v>1117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5269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5270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1004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5271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5272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5273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5274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1004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5275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5276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5277</v>
      </c>
      <c r="B3030" s="67"/>
      <c r="C3030" s="29" t="s">
        <v>1117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5278</v>
      </c>
      <c r="B3031" s="67">
        <v>44374068856</v>
      </c>
      <c r="C3031" s="72" t="s">
        <v>5279</v>
      </c>
      <c r="D3031" s="69">
        <v>34698741823</v>
      </c>
      <c r="E3031" s="9">
        <v>1489</v>
      </c>
      <c r="F3031" s="25">
        <v>43038</v>
      </c>
      <c r="G3031" s="70" t="s">
        <v>1004</v>
      </c>
      <c r="H3031" s="9"/>
      <c r="I3031" s="8"/>
      <c r="J3031" s="8"/>
      <c r="K3031" s="8"/>
      <c r="L3031" s="9" t="s">
        <v>1148</v>
      </c>
      <c r="M3031" s="8"/>
    </row>
    <row r="3032" spans="1:13" x14ac:dyDescent="0.25">
      <c r="A3032" s="71" t="s">
        <v>5280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5281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1287</v>
      </c>
      <c r="M3033" s="8"/>
    </row>
    <row r="3034" spans="1:13" x14ac:dyDescent="0.25">
      <c r="A3034" s="71" t="s">
        <v>5282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5283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1004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5284</v>
      </c>
      <c r="B3036" s="67">
        <v>46812344869</v>
      </c>
      <c r="C3036" s="72" t="s">
        <v>5285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5286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1004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5287</v>
      </c>
      <c r="B3038" s="67">
        <v>70659834634</v>
      </c>
      <c r="C3038" s="68" t="s">
        <v>5288</v>
      </c>
      <c r="D3038" s="69">
        <v>70558795404</v>
      </c>
      <c r="E3038" s="9">
        <v>1267</v>
      </c>
      <c r="F3038" s="25">
        <v>42998</v>
      </c>
      <c r="G3038" s="70" t="s">
        <v>1004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5289</v>
      </c>
      <c r="B3039" s="67"/>
      <c r="C3039" s="72" t="s">
        <v>5290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5291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1004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5292</v>
      </c>
      <c r="B3041" s="67">
        <v>3867219630</v>
      </c>
      <c r="C3041" s="72" t="s">
        <v>5293</v>
      </c>
      <c r="D3041" s="69">
        <v>4268294503</v>
      </c>
      <c r="E3041" s="9">
        <v>1824</v>
      </c>
      <c r="F3041" s="25">
        <v>43091</v>
      </c>
      <c r="G3041" s="70" t="s">
        <v>1004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5294</v>
      </c>
      <c r="B3042" s="67">
        <v>27084341870</v>
      </c>
      <c r="C3042" s="72" t="s">
        <v>1311</v>
      </c>
      <c r="D3042" s="69">
        <v>70639957315</v>
      </c>
      <c r="E3042" s="9">
        <v>1214</v>
      </c>
      <c r="F3042" s="25">
        <v>42989</v>
      </c>
      <c r="G3042" s="70" t="s">
        <v>1010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5295</v>
      </c>
      <c r="B3043" s="67">
        <v>29697189870</v>
      </c>
      <c r="C3043" s="72" t="s">
        <v>5296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5297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1004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5298</v>
      </c>
      <c r="B3045" s="67">
        <v>4055380810</v>
      </c>
      <c r="C3045" s="29" t="s">
        <v>1117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5299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1004</v>
      </c>
      <c r="H3046" s="25">
        <v>43027</v>
      </c>
      <c r="I3046" s="8"/>
      <c r="J3046" s="8"/>
      <c r="K3046" s="8"/>
      <c r="L3046" s="9" t="s">
        <v>1241</v>
      </c>
      <c r="M3046" s="8"/>
    </row>
    <row r="3047" spans="1:13" x14ac:dyDescent="0.25">
      <c r="A3047" s="16" t="s">
        <v>5300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5301</v>
      </c>
      <c r="B3048" s="67">
        <v>99038862504</v>
      </c>
      <c r="C3048" s="72" t="s">
        <v>5302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5303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1004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5304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1004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5305</v>
      </c>
      <c r="B3051" s="67">
        <v>22505123888</v>
      </c>
      <c r="C3051" s="72" t="s">
        <v>5306</v>
      </c>
      <c r="D3051" s="69">
        <v>39819234808</v>
      </c>
      <c r="E3051" s="9">
        <v>1752</v>
      </c>
      <c r="F3051" s="25">
        <v>43051</v>
      </c>
      <c r="G3051" s="70" t="s">
        <v>1004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5307</v>
      </c>
      <c r="B3052" s="67"/>
      <c r="C3052" s="29" t="s">
        <v>1117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5308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5309</v>
      </c>
      <c r="B3054" s="67">
        <v>34850143890</v>
      </c>
      <c r="C3054" s="72" t="s">
        <v>5310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5311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1004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5312</v>
      </c>
      <c r="B3056" s="67">
        <v>17852199879</v>
      </c>
      <c r="C3056" s="72" t="s">
        <v>5313</v>
      </c>
      <c r="D3056" s="69">
        <v>15255063827</v>
      </c>
      <c r="E3056" s="9">
        <v>1128</v>
      </c>
      <c r="F3056" s="25">
        <v>42972</v>
      </c>
      <c r="G3056" s="70" t="s">
        <v>1004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5314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1004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5315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5316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1004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29" priority="5" stopIfTrue="1"/>
  </conditionalFormatting>
  <conditionalFormatting sqref="A3:A128">
    <cfRule type="duplicateValues" dxfId="28" priority="4" stopIfTrue="1"/>
  </conditionalFormatting>
  <conditionalFormatting sqref="A3:A626">
    <cfRule type="duplicateValues" dxfId="27" priority="1" stopIfTrue="1"/>
  </conditionalFormatting>
  <conditionalFormatting sqref="B2684">
    <cfRule type="duplicateValues" dxfId="26" priority="3" stopIfTrue="1"/>
  </conditionalFormatting>
  <conditionalFormatting sqref="C689">
    <cfRule type="duplicateValues" dxfId="25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B2:AO1115"/>
  <sheetViews>
    <sheetView workbookViewId="0">
      <selection activeCell="B4" sqref="B4"/>
    </sheetView>
  </sheetViews>
  <sheetFormatPr defaultColWidth="9.140625" defaultRowHeight="24.75" customHeight="1" x14ac:dyDescent="0.2"/>
  <cols>
    <col min="1" max="1" width="9.140625" style="249"/>
    <col min="2" max="2" width="23.5703125" style="249" bestFit="1" customWidth="1"/>
    <col min="3" max="3" width="2.140625" style="249" bestFit="1" customWidth="1"/>
    <col min="4" max="4" width="10.140625" style="249" bestFit="1" customWidth="1"/>
    <col min="5" max="5" width="15.5703125" style="249" bestFit="1" customWidth="1"/>
    <col min="6" max="6" width="10" style="249" bestFit="1" customWidth="1"/>
    <col min="7" max="7" width="34" style="249" bestFit="1" customWidth="1"/>
    <col min="8" max="8" width="13.28515625" style="249" bestFit="1" customWidth="1"/>
    <col min="9" max="9" width="32.5703125" style="249" customWidth="1"/>
    <col min="10" max="10" width="46.7109375" style="249" customWidth="1"/>
    <col min="11" max="11" width="9.140625" style="249"/>
    <col min="12" max="12" width="22.42578125" style="249" bestFit="1" customWidth="1"/>
    <col min="13" max="16" width="9.140625" style="249"/>
    <col min="17" max="17" width="13.5703125" style="249" bestFit="1" customWidth="1"/>
    <col min="18" max="18" width="58" style="249" bestFit="1" customWidth="1"/>
    <col min="19" max="19" width="19.140625" style="249" bestFit="1" customWidth="1"/>
    <col min="20" max="40" width="9.140625" style="249"/>
    <col min="41" max="41" width="9.140625" style="252"/>
    <col min="42" max="16384" width="9.140625" style="249"/>
  </cols>
  <sheetData>
    <row r="2" spans="2:19" ht="24.75" customHeight="1" x14ac:dyDescent="0.2">
      <c r="L2" s="248"/>
      <c r="Q2" s="250"/>
      <c r="R2" s="251"/>
      <c r="S2" s="251"/>
    </row>
    <row r="3" spans="2:19" ht="24.75" customHeight="1" x14ac:dyDescent="0.2">
      <c r="B3" s="245"/>
      <c r="C3" s="245"/>
      <c r="D3" s="245"/>
      <c r="E3" s="246"/>
      <c r="F3" s="246"/>
      <c r="G3" s="246"/>
      <c r="L3" s="248"/>
      <c r="Q3" s="253"/>
      <c r="R3" s="253"/>
      <c r="S3" s="253"/>
    </row>
    <row r="4" spans="2:19" ht="27.75" customHeight="1" x14ac:dyDescent="0.2">
      <c r="B4" s="245"/>
      <c r="C4" s="245"/>
      <c r="D4" s="245"/>
      <c r="E4" s="254" t="s">
        <v>38</v>
      </c>
      <c r="F4" s="254" t="s">
        <v>42</v>
      </c>
      <c r="G4" s="255" t="s">
        <v>64</v>
      </c>
      <c r="H4" s="255" t="s">
        <v>48</v>
      </c>
      <c r="I4" s="255" t="s">
        <v>76</v>
      </c>
      <c r="J4" s="256" t="s">
        <v>5317</v>
      </c>
      <c r="L4" s="248"/>
      <c r="Q4" s="253"/>
      <c r="R4" s="253"/>
      <c r="S4" s="253"/>
    </row>
    <row r="5" spans="2:19" ht="24.75" customHeight="1" x14ac:dyDescent="0.2">
      <c r="B5" s="245"/>
      <c r="C5" s="245"/>
      <c r="D5" s="245"/>
      <c r="E5" s="240" t="s">
        <v>5318</v>
      </c>
      <c r="F5" s="240" t="s">
        <v>5319</v>
      </c>
      <c r="G5" s="240" t="s">
        <v>5320</v>
      </c>
      <c r="H5" s="240" t="s">
        <v>5321</v>
      </c>
      <c r="I5" s="269" t="s">
        <v>5322</v>
      </c>
      <c r="J5" s="130" t="s">
        <v>104</v>
      </c>
      <c r="L5" s="248"/>
      <c r="Q5" s="253"/>
      <c r="R5" s="253"/>
      <c r="S5" s="253"/>
    </row>
    <row r="6" spans="2:19" ht="24.75" customHeight="1" x14ac:dyDescent="0.2">
      <c r="B6" s="245"/>
      <c r="C6" s="245"/>
      <c r="D6" s="245"/>
      <c r="E6" s="270"/>
      <c r="F6" s="271"/>
      <c r="G6" s="271"/>
      <c r="H6" s="271"/>
      <c r="I6" s="272"/>
      <c r="J6" s="270"/>
      <c r="L6" s="248"/>
      <c r="Q6" s="253"/>
      <c r="R6" s="253"/>
      <c r="S6" s="253"/>
    </row>
    <row r="7" spans="2:19" ht="24.75" customHeight="1" x14ac:dyDescent="0.2">
      <c r="B7" s="245"/>
      <c r="C7" s="245"/>
      <c r="D7" s="245"/>
      <c r="E7" s="258"/>
      <c r="F7" s="257"/>
      <c r="G7" s="259"/>
      <c r="H7" s="259"/>
      <c r="I7" s="259"/>
      <c r="J7" s="258"/>
      <c r="L7" s="248"/>
      <c r="Q7" s="253"/>
      <c r="R7" s="253"/>
      <c r="S7" s="253"/>
    </row>
    <row r="8" spans="2:19" ht="24.75" customHeight="1" x14ac:dyDescent="0.2">
      <c r="B8" s="245"/>
      <c r="C8" s="245"/>
      <c r="D8" s="245"/>
      <c r="E8" s="258"/>
      <c r="F8" s="257"/>
      <c r="G8" s="259"/>
      <c r="H8" s="259"/>
      <c r="I8" s="259"/>
      <c r="J8" s="258"/>
      <c r="L8" s="248"/>
      <c r="Q8" s="253"/>
      <c r="R8" s="253"/>
      <c r="S8" s="253"/>
    </row>
    <row r="9" spans="2:19" ht="24.75" customHeight="1" x14ac:dyDescent="0.2">
      <c r="B9" s="245"/>
      <c r="C9" s="245"/>
      <c r="D9" s="245"/>
      <c r="E9" s="258"/>
      <c r="F9" s="257"/>
      <c r="G9" s="257"/>
      <c r="H9" s="257"/>
      <c r="I9" s="259"/>
      <c r="J9" s="258"/>
      <c r="L9" s="248"/>
      <c r="Q9" s="253"/>
      <c r="R9" s="253"/>
      <c r="S9" s="253"/>
    </row>
    <row r="10" spans="2:19" ht="24.75" customHeight="1" x14ac:dyDescent="0.2">
      <c r="B10" s="245"/>
      <c r="C10" s="245"/>
      <c r="D10" s="245"/>
      <c r="E10" s="258"/>
      <c r="F10" s="257"/>
      <c r="G10" s="259"/>
      <c r="H10" s="257"/>
      <c r="I10" s="259"/>
      <c r="J10" s="258"/>
      <c r="L10" s="248"/>
      <c r="Q10" s="253"/>
      <c r="R10" s="253"/>
      <c r="S10" s="253"/>
    </row>
    <row r="11" spans="2:19" ht="24.75" customHeight="1" x14ac:dyDescent="0.2">
      <c r="B11" s="245"/>
      <c r="C11" s="245"/>
      <c r="D11" s="245"/>
      <c r="E11" s="258"/>
      <c r="F11" s="257"/>
      <c r="G11" s="259"/>
      <c r="H11" s="257"/>
      <c r="I11" s="259"/>
      <c r="J11" s="258"/>
      <c r="L11" s="248"/>
      <c r="Q11" s="253"/>
      <c r="R11" s="253"/>
      <c r="S11" s="253"/>
    </row>
    <row r="12" spans="2:19" ht="24.75" customHeight="1" x14ac:dyDescent="0.2">
      <c r="D12" s="260"/>
      <c r="E12" s="247"/>
      <c r="F12" s="247"/>
      <c r="L12" s="248"/>
      <c r="Q12" s="253"/>
      <c r="R12" s="253"/>
      <c r="S12" s="253"/>
    </row>
    <row r="13" spans="2:19" ht="24.75" customHeight="1" x14ac:dyDescent="0.2">
      <c r="D13" s="247"/>
      <c r="E13" s="247"/>
      <c r="F13" s="247"/>
      <c r="L13" s="248"/>
      <c r="Q13" s="253"/>
      <c r="R13" s="253"/>
      <c r="S13" s="253"/>
    </row>
    <row r="14" spans="2:19" ht="24.75" customHeight="1" x14ac:dyDescent="0.2">
      <c r="D14" s="248"/>
      <c r="E14" s="247"/>
      <c r="F14" s="247"/>
      <c r="L14" s="248"/>
      <c r="Q14" s="253"/>
      <c r="R14" s="253"/>
      <c r="S14" s="253"/>
    </row>
    <row r="15" spans="2:19" ht="24.75" customHeight="1" x14ac:dyDescent="0.2">
      <c r="D15" s="260"/>
      <c r="E15" s="247"/>
      <c r="F15" s="247"/>
      <c r="L15" s="248"/>
      <c r="Q15" s="253"/>
      <c r="R15" s="253"/>
      <c r="S15" s="253"/>
    </row>
    <row r="16" spans="2:19" ht="24.75" customHeight="1" x14ac:dyDescent="0.2">
      <c r="D16" s="261"/>
      <c r="E16" s="248"/>
      <c r="F16" s="248"/>
      <c r="L16" s="248"/>
      <c r="Q16" s="253"/>
      <c r="R16" s="253"/>
      <c r="S16" s="253"/>
    </row>
    <row r="17" spans="4:19" ht="24.75" customHeight="1" x14ac:dyDescent="0.2">
      <c r="D17" s="260"/>
      <c r="E17" s="248"/>
      <c r="F17" s="248"/>
      <c r="L17" s="248"/>
      <c r="Q17" s="253"/>
      <c r="R17" s="253"/>
      <c r="S17" s="253"/>
    </row>
    <row r="18" spans="4:19" ht="24.75" customHeight="1" x14ac:dyDescent="0.2">
      <c r="D18" s="260"/>
      <c r="E18" s="248"/>
      <c r="F18" s="248"/>
      <c r="L18" s="248"/>
      <c r="Q18" s="253"/>
      <c r="R18" s="253"/>
      <c r="S18" s="253"/>
    </row>
    <row r="19" spans="4:19" ht="24.75" customHeight="1" x14ac:dyDescent="0.2">
      <c r="D19" s="260"/>
      <c r="E19" s="248"/>
      <c r="F19" s="247"/>
      <c r="L19" s="248"/>
      <c r="Q19" s="253"/>
      <c r="R19" s="253"/>
      <c r="S19" s="262"/>
    </row>
    <row r="20" spans="4:19" ht="24.75" customHeight="1" x14ac:dyDescent="0.2">
      <c r="E20" s="248"/>
      <c r="L20" s="248"/>
      <c r="Q20" s="253"/>
      <c r="R20" s="253"/>
      <c r="S20" s="253"/>
    </row>
    <row r="21" spans="4:19" ht="24.75" customHeight="1" x14ac:dyDescent="0.2">
      <c r="E21" s="247"/>
      <c r="L21" s="248"/>
      <c r="Q21" s="253"/>
      <c r="R21" s="253"/>
      <c r="S21" s="253"/>
    </row>
    <row r="22" spans="4:19" ht="24.75" customHeight="1" x14ac:dyDescent="0.2">
      <c r="L22" s="248"/>
      <c r="Q22" s="253"/>
      <c r="R22" s="253"/>
      <c r="S22" s="253"/>
    </row>
    <row r="23" spans="4:19" ht="24.75" customHeight="1" x14ac:dyDescent="0.2">
      <c r="L23" s="247"/>
      <c r="Q23" s="253"/>
      <c r="R23" s="253"/>
      <c r="S23" s="253"/>
    </row>
    <row r="24" spans="4:19" ht="24.75" customHeight="1" x14ac:dyDescent="0.2">
      <c r="L24" s="248"/>
      <c r="Q24" s="253"/>
      <c r="R24" s="253"/>
      <c r="S24" s="253"/>
    </row>
    <row r="25" spans="4:19" ht="24.75" customHeight="1" x14ac:dyDescent="0.2">
      <c r="L25" s="248"/>
      <c r="Q25" s="253"/>
      <c r="R25" s="253"/>
      <c r="S25" s="253"/>
    </row>
    <row r="26" spans="4:19" ht="24.75" customHeight="1" x14ac:dyDescent="0.2">
      <c r="L26" s="248"/>
      <c r="Q26" s="253"/>
      <c r="R26" s="253"/>
      <c r="S26" s="253"/>
    </row>
    <row r="27" spans="4:19" ht="24.75" customHeight="1" x14ac:dyDescent="0.2">
      <c r="L27" s="247"/>
      <c r="Q27" s="253"/>
      <c r="R27" s="253"/>
      <c r="S27" s="253"/>
    </row>
    <row r="28" spans="4:19" ht="24.75" customHeight="1" x14ac:dyDescent="0.2">
      <c r="L28" s="248"/>
      <c r="Q28" s="253"/>
      <c r="R28" s="253"/>
      <c r="S28" s="253"/>
    </row>
    <row r="29" spans="4:19" ht="24.75" customHeight="1" x14ac:dyDescent="0.2">
      <c r="L29" s="248"/>
      <c r="Q29" s="253"/>
      <c r="R29" s="253"/>
      <c r="S29" s="253"/>
    </row>
    <row r="30" spans="4:19" ht="24.75" customHeight="1" x14ac:dyDescent="0.2">
      <c r="L30" s="248"/>
      <c r="R30" s="263"/>
      <c r="S30" s="263"/>
    </row>
    <row r="31" spans="4:19" ht="24.75" customHeight="1" x14ac:dyDescent="0.2">
      <c r="L31" s="247"/>
      <c r="R31" s="263"/>
      <c r="S31" s="263"/>
    </row>
    <row r="32" spans="4:19" ht="24.75" customHeight="1" x14ac:dyDescent="0.2">
      <c r="L32" s="247"/>
      <c r="R32" s="263"/>
      <c r="S32" s="263"/>
    </row>
    <row r="33" spans="12:19" ht="24.75" customHeight="1" x14ac:dyDescent="0.2">
      <c r="L33" s="248"/>
      <c r="R33" s="263"/>
      <c r="S33" s="263"/>
    </row>
    <row r="34" spans="12:19" ht="24.75" customHeight="1" x14ac:dyDescent="0.2">
      <c r="L34" s="247"/>
      <c r="R34" s="263"/>
      <c r="S34" s="263"/>
    </row>
    <row r="35" spans="12:19" ht="24.75" customHeight="1" x14ac:dyDescent="0.2">
      <c r="L35" s="248"/>
      <c r="R35" s="263"/>
      <c r="S35" s="263"/>
    </row>
    <row r="36" spans="12:19" ht="24.75" customHeight="1" x14ac:dyDescent="0.2">
      <c r="L36" s="248"/>
      <c r="R36" s="263"/>
      <c r="S36" s="264"/>
    </row>
    <row r="37" spans="12:19" ht="24.75" customHeight="1" x14ac:dyDescent="0.2">
      <c r="L37" s="247"/>
      <c r="R37" s="263"/>
      <c r="S37" s="264"/>
    </row>
    <row r="38" spans="12:19" ht="24.75" customHeight="1" x14ac:dyDescent="0.2">
      <c r="L38" s="248"/>
      <c r="R38" s="263"/>
      <c r="S38" s="264"/>
    </row>
    <row r="39" spans="12:19" ht="24.75" customHeight="1" x14ac:dyDescent="0.2">
      <c r="L39" s="248"/>
      <c r="R39" s="263"/>
      <c r="S39" s="263"/>
    </row>
    <row r="40" spans="12:19" ht="24.75" customHeight="1" x14ac:dyDescent="0.2">
      <c r="L40" s="248"/>
      <c r="R40" s="263"/>
      <c r="S40" s="263"/>
    </row>
    <row r="41" spans="12:19" ht="24.75" customHeight="1" x14ac:dyDescent="0.2">
      <c r="L41" s="248"/>
      <c r="R41" s="263"/>
      <c r="S41" s="263"/>
    </row>
    <row r="42" spans="12:19" ht="24.75" customHeight="1" x14ac:dyDescent="0.2">
      <c r="L42" s="247"/>
      <c r="R42" s="263"/>
      <c r="S42" s="264"/>
    </row>
    <row r="43" spans="12:19" ht="24.75" customHeight="1" x14ac:dyDescent="0.2">
      <c r="L43" s="248"/>
      <c r="R43" s="263"/>
      <c r="S43" s="263"/>
    </row>
    <row r="44" spans="12:19" ht="24.75" customHeight="1" x14ac:dyDescent="0.2">
      <c r="L44" s="248"/>
      <c r="R44" s="263"/>
      <c r="S44" s="264"/>
    </row>
    <row r="45" spans="12:19" ht="24.75" customHeight="1" x14ac:dyDescent="0.2">
      <c r="L45" s="247"/>
      <c r="R45" s="264"/>
      <c r="S45" s="264"/>
    </row>
    <row r="46" spans="12:19" ht="24.75" customHeight="1" x14ac:dyDescent="0.2">
      <c r="L46" s="247"/>
      <c r="R46" s="263"/>
      <c r="S46" s="263"/>
    </row>
    <row r="47" spans="12:19" ht="24.75" customHeight="1" x14ac:dyDescent="0.2">
      <c r="L47" s="248"/>
      <c r="R47" s="264"/>
      <c r="S47" s="264"/>
    </row>
    <row r="48" spans="12:19" ht="24.75" customHeight="1" x14ac:dyDescent="0.2">
      <c r="L48" s="248"/>
      <c r="R48" s="264"/>
      <c r="S48" s="264"/>
    </row>
    <row r="49" spans="12:19" ht="24.75" customHeight="1" x14ac:dyDescent="0.2">
      <c r="L49" s="248"/>
      <c r="R49" s="263"/>
      <c r="S49" s="264"/>
    </row>
    <row r="50" spans="12:19" ht="24.75" customHeight="1" x14ac:dyDescent="0.2">
      <c r="L50" s="248"/>
      <c r="R50" s="264"/>
      <c r="S50" s="264"/>
    </row>
    <row r="51" spans="12:19" ht="24.75" customHeight="1" x14ac:dyDescent="0.2">
      <c r="L51" s="247"/>
      <c r="R51" s="264"/>
      <c r="S51" s="264"/>
    </row>
    <row r="52" spans="12:19" ht="24.75" customHeight="1" x14ac:dyDescent="0.2">
      <c r="L52" s="247"/>
      <c r="R52" s="264"/>
      <c r="S52" s="264"/>
    </row>
    <row r="53" spans="12:19" ht="24.75" customHeight="1" x14ac:dyDescent="0.2">
      <c r="L53" s="248"/>
      <c r="R53" s="264"/>
      <c r="S53" s="264"/>
    </row>
    <row r="54" spans="12:19" ht="24.75" customHeight="1" x14ac:dyDescent="0.2">
      <c r="L54" s="248"/>
      <c r="R54" s="264"/>
      <c r="S54" s="264"/>
    </row>
    <row r="55" spans="12:19" ht="24.75" customHeight="1" x14ac:dyDescent="0.2">
      <c r="L55" s="248"/>
      <c r="R55" s="264"/>
      <c r="S55" s="264"/>
    </row>
    <row r="56" spans="12:19" ht="24.75" customHeight="1" x14ac:dyDescent="0.2">
      <c r="L56" s="248"/>
      <c r="R56" s="264"/>
      <c r="S56" s="264"/>
    </row>
    <row r="57" spans="12:19" ht="24.75" customHeight="1" x14ac:dyDescent="0.2">
      <c r="L57" s="248"/>
      <c r="R57" s="264"/>
      <c r="S57" s="264"/>
    </row>
    <row r="58" spans="12:19" ht="24.75" customHeight="1" x14ac:dyDescent="0.2">
      <c r="L58" s="248"/>
      <c r="R58" s="264"/>
      <c r="S58" s="264"/>
    </row>
    <row r="59" spans="12:19" ht="24.75" customHeight="1" x14ac:dyDescent="0.2">
      <c r="L59" s="248"/>
      <c r="R59" s="264"/>
      <c r="S59" s="264"/>
    </row>
    <row r="60" spans="12:19" ht="24.75" customHeight="1" x14ac:dyDescent="0.2">
      <c r="L60" s="248"/>
      <c r="R60" s="263"/>
      <c r="S60" s="264"/>
    </row>
    <row r="61" spans="12:19" ht="24.75" customHeight="1" x14ac:dyDescent="0.2">
      <c r="L61" s="248"/>
      <c r="R61" s="263"/>
      <c r="S61" s="264"/>
    </row>
    <row r="62" spans="12:19" ht="24.75" customHeight="1" x14ac:dyDescent="0.2">
      <c r="L62" s="248"/>
      <c r="R62" s="263"/>
      <c r="S62" s="264"/>
    </row>
    <row r="63" spans="12:19" ht="24.75" customHeight="1" x14ac:dyDescent="0.2">
      <c r="L63" s="248"/>
      <c r="R63" s="263"/>
      <c r="S63" s="264"/>
    </row>
    <row r="64" spans="12:19" ht="24.75" customHeight="1" x14ac:dyDescent="0.2">
      <c r="L64" s="247"/>
      <c r="R64" s="263"/>
      <c r="S64" s="263"/>
    </row>
    <row r="65" spans="12:19" ht="24.75" customHeight="1" x14ac:dyDescent="0.2">
      <c r="L65" s="247"/>
      <c r="R65" s="263"/>
      <c r="S65" s="264"/>
    </row>
    <row r="66" spans="12:19" ht="24.75" customHeight="1" x14ac:dyDescent="0.2">
      <c r="L66" s="248"/>
      <c r="R66" s="263"/>
      <c r="S66" s="264"/>
    </row>
    <row r="67" spans="12:19" ht="24.75" customHeight="1" x14ac:dyDescent="0.2">
      <c r="L67" s="248"/>
      <c r="R67" s="263"/>
      <c r="S67" s="264"/>
    </row>
    <row r="68" spans="12:19" ht="24.75" customHeight="1" x14ac:dyDescent="0.2">
      <c r="L68" s="248"/>
      <c r="R68" s="264"/>
      <c r="S68" s="264"/>
    </row>
    <row r="69" spans="12:19" ht="24.75" customHeight="1" x14ac:dyDescent="0.2">
      <c r="L69" s="248"/>
      <c r="R69" s="263"/>
      <c r="S69" s="264"/>
    </row>
    <row r="70" spans="12:19" ht="24.75" customHeight="1" x14ac:dyDescent="0.2">
      <c r="L70" s="248"/>
      <c r="R70" s="263"/>
      <c r="S70" s="264"/>
    </row>
    <row r="71" spans="12:19" ht="24.75" customHeight="1" x14ac:dyDescent="0.2">
      <c r="L71" s="248"/>
      <c r="R71" s="263"/>
      <c r="S71" s="264"/>
    </row>
    <row r="72" spans="12:19" ht="24.75" customHeight="1" x14ac:dyDescent="0.2">
      <c r="L72" s="248"/>
      <c r="R72" s="263"/>
      <c r="S72" s="264"/>
    </row>
    <row r="73" spans="12:19" ht="24.75" customHeight="1" x14ac:dyDescent="0.2">
      <c r="L73" s="248"/>
      <c r="R73" s="263"/>
      <c r="S73" s="263"/>
    </row>
    <row r="74" spans="12:19" ht="24.75" customHeight="1" x14ac:dyDescent="0.2">
      <c r="L74" s="248"/>
      <c r="R74" s="263"/>
      <c r="S74" s="264"/>
    </row>
    <row r="75" spans="12:19" ht="24.75" customHeight="1" x14ac:dyDescent="0.2">
      <c r="L75" s="248"/>
      <c r="R75" s="263"/>
      <c r="S75" s="264"/>
    </row>
    <row r="76" spans="12:19" ht="24.75" customHeight="1" x14ac:dyDescent="0.2">
      <c r="L76" s="248"/>
      <c r="R76" s="263"/>
      <c r="S76" s="264"/>
    </row>
    <row r="77" spans="12:19" ht="24.75" customHeight="1" x14ac:dyDescent="0.2">
      <c r="L77" s="248"/>
      <c r="R77" s="263"/>
      <c r="S77" s="263"/>
    </row>
    <row r="78" spans="12:19" ht="24.75" customHeight="1" x14ac:dyDescent="0.2">
      <c r="L78" s="248"/>
      <c r="R78" s="263"/>
      <c r="S78" s="263"/>
    </row>
    <row r="79" spans="12:19" ht="24.75" customHeight="1" x14ac:dyDescent="0.2">
      <c r="L79" s="248"/>
      <c r="R79" s="263"/>
      <c r="S79" s="264"/>
    </row>
    <row r="80" spans="12:19" ht="24.75" customHeight="1" x14ac:dyDescent="0.2">
      <c r="L80" s="247"/>
      <c r="R80" s="263"/>
      <c r="S80" s="263"/>
    </row>
    <row r="81" spans="12:19" ht="24.75" customHeight="1" x14ac:dyDescent="0.2">
      <c r="L81" s="248"/>
      <c r="R81" s="263"/>
      <c r="S81" s="263"/>
    </row>
    <row r="82" spans="12:19" ht="24.75" customHeight="1" x14ac:dyDescent="0.2">
      <c r="L82" s="248"/>
      <c r="R82" s="264"/>
      <c r="S82" s="264"/>
    </row>
    <row r="83" spans="12:19" ht="24.75" customHeight="1" x14ac:dyDescent="0.2">
      <c r="L83" s="248"/>
      <c r="R83" s="264"/>
      <c r="S83" s="264"/>
    </row>
    <row r="84" spans="12:19" ht="24.75" customHeight="1" x14ac:dyDescent="0.2">
      <c r="L84" s="248"/>
      <c r="R84" s="263"/>
      <c r="S84" s="263"/>
    </row>
    <row r="85" spans="12:19" ht="24.75" customHeight="1" x14ac:dyDescent="0.2">
      <c r="L85" s="248"/>
      <c r="R85" s="264"/>
      <c r="S85" s="264"/>
    </row>
    <row r="86" spans="12:19" ht="24.75" customHeight="1" x14ac:dyDescent="0.2">
      <c r="L86" s="248"/>
      <c r="R86" s="264"/>
      <c r="S86" s="264"/>
    </row>
    <row r="87" spans="12:19" ht="24.75" customHeight="1" x14ac:dyDescent="0.2">
      <c r="L87" s="248"/>
      <c r="R87" s="264"/>
      <c r="S87" s="264"/>
    </row>
    <row r="88" spans="12:19" ht="24.75" customHeight="1" x14ac:dyDescent="0.2">
      <c r="L88" s="248"/>
      <c r="R88" s="264"/>
      <c r="S88" s="264"/>
    </row>
    <row r="89" spans="12:19" ht="24.75" customHeight="1" x14ac:dyDescent="0.2">
      <c r="L89" s="248"/>
      <c r="R89" s="264"/>
      <c r="S89" s="264"/>
    </row>
    <row r="90" spans="12:19" ht="24.75" customHeight="1" x14ac:dyDescent="0.2">
      <c r="L90" s="248"/>
      <c r="R90" s="264"/>
      <c r="S90" s="264"/>
    </row>
    <row r="91" spans="12:19" ht="24.75" customHeight="1" x14ac:dyDescent="0.2">
      <c r="L91" s="248"/>
      <c r="R91" s="264"/>
      <c r="S91" s="264"/>
    </row>
    <row r="92" spans="12:19" ht="24.75" customHeight="1" x14ac:dyDescent="0.2">
      <c r="L92" s="248"/>
      <c r="R92" s="264"/>
      <c r="S92" s="264"/>
    </row>
    <row r="93" spans="12:19" ht="24.75" customHeight="1" x14ac:dyDescent="0.2">
      <c r="L93" s="248"/>
      <c r="R93" s="264"/>
      <c r="S93" s="264"/>
    </row>
    <row r="94" spans="12:19" ht="24.75" customHeight="1" x14ac:dyDescent="0.2">
      <c r="L94" s="248"/>
      <c r="R94" s="264"/>
      <c r="S94" s="264"/>
    </row>
    <row r="95" spans="12:19" ht="24.75" customHeight="1" x14ac:dyDescent="0.2">
      <c r="L95" s="248"/>
      <c r="R95" s="264"/>
      <c r="S95" s="264"/>
    </row>
    <row r="96" spans="12:19" ht="24.75" customHeight="1" x14ac:dyDescent="0.2">
      <c r="L96" s="248"/>
      <c r="R96" s="264"/>
      <c r="S96" s="264"/>
    </row>
    <row r="97" spans="12:19" ht="24.75" customHeight="1" x14ac:dyDescent="0.2">
      <c r="L97" s="248"/>
      <c r="R97" s="264"/>
      <c r="S97" s="264"/>
    </row>
    <row r="98" spans="12:19" ht="24.75" customHeight="1" x14ac:dyDescent="0.2">
      <c r="L98" s="248"/>
      <c r="R98" s="264"/>
      <c r="S98" s="264"/>
    </row>
    <row r="99" spans="12:19" ht="24.75" customHeight="1" x14ac:dyDescent="0.2">
      <c r="L99" s="248"/>
      <c r="R99" s="264"/>
      <c r="S99" s="264"/>
    </row>
    <row r="100" spans="12:19" ht="24.75" customHeight="1" x14ac:dyDescent="0.2">
      <c r="L100" s="248"/>
      <c r="R100" s="264"/>
      <c r="S100" s="264"/>
    </row>
    <row r="101" spans="12:19" ht="24.75" customHeight="1" x14ac:dyDescent="0.2">
      <c r="L101" s="248"/>
      <c r="R101" s="264"/>
      <c r="S101" s="264"/>
    </row>
    <row r="102" spans="12:19" ht="24.75" customHeight="1" x14ac:dyDescent="0.2">
      <c r="L102" s="248"/>
      <c r="R102" s="263"/>
      <c r="S102" s="263"/>
    </row>
    <row r="103" spans="12:19" ht="24.75" customHeight="1" x14ac:dyDescent="0.2">
      <c r="L103" s="248"/>
      <c r="R103" s="263"/>
      <c r="S103" s="263"/>
    </row>
    <row r="104" spans="12:19" ht="24.75" customHeight="1" x14ac:dyDescent="0.2">
      <c r="L104" s="248"/>
      <c r="R104" s="264"/>
      <c r="S104" s="264"/>
    </row>
    <row r="105" spans="12:19" ht="24.75" customHeight="1" x14ac:dyDescent="0.2">
      <c r="L105" s="248"/>
      <c r="R105" s="264"/>
      <c r="S105" s="264"/>
    </row>
    <row r="106" spans="12:19" ht="24.75" customHeight="1" x14ac:dyDescent="0.2">
      <c r="L106" s="248"/>
      <c r="R106" s="264"/>
      <c r="S106" s="264"/>
    </row>
    <row r="107" spans="12:19" ht="24.75" customHeight="1" x14ac:dyDescent="0.2">
      <c r="L107" s="248"/>
      <c r="R107" s="264"/>
      <c r="S107" s="264"/>
    </row>
    <row r="108" spans="12:19" ht="24.75" customHeight="1" x14ac:dyDescent="0.2">
      <c r="L108" s="248"/>
      <c r="R108" s="264"/>
      <c r="S108" s="264"/>
    </row>
    <row r="109" spans="12:19" ht="24.75" customHeight="1" x14ac:dyDescent="0.2">
      <c r="L109" s="248"/>
      <c r="R109" s="264"/>
      <c r="S109" s="264"/>
    </row>
    <row r="110" spans="12:19" ht="24.75" customHeight="1" x14ac:dyDescent="0.2">
      <c r="L110" s="248"/>
      <c r="R110" s="264"/>
      <c r="S110" s="264"/>
    </row>
    <row r="111" spans="12:19" ht="24.75" customHeight="1" x14ac:dyDescent="0.2">
      <c r="L111" s="248"/>
      <c r="R111" s="264"/>
      <c r="S111" s="264"/>
    </row>
    <row r="112" spans="12:19" ht="24.75" customHeight="1" x14ac:dyDescent="0.2">
      <c r="L112" s="248"/>
      <c r="R112" s="264"/>
      <c r="S112" s="264"/>
    </row>
    <row r="113" spans="12:19" ht="24.75" customHeight="1" x14ac:dyDescent="0.2">
      <c r="L113" s="248"/>
      <c r="R113" s="264"/>
      <c r="S113" s="264"/>
    </row>
    <row r="114" spans="12:19" ht="24.75" customHeight="1" x14ac:dyDescent="0.2">
      <c r="L114" s="248"/>
      <c r="R114" s="264"/>
      <c r="S114" s="264"/>
    </row>
    <row r="115" spans="12:19" ht="24.75" customHeight="1" x14ac:dyDescent="0.2">
      <c r="L115" s="248"/>
      <c r="R115" s="264"/>
      <c r="S115" s="264"/>
    </row>
    <row r="116" spans="12:19" ht="24.75" customHeight="1" x14ac:dyDescent="0.2">
      <c r="L116" s="248"/>
      <c r="R116" s="264"/>
      <c r="S116" s="264"/>
    </row>
    <row r="117" spans="12:19" ht="24.75" customHeight="1" x14ac:dyDescent="0.2">
      <c r="L117" s="248"/>
      <c r="R117" s="263"/>
      <c r="S117" s="263"/>
    </row>
    <row r="118" spans="12:19" ht="24.75" customHeight="1" x14ac:dyDescent="0.2">
      <c r="L118" s="248"/>
      <c r="R118" s="263"/>
      <c r="S118" s="263"/>
    </row>
    <row r="119" spans="12:19" ht="24.75" customHeight="1" x14ac:dyDescent="0.2">
      <c r="L119" s="248"/>
      <c r="R119" s="264"/>
      <c r="S119" s="264"/>
    </row>
    <row r="120" spans="12:19" ht="24.75" customHeight="1" x14ac:dyDescent="0.2">
      <c r="L120" s="248"/>
      <c r="R120" s="263"/>
      <c r="S120" s="263"/>
    </row>
    <row r="121" spans="12:19" ht="24.75" customHeight="1" x14ac:dyDescent="0.2">
      <c r="L121" s="248"/>
      <c r="R121" s="264"/>
      <c r="S121" s="264"/>
    </row>
    <row r="122" spans="12:19" ht="24.75" customHeight="1" x14ac:dyDescent="0.2">
      <c r="L122" s="248"/>
      <c r="R122" s="264"/>
      <c r="S122" s="264"/>
    </row>
    <row r="123" spans="12:19" ht="24.75" customHeight="1" x14ac:dyDescent="0.2">
      <c r="L123" s="248"/>
      <c r="R123" s="263"/>
      <c r="S123" s="264"/>
    </row>
    <row r="124" spans="12:19" ht="24.75" customHeight="1" x14ac:dyDescent="0.2">
      <c r="L124" s="248"/>
      <c r="R124" s="264"/>
      <c r="S124" s="264"/>
    </row>
    <row r="125" spans="12:19" ht="24.75" customHeight="1" x14ac:dyDescent="0.2">
      <c r="L125" s="248"/>
      <c r="R125" s="264"/>
      <c r="S125" s="264"/>
    </row>
    <row r="126" spans="12:19" ht="24.75" customHeight="1" x14ac:dyDescent="0.2">
      <c r="L126" s="248"/>
      <c r="R126" s="263"/>
      <c r="S126" s="263"/>
    </row>
    <row r="127" spans="12:19" ht="24.75" customHeight="1" x14ac:dyDescent="0.2">
      <c r="L127" s="248"/>
      <c r="R127" s="263"/>
      <c r="S127" s="264"/>
    </row>
    <row r="128" spans="12:19" ht="24.75" customHeight="1" x14ac:dyDescent="0.2">
      <c r="L128" s="248"/>
      <c r="R128" s="264"/>
      <c r="S128" s="264"/>
    </row>
    <row r="129" spans="12:19" ht="24.75" customHeight="1" x14ac:dyDescent="0.2">
      <c r="L129" s="248"/>
      <c r="R129" s="264"/>
      <c r="S129" s="264"/>
    </row>
    <row r="130" spans="12:19" ht="24.75" customHeight="1" x14ac:dyDescent="0.2">
      <c r="L130" s="248"/>
      <c r="R130" s="264"/>
      <c r="S130" s="264"/>
    </row>
    <row r="131" spans="12:19" ht="24.75" customHeight="1" x14ac:dyDescent="0.2">
      <c r="L131" s="248"/>
      <c r="R131" s="264"/>
      <c r="S131" s="264"/>
    </row>
    <row r="132" spans="12:19" ht="24.75" customHeight="1" x14ac:dyDescent="0.2">
      <c r="L132" s="248"/>
      <c r="R132" s="263"/>
      <c r="S132" s="263"/>
    </row>
    <row r="133" spans="12:19" ht="24.75" customHeight="1" x14ac:dyDescent="0.2">
      <c r="L133" s="248"/>
      <c r="R133" s="264"/>
      <c r="S133" s="264"/>
    </row>
    <row r="134" spans="12:19" ht="24.75" customHeight="1" x14ac:dyDescent="0.2">
      <c r="R134" s="264"/>
      <c r="S134" s="264"/>
    </row>
    <row r="135" spans="12:19" ht="24.75" customHeight="1" x14ac:dyDescent="0.2">
      <c r="R135" s="264"/>
      <c r="S135" s="264"/>
    </row>
    <row r="136" spans="12:19" ht="24.75" customHeight="1" x14ac:dyDescent="0.2">
      <c r="R136" s="263"/>
      <c r="S136" s="263"/>
    </row>
    <row r="137" spans="12:19" ht="24.75" customHeight="1" x14ac:dyDescent="0.2">
      <c r="R137" s="263"/>
      <c r="S137" s="264"/>
    </row>
    <row r="138" spans="12:19" ht="24.75" customHeight="1" x14ac:dyDescent="0.2">
      <c r="R138" s="263"/>
      <c r="S138" s="264"/>
    </row>
    <row r="139" spans="12:19" ht="24.75" customHeight="1" x14ac:dyDescent="0.2">
      <c r="R139" s="263"/>
      <c r="S139" s="264"/>
    </row>
    <row r="140" spans="12:19" ht="24.75" customHeight="1" x14ac:dyDescent="0.2">
      <c r="R140" s="263"/>
      <c r="S140" s="264"/>
    </row>
    <row r="141" spans="12:19" ht="24.75" customHeight="1" x14ac:dyDescent="0.2">
      <c r="R141" s="263"/>
      <c r="S141" s="264"/>
    </row>
    <row r="142" spans="12:19" ht="24.75" customHeight="1" x14ac:dyDescent="0.2">
      <c r="R142" s="263"/>
      <c r="S142" s="263"/>
    </row>
    <row r="143" spans="12:19" ht="24.75" customHeight="1" x14ac:dyDescent="0.2">
      <c r="R143" s="264"/>
      <c r="S143" s="264"/>
    </row>
    <row r="144" spans="12:19" ht="24.75" customHeight="1" x14ac:dyDescent="0.2">
      <c r="R144" s="263"/>
      <c r="S144" s="264"/>
    </row>
    <row r="145" spans="18:19" ht="24.75" customHeight="1" x14ac:dyDescent="0.2">
      <c r="R145" s="263"/>
      <c r="S145" s="264"/>
    </row>
    <row r="146" spans="18:19" ht="24.75" customHeight="1" x14ac:dyDescent="0.2">
      <c r="R146" s="263"/>
      <c r="S146" s="263"/>
    </row>
    <row r="147" spans="18:19" ht="24.75" customHeight="1" x14ac:dyDescent="0.2">
      <c r="R147" s="264"/>
      <c r="S147" s="264"/>
    </row>
    <row r="148" spans="18:19" ht="24.75" customHeight="1" x14ac:dyDescent="0.2">
      <c r="R148" s="263"/>
      <c r="S148" s="263"/>
    </row>
    <row r="149" spans="18:19" ht="24.75" customHeight="1" x14ac:dyDescent="0.2">
      <c r="R149" s="264"/>
      <c r="S149" s="264"/>
    </row>
    <row r="150" spans="18:19" ht="24.75" customHeight="1" x14ac:dyDescent="0.2">
      <c r="R150" s="264"/>
      <c r="S150" s="264"/>
    </row>
    <row r="151" spans="18:19" ht="24.75" customHeight="1" x14ac:dyDescent="0.2">
      <c r="R151" s="263"/>
      <c r="S151" s="263"/>
    </row>
    <row r="152" spans="18:19" ht="24.75" customHeight="1" x14ac:dyDescent="0.2">
      <c r="R152" s="263"/>
      <c r="S152" s="263"/>
    </row>
    <row r="153" spans="18:19" ht="24.75" customHeight="1" x14ac:dyDescent="0.2">
      <c r="R153" s="263"/>
      <c r="S153" s="263"/>
    </row>
    <row r="154" spans="18:19" ht="24.75" customHeight="1" x14ac:dyDescent="0.2">
      <c r="R154" s="263"/>
      <c r="S154" s="264"/>
    </row>
    <row r="155" spans="18:19" ht="24.75" customHeight="1" x14ac:dyDescent="0.2">
      <c r="R155" s="263"/>
      <c r="S155" s="264"/>
    </row>
    <row r="156" spans="18:19" ht="24.75" customHeight="1" x14ac:dyDescent="0.2">
      <c r="R156" s="264"/>
      <c r="S156" s="264"/>
    </row>
    <row r="157" spans="18:19" ht="24.75" customHeight="1" x14ac:dyDescent="0.2">
      <c r="R157" s="264"/>
      <c r="S157" s="264"/>
    </row>
    <row r="158" spans="18:19" ht="24.75" customHeight="1" x14ac:dyDescent="0.2">
      <c r="R158" s="264"/>
      <c r="S158" s="264"/>
    </row>
    <row r="159" spans="18:19" ht="24.75" customHeight="1" x14ac:dyDescent="0.2">
      <c r="R159" s="264"/>
      <c r="S159" s="264"/>
    </row>
    <row r="160" spans="18:19" ht="24.75" customHeight="1" x14ac:dyDescent="0.2">
      <c r="R160" s="264"/>
      <c r="S160" s="264"/>
    </row>
    <row r="161" spans="18:19" ht="24.75" customHeight="1" x14ac:dyDescent="0.2">
      <c r="R161" s="264"/>
      <c r="S161" s="264"/>
    </row>
    <row r="162" spans="18:19" ht="24.75" customHeight="1" x14ac:dyDescent="0.2">
      <c r="R162" s="263"/>
      <c r="S162" s="264"/>
    </row>
    <row r="163" spans="18:19" ht="24.75" customHeight="1" x14ac:dyDescent="0.2">
      <c r="R163" s="264"/>
      <c r="S163" s="264"/>
    </row>
    <row r="164" spans="18:19" ht="24.75" customHeight="1" x14ac:dyDescent="0.2">
      <c r="R164" s="264"/>
      <c r="S164" s="264"/>
    </row>
    <row r="165" spans="18:19" ht="24.75" customHeight="1" x14ac:dyDescent="0.2">
      <c r="R165" s="264"/>
      <c r="S165" s="264"/>
    </row>
    <row r="166" spans="18:19" ht="24.75" customHeight="1" x14ac:dyDescent="0.2">
      <c r="R166" s="264"/>
      <c r="S166" s="264"/>
    </row>
    <row r="167" spans="18:19" ht="24.75" customHeight="1" x14ac:dyDescent="0.2">
      <c r="R167" s="264"/>
      <c r="S167" s="264"/>
    </row>
    <row r="168" spans="18:19" ht="24.75" customHeight="1" x14ac:dyDescent="0.2">
      <c r="R168" s="263"/>
      <c r="S168" s="264"/>
    </row>
    <row r="169" spans="18:19" ht="24.75" customHeight="1" x14ac:dyDescent="0.2">
      <c r="R169" s="264"/>
      <c r="S169" s="264"/>
    </row>
    <row r="170" spans="18:19" ht="24.75" customHeight="1" x14ac:dyDescent="0.2">
      <c r="R170" s="264"/>
      <c r="S170" s="264"/>
    </row>
    <row r="171" spans="18:19" ht="24.75" customHeight="1" x14ac:dyDescent="0.2">
      <c r="R171" s="264"/>
      <c r="S171" s="264"/>
    </row>
    <row r="172" spans="18:19" ht="24.75" customHeight="1" x14ac:dyDescent="0.2">
      <c r="R172" s="263"/>
      <c r="S172" s="264"/>
    </row>
    <row r="173" spans="18:19" ht="24.75" customHeight="1" x14ac:dyDescent="0.2">
      <c r="R173" s="264"/>
      <c r="S173" s="264"/>
    </row>
    <row r="174" spans="18:19" ht="24.75" customHeight="1" x14ac:dyDescent="0.2">
      <c r="R174" s="264"/>
      <c r="S174" s="264"/>
    </row>
    <row r="175" spans="18:19" ht="24.75" customHeight="1" x14ac:dyDescent="0.2">
      <c r="R175" s="264"/>
      <c r="S175" s="264"/>
    </row>
    <row r="176" spans="18:19" ht="24.75" customHeight="1" x14ac:dyDescent="0.2">
      <c r="R176" s="264"/>
      <c r="S176" s="264"/>
    </row>
    <row r="177" spans="18:19" ht="24.75" customHeight="1" x14ac:dyDescent="0.2">
      <c r="R177" s="263"/>
      <c r="S177" s="264"/>
    </row>
    <row r="178" spans="18:19" ht="24.75" customHeight="1" x14ac:dyDescent="0.2">
      <c r="R178" s="264"/>
      <c r="S178" s="264"/>
    </row>
    <row r="179" spans="18:19" ht="24.75" customHeight="1" x14ac:dyDescent="0.2">
      <c r="R179" s="264"/>
      <c r="S179" s="264"/>
    </row>
    <row r="180" spans="18:19" ht="24.75" customHeight="1" x14ac:dyDescent="0.2">
      <c r="R180" s="264"/>
      <c r="S180" s="264"/>
    </row>
    <row r="181" spans="18:19" ht="24.75" customHeight="1" x14ac:dyDescent="0.2">
      <c r="R181" s="264"/>
      <c r="S181" s="264"/>
    </row>
    <row r="182" spans="18:19" ht="24.75" customHeight="1" x14ac:dyDescent="0.2">
      <c r="R182" s="264"/>
      <c r="S182" s="264"/>
    </row>
    <row r="183" spans="18:19" ht="24.75" customHeight="1" x14ac:dyDescent="0.2">
      <c r="R183" s="264"/>
      <c r="S183" s="264"/>
    </row>
    <row r="184" spans="18:19" ht="24.75" customHeight="1" x14ac:dyDescent="0.2">
      <c r="R184" s="264"/>
      <c r="S184" s="264"/>
    </row>
    <row r="185" spans="18:19" ht="24.75" customHeight="1" x14ac:dyDescent="0.2">
      <c r="R185" s="264"/>
      <c r="S185" s="264"/>
    </row>
    <row r="186" spans="18:19" ht="24.75" customHeight="1" x14ac:dyDescent="0.2">
      <c r="R186" s="264"/>
      <c r="S186" s="264"/>
    </row>
    <row r="187" spans="18:19" ht="24.75" customHeight="1" x14ac:dyDescent="0.2">
      <c r="R187" s="263"/>
      <c r="S187" s="264"/>
    </row>
    <row r="188" spans="18:19" ht="24.75" customHeight="1" x14ac:dyDescent="0.2">
      <c r="R188" s="264"/>
      <c r="S188" s="264"/>
    </row>
    <row r="189" spans="18:19" ht="24.75" customHeight="1" x14ac:dyDescent="0.2">
      <c r="R189" s="263"/>
      <c r="S189" s="264"/>
    </row>
    <row r="190" spans="18:19" ht="24.75" customHeight="1" x14ac:dyDescent="0.2">
      <c r="R190" s="264"/>
      <c r="S190" s="264"/>
    </row>
    <row r="191" spans="18:19" ht="24.75" customHeight="1" x14ac:dyDescent="0.2">
      <c r="R191" s="264"/>
      <c r="S191" s="264"/>
    </row>
    <row r="192" spans="18:19" ht="24.75" customHeight="1" x14ac:dyDescent="0.2">
      <c r="R192" s="264"/>
      <c r="S192" s="264"/>
    </row>
    <row r="193" spans="18:19" ht="24.75" customHeight="1" x14ac:dyDescent="0.2">
      <c r="R193" s="264"/>
      <c r="S193" s="264"/>
    </row>
    <row r="194" spans="18:19" ht="24.75" customHeight="1" x14ac:dyDescent="0.2">
      <c r="R194" s="264"/>
      <c r="S194" s="264"/>
    </row>
    <row r="195" spans="18:19" ht="24.75" customHeight="1" x14ac:dyDescent="0.2">
      <c r="R195" s="264"/>
      <c r="S195" s="264"/>
    </row>
    <row r="196" spans="18:19" ht="24.75" customHeight="1" x14ac:dyDescent="0.2">
      <c r="R196" s="264"/>
      <c r="S196" s="264"/>
    </row>
    <row r="197" spans="18:19" ht="24.75" customHeight="1" x14ac:dyDescent="0.2">
      <c r="R197" s="264"/>
      <c r="S197" s="264"/>
    </row>
    <row r="198" spans="18:19" ht="24.75" customHeight="1" x14ac:dyDescent="0.2">
      <c r="R198" s="264"/>
      <c r="S198" s="264"/>
    </row>
    <row r="199" spans="18:19" ht="24.75" customHeight="1" x14ac:dyDescent="0.2">
      <c r="R199" s="264"/>
      <c r="S199" s="264"/>
    </row>
    <row r="200" spans="18:19" ht="24.75" customHeight="1" x14ac:dyDescent="0.2">
      <c r="R200" s="265"/>
      <c r="S200" s="264"/>
    </row>
    <row r="201" spans="18:19" ht="24.75" customHeight="1" x14ac:dyDescent="0.2">
      <c r="R201" s="263"/>
      <c r="S201" s="264"/>
    </row>
    <row r="202" spans="18:19" ht="24.75" customHeight="1" x14ac:dyDescent="0.2">
      <c r="R202" s="264"/>
      <c r="S202" s="264"/>
    </row>
    <row r="203" spans="18:19" ht="24.75" customHeight="1" x14ac:dyDescent="0.2">
      <c r="R203" s="264"/>
      <c r="S203" s="264"/>
    </row>
    <row r="204" spans="18:19" ht="24.75" customHeight="1" x14ac:dyDescent="0.2">
      <c r="R204" s="264"/>
      <c r="S204" s="264"/>
    </row>
    <row r="205" spans="18:19" ht="24.75" customHeight="1" x14ac:dyDescent="0.2">
      <c r="R205" s="264"/>
      <c r="S205" s="264"/>
    </row>
    <row r="206" spans="18:19" ht="24.75" customHeight="1" x14ac:dyDescent="0.2">
      <c r="R206" s="264"/>
      <c r="S206" s="264"/>
    </row>
    <row r="207" spans="18:19" ht="24.75" customHeight="1" x14ac:dyDescent="0.2">
      <c r="R207" s="264"/>
      <c r="S207" s="264"/>
    </row>
    <row r="208" spans="18:19" ht="24.75" customHeight="1" x14ac:dyDescent="0.2">
      <c r="R208" s="263"/>
      <c r="S208" s="264"/>
    </row>
    <row r="209" spans="18:19" ht="24.75" customHeight="1" x14ac:dyDescent="0.2">
      <c r="R209" s="264"/>
      <c r="S209" s="264"/>
    </row>
    <row r="210" spans="18:19" ht="24.75" customHeight="1" x14ac:dyDescent="0.2">
      <c r="R210" s="264"/>
      <c r="S210" s="264"/>
    </row>
    <row r="211" spans="18:19" ht="24.75" customHeight="1" x14ac:dyDescent="0.2">
      <c r="R211" s="264"/>
      <c r="S211" s="264"/>
    </row>
    <row r="212" spans="18:19" ht="24.75" customHeight="1" x14ac:dyDescent="0.2">
      <c r="R212" s="264"/>
      <c r="S212" s="264"/>
    </row>
    <row r="213" spans="18:19" ht="24.75" customHeight="1" x14ac:dyDescent="0.2">
      <c r="R213" s="264"/>
      <c r="S213" s="264"/>
    </row>
    <row r="214" spans="18:19" ht="24.75" customHeight="1" x14ac:dyDescent="0.2">
      <c r="R214" s="263"/>
      <c r="S214" s="264"/>
    </row>
    <row r="215" spans="18:19" ht="24.75" customHeight="1" x14ac:dyDescent="0.2">
      <c r="R215" s="263"/>
      <c r="S215" s="264"/>
    </row>
    <row r="216" spans="18:19" ht="24.75" customHeight="1" x14ac:dyDescent="0.2">
      <c r="R216" s="264"/>
      <c r="S216" s="264"/>
    </row>
    <row r="217" spans="18:19" ht="24.75" customHeight="1" x14ac:dyDescent="0.2">
      <c r="R217" s="264"/>
      <c r="S217" s="264"/>
    </row>
    <row r="218" spans="18:19" ht="24.75" customHeight="1" x14ac:dyDescent="0.2">
      <c r="R218" s="263"/>
      <c r="S218" s="264"/>
    </row>
    <row r="219" spans="18:19" ht="24.75" customHeight="1" x14ac:dyDescent="0.2">
      <c r="R219" s="264"/>
      <c r="S219" s="264"/>
    </row>
    <row r="220" spans="18:19" ht="24.75" customHeight="1" x14ac:dyDescent="0.2">
      <c r="R220" s="264"/>
      <c r="S220" s="264"/>
    </row>
    <row r="221" spans="18:19" ht="24.75" customHeight="1" x14ac:dyDescent="0.2">
      <c r="R221" s="264"/>
      <c r="S221" s="264"/>
    </row>
    <row r="222" spans="18:19" ht="24.75" customHeight="1" x14ac:dyDescent="0.2">
      <c r="R222" s="264"/>
      <c r="S222" s="264"/>
    </row>
    <row r="223" spans="18:19" ht="24.75" customHeight="1" x14ac:dyDescent="0.2">
      <c r="R223" s="264"/>
      <c r="S223" s="264"/>
    </row>
    <row r="224" spans="18:19" ht="24.75" customHeight="1" x14ac:dyDescent="0.2">
      <c r="R224" s="264"/>
      <c r="S224" s="264"/>
    </row>
    <row r="225" spans="18:19" ht="24.75" customHeight="1" x14ac:dyDescent="0.2">
      <c r="R225" s="264"/>
      <c r="S225" s="264"/>
    </row>
    <row r="226" spans="18:19" ht="24.75" customHeight="1" x14ac:dyDescent="0.2">
      <c r="R226" s="264"/>
      <c r="S226" s="264"/>
    </row>
    <row r="227" spans="18:19" ht="24.75" customHeight="1" x14ac:dyDescent="0.2">
      <c r="R227" s="264"/>
      <c r="S227" s="264"/>
    </row>
    <row r="228" spans="18:19" ht="24.75" customHeight="1" x14ac:dyDescent="0.2">
      <c r="R228" s="263"/>
      <c r="S228" s="264"/>
    </row>
    <row r="229" spans="18:19" ht="24.75" customHeight="1" x14ac:dyDescent="0.2">
      <c r="R229" s="264"/>
      <c r="S229" s="264"/>
    </row>
    <row r="230" spans="18:19" ht="24.75" customHeight="1" x14ac:dyDescent="0.2">
      <c r="R230" s="263"/>
      <c r="S230" s="264"/>
    </row>
    <row r="231" spans="18:19" ht="24.75" customHeight="1" x14ac:dyDescent="0.2">
      <c r="R231" s="264"/>
      <c r="S231" s="264"/>
    </row>
    <row r="232" spans="18:19" ht="24.75" customHeight="1" x14ac:dyDescent="0.2">
      <c r="R232" s="264"/>
      <c r="S232" s="264"/>
    </row>
    <row r="233" spans="18:19" ht="24.75" customHeight="1" x14ac:dyDescent="0.2">
      <c r="R233" s="264"/>
      <c r="S233" s="264"/>
    </row>
    <row r="234" spans="18:19" ht="24.75" customHeight="1" x14ac:dyDescent="0.2">
      <c r="R234" s="264"/>
      <c r="S234" s="264"/>
    </row>
    <row r="235" spans="18:19" ht="24.75" customHeight="1" x14ac:dyDescent="0.2">
      <c r="R235" s="264"/>
      <c r="S235" s="264"/>
    </row>
    <row r="236" spans="18:19" ht="24.75" customHeight="1" x14ac:dyDescent="0.2">
      <c r="R236" s="263"/>
      <c r="S236" s="264"/>
    </row>
    <row r="237" spans="18:19" ht="24.75" customHeight="1" x14ac:dyDescent="0.2">
      <c r="R237" s="264"/>
      <c r="S237" s="264"/>
    </row>
    <row r="238" spans="18:19" ht="24.75" customHeight="1" x14ac:dyDescent="0.2">
      <c r="R238" s="264"/>
      <c r="S238" s="264"/>
    </row>
    <row r="239" spans="18:19" ht="24.75" customHeight="1" x14ac:dyDescent="0.2">
      <c r="R239" s="264"/>
      <c r="S239" s="264"/>
    </row>
    <row r="240" spans="18:19" ht="24.75" customHeight="1" x14ac:dyDescent="0.2">
      <c r="R240" s="264"/>
      <c r="S240" s="264"/>
    </row>
    <row r="241" spans="18:19" ht="24.75" customHeight="1" x14ac:dyDescent="0.2">
      <c r="R241" s="264"/>
      <c r="S241" s="264"/>
    </row>
    <row r="242" spans="18:19" ht="24.75" customHeight="1" x14ac:dyDescent="0.2">
      <c r="R242" s="264"/>
      <c r="S242" s="264"/>
    </row>
    <row r="243" spans="18:19" ht="24.75" customHeight="1" x14ac:dyDescent="0.2">
      <c r="R243" s="264"/>
      <c r="S243" s="264"/>
    </row>
    <row r="244" spans="18:19" ht="24.75" customHeight="1" x14ac:dyDescent="0.2">
      <c r="R244" s="264"/>
      <c r="S244" s="264"/>
    </row>
    <row r="245" spans="18:19" ht="24.75" customHeight="1" x14ac:dyDescent="0.2">
      <c r="R245" s="263"/>
      <c r="S245" s="264"/>
    </row>
    <row r="246" spans="18:19" ht="24.75" customHeight="1" x14ac:dyDescent="0.2">
      <c r="R246" s="264"/>
      <c r="S246" s="264"/>
    </row>
    <row r="247" spans="18:19" ht="24.75" customHeight="1" x14ac:dyDescent="0.2">
      <c r="R247" s="264"/>
      <c r="S247" s="264"/>
    </row>
    <row r="248" spans="18:19" ht="24.75" customHeight="1" x14ac:dyDescent="0.2">
      <c r="R248" s="263"/>
      <c r="S248" s="264"/>
    </row>
    <row r="249" spans="18:19" ht="24.75" customHeight="1" x14ac:dyDescent="0.2">
      <c r="R249" s="264"/>
      <c r="S249" s="264"/>
    </row>
    <row r="250" spans="18:19" ht="24.75" customHeight="1" x14ac:dyDescent="0.2">
      <c r="R250" s="264"/>
      <c r="S250" s="264"/>
    </row>
    <row r="251" spans="18:19" ht="24.75" customHeight="1" x14ac:dyDescent="0.2">
      <c r="R251" s="264"/>
      <c r="S251" s="264"/>
    </row>
    <row r="252" spans="18:19" ht="24.75" customHeight="1" x14ac:dyDescent="0.2">
      <c r="R252" s="264"/>
      <c r="S252" s="264"/>
    </row>
    <row r="253" spans="18:19" ht="24.75" customHeight="1" x14ac:dyDescent="0.2">
      <c r="R253" s="264"/>
      <c r="S253" s="264"/>
    </row>
    <row r="254" spans="18:19" ht="24.75" customHeight="1" x14ac:dyDescent="0.2">
      <c r="R254" s="264"/>
      <c r="S254" s="264"/>
    </row>
    <row r="255" spans="18:19" ht="24.75" customHeight="1" x14ac:dyDescent="0.2">
      <c r="R255" s="264"/>
      <c r="S255" s="264"/>
    </row>
    <row r="256" spans="18:19" ht="24.75" customHeight="1" x14ac:dyDescent="0.2">
      <c r="R256" s="264"/>
      <c r="S256" s="264"/>
    </row>
    <row r="257" spans="18:19" ht="24.75" customHeight="1" x14ac:dyDescent="0.2">
      <c r="R257" s="263"/>
      <c r="S257" s="264"/>
    </row>
    <row r="258" spans="18:19" ht="24.75" customHeight="1" x14ac:dyDescent="0.2">
      <c r="R258" s="264"/>
      <c r="S258" s="264"/>
    </row>
    <row r="259" spans="18:19" ht="24.75" customHeight="1" x14ac:dyDescent="0.2">
      <c r="R259" s="264"/>
      <c r="S259" s="264"/>
    </row>
    <row r="260" spans="18:19" ht="24.75" customHeight="1" x14ac:dyDescent="0.2">
      <c r="R260" s="264"/>
      <c r="S260" s="264"/>
    </row>
    <row r="261" spans="18:19" ht="24.75" customHeight="1" x14ac:dyDescent="0.2">
      <c r="R261" s="264"/>
      <c r="S261" s="264"/>
    </row>
    <row r="262" spans="18:19" ht="24.75" customHeight="1" x14ac:dyDescent="0.2">
      <c r="R262" s="263"/>
      <c r="S262" s="264"/>
    </row>
    <row r="263" spans="18:19" ht="24.75" customHeight="1" x14ac:dyDescent="0.2">
      <c r="R263" s="264"/>
      <c r="S263" s="264"/>
    </row>
    <row r="264" spans="18:19" ht="24.75" customHeight="1" x14ac:dyDescent="0.2">
      <c r="R264" s="264"/>
      <c r="S264" s="264"/>
    </row>
    <row r="265" spans="18:19" ht="24.75" customHeight="1" x14ac:dyDescent="0.2">
      <c r="R265" s="264"/>
      <c r="S265" s="264"/>
    </row>
    <row r="266" spans="18:19" ht="24.75" customHeight="1" x14ac:dyDescent="0.2">
      <c r="R266" s="264"/>
      <c r="S266" s="264"/>
    </row>
    <row r="267" spans="18:19" ht="24.75" customHeight="1" x14ac:dyDescent="0.2">
      <c r="R267" s="264"/>
      <c r="S267" s="264"/>
    </row>
    <row r="268" spans="18:19" ht="24.75" customHeight="1" x14ac:dyDescent="0.2">
      <c r="R268" s="264"/>
      <c r="S268" s="264"/>
    </row>
    <row r="269" spans="18:19" ht="24.75" customHeight="1" x14ac:dyDescent="0.2">
      <c r="R269" s="264"/>
      <c r="S269" s="264"/>
    </row>
    <row r="270" spans="18:19" ht="24.75" customHeight="1" x14ac:dyDescent="0.2">
      <c r="R270" s="264"/>
      <c r="S270" s="264"/>
    </row>
    <row r="271" spans="18:19" ht="24.75" customHeight="1" x14ac:dyDescent="0.2">
      <c r="R271" s="264"/>
      <c r="S271" s="264"/>
    </row>
    <row r="272" spans="18:19" ht="24.75" customHeight="1" x14ac:dyDescent="0.2">
      <c r="R272" s="264"/>
      <c r="S272" s="264"/>
    </row>
    <row r="273" spans="18:19" ht="24.75" customHeight="1" x14ac:dyDescent="0.2">
      <c r="R273" s="264"/>
      <c r="S273" s="264"/>
    </row>
    <row r="274" spans="18:19" ht="24.75" customHeight="1" x14ac:dyDescent="0.2">
      <c r="R274" s="264"/>
      <c r="S274" s="264"/>
    </row>
    <row r="275" spans="18:19" ht="24.75" customHeight="1" x14ac:dyDescent="0.2">
      <c r="R275" s="263"/>
      <c r="S275" s="264"/>
    </row>
    <row r="276" spans="18:19" ht="24.75" customHeight="1" x14ac:dyDescent="0.2">
      <c r="R276" s="264"/>
      <c r="S276" s="264"/>
    </row>
    <row r="277" spans="18:19" ht="24.75" customHeight="1" x14ac:dyDescent="0.2">
      <c r="R277" s="264"/>
      <c r="S277" s="264"/>
    </row>
    <row r="278" spans="18:19" ht="24.75" customHeight="1" x14ac:dyDescent="0.2">
      <c r="R278" s="264"/>
      <c r="S278" s="264"/>
    </row>
    <row r="279" spans="18:19" ht="24.75" customHeight="1" x14ac:dyDescent="0.2">
      <c r="R279" s="264"/>
      <c r="S279" s="264"/>
    </row>
    <row r="280" spans="18:19" ht="24.75" customHeight="1" x14ac:dyDescent="0.2">
      <c r="R280" s="264"/>
      <c r="S280" s="264"/>
    </row>
    <row r="281" spans="18:19" ht="24.75" customHeight="1" x14ac:dyDescent="0.2">
      <c r="R281" s="264"/>
      <c r="S281" s="264"/>
    </row>
    <row r="282" spans="18:19" ht="24.75" customHeight="1" x14ac:dyDescent="0.2">
      <c r="R282" s="264"/>
      <c r="S282" s="264"/>
    </row>
    <row r="283" spans="18:19" ht="24.75" customHeight="1" x14ac:dyDescent="0.2">
      <c r="R283" s="264"/>
      <c r="S283" s="264"/>
    </row>
    <row r="284" spans="18:19" ht="24.75" customHeight="1" x14ac:dyDescent="0.2">
      <c r="R284" s="264"/>
      <c r="S284" s="264"/>
    </row>
    <row r="285" spans="18:19" ht="24.75" customHeight="1" x14ac:dyDescent="0.2">
      <c r="R285" s="264"/>
      <c r="S285" s="264"/>
    </row>
    <row r="286" spans="18:19" ht="24.75" customHeight="1" x14ac:dyDescent="0.2">
      <c r="R286" s="263"/>
      <c r="S286" s="264"/>
    </row>
    <row r="287" spans="18:19" ht="24.75" customHeight="1" x14ac:dyDescent="0.2">
      <c r="R287" s="264"/>
      <c r="S287" s="264"/>
    </row>
    <row r="288" spans="18:19" ht="24.75" customHeight="1" x14ac:dyDescent="0.2">
      <c r="R288" s="264"/>
      <c r="S288" s="264"/>
    </row>
    <row r="289" spans="18:19" ht="24.75" customHeight="1" x14ac:dyDescent="0.2">
      <c r="R289" s="264"/>
      <c r="S289" s="264"/>
    </row>
    <row r="290" spans="18:19" ht="24.75" customHeight="1" x14ac:dyDescent="0.2">
      <c r="R290" s="264"/>
      <c r="S290" s="264"/>
    </row>
    <row r="291" spans="18:19" ht="24.75" customHeight="1" x14ac:dyDescent="0.2">
      <c r="R291" s="264"/>
      <c r="S291" s="264"/>
    </row>
    <row r="292" spans="18:19" ht="24.75" customHeight="1" x14ac:dyDescent="0.2">
      <c r="R292" s="264"/>
      <c r="S292" s="264"/>
    </row>
    <row r="293" spans="18:19" ht="24.75" customHeight="1" x14ac:dyDescent="0.2">
      <c r="R293" s="264"/>
      <c r="S293" s="264"/>
    </row>
    <row r="294" spans="18:19" ht="24.75" customHeight="1" x14ac:dyDescent="0.2">
      <c r="R294" s="264"/>
      <c r="S294" s="264"/>
    </row>
    <row r="295" spans="18:19" ht="24.75" customHeight="1" x14ac:dyDescent="0.2">
      <c r="R295" s="264"/>
      <c r="S295" s="264"/>
    </row>
    <row r="296" spans="18:19" ht="24.75" customHeight="1" x14ac:dyDescent="0.2">
      <c r="R296" s="264"/>
      <c r="S296" s="264"/>
    </row>
    <row r="297" spans="18:19" ht="24.75" customHeight="1" x14ac:dyDescent="0.2">
      <c r="R297" s="264"/>
      <c r="S297" s="264"/>
    </row>
    <row r="298" spans="18:19" ht="24.75" customHeight="1" x14ac:dyDescent="0.2">
      <c r="R298" s="264"/>
      <c r="S298" s="264"/>
    </row>
    <row r="299" spans="18:19" ht="24.75" customHeight="1" x14ac:dyDescent="0.2">
      <c r="R299" s="264"/>
      <c r="S299" s="264"/>
    </row>
    <row r="300" spans="18:19" ht="24.75" customHeight="1" x14ac:dyDescent="0.2">
      <c r="R300" s="264"/>
      <c r="S300" s="264"/>
    </row>
    <row r="301" spans="18:19" ht="24.75" customHeight="1" x14ac:dyDescent="0.2">
      <c r="R301" s="264"/>
      <c r="S301" s="264"/>
    </row>
    <row r="302" spans="18:19" ht="24.75" customHeight="1" x14ac:dyDescent="0.2">
      <c r="R302" s="264"/>
      <c r="S302" s="264"/>
    </row>
    <row r="303" spans="18:19" ht="24.75" customHeight="1" x14ac:dyDescent="0.2">
      <c r="R303" s="264"/>
      <c r="S303" s="264"/>
    </row>
    <row r="304" spans="18:19" ht="24.75" customHeight="1" x14ac:dyDescent="0.2">
      <c r="R304" s="264"/>
      <c r="S304" s="264"/>
    </row>
    <row r="305" spans="18:19" ht="24.75" customHeight="1" x14ac:dyDescent="0.2">
      <c r="R305" s="264"/>
      <c r="S305" s="264"/>
    </row>
    <row r="306" spans="18:19" ht="24.75" customHeight="1" x14ac:dyDescent="0.2">
      <c r="R306" s="264"/>
      <c r="S306" s="264"/>
    </row>
    <row r="307" spans="18:19" ht="24.75" customHeight="1" x14ac:dyDescent="0.2">
      <c r="R307" s="263"/>
      <c r="S307" s="264"/>
    </row>
    <row r="308" spans="18:19" ht="24.75" customHeight="1" x14ac:dyDescent="0.2">
      <c r="R308" s="264"/>
      <c r="S308" s="264"/>
    </row>
    <row r="309" spans="18:19" ht="24.75" customHeight="1" x14ac:dyDescent="0.2">
      <c r="R309" s="264"/>
      <c r="S309" s="264"/>
    </row>
    <row r="310" spans="18:19" ht="24.75" customHeight="1" x14ac:dyDescent="0.2">
      <c r="R310" s="264"/>
      <c r="S310" s="264"/>
    </row>
    <row r="311" spans="18:19" ht="24.75" customHeight="1" x14ac:dyDescent="0.2">
      <c r="R311" s="264"/>
      <c r="S311" s="264"/>
    </row>
    <row r="312" spans="18:19" ht="24.75" customHeight="1" x14ac:dyDescent="0.2">
      <c r="R312" s="264"/>
      <c r="S312" s="264"/>
    </row>
    <row r="313" spans="18:19" ht="24.75" customHeight="1" x14ac:dyDescent="0.2">
      <c r="R313" s="263"/>
      <c r="S313" s="264"/>
    </row>
    <row r="314" spans="18:19" ht="24.75" customHeight="1" x14ac:dyDescent="0.2">
      <c r="R314" s="264"/>
      <c r="S314" s="264"/>
    </row>
    <row r="315" spans="18:19" ht="24.75" customHeight="1" x14ac:dyDescent="0.2">
      <c r="R315" s="264"/>
      <c r="S315" s="264"/>
    </row>
    <row r="316" spans="18:19" ht="24.75" customHeight="1" x14ac:dyDescent="0.2">
      <c r="R316" s="264"/>
      <c r="S316" s="264"/>
    </row>
    <row r="317" spans="18:19" ht="24.75" customHeight="1" x14ac:dyDescent="0.2">
      <c r="R317" s="264"/>
      <c r="S317" s="264"/>
    </row>
    <row r="318" spans="18:19" ht="24.75" customHeight="1" x14ac:dyDescent="0.2">
      <c r="R318" s="264"/>
      <c r="S318" s="264"/>
    </row>
    <row r="319" spans="18:19" ht="24.75" customHeight="1" x14ac:dyDescent="0.2">
      <c r="R319" s="264"/>
      <c r="S319" s="264"/>
    </row>
    <row r="320" spans="18:19" ht="24.75" customHeight="1" x14ac:dyDescent="0.2">
      <c r="R320" s="264"/>
      <c r="S320" s="264"/>
    </row>
    <row r="321" spans="18:19" ht="24.75" customHeight="1" x14ac:dyDescent="0.2">
      <c r="R321" s="264"/>
      <c r="S321" s="264"/>
    </row>
    <row r="322" spans="18:19" ht="24.75" customHeight="1" x14ac:dyDescent="0.2">
      <c r="R322" s="264"/>
      <c r="S322" s="264"/>
    </row>
    <row r="323" spans="18:19" ht="24.75" customHeight="1" x14ac:dyDescent="0.2">
      <c r="R323" s="264"/>
      <c r="S323" s="264"/>
    </row>
    <row r="324" spans="18:19" ht="24.75" customHeight="1" x14ac:dyDescent="0.2">
      <c r="R324" s="264"/>
      <c r="S324" s="264"/>
    </row>
    <row r="325" spans="18:19" ht="24.75" customHeight="1" x14ac:dyDescent="0.2">
      <c r="R325" s="264"/>
      <c r="S325" s="264"/>
    </row>
    <row r="326" spans="18:19" ht="24.75" customHeight="1" x14ac:dyDescent="0.2">
      <c r="R326" s="264"/>
      <c r="S326" s="264"/>
    </row>
    <row r="327" spans="18:19" ht="24.75" customHeight="1" x14ac:dyDescent="0.2">
      <c r="R327" s="264"/>
      <c r="S327" s="264"/>
    </row>
    <row r="328" spans="18:19" ht="24.75" customHeight="1" x14ac:dyDescent="0.2">
      <c r="R328" s="264"/>
      <c r="S328" s="264"/>
    </row>
    <row r="329" spans="18:19" ht="24.75" customHeight="1" x14ac:dyDescent="0.2">
      <c r="R329" s="264"/>
      <c r="S329" s="264"/>
    </row>
    <row r="330" spans="18:19" ht="24.75" customHeight="1" x14ac:dyDescent="0.2">
      <c r="R330" s="264"/>
      <c r="S330" s="264"/>
    </row>
    <row r="331" spans="18:19" ht="24.75" customHeight="1" x14ac:dyDescent="0.2">
      <c r="R331" s="264"/>
      <c r="S331" s="264"/>
    </row>
    <row r="332" spans="18:19" ht="24.75" customHeight="1" x14ac:dyDescent="0.2">
      <c r="R332" s="264"/>
      <c r="S332" s="264"/>
    </row>
    <row r="333" spans="18:19" ht="24.75" customHeight="1" x14ac:dyDescent="0.2">
      <c r="R333" s="264"/>
      <c r="S333" s="264"/>
    </row>
    <row r="334" spans="18:19" ht="24.75" customHeight="1" x14ac:dyDescent="0.2">
      <c r="R334" s="264"/>
      <c r="S334" s="264"/>
    </row>
    <row r="335" spans="18:19" ht="24.75" customHeight="1" x14ac:dyDescent="0.2">
      <c r="R335" s="264"/>
      <c r="S335" s="264"/>
    </row>
    <row r="336" spans="18:19" ht="24.75" customHeight="1" x14ac:dyDescent="0.2">
      <c r="R336" s="264"/>
      <c r="S336" s="264"/>
    </row>
    <row r="337" spans="18:19" ht="24.75" customHeight="1" x14ac:dyDescent="0.2">
      <c r="R337" s="264"/>
      <c r="S337" s="264"/>
    </row>
    <row r="338" spans="18:19" ht="24.75" customHeight="1" x14ac:dyDescent="0.2">
      <c r="R338" s="264"/>
      <c r="S338" s="264"/>
    </row>
    <row r="339" spans="18:19" ht="24.75" customHeight="1" x14ac:dyDescent="0.2">
      <c r="R339" s="264"/>
      <c r="S339" s="264"/>
    </row>
    <row r="340" spans="18:19" ht="24.75" customHeight="1" x14ac:dyDescent="0.2">
      <c r="R340" s="264"/>
      <c r="S340" s="264"/>
    </row>
    <row r="341" spans="18:19" ht="24.75" customHeight="1" x14ac:dyDescent="0.2">
      <c r="R341" s="264"/>
      <c r="S341" s="264"/>
    </row>
    <row r="342" spans="18:19" ht="24.75" customHeight="1" x14ac:dyDescent="0.2">
      <c r="R342" s="264"/>
      <c r="S342" s="264"/>
    </row>
    <row r="343" spans="18:19" ht="24.75" customHeight="1" x14ac:dyDescent="0.2">
      <c r="R343" s="264"/>
      <c r="S343" s="264"/>
    </row>
    <row r="344" spans="18:19" ht="24.75" customHeight="1" x14ac:dyDescent="0.2">
      <c r="R344" s="264"/>
      <c r="S344" s="264"/>
    </row>
    <row r="345" spans="18:19" ht="24.75" customHeight="1" x14ac:dyDescent="0.2">
      <c r="R345" s="264"/>
      <c r="S345" s="264"/>
    </row>
    <row r="346" spans="18:19" ht="24.75" customHeight="1" x14ac:dyDescent="0.2">
      <c r="R346" s="264"/>
      <c r="S346" s="264"/>
    </row>
    <row r="347" spans="18:19" ht="24.75" customHeight="1" x14ac:dyDescent="0.2">
      <c r="R347" s="264"/>
      <c r="S347" s="264"/>
    </row>
    <row r="348" spans="18:19" ht="24.75" customHeight="1" x14ac:dyDescent="0.2">
      <c r="R348" s="264"/>
      <c r="S348" s="264"/>
    </row>
    <row r="349" spans="18:19" ht="24.75" customHeight="1" x14ac:dyDescent="0.2">
      <c r="R349" s="264"/>
      <c r="S349" s="264"/>
    </row>
    <row r="350" spans="18:19" ht="24.75" customHeight="1" x14ac:dyDescent="0.2">
      <c r="R350" s="264"/>
      <c r="S350" s="264"/>
    </row>
    <row r="351" spans="18:19" ht="24.75" customHeight="1" x14ac:dyDescent="0.2">
      <c r="R351" s="264"/>
      <c r="S351" s="264"/>
    </row>
    <row r="352" spans="18:19" ht="24.75" customHeight="1" x14ac:dyDescent="0.2">
      <c r="R352" s="264"/>
      <c r="S352" s="264"/>
    </row>
    <row r="353" spans="18:19" ht="24.75" customHeight="1" x14ac:dyDescent="0.2">
      <c r="R353" s="264"/>
      <c r="S353" s="264"/>
    </row>
    <row r="354" spans="18:19" ht="24.75" customHeight="1" x14ac:dyDescent="0.2">
      <c r="R354" s="264"/>
      <c r="S354" s="264"/>
    </row>
    <row r="355" spans="18:19" ht="24.75" customHeight="1" x14ac:dyDescent="0.2">
      <c r="R355" s="264"/>
      <c r="S355" s="264"/>
    </row>
    <row r="356" spans="18:19" ht="24.75" customHeight="1" x14ac:dyDescent="0.2">
      <c r="R356" s="264"/>
      <c r="S356" s="264"/>
    </row>
    <row r="357" spans="18:19" ht="24.75" customHeight="1" x14ac:dyDescent="0.2">
      <c r="R357" s="264"/>
      <c r="S357" s="264"/>
    </row>
    <row r="358" spans="18:19" ht="24.75" customHeight="1" x14ac:dyDescent="0.2">
      <c r="R358" s="264"/>
      <c r="S358" s="264"/>
    </row>
    <row r="359" spans="18:19" ht="24.75" customHeight="1" x14ac:dyDescent="0.2">
      <c r="R359" s="264"/>
      <c r="S359" s="264"/>
    </row>
    <row r="360" spans="18:19" ht="24.75" customHeight="1" x14ac:dyDescent="0.2">
      <c r="R360" s="264"/>
      <c r="S360" s="264"/>
    </row>
    <row r="361" spans="18:19" ht="24.75" customHeight="1" x14ac:dyDescent="0.2">
      <c r="R361" s="264"/>
      <c r="S361" s="264"/>
    </row>
    <row r="362" spans="18:19" ht="24.75" customHeight="1" x14ac:dyDescent="0.2">
      <c r="R362" s="264"/>
      <c r="S362" s="264"/>
    </row>
    <row r="363" spans="18:19" ht="24.75" customHeight="1" x14ac:dyDescent="0.2">
      <c r="R363" s="264"/>
      <c r="S363" s="264"/>
    </row>
    <row r="364" spans="18:19" ht="24.75" customHeight="1" x14ac:dyDescent="0.2">
      <c r="R364" s="264"/>
      <c r="S364" s="264"/>
    </row>
    <row r="365" spans="18:19" ht="24.75" customHeight="1" x14ac:dyDescent="0.2">
      <c r="R365" s="264"/>
      <c r="S365" s="264"/>
    </row>
    <row r="366" spans="18:19" ht="24.75" customHeight="1" x14ac:dyDescent="0.2">
      <c r="R366" s="264"/>
      <c r="S366" s="264"/>
    </row>
    <row r="367" spans="18:19" ht="24.75" customHeight="1" x14ac:dyDescent="0.2">
      <c r="R367" s="264"/>
      <c r="S367" s="264"/>
    </row>
    <row r="368" spans="18:19" ht="24.75" customHeight="1" x14ac:dyDescent="0.2">
      <c r="R368" s="263"/>
      <c r="S368" s="264"/>
    </row>
    <row r="369" spans="18:19" ht="24.75" customHeight="1" x14ac:dyDescent="0.2">
      <c r="R369" s="264"/>
      <c r="S369" s="264"/>
    </row>
    <row r="370" spans="18:19" ht="24.75" customHeight="1" x14ac:dyDescent="0.2">
      <c r="R370" s="264"/>
      <c r="S370" s="264"/>
    </row>
    <row r="371" spans="18:19" ht="24.75" customHeight="1" x14ac:dyDescent="0.2">
      <c r="R371" s="264"/>
      <c r="S371" s="264"/>
    </row>
    <row r="372" spans="18:19" ht="24.75" customHeight="1" x14ac:dyDescent="0.2">
      <c r="R372" s="264"/>
      <c r="S372" s="264"/>
    </row>
    <row r="373" spans="18:19" ht="24.75" customHeight="1" x14ac:dyDescent="0.2">
      <c r="R373" s="264"/>
      <c r="S373" s="264"/>
    </row>
    <row r="374" spans="18:19" ht="24.75" customHeight="1" x14ac:dyDescent="0.2">
      <c r="R374" s="264"/>
      <c r="S374" s="264"/>
    </row>
    <row r="375" spans="18:19" ht="24.75" customHeight="1" x14ac:dyDescent="0.2">
      <c r="R375" s="264"/>
      <c r="S375" s="264"/>
    </row>
    <row r="376" spans="18:19" ht="24.75" customHeight="1" x14ac:dyDescent="0.2">
      <c r="R376" s="264"/>
      <c r="S376" s="266"/>
    </row>
    <row r="377" spans="18:19" ht="24.75" customHeight="1" x14ac:dyDescent="0.2">
      <c r="R377" s="264"/>
      <c r="S377" s="264"/>
    </row>
    <row r="378" spans="18:19" ht="24.75" customHeight="1" x14ac:dyDescent="0.2">
      <c r="R378" s="264"/>
      <c r="S378" s="264"/>
    </row>
    <row r="379" spans="18:19" ht="24.75" customHeight="1" x14ac:dyDescent="0.2">
      <c r="R379" s="264"/>
      <c r="S379" s="264"/>
    </row>
    <row r="380" spans="18:19" ht="24.75" customHeight="1" x14ac:dyDescent="0.2">
      <c r="R380" s="264"/>
      <c r="S380" s="264"/>
    </row>
    <row r="381" spans="18:19" ht="24.75" customHeight="1" x14ac:dyDescent="0.2">
      <c r="R381" s="264"/>
      <c r="S381" s="264"/>
    </row>
    <row r="382" spans="18:19" ht="24.75" customHeight="1" x14ac:dyDescent="0.2">
      <c r="R382" s="264"/>
      <c r="S382" s="264"/>
    </row>
    <row r="383" spans="18:19" ht="24.75" customHeight="1" x14ac:dyDescent="0.2">
      <c r="R383" s="264"/>
      <c r="S383" s="264"/>
    </row>
    <row r="384" spans="18:19" ht="24.75" customHeight="1" x14ac:dyDescent="0.2">
      <c r="R384" s="264"/>
      <c r="S384" s="264"/>
    </row>
    <row r="385" spans="18:19" ht="24.75" customHeight="1" x14ac:dyDescent="0.2">
      <c r="R385" s="264"/>
      <c r="S385" s="264"/>
    </row>
    <row r="386" spans="18:19" ht="24.75" customHeight="1" x14ac:dyDescent="0.2">
      <c r="R386" s="264"/>
      <c r="S386" s="264"/>
    </row>
    <row r="387" spans="18:19" ht="24.75" customHeight="1" x14ac:dyDescent="0.2">
      <c r="R387" s="264"/>
      <c r="S387" s="264"/>
    </row>
    <row r="388" spans="18:19" ht="24.75" customHeight="1" x14ac:dyDescent="0.2">
      <c r="R388" s="264"/>
      <c r="S388" s="264"/>
    </row>
    <row r="389" spans="18:19" ht="24.75" customHeight="1" x14ac:dyDescent="0.2">
      <c r="R389" s="264"/>
      <c r="S389" s="264"/>
    </row>
    <row r="390" spans="18:19" ht="24.75" customHeight="1" x14ac:dyDescent="0.2">
      <c r="R390" s="264"/>
      <c r="S390" s="264"/>
    </row>
    <row r="391" spans="18:19" ht="24.75" customHeight="1" x14ac:dyDescent="0.2">
      <c r="R391" s="264"/>
      <c r="S391" s="264"/>
    </row>
    <row r="392" spans="18:19" ht="24.75" customHeight="1" x14ac:dyDescent="0.2">
      <c r="R392" s="264"/>
      <c r="S392" s="264"/>
    </row>
    <row r="393" spans="18:19" ht="24.75" customHeight="1" x14ac:dyDescent="0.2">
      <c r="R393" s="264"/>
      <c r="S393" s="264"/>
    </row>
    <row r="394" spans="18:19" ht="24.75" customHeight="1" x14ac:dyDescent="0.2">
      <c r="R394" s="264"/>
      <c r="S394" s="264"/>
    </row>
    <row r="395" spans="18:19" ht="24.75" customHeight="1" x14ac:dyDescent="0.2">
      <c r="R395" s="264"/>
      <c r="S395" s="264"/>
    </row>
    <row r="396" spans="18:19" ht="24.75" customHeight="1" x14ac:dyDescent="0.2">
      <c r="R396" s="264"/>
      <c r="S396" s="264"/>
    </row>
    <row r="397" spans="18:19" ht="24.75" customHeight="1" x14ac:dyDescent="0.2">
      <c r="R397" s="264"/>
      <c r="S397" s="264"/>
    </row>
    <row r="398" spans="18:19" ht="24.75" customHeight="1" x14ac:dyDescent="0.2">
      <c r="R398" s="264"/>
      <c r="S398" s="264"/>
    </row>
    <row r="399" spans="18:19" ht="24.75" customHeight="1" x14ac:dyDescent="0.2">
      <c r="R399" s="263"/>
      <c r="S399" s="264"/>
    </row>
    <row r="400" spans="18:19" ht="24.75" customHeight="1" x14ac:dyDescent="0.2">
      <c r="R400" s="264"/>
      <c r="S400" s="264"/>
    </row>
    <row r="401" spans="18:19" ht="24.75" customHeight="1" x14ac:dyDescent="0.2">
      <c r="R401" s="264"/>
      <c r="S401" s="264"/>
    </row>
    <row r="402" spans="18:19" ht="24.75" customHeight="1" x14ac:dyDescent="0.2">
      <c r="R402" s="264"/>
      <c r="S402" s="264"/>
    </row>
    <row r="403" spans="18:19" ht="24.75" customHeight="1" x14ac:dyDescent="0.2">
      <c r="R403" s="264"/>
      <c r="S403" s="264"/>
    </row>
    <row r="404" spans="18:19" ht="24.75" customHeight="1" x14ac:dyDescent="0.2">
      <c r="R404" s="264"/>
      <c r="S404" s="264"/>
    </row>
    <row r="405" spans="18:19" ht="24.75" customHeight="1" x14ac:dyDescent="0.2">
      <c r="R405" s="264"/>
      <c r="S405" s="264"/>
    </row>
    <row r="406" spans="18:19" ht="24.75" customHeight="1" x14ac:dyDescent="0.2">
      <c r="R406" s="264"/>
      <c r="S406" s="264"/>
    </row>
    <row r="407" spans="18:19" ht="24.75" customHeight="1" x14ac:dyDescent="0.2">
      <c r="R407" s="264"/>
      <c r="S407" s="264"/>
    </row>
    <row r="408" spans="18:19" ht="24.75" customHeight="1" x14ac:dyDescent="0.2">
      <c r="R408" s="264"/>
      <c r="S408" s="264"/>
    </row>
    <row r="409" spans="18:19" ht="24.75" customHeight="1" x14ac:dyDescent="0.2">
      <c r="R409" s="264"/>
      <c r="S409" s="264"/>
    </row>
    <row r="410" spans="18:19" ht="24.75" customHeight="1" x14ac:dyDescent="0.2">
      <c r="R410" s="264"/>
      <c r="S410" s="264"/>
    </row>
    <row r="411" spans="18:19" ht="24.75" customHeight="1" x14ac:dyDescent="0.2">
      <c r="R411" s="264"/>
      <c r="S411" s="264"/>
    </row>
    <row r="412" spans="18:19" ht="24.75" customHeight="1" x14ac:dyDescent="0.2">
      <c r="R412" s="264"/>
      <c r="S412" s="264"/>
    </row>
    <row r="413" spans="18:19" ht="24.75" customHeight="1" x14ac:dyDescent="0.2">
      <c r="R413" s="264"/>
      <c r="S413" s="264"/>
    </row>
    <row r="414" spans="18:19" ht="24.75" customHeight="1" x14ac:dyDescent="0.2">
      <c r="R414" s="264"/>
      <c r="S414" s="264"/>
    </row>
    <row r="415" spans="18:19" ht="24.75" customHeight="1" x14ac:dyDescent="0.2">
      <c r="R415" s="264"/>
      <c r="S415" s="264"/>
    </row>
    <row r="416" spans="18:19" ht="24.75" customHeight="1" x14ac:dyDescent="0.2">
      <c r="R416" s="264"/>
      <c r="S416" s="264"/>
    </row>
    <row r="417" spans="18:19" ht="24.75" customHeight="1" x14ac:dyDescent="0.2">
      <c r="R417" s="263"/>
      <c r="S417" s="264"/>
    </row>
    <row r="418" spans="18:19" ht="24.75" customHeight="1" x14ac:dyDescent="0.2">
      <c r="R418" s="264"/>
      <c r="S418" s="264"/>
    </row>
    <row r="419" spans="18:19" ht="24.75" customHeight="1" x14ac:dyDescent="0.2">
      <c r="R419" s="264"/>
      <c r="S419" s="264"/>
    </row>
    <row r="420" spans="18:19" ht="24.75" customHeight="1" x14ac:dyDescent="0.2">
      <c r="R420" s="263"/>
      <c r="S420" s="264"/>
    </row>
    <row r="421" spans="18:19" ht="24.75" customHeight="1" x14ac:dyDescent="0.2">
      <c r="R421" s="264"/>
      <c r="S421" s="264"/>
    </row>
    <row r="422" spans="18:19" ht="24.75" customHeight="1" x14ac:dyDescent="0.2">
      <c r="R422" s="263"/>
      <c r="S422" s="264"/>
    </row>
    <row r="423" spans="18:19" ht="24.75" customHeight="1" x14ac:dyDescent="0.2">
      <c r="R423" s="264"/>
      <c r="S423" s="263"/>
    </row>
    <row r="424" spans="18:19" ht="24.75" customHeight="1" x14ac:dyDescent="0.2">
      <c r="R424" s="263"/>
      <c r="S424" s="263"/>
    </row>
    <row r="425" spans="18:19" ht="24.75" customHeight="1" x14ac:dyDescent="0.2">
      <c r="R425" s="263"/>
      <c r="S425" s="264"/>
    </row>
    <row r="426" spans="18:19" ht="24.75" customHeight="1" x14ac:dyDescent="0.2">
      <c r="R426" s="264"/>
      <c r="S426" s="263"/>
    </row>
    <row r="427" spans="18:19" ht="24.75" customHeight="1" x14ac:dyDescent="0.2">
      <c r="R427" s="264"/>
      <c r="S427" s="264"/>
    </row>
    <row r="428" spans="18:19" ht="24.75" customHeight="1" x14ac:dyDescent="0.2">
      <c r="R428" s="263"/>
      <c r="S428" s="264"/>
    </row>
    <row r="429" spans="18:19" ht="24.75" customHeight="1" x14ac:dyDescent="0.2">
      <c r="R429" s="263"/>
      <c r="S429" s="264"/>
    </row>
    <row r="430" spans="18:19" ht="24.75" customHeight="1" x14ac:dyDescent="0.2">
      <c r="R430" s="264"/>
      <c r="S430" s="264"/>
    </row>
    <row r="431" spans="18:19" ht="24.75" customHeight="1" x14ac:dyDescent="0.2">
      <c r="R431" s="264"/>
      <c r="S431" s="264"/>
    </row>
    <row r="432" spans="18:19" ht="24.75" customHeight="1" x14ac:dyDescent="0.2">
      <c r="R432" s="263"/>
      <c r="S432" s="263"/>
    </row>
    <row r="433" spans="18:19" ht="24.75" customHeight="1" x14ac:dyDescent="0.2">
      <c r="R433" s="263"/>
      <c r="S433" s="264"/>
    </row>
    <row r="434" spans="18:19" ht="24.75" customHeight="1" x14ac:dyDescent="0.2">
      <c r="R434" s="263"/>
      <c r="S434" s="263"/>
    </row>
    <row r="435" spans="18:19" ht="24.75" customHeight="1" x14ac:dyDescent="0.2">
      <c r="R435" s="263"/>
      <c r="S435" s="263"/>
    </row>
    <row r="436" spans="18:19" ht="24.75" customHeight="1" x14ac:dyDescent="0.2">
      <c r="R436" s="263"/>
      <c r="S436" s="263"/>
    </row>
    <row r="437" spans="18:19" ht="24.75" customHeight="1" x14ac:dyDescent="0.2">
      <c r="R437" s="263"/>
      <c r="S437" s="263"/>
    </row>
    <row r="438" spans="18:19" ht="24.75" customHeight="1" x14ac:dyDescent="0.2">
      <c r="R438" s="264"/>
      <c r="S438" s="264"/>
    </row>
    <row r="439" spans="18:19" ht="24.75" customHeight="1" x14ac:dyDescent="0.2">
      <c r="R439" s="264"/>
      <c r="S439" s="264"/>
    </row>
    <row r="440" spans="18:19" ht="24.75" customHeight="1" x14ac:dyDescent="0.2">
      <c r="R440" s="263"/>
      <c r="S440" s="263"/>
    </row>
    <row r="441" spans="18:19" ht="24.75" customHeight="1" x14ac:dyDescent="0.2">
      <c r="R441" s="264"/>
      <c r="S441" s="264"/>
    </row>
    <row r="442" spans="18:19" ht="24.75" customHeight="1" x14ac:dyDescent="0.2">
      <c r="R442" s="264"/>
      <c r="S442" s="264"/>
    </row>
    <row r="443" spans="18:19" ht="24.75" customHeight="1" x14ac:dyDescent="0.2">
      <c r="R443" s="263"/>
      <c r="S443" s="263"/>
    </row>
    <row r="444" spans="18:19" ht="24.75" customHeight="1" x14ac:dyDescent="0.2">
      <c r="R444" s="263"/>
      <c r="S444" s="263"/>
    </row>
    <row r="445" spans="18:19" ht="24.75" customHeight="1" x14ac:dyDescent="0.2">
      <c r="R445" s="263"/>
      <c r="S445" s="263"/>
    </row>
    <row r="446" spans="18:19" ht="24.75" customHeight="1" x14ac:dyDescent="0.2">
      <c r="R446" s="264"/>
      <c r="S446" s="264"/>
    </row>
    <row r="447" spans="18:19" ht="24.75" customHeight="1" x14ac:dyDescent="0.2">
      <c r="R447" s="264"/>
      <c r="S447" s="264"/>
    </row>
    <row r="448" spans="18:19" ht="24.75" customHeight="1" x14ac:dyDescent="0.2">
      <c r="R448" s="264"/>
      <c r="S448" s="264"/>
    </row>
    <row r="449" spans="18:19" ht="24.75" customHeight="1" x14ac:dyDescent="0.2">
      <c r="R449" s="264"/>
      <c r="S449" s="264"/>
    </row>
    <row r="450" spans="18:19" ht="24.75" customHeight="1" x14ac:dyDescent="0.2">
      <c r="R450" s="264"/>
      <c r="S450" s="264"/>
    </row>
    <row r="451" spans="18:19" ht="24.75" customHeight="1" x14ac:dyDescent="0.2">
      <c r="R451" s="264"/>
      <c r="S451" s="264"/>
    </row>
    <row r="452" spans="18:19" ht="24.75" customHeight="1" x14ac:dyDescent="0.2">
      <c r="R452" s="264"/>
      <c r="S452" s="264"/>
    </row>
    <row r="453" spans="18:19" ht="24.75" customHeight="1" x14ac:dyDescent="0.2">
      <c r="R453" s="264"/>
      <c r="S453" s="264"/>
    </row>
    <row r="454" spans="18:19" ht="24.75" customHeight="1" x14ac:dyDescent="0.2">
      <c r="R454" s="263"/>
      <c r="S454" s="263"/>
    </row>
    <row r="455" spans="18:19" ht="24.75" customHeight="1" x14ac:dyDescent="0.2">
      <c r="R455" s="264"/>
      <c r="S455" s="264"/>
    </row>
    <row r="456" spans="18:19" ht="24.75" customHeight="1" x14ac:dyDescent="0.2">
      <c r="R456" s="263"/>
      <c r="S456" s="263"/>
    </row>
    <row r="457" spans="18:19" ht="24.75" customHeight="1" x14ac:dyDescent="0.2">
      <c r="R457" s="264"/>
      <c r="S457" s="264"/>
    </row>
    <row r="458" spans="18:19" ht="24.75" customHeight="1" x14ac:dyDescent="0.2">
      <c r="R458" s="264"/>
      <c r="S458" s="264"/>
    </row>
    <row r="459" spans="18:19" ht="24.75" customHeight="1" x14ac:dyDescent="0.2">
      <c r="R459" s="264"/>
      <c r="S459" s="264"/>
    </row>
    <row r="460" spans="18:19" ht="24.75" customHeight="1" x14ac:dyDescent="0.2">
      <c r="R460" s="264"/>
      <c r="S460" s="264"/>
    </row>
    <row r="461" spans="18:19" ht="24.75" customHeight="1" x14ac:dyDescent="0.2">
      <c r="R461" s="264"/>
      <c r="S461" s="264"/>
    </row>
    <row r="462" spans="18:19" ht="24.75" customHeight="1" x14ac:dyDescent="0.2">
      <c r="R462" s="264"/>
      <c r="S462" s="264"/>
    </row>
    <row r="463" spans="18:19" ht="24.75" customHeight="1" x14ac:dyDescent="0.2">
      <c r="R463" s="264"/>
      <c r="S463" s="264"/>
    </row>
    <row r="464" spans="18:19" ht="24.75" customHeight="1" x14ac:dyDescent="0.2">
      <c r="R464" s="264"/>
      <c r="S464" s="264"/>
    </row>
    <row r="465" spans="18:19" ht="24.75" customHeight="1" x14ac:dyDescent="0.2">
      <c r="R465" s="264"/>
      <c r="S465" s="264"/>
    </row>
    <row r="466" spans="18:19" ht="24.75" customHeight="1" x14ac:dyDescent="0.2">
      <c r="R466" s="264"/>
      <c r="S466" s="264"/>
    </row>
    <row r="467" spans="18:19" ht="24.75" customHeight="1" x14ac:dyDescent="0.2">
      <c r="R467" s="264"/>
      <c r="S467" s="264"/>
    </row>
    <row r="468" spans="18:19" ht="24.75" customHeight="1" x14ac:dyDescent="0.2">
      <c r="R468" s="264"/>
      <c r="S468" s="264"/>
    </row>
    <row r="469" spans="18:19" ht="24.75" customHeight="1" x14ac:dyDescent="0.2">
      <c r="R469" s="264"/>
      <c r="S469" s="264"/>
    </row>
    <row r="470" spans="18:19" ht="24.75" customHeight="1" x14ac:dyDescent="0.2">
      <c r="R470" s="264"/>
      <c r="S470" s="264"/>
    </row>
    <row r="471" spans="18:19" ht="24.75" customHeight="1" x14ac:dyDescent="0.2">
      <c r="R471" s="264"/>
      <c r="S471" s="264"/>
    </row>
    <row r="472" spans="18:19" ht="24.75" customHeight="1" x14ac:dyDescent="0.2">
      <c r="R472" s="264"/>
      <c r="S472" s="264"/>
    </row>
    <row r="473" spans="18:19" ht="24.75" customHeight="1" x14ac:dyDescent="0.2">
      <c r="R473" s="264"/>
      <c r="S473" s="264"/>
    </row>
    <row r="474" spans="18:19" ht="24.75" customHeight="1" x14ac:dyDescent="0.2">
      <c r="R474" s="264"/>
      <c r="S474" s="264"/>
    </row>
    <row r="475" spans="18:19" ht="24.75" customHeight="1" x14ac:dyDescent="0.2">
      <c r="R475" s="264"/>
      <c r="S475" s="264"/>
    </row>
    <row r="476" spans="18:19" ht="24.75" customHeight="1" x14ac:dyDescent="0.2">
      <c r="R476" s="264"/>
      <c r="S476" s="264"/>
    </row>
    <row r="477" spans="18:19" ht="24.75" customHeight="1" x14ac:dyDescent="0.2">
      <c r="R477" s="264"/>
      <c r="S477" s="264"/>
    </row>
    <row r="478" spans="18:19" ht="24.75" customHeight="1" x14ac:dyDescent="0.2">
      <c r="R478" s="264"/>
      <c r="S478" s="264"/>
    </row>
    <row r="479" spans="18:19" ht="24.75" customHeight="1" x14ac:dyDescent="0.2">
      <c r="R479" s="264"/>
      <c r="S479" s="264"/>
    </row>
    <row r="480" spans="18:19" ht="24.75" customHeight="1" x14ac:dyDescent="0.2">
      <c r="R480" s="264"/>
      <c r="S480" s="264"/>
    </row>
    <row r="481" spans="18:19" ht="24.75" customHeight="1" x14ac:dyDescent="0.2">
      <c r="R481" s="264"/>
      <c r="S481" s="264"/>
    </row>
    <row r="482" spans="18:19" ht="24.75" customHeight="1" x14ac:dyDescent="0.2">
      <c r="R482" s="264"/>
      <c r="S482" s="263"/>
    </row>
    <row r="483" spans="18:19" ht="24.75" customHeight="1" x14ac:dyDescent="0.2">
      <c r="R483" s="263"/>
      <c r="S483" s="263"/>
    </row>
    <row r="484" spans="18:19" ht="24.75" customHeight="1" x14ac:dyDescent="0.2">
      <c r="R484" s="263"/>
      <c r="S484" s="264"/>
    </row>
    <row r="485" spans="18:19" ht="24.75" customHeight="1" x14ac:dyDescent="0.2">
      <c r="R485" s="263"/>
      <c r="S485" s="263"/>
    </row>
    <row r="486" spans="18:19" ht="24.75" customHeight="1" x14ac:dyDescent="0.2">
      <c r="R486" s="264"/>
      <c r="S486" s="264"/>
    </row>
    <row r="487" spans="18:19" ht="24.75" customHeight="1" x14ac:dyDescent="0.2">
      <c r="R487" s="264"/>
      <c r="S487" s="263"/>
    </row>
    <row r="488" spans="18:19" ht="24.75" customHeight="1" x14ac:dyDescent="0.2">
      <c r="R488" s="264"/>
      <c r="S488" s="264"/>
    </row>
    <row r="489" spans="18:19" ht="24.75" customHeight="1" x14ac:dyDescent="0.2">
      <c r="R489" s="264"/>
      <c r="S489" s="264"/>
    </row>
    <row r="490" spans="18:19" ht="24.75" customHeight="1" x14ac:dyDescent="0.2">
      <c r="R490" s="263"/>
      <c r="S490" s="263"/>
    </row>
    <row r="491" spans="18:19" ht="24.75" customHeight="1" x14ac:dyDescent="0.2">
      <c r="R491" s="263"/>
      <c r="S491" s="263"/>
    </row>
    <row r="492" spans="18:19" ht="24.75" customHeight="1" x14ac:dyDescent="0.2">
      <c r="R492" s="263"/>
      <c r="S492" s="263"/>
    </row>
    <row r="493" spans="18:19" ht="24.75" customHeight="1" x14ac:dyDescent="0.2">
      <c r="R493" s="264"/>
      <c r="S493" s="263"/>
    </row>
    <row r="494" spans="18:19" ht="24.75" customHeight="1" x14ac:dyDescent="0.2">
      <c r="R494" s="264"/>
      <c r="S494" s="264"/>
    </row>
    <row r="495" spans="18:19" ht="24.75" customHeight="1" x14ac:dyDescent="0.2">
      <c r="R495" s="264"/>
      <c r="S495" s="264"/>
    </row>
    <row r="496" spans="18:19" ht="24.75" customHeight="1" x14ac:dyDescent="0.2">
      <c r="R496" s="264"/>
      <c r="S496" s="264"/>
    </row>
    <row r="497" spans="18:19" ht="24.75" customHeight="1" x14ac:dyDescent="0.2">
      <c r="R497" s="263"/>
      <c r="S497" s="264"/>
    </row>
    <row r="498" spans="18:19" ht="24.75" customHeight="1" x14ac:dyDescent="0.2">
      <c r="R498" s="264"/>
      <c r="S498" s="264"/>
    </row>
    <row r="499" spans="18:19" ht="24.75" customHeight="1" x14ac:dyDescent="0.2">
      <c r="R499" s="264"/>
      <c r="S499" s="264"/>
    </row>
    <row r="500" spans="18:19" ht="24.75" customHeight="1" x14ac:dyDescent="0.2">
      <c r="R500" s="264"/>
      <c r="S500" s="264"/>
    </row>
    <row r="501" spans="18:19" ht="24.75" customHeight="1" x14ac:dyDescent="0.2">
      <c r="R501" s="264"/>
      <c r="S501" s="264"/>
    </row>
    <row r="502" spans="18:19" ht="24.75" customHeight="1" x14ac:dyDescent="0.2">
      <c r="R502" s="263"/>
      <c r="S502" s="263"/>
    </row>
    <row r="503" spans="18:19" ht="24.75" customHeight="1" x14ac:dyDescent="0.2">
      <c r="R503" s="263"/>
      <c r="S503" s="263"/>
    </row>
    <row r="504" spans="18:19" ht="24.75" customHeight="1" x14ac:dyDescent="0.2">
      <c r="R504" s="264"/>
      <c r="S504" s="264"/>
    </row>
    <row r="505" spans="18:19" ht="24.75" customHeight="1" x14ac:dyDescent="0.2">
      <c r="R505" s="264"/>
      <c r="S505" s="264"/>
    </row>
    <row r="506" spans="18:19" ht="24.75" customHeight="1" x14ac:dyDescent="0.2">
      <c r="R506" s="263"/>
      <c r="S506" s="263"/>
    </row>
    <row r="507" spans="18:19" ht="24.75" customHeight="1" x14ac:dyDescent="0.2">
      <c r="R507" s="263"/>
      <c r="S507" s="263"/>
    </row>
    <row r="508" spans="18:19" ht="24.75" customHeight="1" x14ac:dyDescent="0.2">
      <c r="R508" s="263"/>
      <c r="S508" s="263"/>
    </row>
    <row r="509" spans="18:19" ht="24.75" customHeight="1" x14ac:dyDescent="0.2">
      <c r="R509" s="264"/>
      <c r="S509" s="264"/>
    </row>
    <row r="510" spans="18:19" ht="24.75" customHeight="1" x14ac:dyDescent="0.2">
      <c r="R510" s="264"/>
      <c r="S510" s="264"/>
    </row>
    <row r="511" spans="18:19" ht="24.75" customHeight="1" x14ac:dyDescent="0.2">
      <c r="R511" s="263"/>
      <c r="S511" s="263"/>
    </row>
    <row r="512" spans="18:19" ht="24.75" customHeight="1" x14ac:dyDescent="0.2">
      <c r="R512" s="263"/>
      <c r="S512" s="264"/>
    </row>
    <row r="513" spans="18:19" ht="24.75" customHeight="1" x14ac:dyDescent="0.2">
      <c r="R513" s="263"/>
      <c r="S513" s="263"/>
    </row>
    <row r="514" spans="18:19" ht="24.75" customHeight="1" x14ac:dyDescent="0.2">
      <c r="R514" s="264"/>
      <c r="S514" s="263"/>
    </row>
    <row r="515" spans="18:19" ht="24.75" customHeight="1" x14ac:dyDescent="0.2">
      <c r="R515" s="263"/>
      <c r="S515" s="263"/>
    </row>
    <row r="516" spans="18:19" ht="24.75" customHeight="1" x14ac:dyDescent="0.2">
      <c r="R516" s="263"/>
      <c r="S516" s="263"/>
    </row>
    <row r="517" spans="18:19" ht="24.75" customHeight="1" x14ac:dyDescent="0.2">
      <c r="R517" s="263"/>
      <c r="S517" s="263"/>
    </row>
    <row r="518" spans="18:19" ht="24.75" customHeight="1" x14ac:dyDescent="0.2">
      <c r="R518" s="264"/>
      <c r="S518" s="264"/>
    </row>
    <row r="519" spans="18:19" ht="24.75" customHeight="1" x14ac:dyDescent="0.2">
      <c r="R519" s="263"/>
      <c r="S519" s="263"/>
    </row>
    <row r="520" spans="18:19" ht="24.75" customHeight="1" x14ac:dyDescent="0.2">
      <c r="R520" s="264"/>
      <c r="S520" s="264"/>
    </row>
    <row r="521" spans="18:19" ht="24.75" customHeight="1" x14ac:dyDescent="0.2">
      <c r="R521" s="263"/>
      <c r="S521" s="263"/>
    </row>
    <row r="522" spans="18:19" ht="24.75" customHeight="1" x14ac:dyDescent="0.2">
      <c r="R522" s="264"/>
      <c r="S522" s="263"/>
    </row>
    <row r="523" spans="18:19" ht="24.75" customHeight="1" x14ac:dyDescent="0.2">
      <c r="R523" s="263"/>
      <c r="S523" s="263"/>
    </row>
    <row r="524" spans="18:19" ht="24.75" customHeight="1" x14ac:dyDescent="0.2">
      <c r="R524" s="263"/>
      <c r="S524" s="263"/>
    </row>
    <row r="525" spans="18:19" ht="24.75" customHeight="1" x14ac:dyDescent="0.2">
      <c r="R525" s="263"/>
      <c r="S525" s="263"/>
    </row>
    <row r="526" spans="18:19" ht="24.75" customHeight="1" x14ac:dyDescent="0.2">
      <c r="R526" s="263"/>
      <c r="S526" s="263"/>
    </row>
    <row r="527" spans="18:19" ht="24.75" customHeight="1" x14ac:dyDescent="0.2">
      <c r="R527" s="263"/>
      <c r="S527" s="263"/>
    </row>
    <row r="528" spans="18:19" ht="24.75" customHeight="1" x14ac:dyDescent="0.2">
      <c r="R528" s="264"/>
      <c r="S528" s="264"/>
    </row>
    <row r="529" spans="18:19" ht="24.75" customHeight="1" x14ac:dyDescent="0.2">
      <c r="R529" s="264"/>
      <c r="S529" s="264"/>
    </row>
    <row r="530" spans="18:19" ht="24.75" customHeight="1" x14ac:dyDescent="0.2">
      <c r="R530" s="264"/>
      <c r="S530" s="264"/>
    </row>
    <row r="531" spans="18:19" ht="24.75" customHeight="1" x14ac:dyDescent="0.2">
      <c r="R531" s="264"/>
      <c r="S531" s="264"/>
    </row>
    <row r="532" spans="18:19" ht="24.75" customHeight="1" x14ac:dyDescent="0.2">
      <c r="R532" s="264"/>
      <c r="S532" s="264"/>
    </row>
    <row r="533" spans="18:19" ht="24.75" customHeight="1" x14ac:dyDescent="0.2">
      <c r="R533" s="264"/>
      <c r="S533" s="264"/>
    </row>
    <row r="534" spans="18:19" ht="24.75" customHeight="1" x14ac:dyDescent="0.2">
      <c r="R534" s="264"/>
      <c r="S534" s="264"/>
    </row>
    <row r="535" spans="18:19" ht="24.75" customHeight="1" x14ac:dyDescent="0.2">
      <c r="R535" s="264"/>
      <c r="S535" s="264"/>
    </row>
    <row r="536" spans="18:19" ht="24.75" customHeight="1" x14ac:dyDescent="0.2">
      <c r="R536" s="264"/>
      <c r="S536" s="264"/>
    </row>
    <row r="537" spans="18:19" ht="24.75" customHeight="1" x14ac:dyDescent="0.2">
      <c r="R537" s="264"/>
      <c r="S537" s="264"/>
    </row>
    <row r="538" spans="18:19" ht="24.75" customHeight="1" x14ac:dyDescent="0.2">
      <c r="R538" s="263"/>
      <c r="S538" s="263"/>
    </row>
    <row r="539" spans="18:19" ht="24.75" customHeight="1" x14ac:dyDescent="0.2">
      <c r="R539" s="264"/>
      <c r="S539" s="264"/>
    </row>
    <row r="540" spans="18:19" ht="24.75" customHeight="1" x14ac:dyDescent="0.2">
      <c r="R540" s="264"/>
      <c r="S540" s="264"/>
    </row>
    <row r="541" spans="18:19" ht="24.75" customHeight="1" x14ac:dyDescent="0.2">
      <c r="R541" s="264"/>
      <c r="S541" s="264"/>
    </row>
    <row r="542" spans="18:19" ht="24.75" customHeight="1" x14ac:dyDescent="0.2">
      <c r="R542" s="264"/>
      <c r="S542" s="264"/>
    </row>
    <row r="543" spans="18:19" ht="24.75" customHeight="1" x14ac:dyDescent="0.2">
      <c r="R543" s="264"/>
      <c r="S543" s="264"/>
    </row>
    <row r="544" spans="18:19" ht="24.75" customHeight="1" x14ac:dyDescent="0.2">
      <c r="R544" s="263"/>
      <c r="S544" s="264"/>
    </row>
    <row r="545" spans="18:19" ht="24.75" customHeight="1" x14ac:dyDescent="0.2">
      <c r="R545" s="263"/>
      <c r="S545" s="264"/>
    </row>
    <row r="546" spans="18:19" ht="24.75" customHeight="1" x14ac:dyDescent="0.2">
      <c r="R546" s="263"/>
      <c r="S546" s="263"/>
    </row>
    <row r="547" spans="18:19" ht="24.75" customHeight="1" x14ac:dyDescent="0.2">
      <c r="R547" s="263"/>
      <c r="S547" s="264"/>
    </row>
    <row r="548" spans="18:19" ht="24.75" customHeight="1" x14ac:dyDescent="0.2">
      <c r="R548" s="263"/>
      <c r="S548" s="263"/>
    </row>
    <row r="549" spans="18:19" ht="24.75" customHeight="1" x14ac:dyDescent="0.2">
      <c r="R549" s="263"/>
      <c r="S549" s="264"/>
    </row>
    <row r="550" spans="18:19" ht="24.75" customHeight="1" x14ac:dyDescent="0.2">
      <c r="R550" s="263"/>
      <c r="S550" s="264"/>
    </row>
    <row r="551" spans="18:19" ht="24.75" customHeight="1" x14ac:dyDescent="0.2">
      <c r="R551" s="263"/>
      <c r="S551" s="263"/>
    </row>
    <row r="552" spans="18:19" ht="24.75" customHeight="1" x14ac:dyDescent="0.2">
      <c r="R552" s="264"/>
      <c r="S552" s="264"/>
    </row>
    <row r="553" spans="18:19" ht="24.75" customHeight="1" x14ac:dyDescent="0.2">
      <c r="R553" s="264"/>
      <c r="S553" s="264"/>
    </row>
    <row r="554" spans="18:19" ht="24.75" customHeight="1" x14ac:dyDescent="0.2">
      <c r="R554" s="264"/>
      <c r="S554" s="264"/>
    </row>
    <row r="555" spans="18:19" ht="24.75" customHeight="1" x14ac:dyDescent="0.2">
      <c r="R555" s="264"/>
      <c r="S555" s="263"/>
    </row>
    <row r="556" spans="18:19" ht="24.75" customHeight="1" x14ac:dyDescent="0.2">
      <c r="R556" s="264"/>
      <c r="S556" s="264"/>
    </row>
    <row r="557" spans="18:19" ht="24.75" customHeight="1" x14ac:dyDescent="0.2">
      <c r="R557" s="263"/>
      <c r="S557" s="263"/>
    </row>
    <row r="558" spans="18:19" ht="24.75" customHeight="1" x14ac:dyDescent="0.2">
      <c r="R558" s="263"/>
      <c r="S558" s="263"/>
    </row>
    <row r="559" spans="18:19" ht="24.75" customHeight="1" x14ac:dyDescent="0.2">
      <c r="R559" s="264"/>
      <c r="S559" s="264"/>
    </row>
    <row r="560" spans="18:19" ht="24.75" customHeight="1" x14ac:dyDescent="0.2">
      <c r="R560" s="263"/>
      <c r="S560" s="263"/>
    </row>
    <row r="561" spans="18:19" ht="24.75" customHeight="1" x14ac:dyDescent="0.2">
      <c r="R561" s="263"/>
      <c r="S561" s="263"/>
    </row>
    <row r="562" spans="18:19" ht="24.75" customHeight="1" x14ac:dyDescent="0.2">
      <c r="R562" s="264"/>
      <c r="S562" s="263"/>
    </row>
    <row r="563" spans="18:19" ht="24.75" customHeight="1" x14ac:dyDescent="0.2">
      <c r="R563" s="264"/>
      <c r="S563" s="263"/>
    </row>
    <row r="564" spans="18:19" ht="24.75" customHeight="1" x14ac:dyDescent="0.2">
      <c r="R564" s="263"/>
      <c r="S564" s="263"/>
    </row>
    <row r="565" spans="18:19" ht="24.75" customHeight="1" x14ac:dyDescent="0.2">
      <c r="R565" s="263"/>
      <c r="S565" s="263"/>
    </row>
    <row r="566" spans="18:19" ht="24.75" customHeight="1" x14ac:dyDescent="0.2">
      <c r="R566" s="263"/>
      <c r="S566" s="263"/>
    </row>
    <row r="567" spans="18:19" ht="24.75" customHeight="1" x14ac:dyDescent="0.2">
      <c r="R567" s="263"/>
      <c r="S567" s="264"/>
    </row>
    <row r="568" spans="18:19" ht="24.75" customHeight="1" x14ac:dyDescent="0.2">
      <c r="R568" s="264"/>
      <c r="S568" s="264"/>
    </row>
    <row r="569" spans="18:19" ht="24.75" customHeight="1" x14ac:dyDescent="0.2">
      <c r="R569" s="264"/>
      <c r="S569" s="264"/>
    </row>
    <row r="570" spans="18:19" ht="24.75" customHeight="1" x14ac:dyDescent="0.2">
      <c r="R570" s="264"/>
      <c r="S570" s="264"/>
    </row>
    <row r="571" spans="18:19" ht="24.75" customHeight="1" x14ac:dyDescent="0.2">
      <c r="R571" s="263"/>
      <c r="S571" s="263"/>
    </row>
    <row r="572" spans="18:19" ht="24.75" customHeight="1" x14ac:dyDescent="0.2">
      <c r="R572" s="264"/>
      <c r="S572" s="264"/>
    </row>
    <row r="573" spans="18:19" ht="24.75" customHeight="1" x14ac:dyDescent="0.2">
      <c r="R573" s="264"/>
      <c r="S573" s="264"/>
    </row>
    <row r="574" spans="18:19" ht="24.75" customHeight="1" x14ac:dyDescent="0.2">
      <c r="R574" s="263"/>
      <c r="S574" s="263"/>
    </row>
    <row r="575" spans="18:19" ht="24.75" customHeight="1" x14ac:dyDescent="0.2">
      <c r="R575" s="263"/>
      <c r="S575" s="263"/>
    </row>
    <row r="576" spans="18:19" ht="24.75" customHeight="1" x14ac:dyDescent="0.2">
      <c r="R576" s="263"/>
      <c r="S576" s="263"/>
    </row>
    <row r="577" spans="18:19" ht="24.75" customHeight="1" x14ac:dyDescent="0.2">
      <c r="R577" s="263"/>
      <c r="S577" s="264"/>
    </row>
    <row r="578" spans="18:19" ht="24.75" customHeight="1" x14ac:dyDescent="0.2">
      <c r="R578" s="264"/>
      <c r="S578" s="264"/>
    </row>
    <row r="579" spans="18:19" ht="24.75" customHeight="1" x14ac:dyDescent="0.2">
      <c r="R579" s="263"/>
      <c r="S579" s="264"/>
    </row>
    <row r="580" spans="18:19" ht="24.75" customHeight="1" x14ac:dyDescent="0.2">
      <c r="R580" s="264"/>
      <c r="S580" s="264"/>
    </row>
    <row r="581" spans="18:19" ht="24.75" customHeight="1" x14ac:dyDescent="0.2">
      <c r="R581" s="264"/>
      <c r="S581" s="264"/>
    </row>
    <row r="582" spans="18:19" ht="24.75" customHeight="1" x14ac:dyDescent="0.2">
      <c r="R582" s="264"/>
      <c r="S582" s="264"/>
    </row>
    <row r="583" spans="18:19" ht="24.75" customHeight="1" x14ac:dyDescent="0.2">
      <c r="R583" s="264"/>
      <c r="S583" s="264"/>
    </row>
    <row r="584" spans="18:19" ht="24.75" customHeight="1" x14ac:dyDescent="0.2">
      <c r="R584" s="264"/>
      <c r="S584" s="264"/>
    </row>
    <row r="585" spans="18:19" ht="24.75" customHeight="1" x14ac:dyDescent="0.2">
      <c r="R585" s="264"/>
      <c r="S585" s="264"/>
    </row>
    <row r="586" spans="18:19" ht="24.75" customHeight="1" x14ac:dyDescent="0.2">
      <c r="R586" s="263"/>
      <c r="S586" s="264"/>
    </row>
    <row r="587" spans="18:19" ht="24.75" customHeight="1" x14ac:dyDescent="0.2">
      <c r="R587" s="263"/>
      <c r="S587" s="264"/>
    </row>
    <row r="588" spans="18:19" ht="24.75" customHeight="1" x14ac:dyDescent="0.2">
      <c r="R588" s="263"/>
      <c r="S588" s="264"/>
    </row>
    <row r="589" spans="18:19" ht="24.75" customHeight="1" x14ac:dyDescent="0.2">
      <c r="R589" s="263"/>
      <c r="S589" s="264"/>
    </row>
    <row r="590" spans="18:19" ht="24.75" customHeight="1" x14ac:dyDescent="0.2">
      <c r="R590" s="264"/>
      <c r="S590" s="264"/>
    </row>
    <row r="591" spans="18:19" ht="24.75" customHeight="1" x14ac:dyDescent="0.2">
      <c r="R591" s="264"/>
      <c r="S591" s="264"/>
    </row>
    <row r="592" spans="18:19" ht="24.75" customHeight="1" x14ac:dyDescent="0.2">
      <c r="R592" s="263"/>
      <c r="S592" s="263"/>
    </row>
    <row r="593" spans="18:19" ht="24.75" customHeight="1" x14ac:dyDescent="0.2">
      <c r="R593" s="264"/>
      <c r="S593" s="264"/>
    </row>
    <row r="594" spans="18:19" ht="24.75" customHeight="1" x14ac:dyDescent="0.2">
      <c r="R594" s="263"/>
      <c r="S594" s="263"/>
    </row>
    <row r="595" spans="18:19" ht="24.75" customHeight="1" x14ac:dyDescent="0.2">
      <c r="R595" s="264"/>
      <c r="S595" s="264"/>
    </row>
    <row r="596" spans="18:19" ht="24.75" customHeight="1" x14ac:dyDescent="0.2">
      <c r="R596" s="264"/>
      <c r="S596" s="264"/>
    </row>
    <row r="597" spans="18:19" ht="24.75" customHeight="1" x14ac:dyDescent="0.2">
      <c r="R597" s="264"/>
      <c r="S597" s="264"/>
    </row>
    <row r="598" spans="18:19" ht="24.75" customHeight="1" x14ac:dyDescent="0.2">
      <c r="R598" s="264"/>
      <c r="S598" s="264"/>
    </row>
    <row r="599" spans="18:19" ht="24.75" customHeight="1" x14ac:dyDescent="0.2">
      <c r="R599" s="264"/>
      <c r="S599" s="264"/>
    </row>
    <row r="600" spans="18:19" ht="24.75" customHeight="1" x14ac:dyDescent="0.2">
      <c r="R600" s="264"/>
      <c r="S600" s="264"/>
    </row>
    <row r="601" spans="18:19" ht="24.75" customHeight="1" x14ac:dyDescent="0.2">
      <c r="R601" s="264"/>
      <c r="S601" s="264"/>
    </row>
    <row r="602" spans="18:19" ht="24.75" customHeight="1" x14ac:dyDescent="0.2">
      <c r="R602" s="264"/>
      <c r="S602" s="264"/>
    </row>
    <row r="603" spans="18:19" ht="24.75" customHeight="1" x14ac:dyDescent="0.2">
      <c r="R603" s="264"/>
      <c r="S603" s="264"/>
    </row>
    <row r="604" spans="18:19" ht="24.75" customHeight="1" x14ac:dyDescent="0.2">
      <c r="R604" s="264"/>
      <c r="S604" s="264"/>
    </row>
    <row r="605" spans="18:19" ht="24.75" customHeight="1" x14ac:dyDescent="0.2">
      <c r="R605" s="264"/>
      <c r="S605" s="264"/>
    </row>
    <row r="606" spans="18:19" ht="24.75" customHeight="1" x14ac:dyDescent="0.2">
      <c r="R606" s="264"/>
      <c r="S606" s="264"/>
    </row>
    <row r="607" spans="18:19" ht="24.75" customHeight="1" x14ac:dyDescent="0.2">
      <c r="R607" s="264"/>
      <c r="S607" s="264"/>
    </row>
    <row r="608" spans="18:19" ht="24.75" customHeight="1" x14ac:dyDescent="0.2">
      <c r="R608" s="264"/>
      <c r="S608" s="264"/>
    </row>
    <row r="609" spans="18:19" ht="24.75" customHeight="1" x14ac:dyDescent="0.2">
      <c r="R609" s="264"/>
      <c r="S609" s="264"/>
    </row>
    <row r="610" spans="18:19" ht="24.75" customHeight="1" x14ac:dyDescent="0.2">
      <c r="R610" s="264"/>
      <c r="S610" s="266"/>
    </row>
    <row r="611" spans="18:19" ht="24.75" customHeight="1" x14ac:dyDescent="0.2">
      <c r="R611" s="264"/>
      <c r="S611" s="264"/>
    </row>
    <row r="612" spans="18:19" ht="24.75" customHeight="1" x14ac:dyDescent="0.2">
      <c r="R612" s="264"/>
      <c r="S612" s="264"/>
    </row>
    <row r="613" spans="18:19" ht="24.75" customHeight="1" x14ac:dyDescent="0.2">
      <c r="R613" s="264"/>
      <c r="S613" s="264"/>
    </row>
    <row r="614" spans="18:19" ht="24.75" customHeight="1" x14ac:dyDescent="0.2">
      <c r="R614" s="264"/>
      <c r="S614" s="264"/>
    </row>
    <row r="615" spans="18:19" ht="24.75" customHeight="1" x14ac:dyDescent="0.2">
      <c r="R615" s="264"/>
      <c r="S615" s="264"/>
    </row>
    <row r="616" spans="18:19" ht="24.75" customHeight="1" x14ac:dyDescent="0.2">
      <c r="R616" s="264"/>
      <c r="S616" s="264"/>
    </row>
    <row r="617" spans="18:19" ht="24.75" customHeight="1" x14ac:dyDescent="0.2">
      <c r="R617" s="263"/>
      <c r="S617" s="263"/>
    </row>
    <row r="618" spans="18:19" ht="24.75" customHeight="1" x14ac:dyDescent="0.2">
      <c r="R618" s="264"/>
      <c r="S618" s="264"/>
    </row>
    <row r="619" spans="18:19" ht="24.75" customHeight="1" x14ac:dyDescent="0.2">
      <c r="R619" s="264"/>
      <c r="S619" s="264"/>
    </row>
    <row r="620" spans="18:19" ht="24.75" customHeight="1" x14ac:dyDescent="0.2">
      <c r="R620" s="264"/>
      <c r="S620" s="264"/>
    </row>
    <row r="621" spans="18:19" ht="24.75" customHeight="1" x14ac:dyDescent="0.2">
      <c r="R621" s="264"/>
      <c r="S621" s="264"/>
    </row>
    <row r="622" spans="18:19" ht="24.75" customHeight="1" x14ac:dyDescent="0.2">
      <c r="R622" s="264"/>
      <c r="S622" s="264"/>
    </row>
    <row r="623" spans="18:19" ht="24.75" customHeight="1" x14ac:dyDescent="0.2">
      <c r="R623" s="263"/>
      <c r="S623" s="264"/>
    </row>
    <row r="624" spans="18:19" ht="24.75" customHeight="1" x14ac:dyDescent="0.2">
      <c r="R624" s="264"/>
      <c r="S624" s="264"/>
    </row>
    <row r="625" spans="18:19" ht="24.75" customHeight="1" x14ac:dyDescent="0.2">
      <c r="R625" s="264"/>
      <c r="S625" s="264"/>
    </row>
    <row r="626" spans="18:19" ht="24.75" customHeight="1" x14ac:dyDescent="0.2">
      <c r="R626" s="264"/>
      <c r="S626" s="264"/>
    </row>
    <row r="627" spans="18:19" ht="24.75" customHeight="1" x14ac:dyDescent="0.2">
      <c r="R627" s="264"/>
      <c r="S627" s="264"/>
    </row>
    <row r="628" spans="18:19" ht="24.75" customHeight="1" x14ac:dyDescent="0.2">
      <c r="R628" s="264"/>
      <c r="S628" s="264"/>
    </row>
    <row r="629" spans="18:19" ht="24.75" customHeight="1" x14ac:dyDescent="0.2">
      <c r="R629" s="264"/>
      <c r="S629" s="264"/>
    </row>
    <row r="630" spans="18:19" ht="24.75" customHeight="1" x14ac:dyDescent="0.2">
      <c r="R630" s="264"/>
      <c r="S630" s="263"/>
    </row>
    <row r="631" spans="18:19" ht="24.75" customHeight="1" x14ac:dyDescent="0.2">
      <c r="R631" s="264"/>
      <c r="S631" s="264"/>
    </row>
    <row r="632" spans="18:19" ht="24.75" customHeight="1" x14ac:dyDescent="0.2">
      <c r="R632" s="264"/>
      <c r="S632" s="264"/>
    </row>
    <row r="633" spans="18:19" ht="24.75" customHeight="1" x14ac:dyDescent="0.2">
      <c r="R633" s="264"/>
      <c r="S633" s="264"/>
    </row>
    <row r="634" spans="18:19" ht="24.75" customHeight="1" x14ac:dyDescent="0.2">
      <c r="R634" s="264"/>
      <c r="S634" s="264"/>
    </row>
    <row r="635" spans="18:19" ht="24.75" customHeight="1" x14ac:dyDescent="0.2">
      <c r="R635" s="264"/>
      <c r="S635" s="264"/>
    </row>
    <row r="636" spans="18:19" ht="24.75" customHeight="1" x14ac:dyDescent="0.2">
      <c r="R636" s="264"/>
      <c r="S636" s="264"/>
    </row>
    <row r="637" spans="18:19" ht="24.75" customHeight="1" x14ac:dyDescent="0.2">
      <c r="R637" s="264"/>
      <c r="S637" s="264"/>
    </row>
    <row r="638" spans="18:19" ht="24.75" customHeight="1" x14ac:dyDescent="0.2">
      <c r="R638" s="264"/>
      <c r="S638" s="264"/>
    </row>
    <row r="639" spans="18:19" ht="24.75" customHeight="1" x14ac:dyDescent="0.2">
      <c r="R639" s="264"/>
      <c r="S639" s="264"/>
    </row>
    <row r="640" spans="18:19" ht="24.75" customHeight="1" x14ac:dyDescent="0.2">
      <c r="R640" s="264"/>
      <c r="S640" s="264"/>
    </row>
    <row r="641" spans="18:19" ht="24.75" customHeight="1" x14ac:dyDescent="0.2">
      <c r="R641" s="263"/>
      <c r="S641" s="264"/>
    </row>
    <row r="642" spans="18:19" ht="24.75" customHeight="1" x14ac:dyDescent="0.2">
      <c r="R642" s="263"/>
      <c r="S642" s="264"/>
    </row>
    <row r="643" spans="18:19" ht="24.75" customHeight="1" x14ac:dyDescent="0.2">
      <c r="R643" s="264"/>
      <c r="S643" s="264"/>
    </row>
    <row r="644" spans="18:19" ht="24.75" customHeight="1" x14ac:dyDescent="0.2">
      <c r="R644" s="263"/>
      <c r="S644" s="264"/>
    </row>
    <row r="645" spans="18:19" ht="24.75" customHeight="1" x14ac:dyDescent="0.2">
      <c r="R645" s="263"/>
      <c r="S645" s="264"/>
    </row>
    <row r="646" spans="18:19" ht="24.75" customHeight="1" x14ac:dyDescent="0.2">
      <c r="R646" s="263"/>
      <c r="S646" s="264"/>
    </row>
    <row r="647" spans="18:19" ht="24.75" customHeight="1" x14ac:dyDescent="0.2">
      <c r="R647" s="263"/>
      <c r="S647" s="264"/>
    </row>
    <row r="648" spans="18:19" ht="24.75" customHeight="1" x14ac:dyDescent="0.2">
      <c r="R648" s="263"/>
      <c r="S648" s="264"/>
    </row>
    <row r="649" spans="18:19" ht="24.75" customHeight="1" x14ac:dyDescent="0.2">
      <c r="R649" s="263"/>
      <c r="S649" s="264"/>
    </row>
    <row r="650" spans="18:19" ht="24.75" customHeight="1" x14ac:dyDescent="0.2">
      <c r="R650" s="263"/>
      <c r="S650" s="264"/>
    </row>
    <row r="651" spans="18:19" ht="24.75" customHeight="1" x14ac:dyDescent="0.2">
      <c r="R651" s="263"/>
      <c r="S651" s="264"/>
    </row>
    <row r="652" spans="18:19" ht="24.75" customHeight="1" x14ac:dyDescent="0.2">
      <c r="R652" s="263"/>
      <c r="S652" s="264"/>
    </row>
    <row r="653" spans="18:19" ht="24.75" customHeight="1" x14ac:dyDescent="0.2">
      <c r="R653" s="264"/>
      <c r="S653" s="264"/>
    </row>
    <row r="654" spans="18:19" ht="24.75" customHeight="1" x14ac:dyDescent="0.2">
      <c r="R654" s="263"/>
      <c r="S654" s="264"/>
    </row>
    <row r="655" spans="18:19" ht="24.75" customHeight="1" x14ac:dyDescent="0.2">
      <c r="R655" s="263"/>
      <c r="S655" s="264"/>
    </row>
    <row r="656" spans="18:19" ht="24.75" customHeight="1" x14ac:dyDescent="0.2">
      <c r="R656" s="263"/>
      <c r="S656" s="264"/>
    </row>
    <row r="657" spans="18:19" ht="24.75" customHeight="1" x14ac:dyDescent="0.2">
      <c r="R657" s="264"/>
      <c r="S657" s="264"/>
    </row>
    <row r="658" spans="18:19" ht="24.75" customHeight="1" x14ac:dyDescent="0.2">
      <c r="R658" s="263"/>
      <c r="S658" s="264"/>
    </row>
    <row r="659" spans="18:19" ht="24.75" customHeight="1" x14ac:dyDescent="0.2">
      <c r="R659" s="263"/>
      <c r="S659" s="264"/>
    </row>
    <row r="660" spans="18:19" ht="24.75" customHeight="1" x14ac:dyDescent="0.2">
      <c r="R660" s="263"/>
      <c r="S660" s="264"/>
    </row>
    <row r="661" spans="18:19" ht="24.75" customHeight="1" x14ac:dyDescent="0.2">
      <c r="R661" s="264"/>
      <c r="S661" s="264"/>
    </row>
    <row r="662" spans="18:19" ht="24.75" customHeight="1" x14ac:dyDescent="0.2">
      <c r="R662" s="264"/>
      <c r="S662" s="264"/>
    </row>
    <row r="663" spans="18:19" ht="24.75" customHeight="1" x14ac:dyDescent="0.2">
      <c r="R663" s="264"/>
      <c r="S663" s="264"/>
    </row>
    <row r="664" spans="18:19" ht="24.75" customHeight="1" x14ac:dyDescent="0.2">
      <c r="R664" s="263"/>
      <c r="S664" s="264"/>
    </row>
    <row r="665" spans="18:19" ht="24.75" customHeight="1" x14ac:dyDescent="0.2">
      <c r="R665" s="264"/>
      <c r="S665" s="264"/>
    </row>
    <row r="666" spans="18:19" ht="24.75" customHeight="1" x14ac:dyDescent="0.2">
      <c r="R666" s="264"/>
      <c r="S666" s="264"/>
    </row>
    <row r="667" spans="18:19" ht="24.75" customHeight="1" x14ac:dyDescent="0.2">
      <c r="R667" s="263"/>
      <c r="S667" s="264"/>
    </row>
    <row r="668" spans="18:19" ht="24.75" customHeight="1" x14ac:dyDescent="0.2">
      <c r="R668" s="263"/>
      <c r="S668" s="264"/>
    </row>
    <row r="669" spans="18:19" ht="24.75" customHeight="1" x14ac:dyDescent="0.2">
      <c r="R669" s="264"/>
      <c r="S669" s="264"/>
    </row>
    <row r="670" spans="18:19" ht="24.75" customHeight="1" x14ac:dyDescent="0.2">
      <c r="R670" s="263"/>
      <c r="S670" s="264"/>
    </row>
    <row r="671" spans="18:19" ht="24.75" customHeight="1" x14ac:dyDescent="0.2">
      <c r="R671" s="263"/>
      <c r="S671" s="264"/>
    </row>
    <row r="672" spans="18:19" ht="24.75" customHeight="1" x14ac:dyDescent="0.2">
      <c r="R672" s="264"/>
      <c r="S672" s="264"/>
    </row>
    <row r="673" spans="18:19" ht="24.75" customHeight="1" x14ac:dyDescent="0.2">
      <c r="R673" s="263"/>
      <c r="S673" s="264"/>
    </row>
    <row r="674" spans="18:19" ht="24.75" customHeight="1" x14ac:dyDescent="0.2">
      <c r="R674" s="263"/>
      <c r="S674" s="264"/>
    </row>
    <row r="675" spans="18:19" ht="24.75" customHeight="1" x14ac:dyDescent="0.2">
      <c r="R675" s="264"/>
      <c r="S675" s="264"/>
    </row>
    <row r="676" spans="18:19" ht="24.75" customHeight="1" x14ac:dyDescent="0.2">
      <c r="R676" s="264"/>
      <c r="S676" s="264"/>
    </row>
    <row r="677" spans="18:19" ht="24.75" customHeight="1" x14ac:dyDescent="0.2">
      <c r="R677" s="263"/>
      <c r="S677" s="264"/>
    </row>
    <row r="678" spans="18:19" ht="24.75" customHeight="1" x14ac:dyDescent="0.2">
      <c r="R678" s="263"/>
      <c r="S678" s="264"/>
    </row>
    <row r="679" spans="18:19" ht="24.75" customHeight="1" x14ac:dyDescent="0.2">
      <c r="R679" s="263"/>
      <c r="S679" s="264"/>
    </row>
    <row r="680" spans="18:19" ht="24.75" customHeight="1" x14ac:dyDescent="0.2">
      <c r="R680" s="264"/>
      <c r="S680" s="264"/>
    </row>
    <row r="681" spans="18:19" ht="24.75" customHeight="1" x14ac:dyDescent="0.2">
      <c r="R681" s="264"/>
      <c r="S681" s="264"/>
    </row>
    <row r="682" spans="18:19" ht="24.75" customHeight="1" x14ac:dyDescent="0.2">
      <c r="R682" s="263"/>
      <c r="S682" s="264"/>
    </row>
    <row r="683" spans="18:19" ht="24.75" customHeight="1" x14ac:dyDescent="0.2">
      <c r="R683" s="264"/>
      <c r="S683" s="264"/>
    </row>
    <row r="684" spans="18:19" ht="24.75" customHeight="1" x14ac:dyDescent="0.2">
      <c r="R684" s="264"/>
      <c r="S684" s="264"/>
    </row>
    <row r="685" spans="18:19" ht="24.75" customHeight="1" x14ac:dyDescent="0.2">
      <c r="R685" s="263"/>
      <c r="S685" s="264"/>
    </row>
    <row r="686" spans="18:19" ht="24.75" customHeight="1" x14ac:dyDescent="0.2">
      <c r="R686" s="264"/>
      <c r="S686" s="251"/>
    </row>
    <row r="687" spans="18:19" ht="24.75" customHeight="1" x14ac:dyDescent="0.2">
      <c r="R687" s="263"/>
      <c r="S687" s="264"/>
    </row>
    <row r="688" spans="18:19" ht="24.75" customHeight="1" x14ac:dyDescent="0.2">
      <c r="R688" s="263"/>
      <c r="S688" s="264"/>
    </row>
    <row r="689" spans="18:19" ht="24.75" customHeight="1" x14ac:dyDescent="0.2">
      <c r="R689" s="263"/>
      <c r="S689" s="264"/>
    </row>
    <row r="690" spans="18:19" ht="24.75" customHeight="1" x14ac:dyDescent="0.2">
      <c r="R690" s="263"/>
      <c r="S690" s="264"/>
    </row>
    <row r="691" spans="18:19" ht="24.75" customHeight="1" x14ac:dyDescent="0.2">
      <c r="R691" s="264"/>
      <c r="S691" s="264"/>
    </row>
    <row r="692" spans="18:19" ht="24.75" customHeight="1" x14ac:dyDescent="0.2">
      <c r="R692" s="263"/>
      <c r="S692" s="264"/>
    </row>
    <row r="693" spans="18:19" ht="24.75" customHeight="1" x14ac:dyDescent="0.2">
      <c r="R693" s="263"/>
      <c r="S693" s="264"/>
    </row>
    <row r="694" spans="18:19" ht="24.75" customHeight="1" x14ac:dyDescent="0.2">
      <c r="R694" s="264"/>
      <c r="S694" s="264"/>
    </row>
    <row r="695" spans="18:19" ht="24.75" customHeight="1" x14ac:dyDescent="0.2">
      <c r="R695" s="263"/>
      <c r="S695" s="264"/>
    </row>
    <row r="696" spans="18:19" ht="24.75" customHeight="1" x14ac:dyDescent="0.2">
      <c r="R696" s="263"/>
      <c r="S696" s="264"/>
    </row>
    <row r="697" spans="18:19" ht="24.75" customHeight="1" x14ac:dyDescent="0.2">
      <c r="R697" s="264"/>
      <c r="S697" s="264"/>
    </row>
    <row r="698" spans="18:19" ht="24.75" customHeight="1" x14ac:dyDescent="0.2">
      <c r="R698" s="264"/>
      <c r="S698" s="264"/>
    </row>
    <row r="699" spans="18:19" ht="24.75" customHeight="1" x14ac:dyDescent="0.2">
      <c r="R699" s="263"/>
      <c r="S699" s="264"/>
    </row>
    <row r="700" spans="18:19" ht="24.75" customHeight="1" x14ac:dyDescent="0.2">
      <c r="R700" s="263"/>
      <c r="S700" s="264"/>
    </row>
    <row r="701" spans="18:19" ht="24.75" customHeight="1" x14ac:dyDescent="0.2">
      <c r="R701" s="264"/>
      <c r="S701" s="264"/>
    </row>
    <row r="702" spans="18:19" ht="24.75" customHeight="1" x14ac:dyDescent="0.2">
      <c r="R702" s="263"/>
      <c r="S702" s="264"/>
    </row>
    <row r="703" spans="18:19" ht="24.75" customHeight="1" x14ac:dyDescent="0.2">
      <c r="R703" s="264"/>
      <c r="S703" s="264"/>
    </row>
    <row r="704" spans="18:19" ht="24.75" customHeight="1" x14ac:dyDescent="0.2">
      <c r="R704" s="263"/>
      <c r="S704" s="264"/>
    </row>
    <row r="705" spans="18:19" ht="24.75" customHeight="1" x14ac:dyDescent="0.2">
      <c r="R705" s="264"/>
      <c r="S705" s="264"/>
    </row>
    <row r="706" spans="18:19" ht="24.75" customHeight="1" x14ac:dyDescent="0.2">
      <c r="R706" s="264"/>
      <c r="S706" s="264"/>
    </row>
    <row r="707" spans="18:19" ht="24.75" customHeight="1" x14ac:dyDescent="0.2">
      <c r="R707" s="263"/>
      <c r="S707" s="264"/>
    </row>
    <row r="708" spans="18:19" ht="24.75" customHeight="1" x14ac:dyDescent="0.2">
      <c r="R708" s="263"/>
      <c r="S708" s="264"/>
    </row>
    <row r="709" spans="18:19" ht="24.75" customHeight="1" x14ac:dyDescent="0.2">
      <c r="R709" s="263"/>
      <c r="S709" s="264"/>
    </row>
    <row r="710" spans="18:19" ht="24.75" customHeight="1" x14ac:dyDescent="0.2">
      <c r="R710" s="263"/>
      <c r="S710" s="264"/>
    </row>
    <row r="711" spans="18:19" ht="24.75" customHeight="1" x14ac:dyDescent="0.2">
      <c r="R711" s="263"/>
      <c r="S711" s="264"/>
    </row>
    <row r="712" spans="18:19" ht="24.75" customHeight="1" x14ac:dyDescent="0.2">
      <c r="R712" s="264"/>
      <c r="S712" s="264"/>
    </row>
    <row r="713" spans="18:19" ht="24.75" customHeight="1" x14ac:dyDescent="0.2">
      <c r="R713" s="263"/>
      <c r="S713" s="264"/>
    </row>
    <row r="714" spans="18:19" ht="24.75" customHeight="1" x14ac:dyDescent="0.2">
      <c r="R714" s="264"/>
      <c r="S714" s="264"/>
    </row>
    <row r="715" spans="18:19" ht="24.75" customHeight="1" x14ac:dyDescent="0.2">
      <c r="R715" s="264"/>
      <c r="S715" s="264"/>
    </row>
    <row r="716" spans="18:19" ht="24.75" customHeight="1" x14ac:dyDescent="0.2">
      <c r="R716" s="263"/>
      <c r="S716" s="264"/>
    </row>
    <row r="717" spans="18:19" ht="24.75" customHeight="1" x14ac:dyDescent="0.2">
      <c r="R717" s="263"/>
      <c r="S717" s="264"/>
    </row>
    <row r="718" spans="18:19" ht="24.75" customHeight="1" x14ac:dyDescent="0.2">
      <c r="R718" s="264"/>
      <c r="S718" s="264"/>
    </row>
    <row r="719" spans="18:19" ht="24.75" customHeight="1" x14ac:dyDescent="0.2">
      <c r="R719" s="264"/>
      <c r="S719" s="264"/>
    </row>
    <row r="720" spans="18:19" ht="24.75" customHeight="1" x14ac:dyDescent="0.2">
      <c r="R720" s="263"/>
      <c r="S720" s="264"/>
    </row>
    <row r="721" spans="18:19" ht="24.75" customHeight="1" x14ac:dyDescent="0.2">
      <c r="R721" s="263"/>
      <c r="S721" s="264"/>
    </row>
    <row r="722" spans="18:19" ht="24.75" customHeight="1" x14ac:dyDescent="0.2">
      <c r="R722" s="264"/>
      <c r="S722" s="264"/>
    </row>
    <row r="723" spans="18:19" ht="24.75" customHeight="1" x14ac:dyDescent="0.2">
      <c r="R723" s="264"/>
      <c r="S723" s="264"/>
    </row>
    <row r="724" spans="18:19" ht="24.75" customHeight="1" x14ac:dyDescent="0.2">
      <c r="R724" s="263"/>
      <c r="S724" s="264"/>
    </row>
    <row r="725" spans="18:19" ht="24.75" customHeight="1" x14ac:dyDescent="0.2">
      <c r="R725" s="264"/>
      <c r="S725" s="264"/>
    </row>
    <row r="726" spans="18:19" ht="24.75" customHeight="1" x14ac:dyDescent="0.2">
      <c r="R726" s="264"/>
      <c r="S726" s="264"/>
    </row>
    <row r="727" spans="18:19" ht="24.75" customHeight="1" x14ac:dyDescent="0.2">
      <c r="R727" s="264"/>
      <c r="S727" s="264"/>
    </row>
    <row r="728" spans="18:19" ht="24.75" customHeight="1" x14ac:dyDescent="0.2">
      <c r="R728" s="264"/>
      <c r="S728" s="264"/>
    </row>
    <row r="729" spans="18:19" ht="24.75" customHeight="1" x14ac:dyDescent="0.2">
      <c r="R729" s="263"/>
      <c r="S729" s="264"/>
    </row>
    <row r="730" spans="18:19" ht="24.75" customHeight="1" x14ac:dyDescent="0.2">
      <c r="R730" s="264"/>
      <c r="S730" s="264"/>
    </row>
    <row r="731" spans="18:19" ht="24.75" customHeight="1" x14ac:dyDescent="0.2">
      <c r="R731" s="264"/>
      <c r="S731" s="264"/>
    </row>
    <row r="732" spans="18:19" ht="24.75" customHeight="1" x14ac:dyDescent="0.2">
      <c r="R732" s="263"/>
      <c r="S732" s="264"/>
    </row>
    <row r="733" spans="18:19" ht="24.75" customHeight="1" x14ac:dyDescent="0.2">
      <c r="R733" s="264"/>
      <c r="S733" s="264"/>
    </row>
    <row r="734" spans="18:19" ht="24.75" customHeight="1" x14ac:dyDescent="0.2">
      <c r="R734" s="264"/>
      <c r="S734" s="251"/>
    </row>
    <row r="735" spans="18:19" ht="24.75" customHeight="1" x14ac:dyDescent="0.2">
      <c r="R735" s="263"/>
      <c r="S735" s="264"/>
    </row>
    <row r="736" spans="18:19" ht="24.75" customHeight="1" x14ac:dyDescent="0.2">
      <c r="R736" s="263"/>
      <c r="S736" s="264"/>
    </row>
    <row r="737" spans="18:19" ht="24.75" customHeight="1" x14ac:dyDescent="0.2">
      <c r="R737" s="263"/>
      <c r="S737" s="264"/>
    </row>
    <row r="738" spans="18:19" ht="24.75" customHeight="1" x14ac:dyDescent="0.2">
      <c r="R738" s="264"/>
      <c r="S738" s="264"/>
    </row>
    <row r="739" spans="18:19" ht="24.75" customHeight="1" x14ac:dyDescent="0.2">
      <c r="R739" s="263"/>
      <c r="S739" s="264"/>
    </row>
    <row r="740" spans="18:19" ht="24.75" customHeight="1" x14ac:dyDescent="0.2">
      <c r="R740" s="263"/>
      <c r="S740" s="264"/>
    </row>
    <row r="741" spans="18:19" ht="24.75" customHeight="1" x14ac:dyDescent="0.2">
      <c r="R741" s="263"/>
      <c r="S741" s="264"/>
    </row>
    <row r="742" spans="18:19" ht="24.75" customHeight="1" x14ac:dyDescent="0.2">
      <c r="R742" s="263"/>
      <c r="S742" s="264"/>
    </row>
    <row r="743" spans="18:19" ht="24.75" customHeight="1" x14ac:dyDescent="0.2">
      <c r="R743" s="263"/>
      <c r="S743" s="264"/>
    </row>
    <row r="744" spans="18:19" ht="24.75" customHeight="1" x14ac:dyDescent="0.2">
      <c r="R744" s="263"/>
      <c r="S744" s="264"/>
    </row>
    <row r="745" spans="18:19" ht="24.75" customHeight="1" x14ac:dyDescent="0.2">
      <c r="R745" s="263"/>
      <c r="S745" s="264"/>
    </row>
    <row r="746" spans="18:19" ht="24.75" customHeight="1" x14ac:dyDescent="0.2">
      <c r="R746" s="263"/>
      <c r="S746" s="264"/>
    </row>
    <row r="747" spans="18:19" ht="24.75" customHeight="1" x14ac:dyDescent="0.2">
      <c r="R747" s="263"/>
      <c r="S747" s="264"/>
    </row>
    <row r="748" spans="18:19" ht="24.75" customHeight="1" x14ac:dyDescent="0.2">
      <c r="R748" s="264"/>
      <c r="S748" s="264"/>
    </row>
    <row r="749" spans="18:19" ht="24.75" customHeight="1" x14ac:dyDescent="0.2">
      <c r="R749" s="263"/>
      <c r="S749" s="264"/>
    </row>
    <row r="750" spans="18:19" ht="24.75" customHeight="1" x14ac:dyDescent="0.2">
      <c r="R750" s="264"/>
      <c r="S750" s="264"/>
    </row>
    <row r="751" spans="18:19" ht="24.75" customHeight="1" x14ac:dyDescent="0.2">
      <c r="R751" s="263"/>
      <c r="S751" s="264"/>
    </row>
    <row r="752" spans="18:19" ht="24.75" customHeight="1" x14ac:dyDescent="0.2">
      <c r="R752" s="263"/>
      <c r="S752" s="264"/>
    </row>
    <row r="753" spans="18:19" ht="24.75" customHeight="1" x14ac:dyDescent="0.2">
      <c r="R753" s="264"/>
      <c r="S753" s="264"/>
    </row>
    <row r="754" spans="18:19" ht="24.75" customHeight="1" x14ac:dyDescent="0.2">
      <c r="R754" s="263"/>
      <c r="S754" s="264"/>
    </row>
    <row r="755" spans="18:19" ht="24.75" customHeight="1" x14ac:dyDescent="0.2">
      <c r="R755" s="263"/>
      <c r="S755" s="264"/>
    </row>
    <row r="756" spans="18:19" ht="24.75" customHeight="1" x14ac:dyDescent="0.2">
      <c r="R756" s="263"/>
      <c r="S756" s="264"/>
    </row>
    <row r="757" spans="18:19" ht="24.75" customHeight="1" x14ac:dyDescent="0.2">
      <c r="R757" s="263"/>
      <c r="S757" s="264"/>
    </row>
    <row r="758" spans="18:19" ht="24.75" customHeight="1" x14ac:dyDescent="0.2">
      <c r="R758" s="263"/>
      <c r="S758" s="264"/>
    </row>
    <row r="759" spans="18:19" ht="24.75" customHeight="1" x14ac:dyDescent="0.2">
      <c r="R759" s="263"/>
      <c r="S759" s="264"/>
    </row>
    <row r="760" spans="18:19" ht="24.75" customHeight="1" x14ac:dyDescent="0.2">
      <c r="R760" s="264"/>
      <c r="S760" s="264"/>
    </row>
    <row r="761" spans="18:19" ht="24.75" customHeight="1" x14ac:dyDescent="0.2">
      <c r="R761" s="264"/>
      <c r="S761" s="264"/>
    </row>
    <row r="762" spans="18:19" ht="24.75" customHeight="1" x14ac:dyDescent="0.2">
      <c r="R762" s="263"/>
      <c r="S762" s="264"/>
    </row>
    <row r="763" spans="18:19" ht="24.75" customHeight="1" x14ac:dyDescent="0.2">
      <c r="R763" s="264"/>
      <c r="S763" s="264"/>
    </row>
    <row r="764" spans="18:19" ht="24.75" customHeight="1" x14ac:dyDescent="0.2">
      <c r="R764" s="264"/>
      <c r="S764" s="264"/>
    </row>
    <row r="765" spans="18:19" ht="24.75" customHeight="1" x14ac:dyDescent="0.2">
      <c r="R765" s="264"/>
      <c r="S765" s="264"/>
    </row>
    <row r="766" spans="18:19" ht="24.75" customHeight="1" x14ac:dyDescent="0.2">
      <c r="R766" s="264"/>
      <c r="S766" s="264"/>
    </row>
    <row r="767" spans="18:19" ht="24.75" customHeight="1" x14ac:dyDescent="0.2">
      <c r="R767" s="263"/>
      <c r="S767" s="264"/>
    </row>
    <row r="768" spans="18:19" ht="24.75" customHeight="1" x14ac:dyDescent="0.2">
      <c r="R768" s="263"/>
      <c r="S768" s="264"/>
    </row>
    <row r="769" spans="18:19" ht="24.75" customHeight="1" x14ac:dyDescent="0.2">
      <c r="R769" s="264"/>
      <c r="S769" s="264"/>
    </row>
    <row r="770" spans="18:19" ht="24.75" customHeight="1" x14ac:dyDescent="0.2">
      <c r="R770" s="264"/>
      <c r="S770" s="264"/>
    </row>
    <row r="771" spans="18:19" ht="24.75" customHeight="1" x14ac:dyDescent="0.2">
      <c r="R771" s="264"/>
      <c r="S771" s="264"/>
    </row>
    <row r="772" spans="18:19" ht="24.75" customHeight="1" x14ac:dyDescent="0.2">
      <c r="R772" s="263"/>
      <c r="S772" s="264"/>
    </row>
    <row r="773" spans="18:19" ht="24.75" customHeight="1" x14ac:dyDescent="0.2">
      <c r="R773" s="264"/>
      <c r="S773" s="264"/>
    </row>
    <row r="774" spans="18:19" ht="24.75" customHeight="1" x14ac:dyDescent="0.2">
      <c r="R774" s="264"/>
      <c r="S774" s="264"/>
    </row>
    <row r="775" spans="18:19" ht="24.75" customHeight="1" x14ac:dyDescent="0.2">
      <c r="R775" s="264"/>
      <c r="S775" s="264"/>
    </row>
    <row r="776" spans="18:19" ht="24.75" customHeight="1" x14ac:dyDescent="0.2">
      <c r="R776" s="263"/>
      <c r="S776" s="264"/>
    </row>
    <row r="777" spans="18:19" ht="24.75" customHeight="1" x14ac:dyDescent="0.2">
      <c r="R777" s="263"/>
      <c r="S777" s="264"/>
    </row>
    <row r="778" spans="18:19" ht="24.75" customHeight="1" x14ac:dyDescent="0.2">
      <c r="R778" s="264"/>
      <c r="S778" s="264"/>
    </row>
    <row r="779" spans="18:19" ht="24.75" customHeight="1" x14ac:dyDescent="0.2">
      <c r="R779" s="264"/>
      <c r="S779" s="266"/>
    </row>
    <row r="780" spans="18:19" ht="24.75" customHeight="1" x14ac:dyDescent="0.2">
      <c r="R780" s="264"/>
      <c r="S780" s="264"/>
    </row>
    <row r="781" spans="18:19" ht="24.75" customHeight="1" x14ac:dyDescent="0.2">
      <c r="R781" s="264"/>
      <c r="S781" s="264"/>
    </row>
    <row r="782" spans="18:19" ht="24.75" customHeight="1" x14ac:dyDescent="0.2">
      <c r="R782" s="263"/>
      <c r="S782" s="264"/>
    </row>
    <row r="783" spans="18:19" ht="24.75" customHeight="1" x14ac:dyDescent="0.2">
      <c r="R783" s="264"/>
      <c r="S783" s="264"/>
    </row>
    <row r="784" spans="18:19" ht="24.75" customHeight="1" x14ac:dyDescent="0.2">
      <c r="R784" s="264"/>
      <c r="S784" s="264"/>
    </row>
    <row r="785" spans="18:19" ht="24.75" customHeight="1" x14ac:dyDescent="0.2">
      <c r="R785" s="263"/>
      <c r="S785" s="264"/>
    </row>
    <row r="786" spans="18:19" ht="24.75" customHeight="1" x14ac:dyDescent="0.2">
      <c r="R786" s="263"/>
      <c r="S786" s="264"/>
    </row>
    <row r="787" spans="18:19" ht="24.75" customHeight="1" x14ac:dyDescent="0.2">
      <c r="R787" s="263"/>
      <c r="S787" s="264"/>
    </row>
    <row r="788" spans="18:19" ht="24.75" customHeight="1" x14ac:dyDescent="0.2">
      <c r="R788" s="263"/>
      <c r="S788" s="264"/>
    </row>
    <row r="789" spans="18:19" ht="24.75" customHeight="1" x14ac:dyDescent="0.2">
      <c r="R789" s="263"/>
      <c r="S789" s="264"/>
    </row>
    <row r="790" spans="18:19" ht="24.75" customHeight="1" x14ac:dyDescent="0.2">
      <c r="R790" s="263"/>
      <c r="S790" s="264"/>
    </row>
    <row r="791" spans="18:19" ht="24.75" customHeight="1" x14ac:dyDescent="0.2">
      <c r="R791" s="263"/>
      <c r="S791" s="264"/>
    </row>
    <row r="792" spans="18:19" ht="24.75" customHeight="1" x14ac:dyDescent="0.2">
      <c r="R792" s="263"/>
      <c r="S792" s="264"/>
    </row>
    <row r="793" spans="18:19" ht="24.75" customHeight="1" x14ac:dyDescent="0.2">
      <c r="R793" s="264"/>
      <c r="S793" s="264"/>
    </row>
    <row r="794" spans="18:19" ht="24.75" customHeight="1" x14ac:dyDescent="0.2">
      <c r="R794" s="264"/>
      <c r="S794" s="264"/>
    </row>
    <row r="795" spans="18:19" ht="24.75" customHeight="1" x14ac:dyDescent="0.2">
      <c r="R795" s="264"/>
      <c r="S795" s="264"/>
    </row>
    <row r="796" spans="18:19" ht="24.75" customHeight="1" x14ac:dyDescent="0.2">
      <c r="R796" s="264"/>
      <c r="S796" s="264"/>
    </row>
    <row r="797" spans="18:19" ht="24.75" customHeight="1" x14ac:dyDescent="0.2">
      <c r="R797" s="264"/>
      <c r="S797" s="264"/>
    </row>
    <row r="798" spans="18:19" ht="24.75" customHeight="1" x14ac:dyDescent="0.2">
      <c r="R798" s="264"/>
      <c r="S798" s="264"/>
    </row>
    <row r="799" spans="18:19" ht="24.75" customHeight="1" x14ac:dyDescent="0.2">
      <c r="R799" s="264"/>
      <c r="S799" s="264"/>
    </row>
    <row r="800" spans="18:19" ht="24.75" customHeight="1" x14ac:dyDescent="0.2">
      <c r="R800" s="264"/>
      <c r="S800" s="264"/>
    </row>
    <row r="801" spans="18:19" ht="24.75" customHeight="1" x14ac:dyDescent="0.2">
      <c r="R801" s="264"/>
      <c r="S801" s="264"/>
    </row>
    <row r="802" spans="18:19" ht="24.75" customHeight="1" x14ac:dyDescent="0.2">
      <c r="R802" s="263"/>
      <c r="S802" s="264"/>
    </row>
    <row r="803" spans="18:19" ht="24.75" customHeight="1" x14ac:dyDescent="0.2">
      <c r="R803" s="263"/>
      <c r="S803" s="264"/>
    </row>
    <row r="804" spans="18:19" ht="24.75" customHeight="1" x14ac:dyDescent="0.2">
      <c r="R804" s="264"/>
      <c r="S804" s="264"/>
    </row>
    <row r="805" spans="18:19" ht="24.75" customHeight="1" x14ac:dyDescent="0.2">
      <c r="R805" s="264"/>
      <c r="S805" s="264"/>
    </row>
    <row r="806" spans="18:19" ht="24.75" customHeight="1" x14ac:dyDescent="0.2">
      <c r="R806" s="264"/>
      <c r="S806" s="264"/>
    </row>
    <row r="807" spans="18:19" ht="24.75" customHeight="1" x14ac:dyDescent="0.2">
      <c r="R807" s="263"/>
      <c r="S807" s="264"/>
    </row>
    <row r="808" spans="18:19" ht="24.75" customHeight="1" x14ac:dyDescent="0.2">
      <c r="R808" s="263"/>
      <c r="S808" s="264"/>
    </row>
    <row r="809" spans="18:19" ht="24.75" customHeight="1" x14ac:dyDescent="0.2">
      <c r="R809" s="264"/>
      <c r="S809" s="264"/>
    </row>
    <row r="810" spans="18:19" ht="24.75" customHeight="1" x14ac:dyDescent="0.2">
      <c r="R810" s="264"/>
      <c r="S810" s="264"/>
    </row>
    <row r="811" spans="18:19" ht="24.75" customHeight="1" x14ac:dyDescent="0.2">
      <c r="R811" s="264"/>
      <c r="S811" s="264"/>
    </row>
    <row r="812" spans="18:19" ht="24.75" customHeight="1" x14ac:dyDescent="0.2">
      <c r="R812" s="264"/>
      <c r="S812" s="264"/>
    </row>
    <row r="813" spans="18:19" ht="24.75" customHeight="1" x14ac:dyDescent="0.2">
      <c r="R813" s="263"/>
      <c r="S813" s="264"/>
    </row>
    <row r="814" spans="18:19" ht="24.75" customHeight="1" x14ac:dyDescent="0.2">
      <c r="R814" s="264"/>
      <c r="S814" s="264"/>
    </row>
    <row r="815" spans="18:19" ht="24.75" customHeight="1" x14ac:dyDescent="0.2">
      <c r="R815" s="264"/>
      <c r="S815" s="264"/>
    </row>
    <row r="816" spans="18:19" ht="24.75" customHeight="1" x14ac:dyDescent="0.2">
      <c r="R816" s="264"/>
      <c r="S816" s="264"/>
    </row>
    <row r="817" spans="18:19" ht="24.75" customHeight="1" x14ac:dyDescent="0.2">
      <c r="R817" s="263"/>
      <c r="S817" s="264"/>
    </row>
    <row r="818" spans="18:19" ht="24.75" customHeight="1" x14ac:dyDescent="0.2">
      <c r="R818" s="263"/>
      <c r="S818" s="264"/>
    </row>
    <row r="819" spans="18:19" ht="24.75" customHeight="1" x14ac:dyDescent="0.2">
      <c r="R819" s="264"/>
      <c r="S819" s="264"/>
    </row>
    <row r="820" spans="18:19" ht="24.75" customHeight="1" x14ac:dyDescent="0.2">
      <c r="R820" s="263"/>
      <c r="S820" s="264"/>
    </row>
    <row r="821" spans="18:19" ht="24.75" customHeight="1" x14ac:dyDescent="0.2">
      <c r="R821" s="264"/>
      <c r="S821" s="264"/>
    </row>
    <row r="822" spans="18:19" ht="24.75" customHeight="1" x14ac:dyDescent="0.2">
      <c r="R822" s="263"/>
      <c r="S822" s="264"/>
    </row>
    <row r="823" spans="18:19" ht="24.75" customHeight="1" x14ac:dyDescent="0.2">
      <c r="R823" s="263"/>
      <c r="S823" s="264"/>
    </row>
    <row r="824" spans="18:19" ht="24.75" customHeight="1" x14ac:dyDescent="0.2">
      <c r="R824" s="264"/>
      <c r="S824" s="264"/>
    </row>
    <row r="825" spans="18:19" ht="24.75" customHeight="1" x14ac:dyDescent="0.2">
      <c r="R825" s="264"/>
      <c r="S825" s="264"/>
    </row>
    <row r="826" spans="18:19" ht="24.75" customHeight="1" x14ac:dyDescent="0.2">
      <c r="R826" s="264"/>
      <c r="S826" s="264"/>
    </row>
    <row r="827" spans="18:19" ht="24.75" customHeight="1" x14ac:dyDescent="0.2">
      <c r="R827" s="263"/>
      <c r="S827" s="264"/>
    </row>
    <row r="828" spans="18:19" ht="24.75" customHeight="1" x14ac:dyDescent="0.2">
      <c r="R828" s="264"/>
      <c r="S828" s="264"/>
    </row>
    <row r="829" spans="18:19" ht="24.75" customHeight="1" x14ac:dyDescent="0.2">
      <c r="R829" s="264"/>
      <c r="S829" s="264"/>
    </row>
    <row r="830" spans="18:19" ht="24.75" customHeight="1" x14ac:dyDescent="0.2">
      <c r="R830" s="263"/>
      <c r="S830" s="264"/>
    </row>
    <row r="831" spans="18:19" ht="24.75" customHeight="1" x14ac:dyDescent="0.2">
      <c r="R831" s="264"/>
      <c r="S831" s="264"/>
    </row>
    <row r="832" spans="18:19" ht="24.75" customHeight="1" x14ac:dyDescent="0.2">
      <c r="R832" s="263"/>
      <c r="S832" s="264"/>
    </row>
    <row r="833" spans="18:19" ht="24.75" customHeight="1" x14ac:dyDescent="0.2">
      <c r="R833" s="263"/>
      <c r="S833" s="264"/>
    </row>
    <row r="834" spans="18:19" ht="24.75" customHeight="1" x14ac:dyDescent="0.2">
      <c r="R834" s="264"/>
      <c r="S834" s="264"/>
    </row>
    <row r="835" spans="18:19" ht="24.75" customHeight="1" x14ac:dyDescent="0.2">
      <c r="R835" s="264"/>
      <c r="S835" s="264"/>
    </row>
    <row r="836" spans="18:19" ht="24.75" customHeight="1" x14ac:dyDescent="0.2">
      <c r="R836" s="263"/>
      <c r="S836" s="264"/>
    </row>
    <row r="837" spans="18:19" ht="24.75" customHeight="1" x14ac:dyDescent="0.2">
      <c r="R837" s="264"/>
      <c r="S837" s="264"/>
    </row>
    <row r="838" spans="18:19" ht="24.75" customHeight="1" x14ac:dyDescent="0.2">
      <c r="R838" s="264"/>
      <c r="S838" s="264"/>
    </row>
    <row r="839" spans="18:19" ht="24.75" customHeight="1" x14ac:dyDescent="0.2">
      <c r="R839" s="264"/>
      <c r="S839" s="264"/>
    </row>
    <row r="840" spans="18:19" ht="24.75" customHeight="1" x14ac:dyDescent="0.2">
      <c r="R840" s="264"/>
      <c r="S840" s="264"/>
    </row>
    <row r="841" spans="18:19" ht="24.75" customHeight="1" x14ac:dyDescent="0.2">
      <c r="R841" s="264"/>
      <c r="S841" s="264"/>
    </row>
    <row r="842" spans="18:19" ht="24.75" customHeight="1" x14ac:dyDescent="0.2">
      <c r="R842" s="264"/>
      <c r="S842" s="264"/>
    </row>
    <row r="843" spans="18:19" ht="24.75" customHeight="1" x14ac:dyDescent="0.2">
      <c r="R843" s="264"/>
      <c r="S843" s="264"/>
    </row>
    <row r="844" spans="18:19" ht="24.75" customHeight="1" x14ac:dyDescent="0.2">
      <c r="R844" s="264"/>
      <c r="S844" s="264"/>
    </row>
    <row r="845" spans="18:19" ht="24.75" customHeight="1" x14ac:dyDescent="0.2">
      <c r="R845" s="264"/>
      <c r="S845" s="264"/>
    </row>
    <row r="846" spans="18:19" ht="24.75" customHeight="1" x14ac:dyDescent="0.2">
      <c r="R846" s="264"/>
      <c r="S846" s="264"/>
    </row>
    <row r="847" spans="18:19" ht="24.75" customHeight="1" x14ac:dyDescent="0.2">
      <c r="R847" s="263"/>
      <c r="S847" s="264"/>
    </row>
    <row r="848" spans="18:19" ht="24.75" customHeight="1" x14ac:dyDescent="0.2">
      <c r="R848" s="264"/>
      <c r="S848" s="264"/>
    </row>
    <row r="849" spans="18:19" ht="24.75" customHeight="1" x14ac:dyDescent="0.2">
      <c r="R849" s="264"/>
      <c r="S849" s="264"/>
    </row>
    <row r="850" spans="18:19" ht="24.75" customHeight="1" x14ac:dyDescent="0.2">
      <c r="R850" s="264"/>
      <c r="S850" s="264"/>
    </row>
    <row r="851" spans="18:19" ht="24.75" customHeight="1" x14ac:dyDescent="0.2">
      <c r="R851" s="263"/>
      <c r="S851" s="264"/>
    </row>
    <row r="852" spans="18:19" ht="24.75" customHeight="1" x14ac:dyDescent="0.2">
      <c r="R852" s="263"/>
      <c r="S852" s="264"/>
    </row>
    <row r="853" spans="18:19" ht="24.75" customHeight="1" x14ac:dyDescent="0.2">
      <c r="R853" s="263"/>
      <c r="S853" s="264"/>
    </row>
    <row r="854" spans="18:19" ht="24.75" customHeight="1" x14ac:dyDescent="0.2">
      <c r="R854" s="264"/>
      <c r="S854" s="264"/>
    </row>
    <row r="855" spans="18:19" ht="24.75" customHeight="1" x14ac:dyDescent="0.2">
      <c r="R855" s="263"/>
      <c r="S855" s="264"/>
    </row>
    <row r="856" spans="18:19" ht="24.75" customHeight="1" x14ac:dyDescent="0.2">
      <c r="R856" s="264"/>
      <c r="S856" s="264"/>
    </row>
    <row r="857" spans="18:19" ht="24.75" customHeight="1" x14ac:dyDescent="0.2">
      <c r="R857" s="264"/>
      <c r="S857" s="264"/>
    </row>
    <row r="858" spans="18:19" ht="24.75" customHeight="1" x14ac:dyDescent="0.2">
      <c r="R858" s="264"/>
      <c r="S858" s="264"/>
    </row>
    <row r="859" spans="18:19" ht="24.75" customHeight="1" x14ac:dyDescent="0.2">
      <c r="R859" s="263"/>
      <c r="S859" s="264"/>
    </row>
    <row r="860" spans="18:19" ht="24.75" customHeight="1" x14ac:dyDescent="0.2">
      <c r="R860" s="263"/>
      <c r="S860" s="264"/>
    </row>
    <row r="861" spans="18:19" ht="24.75" customHeight="1" x14ac:dyDescent="0.2">
      <c r="R861" s="264"/>
      <c r="S861" s="264"/>
    </row>
    <row r="862" spans="18:19" ht="24.75" customHeight="1" x14ac:dyDescent="0.2">
      <c r="R862" s="263"/>
      <c r="S862" s="264"/>
    </row>
    <row r="863" spans="18:19" ht="24.75" customHeight="1" x14ac:dyDescent="0.2">
      <c r="R863" s="264"/>
      <c r="S863" s="264"/>
    </row>
    <row r="864" spans="18:19" ht="24.75" customHeight="1" x14ac:dyDescent="0.2">
      <c r="R864" s="264"/>
      <c r="S864" s="264"/>
    </row>
    <row r="865" spans="18:19" ht="24.75" customHeight="1" x14ac:dyDescent="0.2">
      <c r="R865" s="263"/>
      <c r="S865" s="264"/>
    </row>
    <row r="866" spans="18:19" ht="24.75" customHeight="1" x14ac:dyDescent="0.2">
      <c r="R866" s="263"/>
      <c r="S866" s="264"/>
    </row>
    <row r="867" spans="18:19" ht="24.75" customHeight="1" x14ac:dyDescent="0.2">
      <c r="R867" s="264"/>
      <c r="S867" s="264"/>
    </row>
    <row r="868" spans="18:19" ht="24.75" customHeight="1" x14ac:dyDescent="0.2">
      <c r="R868" s="264"/>
      <c r="S868" s="264"/>
    </row>
    <row r="869" spans="18:19" ht="24.75" customHeight="1" x14ac:dyDescent="0.2">
      <c r="R869" s="263"/>
      <c r="S869" s="264"/>
    </row>
    <row r="870" spans="18:19" ht="24.75" customHeight="1" x14ac:dyDescent="0.2">
      <c r="R870" s="264"/>
      <c r="S870" s="264"/>
    </row>
    <row r="871" spans="18:19" ht="24.75" customHeight="1" x14ac:dyDescent="0.2">
      <c r="R871" s="263"/>
      <c r="S871" s="264"/>
    </row>
    <row r="872" spans="18:19" ht="24.75" customHeight="1" x14ac:dyDescent="0.2">
      <c r="R872" s="263"/>
      <c r="S872" s="264"/>
    </row>
    <row r="873" spans="18:19" ht="24.75" customHeight="1" x14ac:dyDescent="0.2">
      <c r="R873" s="263"/>
      <c r="S873" s="264"/>
    </row>
    <row r="874" spans="18:19" ht="24.75" customHeight="1" x14ac:dyDescent="0.2">
      <c r="R874" s="263"/>
      <c r="S874" s="264"/>
    </row>
    <row r="875" spans="18:19" ht="24.75" customHeight="1" x14ac:dyDescent="0.2">
      <c r="R875" s="267"/>
      <c r="S875" s="267"/>
    </row>
    <row r="876" spans="18:19" ht="24.75" customHeight="1" x14ac:dyDescent="0.2">
      <c r="R876" s="263"/>
      <c r="S876" s="264"/>
    </row>
    <row r="877" spans="18:19" ht="24.75" customHeight="1" x14ac:dyDescent="0.2">
      <c r="R877" s="264"/>
      <c r="S877" s="264"/>
    </row>
    <row r="878" spans="18:19" ht="24.75" customHeight="1" x14ac:dyDescent="0.2">
      <c r="R878" s="264"/>
      <c r="S878" s="264"/>
    </row>
    <row r="879" spans="18:19" ht="24.75" customHeight="1" x14ac:dyDescent="0.2">
      <c r="R879" s="263"/>
      <c r="S879" s="264"/>
    </row>
    <row r="880" spans="18:19" ht="24.75" customHeight="1" x14ac:dyDescent="0.2">
      <c r="R880" s="263"/>
      <c r="S880" s="264"/>
    </row>
    <row r="881" spans="18:19" ht="24.75" customHeight="1" x14ac:dyDescent="0.2">
      <c r="R881" s="263"/>
      <c r="S881" s="264"/>
    </row>
    <row r="882" spans="18:19" ht="24.75" customHeight="1" x14ac:dyDescent="0.2">
      <c r="R882" s="263"/>
      <c r="S882" s="264"/>
    </row>
    <row r="883" spans="18:19" ht="24.75" customHeight="1" x14ac:dyDescent="0.2">
      <c r="R883" s="263"/>
      <c r="S883" s="264"/>
    </row>
    <row r="884" spans="18:19" ht="24.75" customHeight="1" x14ac:dyDescent="0.2">
      <c r="R884" s="264"/>
      <c r="S884" s="264"/>
    </row>
    <row r="885" spans="18:19" ht="24.75" customHeight="1" x14ac:dyDescent="0.2">
      <c r="R885" s="263"/>
      <c r="S885" s="264"/>
    </row>
    <row r="886" spans="18:19" ht="24.75" customHeight="1" x14ac:dyDescent="0.2">
      <c r="R886" s="264"/>
      <c r="S886" s="264"/>
    </row>
    <row r="887" spans="18:19" ht="24.75" customHeight="1" x14ac:dyDescent="0.2">
      <c r="R887" s="263"/>
      <c r="S887" s="264"/>
    </row>
    <row r="888" spans="18:19" ht="24.75" customHeight="1" x14ac:dyDescent="0.2">
      <c r="R888" s="263"/>
      <c r="S888" s="264"/>
    </row>
    <row r="889" spans="18:19" ht="24.75" customHeight="1" x14ac:dyDescent="0.2">
      <c r="R889" s="264"/>
      <c r="S889" s="264"/>
    </row>
    <row r="890" spans="18:19" ht="24.75" customHeight="1" x14ac:dyDescent="0.2">
      <c r="R890" s="264"/>
      <c r="S890" s="264"/>
    </row>
    <row r="891" spans="18:19" ht="24.75" customHeight="1" x14ac:dyDescent="0.2">
      <c r="R891" s="263"/>
      <c r="S891" s="264"/>
    </row>
    <row r="892" spans="18:19" ht="24.75" customHeight="1" x14ac:dyDescent="0.2">
      <c r="R892" s="263"/>
      <c r="S892" s="264"/>
    </row>
    <row r="893" spans="18:19" ht="24.75" customHeight="1" x14ac:dyDescent="0.2">
      <c r="R893" s="263"/>
      <c r="S893" s="264"/>
    </row>
    <row r="894" spans="18:19" ht="24.75" customHeight="1" x14ac:dyDescent="0.2">
      <c r="R894" s="264"/>
      <c r="S894" s="264"/>
    </row>
    <row r="895" spans="18:19" ht="24.75" customHeight="1" x14ac:dyDescent="0.2">
      <c r="R895" s="263"/>
      <c r="S895" s="264"/>
    </row>
    <row r="896" spans="18:19" ht="24.75" customHeight="1" x14ac:dyDescent="0.2">
      <c r="R896" s="263"/>
      <c r="S896" s="264"/>
    </row>
    <row r="897" spans="18:19" ht="24.75" customHeight="1" x14ac:dyDescent="0.2">
      <c r="R897" s="263"/>
      <c r="S897" s="264"/>
    </row>
    <row r="898" spans="18:19" ht="24.75" customHeight="1" x14ac:dyDescent="0.2">
      <c r="R898" s="264"/>
      <c r="S898" s="264"/>
    </row>
    <row r="899" spans="18:19" ht="24.75" customHeight="1" x14ac:dyDescent="0.2">
      <c r="R899" s="264"/>
      <c r="S899" s="264"/>
    </row>
    <row r="900" spans="18:19" ht="24.75" customHeight="1" x14ac:dyDescent="0.2">
      <c r="R900" s="264"/>
      <c r="S900" s="264"/>
    </row>
    <row r="901" spans="18:19" ht="24.75" customHeight="1" x14ac:dyDescent="0.2">
      <c r="R901" s="264"/>
      <c r="S901" s="264"/>
    </row>
    <row r="902" spans="18:19" ht="24.75" customHeight="1" x14ac:dyDescent="0.2">
      <c r="R902" s="264"/>
      <c r="S902" s="264"/>
    </row>
    <row r="903" spans="18:19" ht="24.75" customHeight="1" x14ac:dyDescent="0.2">
      <c r="R903" s="264"/>
      <c r="S903" s="264"/>
    </row>
    <row r="904" spans="18:19" ht="24.75" customHeight="1" x14ac:dyDescent="0.2">
      <c r="R904" s="263"/>
      <c r="S904" s="264"/>
    </row>
    <row r="905" spans="18:19" ht="24.75" customHeight="1" x14ac:dyDescent="0.2">
      <c r="R905" s="263"/>
      <c r="S905" s="264"/>
    </row>
    <row r="906" spans="18:19" ht="24.75" customHeight="1" x14ac:dyDescent="0.2">
      <c r="R906" s="263"/>
      <c r="S906" s="264"/>
    </row>
    <row r="907" spans="18:19" ht="24.75" customHeight="1" x14ac:dyDescent="0.2">
      <c r="R907" s="264"/>
      <c r="S907" s="264"/>
    </row>
    <row r="908" spans="18:19" ht="24.75" customHeight="1" x14ac:dyDescent="0.2">
      <c r="R908" s="264"/>
      <c r="S908" s="264"/>
    </row>
    <row r="909" spans="18:19" ht="24.75" customHeight="1" x14ac:dyDescent="0.2">
      <c r="R909" s="263"/>
      <c r="S909" s="264"/>
    </row>
    <row r="910" spans="18:19" ht="24.75" customHeight="1" x14ac:dyDescent="0.2">
      <c r="R910" s="263"/>
      <c r="S910" s="264"/>
    </row>
    <row r="911" spans="18:19" ht="24.75" customHeight="1" x14ac:dyDescent="0.2">
      <c r="R911" s="263"/>
      <c r="S911" s="264"/>
    </row>
    <row r="912" spans="18:19" ht="24.75" customHeight="1" x14ac:dyDescent="0.2">
      <c r="R912" s="264"/>
      <c r="S912" s="264"/>
    </row>
    <row r="913" spans="18:19" ht="24.75" customHeight="1" x14ac:dyDescent="0.2">
      <c r="R913" s="263"/>
      <c r="S913" s="264"/>
    </row>
    <row r="914" spans="18:19" ht="24.75" customHeight="1" x14ac:dyDescent="0.2">
      <c r="R914" s="263"/>
      <c r="S914" s="264"/>
    </row>
    <row r="915" spans="18:19" ht="24.75" customHeight="1" x14ac:dyDescent="0.2">
      <c r="R915" s="263"/>
      <c r="S915" s="264"/>
    </row>
    <row r="916" spans="18:19" ht="24.75" customHeight="1" x14ac:dyDescent="0.2">
      <c r="R916" s="263"/>
      <c r="S916" s="264"/>
    </row>
    <row r="917" spans="18:19" ht="24.75" customHeight="1" x14ac:dyDescent="0.2">
      <c r="R917" s="263"/>
      <c r="S917" s="264"/>
    </row>
    <row r="918" spans="18:19" ht="24.75" customHeight="1" x14ac:dyDescent="0.2">
      <c r="R918" s="263"/>
      <c r="S918" s="264"/>
    </row>
    <row r="919" spans="18:19" ht="24.75" customHeight="1" x14ac:dyDescent="0.2">
      <c r="R919" s="264"/>
      <c r="S919" s="264"/>
    </row>
    <row r="920" spans="18:19" ht="24.75" customHeight="1" x14ac:dyDescent="0.2">
      <c r="R920" s="264"/>
      <c r="S920" s="264"/>
    </row>
    <row r="921" spans="18:19" ht="24.75" customHeight="1" x14ac:dyDescent="0.2">
      <c r="R921" s="263"/>
      <c r="S921" s="264"/>
    </row>
    <row r="922" spans="18:19" ht="24.75" customHeight="1" x14ac:dyDescent="0.2">
      <c r="R922" s="264"/>
      <c r="S922" s="264"/>
    </row>
    <row r="923" spans="18:19" ht="24.75" customHeight="1" x14ac:dyDescent="0.2">
      <c r="R923" s="264"/>
      <c r="S923" s="264"/>
    </row>
    <row r="924" spans="18:19" ht="24.75" customHeight="1" x14ac:dyDescent="0.2">
      <c r="R924" s="263"/>
      <c r="S924" s="264"/>
    </row>
    <row r="925" spans="18:19" ht="24.75" customHeight="1" x14ac:dyDescent="0.2">
      <c r="R925" s="264"/>
      <c r="S925" s="264"/>
    </row>
    <row r="926" spans="18:19" ht="24.75" customHeight="1" x14ac:dyDescent="0.2">
      <c r="R926" s="263"/>
      <c r="S926" s="264"/>
    </row>
    <row r="927" spans="18:19" ht="24.75" customHeight="1" x14ac:dyDescent="0.2">
      <c r="R927" s="264"/>
      <c r="S927" s="264"/>
    </row>
    <row r="928" spans="18:19" ht="24.75" customHeight="1" x14ac:dyDescent="0.2">
      <c r="R928" s="264"/>
      <c r="S928" s="264"/>
    </row>
    <row r="929" spans="18:19" ht="24.75" customHeight="1" x14ac:dyDescent="0.2">
      <c r="R929" s="264"/>
      <c r="S929" s="264"/>
    </row>
    <row r="930" spans="18:19" ht="24.75" customHeight="1" x14ac:dyDescent="0.2">
      <c r="R930" s="263"/>
      <c r="S930" s="264"/>
    </row>
    <row r="931" spans="18:19" ht="24.75" customHeight="1" x14ac:dyDescent="0.2">
      <c r="R931" s="264"/>
      <c r="S931" s="264"/>
    </row>
    <row r="932" spans="18:19" ht="24.75" customHeight="1" x14ac:dyDescent="0.2">
      <c r="R932" s="264"/>
      <c r="S932" s="264"/>
    </row>
    <row r="933" spans="18:19" ht="24.75" customHeight="1" x14ac:dyDescent="0.2">
      <c r="R933" s="264"/>
      <c r="S933" s="264"/>
    </row>
    <row r="934" spans="18:19" ht="24.75" customHeight="1" x14ac:dyDescent="0.2">
      <c r="R934" s="264"/>
      <c r="S934" s="264"/>
    </row>
    <row r="935" spans="18:19" ht="24.75" customHeight="1" x14ac:dyDescent="0.2">
      <c r="R935" s="264"/>
      <c r="S935" s="264"/>
    </row>
    <row r="936" spans="18:19" ht="24.75" customHeight="1" x14ac:dyDescent="0.2">
      <c r="R936" s="264"/>
      <c r="S936" s="264"/>
    </row>
    <row r="937" spans="18:19" ht="24.75" customHeight="1" x14ac:dyDescent="0.2">
      <c r="R937" s="264"/>
      <c r="S937" s="264"/>
    </row>
    <row r="938" spans="18:19" ht="24.75" customHeight="1" x14ac:dyDescent="0.2">
      <c r="R938" s="264"/>
      <c r="S938" s="264"/>
    </row>
    <row r="939" spans="18:19" ht="24.75" customHeight="1" x14ac:dyDescent="0.2">
      <c r="R939" s="263"/>
      <c r="S939" s="264"/>
    </row>
    <row r="940" spans="18:19" ht="24.75" customHeight="1" x14ac:dyDescent="0.2">
      <c r="R940" s="263"/>
      <c r="S940" s="264"/>
    </row>
    <row r="941" spans="18:19" ht="24.75" customHeight="1" x14ac:dyDescent="0.2">
      <c r="R941" s="251"/>
      <c r="S941" s="251"/>
    </row>
    <row r="942" spans="18:19" ht="24.75" customHeight="1" x14ac:dyDescent="0.2">
      <c r="R942" s="251"/>
      <c r="S942" s="251"/>
    </row>
    <row r="943" spans="18:19" ht="24.75" customHeight="1" x14ac:dyDescent="0.2">
      <c r="R943" s="267"/>
      <c r="S943" s="267"/>
    </row>
    <row r="944" spans="18:19" ht="24.75" customHeight="1" x14ac:dyDescent="0.2">
      <c r="R944" s="251"/>
      <c r="S944" s="251"/>
    </row>
    <row r="945" spans="18:19" ht="24.75" customHeight="1" x14ac:dyDescent="0.2">
      <c r="R945" s="251"/>
      <c r="S945" s="251"/>
    </row>
    <row r="946" spans="18:19" ht="24.75" customHeight="1" x14ac:dyDescent="0.2">
      <c r="R946" s="251"/>
      <c r="S946" s="251"/>
    </row>
    <row r="947" spans="18:19" ht="24.75" customHeight="1" x14ac:dyDescent="0.2">
      <c r="R947" s="251"/>
      <c r="S947" s="267"/>
    </row>
    <row r="948" spans="18:19" ht="24.75" customHeight="1" x14ac:dyDescent="0.2">
      <c r="R948" s="251"/>
      <c r="S948" s="251"/>
    </row>
    <row r="949" spans="18:19" ht="24.75" customHeight="1" x14ac:dyDescent="0.2">
      <c r="R949" s="251"/>
      <c r="S949" s="251"/>
    </row>
    <row r="950" spans="18:19" ht="24.75" customHeight="1" x14ac:dyDescent="0.2">
      <c r="R950" s="251"/>
      <c r="S950" s="251"/>
    </row>
    <row r="951" spans="18:19" ht="24.75" customHeight="1" x14ac:dyDescent="0.2">
      <c r="R951" s="251"/>
      <c r="S951" s="267"/>
    </row>
    <row r="952" spans="18:19" ht="24.75" customHeight="1" x14ac:dyDescent="0.2">
      <c r="R952" s="251"/>
      <c r="S952" s="251"/>
    </row>
    <row r="953" spans="18:19" ht="24.75" customHeight="1" x14ac:dyDescent="0.2">
      <c r="R953" s="251"/>
      <c r="S953" s="251"/>
    </row>
    <row r="954" spans="18:19" ht="24.75" customHeight="1" x14ac:dyDescent="0.2">
      <c r="R954" s="251"/>
      <c r="S954" s="251"/>
    </row>
    <row r="955" spans="18:19" ht="24.75" customHeight="1" x14ac:dyDescent="0.2">
      <c r="R955" s="251"/>
      <c r="S955" s="251"/>
    </row>
    <row r="956" spans="18:19" ht="24.75" customHeight="1" x14ac:dyDescent="0.2">
      <c r="R956" s="251"/>
      <c r="S956" s="251"/>
    </row>
    <row r="957" spans="18:19" ht="24.75" customHeight="1" x14ac:dyDescent="0.2">
      <c r="R957" s="251"/>
      <c r="S957" s="251"/>
    </row>
    <row r="958" spans="18:19" ht="24.75" customHeight="1" x14ac:dyDescent="0.2">
      <c r="R958" s="251"/>
      <c r="S958" s="251"/>
    </row>
    <row r="959" spans="18:19" ht="24.75" customHeight="1" x14ac:dyDescent="0.2">
      <c r="R959" s="251"/>
      <c r="S959" s="251"/>
    </row>
    <row r="960" spans="18:19" ht="24.75" customHeight="1" x14ac:dyDescent="0.2">
      <c r="R960" s="251"/>
      <c r="S960" s="251"/>
    </row>
    <row r="961" spans="18:19" ht="24.75" customHeight="1" x14ac:dyDescent="0.2">
      <c r="R961" s="251"/>
      <c r="S961" s="251"/>
    </row>
    <row r="962" spans="18:19" ht="24.75" customHeight="1" x14ac:dyDescent="0.2">
      <c r="R962" s="251"/>
      <c r="S962" s="268"/>
    </row>
    <row r="963" spans="18:19" ht="24.75" customHeight="1" x14ac:dyDescent="0.2">
      <c r="R963" s="251"/>
      <c r="S963" s="267"/>
    </row>
    <row r="964" spans="18:19" ht="24.75" customHeight="1" x14ac:dyDescent="0.2">
      <c r="R964" s="251"/>
      <c r="S964" s="267"/>
    </row>
    <row r="965" spans="18:19" ht="24.75" customHeight="1" x14ac:dyDescent="0.2">
      <c r="R965" s="251"/>
      <c r="S965" s="268"/>
    </row>
    <row r="966" spans="18:19" ht="24.75" customHeight="1" x14ac:dyDescent="0.2">
      <c r="R966" s="251"/>
      <c r="S966" s="268"/>
    </row>
    <row r="967" spans="18:19" ht="24.75" customHeight="1" x14ac:dyDescent="0.2">
      <c r="R967" s="251"/>
      <c r="S967" s="267"/>
    </row>
    <row r="968" spans="18:19" ht="24.75" customHeight="1" x14ac:dyDescent="0.2">
      <c r="R968" s="251"/>
      <c r="S968" s="267"/>
    </row>
    <row r="969" spans="18:19" ht="24.75" customHeight="1" x14ac:dyDescent="0.2">
      <c r="R969" s="251"/>
      <c r="S969" s="251"/>
    </row>
    <row r="970" spans="18:19" ht="24.75" customHeight="1" x14ac:dyDescent="0.2">
      <c r="R970" s="251"/>
      <c r="S970" s="267"/>
    </row>
    <row r="971" spans="18:19" ht="24.75" customHeight="1" x14ac:dyDescent="0.2">
      <c r="R971" s="268"/>
      <c r="S971" s="267"/>
    </row>
    <row r="972" spans="18:19" ht="24.75" customHeight="1" x14ac:dyDescent="0.2">
      <c r="R972" s="251"/>
      <c r="S972" s="251"/>
    </row>
    <row r="973" spans="18:19" ht="24.75" customHeight="1" x14ac:dyDescent="0.2">
      <c r="R973" s="251"/>
      <c r="S973" s="264"/>
    </row>
    <row r="974" spans="18:19" ht="24.75" customHeight="1" x14ac:dyDescent="0.2">
      <c r="R974" s="268"/>
      <c r="S974" s="267"/>
    </row>
    <row r="975" spans="18:19" ht="24.75" customHeight="1" x14ac:dyDescent="0.2">
      <c r="R975" s="268"/>
      <c r="S975" s="264"/>
    </row>
    <row r="976" spans="18:19" ht="24.75" customHeight="1" x14ac:dyDescent="0.2">
      <c r="R976" s="251"/>
      <c r="S976" s="251"/>
    </row>
    <row r="977" spans="18:19" ht="24.75" customHeight="1" x14ac:dyDescent="0.2">
      <c r="R977" s="251"/>
      <c r="S977" s="251"/>
    </row>
    <row r="978" spans="18:19" ht="24.75" customHeight="1" x14ac:dyDescent="0.2">
      <c r="R978" s="251"/>
      <c r="S978" s="251"/>
    </row>
    <row r="979" spans="18:19" ht="24.75" customHeight="1" x14ac:dyDescent="0.2">
      <c r="R979" s="267"/>
      <c r="S979" s="267"/>
    </row>
    <row r="980" spans="18:19" ht="24.75" customHeight="1" x14ac:dyDescent="0.2">
      <c r="R980" s="267"/>
      <c r="S980" s="267"/>
    </row>
    <row r="981" spans="18:19" ht="24.75" customHeight="1" x14ac:dyDescent="0.2">
      <c r="R981" s="267"/>
      <c r="S981" s="267"/>
    </row>
    <row r="982" spans="18:19" ht="24.75" customHeight="1" x14ac:dyDescent="0.2">
      <c r="R982" s="267"/>
      <c r="S982" s="267"/>
    </row>
    <row r="983" spans="18:19" ht="24.75" customHeight="1" x14ac:dyDescent="0.2">
      <c r="R983" s="267"/>
      <c r="S983" s="267"/>
    </row>
    <row r="984" spans="18:19" ht="24.75" customHeight="1" x14ac:dyDescent="0.2">
      <c r="R984" s="267"/>
      <c r="S984" s="267"/>
    </row>
    <row r="985" spans="18:19" ht="24.75" customHeight="1" x14ac:dyDescent="0.2">
      <c r="R985" s="267"/>
      <c r="S985" s="267"/>
    </row>
    <row r="986" spans="18:19" ht="24.75" customHeight="1" x14ac:dyDescent="0.2">
      <c r="R986" s="267"/>
      <c r="S986" s="267"/>
    </row>
    <row r="987" spans="18:19" ht="24.75" customHeight="1" x14ac:dyDescent="0.2">
      <c r="R987" s="267"/>
      <c r="S987" s="267"/>
    </row>
    <row r="988" spans="18:19" ht="24.75" customHeight="1" x14ac:dyDescent="0.2">
      <c r="R988" s="267"/>
      <c r="S988" s="267"/>
    </row>
    <row r="989" spans="18:19" ht="24.75" customHeight="1" x14ac:dyDescent="0.2">
      <c r="R989" s="267"/>
      <c r="S989" s="267"/>
    </row>
    <row r="990" spans="18:19" ht="24.75" customHeight="1" x14ac:dyDescent="0.2">
      <c r="R990" s="267"/>
      <c r="S990" s="267"/>
    </row>
    <row r="991" spans="18:19" ht="24.75" customHeight="1" x14ac:dyDescent="0.2">
      <c r="R991" s="267"/>
      <c r="S991" s="267"/>
    </row>
    <row r="992" spans="18:19" ht="24.75" customHeight="1" x14ac:dyDescent="0.2">
      <c r="R992" s="267"/>
      <c r="S992" s="267"/>
    </row>
    <row r="993" spans="18:19" ht="24.75" customHeight="1" x14ac:dyDescent="0.2">
      <c r="R993" s="267"/>
      <c r="S993" s="267"/>
    </row>
    <row r="994" spans="18:19" ht="24.75" customHeight="1" x14ac:dyDescent="0.2">
      <c r="R994" s="267"/>
      <c r="S994" s="267"/>
    </row>
    <row r="995" spans="18:19" ht="24.75" customHeight="1" x14ac:dyDescent="0.2">
      <c r="R995" s="267"/>
      <c r="S995" s="267"/>
    </row>
    <row r="996" spans="18:19" ht="24.75" customHeight="1" x14ac:dyDescent="0.2">
      <c r="R996" s="267"/>
      <c r="S996" s="267"/>
    </row>
    <row r="997" spans="18:19" ht="24.75" customHeight="1" x14ac:dyDescent="0.2">
      <c r="R997" s="267"/>
      <c r="S997" s="267"/>
    </row>
    <row r="998" spans="18:19" ht="24.75" customHeight="1" x14ac:dyDescent="0.2">
      <c r="R998" s="267"/>
      <c r="S998" s="267"/>
    </row>
    <row r="999" spans="18:19" ht="24.75" customHeight="1" x14ac:dyDescent="0.2">
      <c r="R999" s="267"/>
      <c r="S999" s="267"/>
    </row>
    <row r="1000" spans="18:19" ht="24.75" customHeight="1" x14ac:dyDescent="0.2">
      <c r="R1000" s="267"/>
      <c r="S1000" s="267"/>
    </row>
    <row r="1001" spans="18:19" ht="24.75" customHeight="1" x14ac:dyDescent="0.2">
      <c r="R1001" s="267"/>
      <c r="S1001" s="267"/>
    </row>
    <row r="1002" spans="18:19" ht="24.75" customHeight="1" x14ac:dyDescent="0.2">
      <c r="R1002" s="267"/>
      <c r="S1002" s="267"/>
    </row>
    <row r="1003" spans="18:19" ht="24.75" customHeight="1" x14ac:dyDescent="0.2">
      <c r="R1003" s="267"/>
      <c r="S1003" s="267"/>
    </row>
    <row r="1004" spans="18:19" ht="24.75" customHeight="1" x14ac:dyDescent="0.2">
      <c r="R1004" s="267"/>
      <c r="S1004" s="267"/>
    </row>
    <row r="1005" spans="18:19" ht="24.75" customHeight="1" x14ac:dyDescent="0.2">
      <c r="R1005" s="267"/>
      <c r="S1005" s="267"/>
    </row>
    <row r="1006" spans="18:19" ht="24.75" customHeight="1" x14ac:dyDescent="0.2">
      <c r="R1006" s="267"/>
      <c r="S1006" s="267"/>
    </row>
    <row r="1007" spans="18:19" ht="24.75" customHeight="1" x14ac:dyDescent="0.2">
      <c r="R1007" s="267"/>
      <c r="S1007" s="267"/>
    </row>
    <row r="1008" spans="18:19" ht="24.75" customHeight="1" x14ac:dyDescent="0.2">
      <c r="R1008" s="267"/>
      <c r="S1008" s="267"/>
    </row>
    <row r="1009" spans="18:19" ht="24.75" customHeight="1" x14ac:dyDescent="0.2">
      <c r="R1009" s="267"/>
      <c r="S1009" s="267"/>
    </row>
    <row r="1010" spans="18:19" ht="24.75" customHeight="1" x14ac:dyDescent="0.2">
      <c r="R1010" s="267"/>
      <c r="S1010" s="267"/>
    </row>
    <row r="1011" spans="18:19" ht="24.75" customHeight="1" x14ac:dyDescent="0.2">
      <c r="R1011" s="267"/>
      <c r="S1011" s="267"/>
    </row>
    <row r="1012" spans="18:19" ht="24.75" customHeight="1" x14ac:dyDescent="0.2">
      <c r="R1012" s="267"/>
      <c r="S1012" s="267"/>
    </row>
    <row r="1013" spans="18:19" ht="24.75" customHeight="1" x14ac:dyDescent="0.2">
      <c r="R1013" s="267"/>
      <c r="S1013" s="267"/>
    </row>
    <row r="1014" spans="18:19" ht="24.75" customHeight="1" x14ac:dyDescent="0.2">
      <c r="R1014" s="267"/>
      <c r="S1014" s="267"/>
    </row>
    <row r="1015" spans="18:19" ht="24.75" customHeight="1" x14ac:dyDescent="0.2">
      <c r="R1015" s="267"/>
      <c r="S1015" s="267"/>
    </row>
    <row r="1016" spans="18:19" ht="24.75" customHeight="1" x14ac:dyDescent="0.2">
      <c r="R1016" s="267"/>
      <c r="S1016" s="267"/>
    </row>
    <row r="1017" spans="18:19" ht="24.75" customHeight="1" x14ac:dyDescent="0.2">
      <c r="R1017" s="267"/>
      <c r="S1017" s="267"/>
    </row>
    <row r="1018" spans="18:19" ht="24.75" customHeight="1" x14ac:dyDescent="0.2">
      <c r="R1018" s="267"/>
      <c r="S1018" s="267"/>
    </row>
    <row r="1019" spans="18:19" ht="24.75" customHeight="1" x14ac:dyDescent="0.2">
      <c r="R1019" s="267"/>
      <c r="S1019" s="267"/>
    </row>
    <row r="1020" spans="18:19" ht="24.75" customHeight="1" x14ac:dyDescent="0.2">
      <c r="R1020" s="267"/>
      <c r="S1020" s="267"/>
    </row>
    <row r="1021" spans="18:19" ht="24.75" customHeight="1" x14ac:dyDescent="0.2">
      <c r="R1021" s="267"/>
      <c r="S1021" s="267"/>
    </row>
    <row r="1022" spans="18:19" ht="24.75" customHeight="1" x14ac:dyDescent="0.2">
      <c r="R1022" s="267"/>
      <c r="S1022" s="267"/>
    </row>
    <row r="1023" spans="18:19" ht="24.75" customHeight="1" x14ac:dyDescent="0.2">
      <c r="R1023" s="267"/>
      <c r="S1023" s="267"/>
    </row>
    <row r="1024" spans="18:19" ht="24.75" customHeight="1" x14ac:dyDescent="0.2">
      <c r="R1024" s="267"/>
      <c r="S1024" s="267"/>
    </row>
    <row r="1025" spans="18:19" ht="24.75" customHeight="1" x14ac:dyDescent="0.2">
      <c r="R1025" s="267"/>
      <c r="S1025" s="267"/>
    </row>
    <row r="1026" spans="18:19" ht="24.75" customHeight="1" x14ac:dyDescent="0.2">
      <c r="R1026" s="267"/>
      <c r="S1026" s="267"/>
    </row>
    <row r="1027" spans="18:19" ht="24.75" customHeight="1" x14ac:dyDescent="0.2">
      <c r="R1027" s="267"/>
      <c r="S1027" s="267"/>
    </row>
    <row r="1028" spans="18:19" ht="24.75" customHeight="1" x14ac:dyDescent="0.2">
      <c r="R1028" s="267"/>
      <c r="S1028" s="267"/>
    </row>
    <row r="1029" spans="18:19" ht="24.75" customHeight="1" x14ac:dyDescent="0.2">
      <c r="R1029" s="267"/>
      <c r="S1029" s="267"/>
    </row>
    <row r="1030" spans="18:19" ht="24.75" customHeight="1" x14ac:dyDescent="0.2">
      <c r="R1030" s="267"/>
      <c r="S1030" s="267"/>
    </row>
    <row r="1031" spans="18:19" ht="24.75" customHeight="1" x14ac:dyDescent="0.2">
      <c r="R1031" s="267"/>
      <c r="S1031" s="267"/>
    </row>
    <row r="1032" spans="18:19" ht="24.75" customHeight="1" x14ac:dyDescent="0.2">
      <c r="R1032" s="267"/>
      <c r="S1032" s="267"/>
    </row>
    <row r="1033" spans="18:19" ht="24.75" customHeight="1" x14ac:dyDescent="0.2">
      <c r="R1033" s="267"/>
      <c r="S1033" s="267"/>
    </row>
    <row r="1034" spans="18:19" ht="24.75" customHeight="1" x14ac:dyDescent="0.2">
      <c r="R1034" s="267"/>
      <c r="S1034" s="267"/>
    </row>
    <row r="1035" spans="18:19" ht="24.75" customHeight="1" x14ac:dyDescent="0.2">
      <c r="R1035" s="267"/>
      <c r="S1035" s="267"/>
    </row>
    <row r="1036" spans="18:19" ht="24.75" customHeight="1" x14ac:dyDescent="0.2">
      <c r="R1036" s="267"/>
      <c r="S1036" s="267"/>
    </row>
    <row r="1037" spans="18:19" ht="24.75" customHeight="1" x14ac:dyDescent="0.2">
      <c r="R1037" s="267"/>
      <c r="S1037" s="267"/>
    </row>
    <row r="1038" spans="18:19" ht="24.75" customHeight="1" x14ac:dyDescent="0.2">
      <c r="R1038" s="267"/>
      <c r="S1038" s="267"/>
    </row>
    <row r="1039" spans="18:19" ht="24.75" customHeight="1" x14ac:dyDescent="0.2">
      <c r="R1039" s="267"/>
      <c r="S1039" s="267"/>
    </row>
    <row r="1040" spans="18:19" ht="24.75" customHeight="1" x14ac:dyDescent="0.2">
      <c r="R1040" s="267"/>
      <c r="S1040" s="267"/>
    </row>
    <row r="1041" spans="18:19" ht="24.75" customHeight="1" x14ac:dyDescent="0.2">
      <c r="R1041" s="267"/>
      <c r="S1041" s="267"/>
    </row>
    <row r="1042" spans="18:19" ht="24.75" customHeight="1" x14ac:dyDescent="0.2">
      <c r="R1042" s="267"/>
      <c r="S1042" s="267"/>
    </row>
    <row r="1043" spans="18:19" ht="24.75" customHeight="1" x14ac:dyDescent="0.2">
      <c r="R1043" s="267"/>
      <c r="S1043" s="267"/>
    </row>
    <row r="1044" spans="18:19" ht="24.75" customHeight="1" x14ac:dyDescent="0.2">
      <c r="R1044" s="267"/>
      <c r="S1044" s="267"/>
    </row>
    <row r="1045" spans="18:19" ht="24.75" customHeight="1" x14ac:dyDescent="0.2">
      <c r="R1045" s="267"/>
      <c r="S1045" s="267"/>
    </row>
    <row r="1046" spans="18:19" ht="24.75" customHeight="1" x14ac:dyDescent="0.2">
      <c r="R1046" s="267"/>
      <c r="S1046" s="267"/>
    </row>
    <row r="1047" spans="18:19" ht="24.75" customHeight="1" x14ac:dyDescent="0.2">
      <c r="R1047" s="267"/>
      <c r="S1047" s="267"/>
    </row>
    <row r="1048" spans="18:19" ht="24.75" customHeight="1" x14ac:dyDescent="0.2">
      <c r="R1048" s="267"/>
      <c r="S1048" s="267"/>
    </row>
    <row r="1049" spans="18:19" ht="24.75" customHeight="1" x14ac:dyDescent="0.2">
      <c r="R1049" s="267"/>
      <c r="S1049" s="267"/>
    </row>
    <row r="1050" spans="18:19" ht="24.75" customHeight="1" x14ac:dyDescent="0.2">
      <c r="R1050" s="267"/>
      <c r="S1050" s="267"/>
    </row>
    <row r="1051" spans="18:19" ht="24.75" customHeight="1" x14ac:dyDescent="0.2">
      <c r="R1051" s="267"/>
      <c r="S1051" s="267"/>
    </row>
    <row r="1052" spans="18:19" ht="24.75" customHeight="1" x14ac:dyDescent="0.2">
      <c r="R1052" s="267"/>
      <c r="S1052" s="267"/>
    </row>
    <row r="1053" spans="18:19" ht="24.75" customHeight="1" x14ac:dyDescent="0.2">
      <c r="R1053" s="267"/>
      <c r="S1053" s="267"/>
    </row>
    <row r="1054" spans="18:19" ht="24.75" customHeight="1" x14ac:dyDescent="0.2">
      <c r="R1054" s="267"/>
      <c r="S1054" s="267"/>
    </row>
    <row r="1055" spans="18:19" ht="24.75" customHeight="1" x14ac:dyDescent="0.2">
      <c r="R1055" s="267"/>
      <c r="S1055" s="267"/>
    </row>
    <row r="1056" spans="18:19" ht="24.75" customHeight="1" x14ac:dyDescent="0.2">
      <c r="R1056" s="267"/>
      <c r="S1056" s="267"/>
    </row>
    <row r="1057" spans="18:19" ht="24.75" customHeight="1" x14ac:dyDescent="0.2">
      <c r="R1057" s="267"/>
      <c r="S1057" s="267"/>
    </row>
    <row r="1058" spans="18:19" ht="24.75" customHeight="1" x14ac:dyDescent="0.2">
      <c r="R1058" s="267"/>
      <c r="S1058" s="267"/>
    </row>
    <row r="1059" spans="18:19" ht="24.75" customHeight="1" x14ac:dyDescent="0.2">
      <c r="R1059" s="267"/>
      <c r="S1059" s="267"/>
    </row>
    <row r="1060" spans="18:19" ht="24.75" customHeight="1" x14ac:dyDescent="0.2">
      <c r="R1060" s="267"/>
      <c r="S1060" s="267"/>
    </row>
    <row r="1061" spans="18:19" ht="24.75" customHeight="1" x14ac:dyDescent="0.2">
      <c r="R1061" s="267"/>
      <c r="S1061" s="267"/>
    </row>
    <row r="1062" spans="18:19" ht="24.75" customHeight="1" x14ac:dyDescent="0.2">
      <c r="R1062" s="267"/>
      <c r="S1062" s="267"/>
    </row>
    <row r="1063" spans="18:19" ht="24.75" customHeight="1" x14ac:dyDescent="0.2">
      <c r="R1063" s="267"/>
      <c r="S1063" s="267"/>
    </row>
    <row r="1064" spans="18:19" ht="24.75" customHeight="1" x14ac:dyDescent="0.2">
      <c r="R1064" s="267"/>
      <c r="S1064" s="267"/>
    </row>
    <row r="1065" spans="18:19" ht="24.75" customHeight="1" x14ac:dyDescent="0.2">
      <c r="R1065" s="267"/>
      <c r="S1065" s="267"/>
    </row>
    <row r="1066" spans="18:19" ht="24.75" customHeight="1" x14ac:dyDescent="0.2">
      <c r="R1066" s="267"/>
      <c r="S1066" s="267"/>
    </row>
    <row r="1067" spans="18:19" ht="24.75" customHeight="1" x14ac:dyDescent="0.2">
      <c r="R1067" s="267"/>
      <c r="S1067" s="267"/>
    </row>
    <row r="1068" spans="18:19" ht="24.75" customHeight="1" x14ac:dyDescent="0.2">
      <c r="R1068" s="267"/>
      <c r="S1068" s="267"/>
    </row>
    <row r="1069" spans="18:19" ht="24.75" customHeight="1" x14ac:dyDescent="0.2">
      <c r="R1069" s="267"/>
      <c r="S1069" s="267"/>
    </row>
    <row r="1070" spans="18:19" ht="24.75" customHeight="1" x14ac:dyDescent="0.2">
      <c r="R1070" s="267"/>
      <c r="S1070" s="267"/>
    </row>
    <row r="1071" spans="18:19" ht="24.75" customHeight="1" x14ac:dyDescent="0.2">
      <c r="R1071" s="267"/>
      <c r="S1071" s="267"/>
    </row>
    <row r="1072" spans="18:19" ht="24.75" customHeight="1" x14ac:dyDescent="0.2">
      <c r="R1072" s="267"/>
      <c r="S1072" s="267"/>
    </row>
    <row r="1073" spans="18:19" ht="24.75" customHeight="1" x14ac:dyDescent="0.2">
      <c r="R1073" s="267"/>
      <c r="S1073" s="267"/>
    </row>
    <row r="1074" spans="18:19" ht="24.75" customHeight="1" x14ac:dyDescent="0.2">
      <c r="R1074" s="267"/>
      <c r="S1074" s="267"/>
    </row>
    <row r="1075" spans="18:19" ht="24.75" customHeight="1" x14ac:dyDescent="0.2">
      <c r="R1075" s="267"/>
      <c r="S1075" s="267"/>
    </row>
    <row r="1076" spans="18:19" ht="24.75" customHeight="1" x14ac:dyDescent="0.2">
      <c r="R1076" s="267"/>
      <c r="S1076" s="267"/>
    </row>
    <row r="1077" spans="18:19" ht="24.75" customHeight="1" x14ac:dyDescent="0.2">
      <c r="R1077" s="267"/>
      <c r="S1077" s="267"/>
    </row>
    <row r="1078" spans="18:19" ht="24.75" customHeight="1" x14ac:dyDescent="0.2">
      <c r="R1078" s="267"/>
      <c r="S1078" s="267"/>
    </row>
    <row r="1079" spans="18:19" ht="24.75" customHeight="1" x14ac:dyDescent="0.2">
      <c r="R1079" s="267"/>
      <c r="S1079" s="267"/>
    </row>
    <row r="1080" spans="18:19" ht="24.75" customHeight="1" x14ac:dyDescent="0.2">
      <c r="R1080" s="267"/>
      <c r="S1080" s="267"/>
    </row>
    <row r="1081" spans="18:19" ht="24.75" customHeight="1" x14ac:dyDescent="0.2">
      <c r="R1081" s="267"/>
      <c r="S1081" s="267"/>
    </row>
    <row r="1082" spans="18:19" ht="24.75" customHeight="1" x14ac:dyDescent="0.2">
      <c r="R1082" s="267"/>
      <c r="S1082" s="267"/>
    </row>
    <row r="1083" spans="18:19" ht="24.75" customHeight="1" x14ac:dyDescent="0.2">
      <c r="R1083" s="267"/>
      <c r="S1083" s="267"/>
    </row>
    <row r="1084" spans="18:19" ht="24.75" customHeight="1" x14ac:dyDescent="0.2">
      <c r="R1084" s="267"/>
      <c r="S1084" s="267"/>
    </row>
    <row r="1085" spans="18:19" ht="24.75" customHeight="1" x14ac:dyDescent="0.2">
      <c r="R1085" s="267"/>
      <c r="S1085" s="267"/>
    </row>
    <row r="1086" spans="18:19" ht="24.75" customHeight="1" x14ac:dyDescent="0.2">
      <c r="R1086" s="267"/>
      <c r="S1086" s="267"/>
    </row>
    <row r="1087" spans="18:19" ht="24.75" customHeight="1" x14ac:dyDescent="0.2">
      <c r="R1087" s="267"/>
      <c r="S1087" s="267"/>
    </row>
    <row r="1088" spans="18:19" ht="24.75" customHeight="1" x14ac:dyDescent="0.2">
      <c r="R1088" s="267"/>
      <c r="S1088" s="267"/>
    </row>
    <row r="1089" spans="18:19" ht="24.75" customHeight="1" x14ac:dyDescent="0.2">
      <c r="R1089" s="267"/>
      <c r="S1089" s="267"/>
    </row>
    <row r="1090" spans="18:19" ht="24.75" customHeight="1" x14ac:dyDescent="0.2">
      <c r="R1090" s="267"/>
      <c r="S1090" s="267"/>
    </row>
    <row r="1091" spans="18:19" ht="24.75" customHeight="1" x14ac:dyDescent="0.2">
      <c r="R1091" s="267"/>
      <c r="S1091" s="267"/>
    </row>
    <row r="1092" spans="18:19" ht="24.75" customHeight="1" x14ac:dyDescent="0.2">
      <c r="R1092" s="267"/>
      <c r="S1092" s="267"/>
    </row>
    <row r="1093" spans="18:19" ht="24.75" customHeight="1" x14ac:dyDescent="0.2">
      <c r="R1093" s="267"/>
      <c r="S1093" s="267"/>
    </row>
    <row r="1094" spans="18:19" ht="24.75" customHeight="1" x14ac:dyDescent="0.2">
      <c r="R1094" s="267"/>
      <c r="S1094" s="267"/>
    </row>
    <row r="1095" spans="18:19" ht="24.75" customHeight="1" x14ac:dyDescent="0.2">
      <c r="R1095" s="267"/>
      <c r="S1095" s="267"/>
    </row>
    <row r="1096" spans="18:19" ht="24.75" customHeight="1" x14ac:dyDescent="0.2">
      <c r="R1096" s="267"/>
      <c r="S1096" s="267"/>
    </row>
    <row r="1097" spans="18:19" ht="24.75" customHeight="1" x14ac:dyDescent="0.2">
      <c r="R1097" s="267"/>
      <c r="S1097" s="267"/>
    </row>
    <row r="1098" spans="18:19" ht="24.75" customHeight="1" x14ac:dyDescent="0.2">
      <c r="R1098" s="267"/>
      <c r="S1098" s="267"/>
    </row>
    <row r="1099" spans="18:19" ht="24.75" customHeight="1" x14ac:dyDescent="0.2">
      <c r="R1099" s="267"/>
      <c r="S1099" s="267"/>
    </row>
    <row r="1100" spans="18:19" ht="24.75" customHeight="1" x14ac:dyDescent="0.2">
      <c r="R1100" s="267"/>
      <c r="S1100" s="267"/>
    </row>
    <row r="1101" spans="18:19" ht="24.75" customHeight="1" x14ac:dyDescent="0.2">
      <c r="R1101" s="267"/>
      <c r="S1101" s="267"/>
    </row>
    <row r="1102" spans="18:19" ht="24.75" customHeight="1" x14ac:dyDescent="0.2">
      <c r="R1102" s="267"/>
      <c r="S1102" s="267"/>
    </row>
    <row r="1103" spans="18:19" ht="24.75" customHeight="1" x14ac:dyDescent="0.2">
      <c r="R1103" s="267"/>
      <c r="S1103" s="267"/>
    </row>
    <row r="1104" spans="18:19" ht="24.75" customHeight="1" x14ac:dyDescent="0.2">
      <c r="R1104" s="267"/>
      <c r="S1104" s="267"/>
    </row>
    <row r="1105" spans="18:19" ht="24.75" customHeight="1" x14ac:dyDescent="0.2">
      <c r="R1105" s="267"/>
      <c r="S1105" s="267"/>
    </row>
    <row r="1106" spans="18:19" ht="24.75" customHeight="1" x14ac:dyDescent="0.2">
      <c r="R1106" s="267"/>
      <c r="S1106" s="267"/>
    </row>
    <row r="1107" spans="18:19" ht="24.75" customHeight="1" x14ac:dyDescent="0.2">
      <c r="R1107" s="267"/>
      <c r="S1107" s="267"/>
    </row>
    <row r="1108" spans="18:19" ht="24.75" customHeight="1" x14ac:dyDescent="0.2">
      <c r="R1108" s="267"/>
      <c r="S1108" s="267"/>
    </row>
    <row r="1109" spans="18:19" ht="24.75" customHeight="1" x14ac:dyDescent="0.2">
      <c r="R1109" s="267"/>
      <c r="S1109" s="267"/>
    </row>
    <row r="1110" spans="18:19" ht="24.75" customHeight="1" x14ac:dyDescent="0.2">
      <c r="R1110" s="267"/>
      <c r="S1110" s="267"/>
    </row>
    <row r="1111" spans="18:19" ht="24.75" customHeight="1" x14ac:dyDescent="0.2">
      <c r="R1111" s="267"/>
      <c r="S1111" s="267"/>
    </row>
    <row r="1112" spans="18:19" ht="24.75" customHeight="1" x14ac:dyDescent="0.2">
      <c r="R1112" s="267"/>
      <c r="S1112" s="267"/>
    </row>
    <row r="1113" spans="18:19" ht="24.75" customHeight="1" x14ac:dyDescent="0.2">
      <c r="R1113" s="267"/>
      <c r="S1113" s="267"/>
    </row>
    <row r="1114" spans="18:19" ht="24.75" customHeight="1" x14ac:dyDescent="0.2">
      <c r="R1114" s="267"/>
      <c r="S1114" s="267"/>
    </row>
    <row r="1115" spans="18:19" ht="24.75" customHeight="1" x14ac:dyDescent="0.2">
      <c r="R1115" s="267"/>
      <c r="S1115" s="267"/>
    </row>
  </sheetData>
  <conditionalFormatting sqref="D3:D11">
    <cfRule type="duplicateValues" dxfId="24" priority="18"/>
    <cfRule type="duplicateValues" dxfId="23" priority="19"/>
    <cfRule type="duplicateValues" dxfId="22" priority="20"/>
  </conditionalFormatting>
  <conditionalFormatting sqref="D13:D14"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  <cfRule type="duplicateValues" dxfId="15" priority="17"/>
  </conditionalFormatting>
  <conditionalFormatting sqref="F4 F6:F11">
    <cfRule type="duplicateValues" dxfId="14" priority="8"/>
    <cfRule type="duplicateValues" dxfId="13" priority="9"/>
    <cfRule type="duplicateValues" dxfId="12" priority="10"/>
  </conditionalFormatting>
  <conditionalFormatting sqref="F5">
    <cfRule type="duplicateValues" dxfId="11" priority="3"/>
    <cfRule type="duplicateValues" dxfId="10" priority="4"/>
    <cfRule type="duplicateValues" dxfId="9" priority="5"/>
  </conditionalFormatting>
  <conditionalFormatting sqref="G4 G6:G11">
    <cfRule type="duplicateValues" dxfId="8" priority="6"/>
    <cfRule type="duplicateValues" dxfId="7" priority="7"/>
  </conditionalFormatting>
  <conditionalFormatting sqref="G5">
    <cfRule type="duplicateValues" dxfId="6" priority="1"/>
    <cfRule type="duplicateValues" dxfId="5" priority="2"/>
  </conditionalFormatting>
  <dataValidations count="1">
    <dataValidation allowBlank="1" showInputMessage="1" showErrorMessage="1" sqref="C6:C11 B3:D5 D13 E20 L2:L23 L25:L54 Q3:Q6 E5:E11 F10:F11 I5:J11" xr:uid="{B38E0AF4-2B0D-45D5-9E94-3B39AD3FD761}"/>
  </dataValidations>
  <hyperlinks>
    <hyperlink ref="I5" r:id="rId1" xr:uid="{C0B6410E-35A7-4DD5-A393-17F4DAF5D64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F908-6F58-4777-8999-6DC984A9857E}">
  <dimension ref="B3:H33"/>
  <sheetViews>
    <sheetView workbookViewId="0">
      <selection activeCell="B3" sqref="B3"/>
    </sheetView>
  </sheetViews>
  <sheetFormatPr defaultRowHeight="20.25" customHeight="1" x14ac:dyDescent="0.2"/>
  <cols>
    <col min="1" max="1" width="9.140625" style="133"/>
    <col min="2" max="2" width="25.42578125" style="133" bestFit="1" customWidth="1"/>
    <col min="3" max="3" width="8" style="133" customWidth="1"/>
    <col min="4" max="4" width="12.28515625" style="133" customWidth="1"/>
    <col min="5" max="5" width="38.5703125" style="133" customWidth="1"/>
    <col min="6" max="6" width="17" style="133" customWidth="1"/>
    <col min="7" max="7" width="31.5703125" style="133" bestFit="1" customWidth="1"/>
    <col min="8" max="8" width="35.42578125" style="133" customWidth="1"/>
    <col min="9" max="16384" width="9.140625" style="133"/>
  </cols>
  <sheetData>
    <row r="3" spans="2:8" ht="20.25" customHeight="1" x14ac:dyDescent="0.2">
      <c r="B3" s="216" t="s">
        <v>38</v>
      </c>
      <c r="C3" s="216" t="s">
        <v>39</v>
      </c>
      <c r="D3" s="216" t="s">
        <v>42</v>
      </c>
      <c r="E3" s="217" t="s">
        <v>64</v>
      </c>
      <c r="F3" s="217" t="s">
        <v>48</v>
      </c>
      <c r="G3" s="217" t="s">
        <v>87</v>
      </c>
      <c r="H3" s="217" t="s">
        <v>68</v>
      </c>
    </row>
    <row r="4" spans="2:8" ht="20.25" customHeight="1" x14ac:dyDescent="0.2">
      <c r="B4" s="130" t="s">
        <v>169</v>
      </c>
      <c r="C4" s="130">
        <v>2</v>
      </c>
      <c r="D4" s="130" t="s">
        <v>5323</v>
      </c>
      <c r="E4" s="130" t="s">
        <v>5324</v>
      </c>
      <c r="F4" s="130" t="s">
        <v>5325</v>
      </c>
      <c r="G4" s="130" t="s">
        <v>5326</v>
      </c>
      <c r="H4" s="135">
        <v>66528.259999999995</v>
      </c>
    </row>
    <row r="5" spans="2:8" ht="20.25" customHeight="1" x14ac:dyDescent="0.2">
      <c r="B5" s="130" t="s">
        <v>169</v>
      </c>
      <c r="C5" s="130">
        <v>2</v>
      </c>
      <c r="D5" s="130" t="s">
        <v>5327</v>
      </c>
      <c r="E5" s="130" t="s">
        <v>5328</v>
      </c>
      <c r="F5" s="130" t="s">
        <v>5329</v>
      </c>
      <c r="G5" s="130" t="s">
        <v>5326</v>
      </c>
      <c r="H5" s="135">
        <v>60000</v>
      </c>
    </row>
    <row r="6" spans="2:8" ht="20.25" customHeight="1" x14ac:dyDescent="0.2">
      <c r="B6" s="130" t="s">
        <v>169</v>
      </c>
      <c r="C6" s="130">
        <v>2</v>
      </c>
      <c r="D6" s="130" t="s">
        <v>5330</v>
      </c>
      <c r="E6" s="130" t="s">
        <v>5328</v>
      </c>
      <c r="F6" s="130" t="s">
        <v>5329</v>
      </c>
      <c r="G6" s="130" t="s">
        <v>5326</v>
      </c>
      <c r="H6" s="135">
        <v>60000</v>
      </c>
    </row>
    <row r="7" spans="2:8" ht="20.25" customHeight="1" x14ac:dyDescent="0.2">
      <c r="B7" s="130" t="s">
        <v>169</v>
      </c>
      <c r="C7" s="130">
        <v>2</v>
      </c>
      <c r="D7" s="130" t="s">
        <v>5331</v>
      </c>
      <c r="E7" s="130" t="s">
        <v>5332</v>
      </c>
      <c r="F7" s="130" t="s">
        <v>5333</v>
      </c>
      <c r="G7" s="130" t="s">
        <v>5326</v>
      </c>
      <c r="H7" s="135">
        <v>71112.509999999995</v>
      </c>
    </row>
    <row r="8" spans="2:8" ht="20.25" customHeight="1" x14ac:dyDescent="0.2">
      <c r="B8" s="130" t="s">
        <v>169</v>
      </c>
      <c r="C8" s="130">
        <v>2</v>
      </c>
      <c r="D8" s="130" t="s">
        <v>5334</v>
      </c>
      <c r="E8" s="130" t="s">
        <v>5335</v>
      </c>
      <c r="F8" s="130" t="s">
        <v>5336</v>
      </c>
      <c r="G8" s="130" t="s">
        <v>5326</v>
      </c>
      <c r="H8" s="213">
        <v>100370.59</v>
      </c>
    </row>
    <row r="9" spans="2:8" ht="20.25" customHeight="1" x14ac:dyDescent="0.2">
      <c r="B9" s="130" t="s">
        <v>169</v>
      </c>
      <c r="C9" s="130">
        <v>2</v>
      </c>
      <c r="D9" s="130" t="s">
        <v>5337</v>
      </c>
      <c r="E9" s="130" t="s">
        <v>5338</v>
      </c>
      <c r="F9" s="130" t="s">
        <v>5339</v>
      </c>
      <c r="G9" s="130" t="s">
        <v>5326</v>
      </c>
      <c r="H9" s="135">
        <v>60000</v>
      </c>
    </row>
    <row r="10" spans="2:8" ht="20.25" customHeight="1" x14ac:dyDescent="0.2">
      <c r="B10" s="130" t="s">
        <v>169</v>
      </c>
      <c r="C10" s="130">
        <v>2</v>
      </c>
      <c r="D10" s="132" t="s">
        <v>5340</v>
      </c>
      <c r="E10" s="132" t="s">
        <v>5341</v>
      </c>
      <c r="F10" s="130" t="s">
        <v>5342</v>
      </c>
      <c r="G10" s="130" t="s">
        <v>5326</v>
      </c>
      <c r="H10" s="135">
        <v>60000</v>
      </c>
    </row>
    <row r="11" spans="2:8" ht="20.25" customHeight="1" x14ac:dyDescent="0.2">
      <c r="B11" s="130" t="s">
        <v>169</v>
      </c>
      <c r="C11" s="130">
        <v>2</v>
      </c>
      <c r="D11" s="130" t="s">
        <v>5343</v>
      </c>
      <c r="E11" s="130" t="s">
        <v>5344</v>
      </c>
      <c r="F11" s="130" t="s">
        <v>99</v>
      </c>
      <c r="G11" s="130" t="s">
        <v>5326</v>
      </c>
      <c r="H11" s="135">
        <v>60000</v>
      </c>
    </row>
    <row r="12" spans="2:8" ht="20.25" customHeight="1" x14ac:dyDescent="0.2">
      <c r="B12" s="130" t="s">
        <v>169</v>
      </c>
      <c r="C12" s="130">
        <v>2</v>
      </c>
      <c r="D12" s="130" t="s">
        <v>149</v>
      </c>
      <c r="E12" s="130" t="s">
        <v>5345</v>
      </c>
      <c r="F12" s="130" t="s">
        <v>5346</v>
      </c>
      <c r="G12" s="130" t="s">
        <v>5326</v>
      </c>
      <c r="H12" s="135">
        <v>87351.82</v>
      </c>
    </row>
    <row r="13" spans="2:8" ht="20.25" customHeight="1" x14ac:dyDescent="0.2">
      <c r="B13" s="130" t="s">
        <v>169</v>
      </c>
      <c r="C13" s="130">
        <v>2</v>
      </c>
      <c r="D13" s="130" t="s">
        <v>5347</v>
      </c>
      <c r="E13" s="130" t="s">
        <v>5348</v>
      </c>
      <c r="F13" s="130" t="s">
        <v>5349</v>
      </c>
      <c r="G13" s="130" t="s">
        <v>5326</v>
      </c>
      <c r="H13" s="135">
        <v>56418.89</v>
      </c>
    </row>
    <row r="14" spans="2:8" ht="20.25" customHeight="1" x14ac:dyDescent="0.2">
      <c r="B14" s="130" t="s">
        <v>169</v>
      </c>
      <c r="C14" s="130">
        <v>2</v>
      </c>
      <c r="D14" s="130" t="s">
        <v>5350</v>
      </c>
      <c r="E14" s="130" t="s">
        <v>5351</v>
      </c>
      <c r="F14" s="130" t="s">
        <v>5349</v>
      </c>
      <c r="G14" s="130" t="s">
        <v>5326</v>
      </c>
      <c r="H14" s="135">
        <v>60000</v>
      </c>
    </row>
    <row r="15" spans="2:8" ht="20.25" customHeight="1" x14ac:dyDescent="0.2">
      <c r="B15" s="130" t="s">
        <v>169</v>
      </c>
      <c r="C15" s="130">
        <v>4</v>
      </c>
      <c r="D15" s="130" t="s">
        <v>528</v>
      </c>
      <c r="E15" s="132" t="s">
        <v>5352</v>
      </c>
      <c r="F15" s="132" t="s">
        <v>5353</v>
      </c>
      <c r="G15" s="130" t="s">
        <v>5326</v>
      </c>
      <c r="H15" s="135">
        <v>60000</v>
      </c>
    </row>
    <row r="16" spans="2:8" ht="20.25" customHeight="1" x14ac:dyDescent="0.2">
      <c r="B16" s="130" t="s">
        <v>169</v>
      </c>
      <c r="C16" s="130">
        <v>4</v>
      </c>
      <c r="D16" s="130" t="s">
        <v>684</v>
      </c>
      <c r="E16" s="130" t="s">
        <v>5354</v>
      </c>
      <c r="F16" s="130" t="s">
        <v>5355</v>
      </c>
      <c r="G16" s="130" t="s">
        <v>5326</v>
      </c>
      <c r="H16" s="135">
        <v>60000</v>
      </c>
    </row>
    <row r="17" spans="2:8" ht="20.25" customHeight="1" x14ac:dyDescent="0.2">
      <c r="B17" s="130" t="s">
        <v>169</v>
      </c>
      <c r="C17" s="130">
        <v>4</v>
      </c>
      <c r="D17" s="130" t="s">
        <v>689</v>
      </c>
      <c r="E17" s="130" t="s">
        <v>5356</v>
      </c>
      <c r="F17" s="130" t="s">
        <v>99</v>
      </c>
      <c r="G17" s="130" t="s">
        <v>5326</v>
      </c>
      <c r="H17" s="135">
        <v>60000</v>
      </c>
    </row>
    <row r="18" spans="2:8" ht="20.25" customHeight="1" x14ac:dyDescent="0.2">
      <c r="B18" s="214"/>
      <c r="C18" s="214"/>
      <c r="D18" s="215"/>
      <c r="E18" s="131"/>
      <c r="F18" s="131"/>
      <c r="G18" s="131"/>
      <c r="H18" s="131"/>
    </row>
    <row r="19" spans="2:8" ht="20.25" customHeight="1" x14ac:dyDescent="0.2">
      <c r="B19" s="155"/>
      <c r="C19" s="155"/>
      <c r="D19" s="156"/>
      <c r="E19" s="130"/>
      <c r="F19" s="130"/>
      <c r="G19" s="130"/>
      <c r="H19" s="130"/>
    </row>
    <row r="20" spans="2:8" ht="20.25" customHeight="1" x14ac:dyDescent="0.2">
      <c r="B20" s="134"/>
      <c r="C20" s="134"/>
      <c r="D20" s="134"/>
      <c r="E20" s="134"/>
      <c r="F20" s="134"/>
      <c r="G20" s="134"/>
      <c r="H20" s="134"/>
    </row>
    <row r="21" spans="2:8" ht="20.25" customHeight="1" x14ac:dyDescent="0.2">
      <c r="B21" s="134"/>
      <c r="C21" s="134"/>
      <c r="D21" s="134"/>
      <c r="E21" s="134"/>
      <c r="F21" s="134"/>
      <c r="G21" s="134"/>
      <c r="H21" s="134"/>
    </row>
    <row r="22" spans="2:8" ht="20.25" customHeight="1" x14ac:dyDescent="0.2">
      <c r="B22" s="134"/>
      <c r="C22" s="134"/>
      <c r="D22" s="134"/>
      <c r="E22" s="134"/>
      <c r="F22" s="134"/>
      <c r="G22" s="134"/>
      <c r="H22" s="134"/>
    </row>
    <row r="23" spans="2:8" ht="20.25" customHeight="1" x14ac:dyDescent="0.2">
      <c r="B23" s="130" t="s">
        <v>169</v>
      </c>
      <c r="C23" s="130">
        <v>2</v>
      </c>
      <c r="D23" s="130" t="s">
        <v>5347</v>
      </c>
      <c r="E23" s="130" t="s">
        <v>5348</v>
      </c>
      <c r="F23" s="130" t="s">
        <v>5349</v>
      </c>
      <c r="G23" s="130" t="s">
        <v>28</v>
      </c>
      <c r="H23" s="130"/>
    </row>
    <row r="24" spans="2:8" ht="20.25" customHeight="1" x14ac:dyDescent="0.2">
      <c r="B24" s="130" t="s">
        <v>169</v>
      </c>
      <c r="C24" s="130">
        <v>2</v>
      </c>
      <c r="D24" s="130" t="s">
        <v>5357</v>
      </c>
      <c r="E24" s="130" t="s">
        <v>5358</v>
      </c>
      <c r="F24" s="130" t="s">
        <v>5359</v>
      </c>
      <c r="G24" s="130" t="s">
        <v>28</v>
      </c>
      <c r="H24" s="130"/>
    </row>
    <row r="25" spans="2:8" ht="20.25" customHeight="1" x14ac:dyDescent="0.2">
      <c r="B25" s="130" t="s">
        <v>169</v>
      </c>
      <c r="C25" s="130">
        <v>2</v>
      </c>
      <c r="D25" s="130" t="s">
        <v>5360</v>
      </c>
      <c r="E25" s="130" t="s">
        <v>5361</v>
      </c>
      <c r="F25" s="130" t="s">
        <v>5361</v>
      </c>
      <c r="G25" s="130" t="s">
        <v>28</v>
      </c>
      <c r="H25" s="130"/>
    </row>
    <row r="26" spans="2:8" ht="20.25" customHeight="1" x14ac:dyDescent="0.2">
      <c r="B26" s="130" t="s">
        <v>169</v>
      </c>
      <c r="C26" s="130">
        <v>2</v>
      </c>
      <c r="D26" s="130" t="s">
        <v>5350</v>
      </c>
      <c r="E26" s="130" t="s">
        <v>5351</v>
      </c>
      <c r="F26" s="130" t="s">
        <v>5349</v>
      </c>
      <c r="G26" s="130" t="s">
        <v>28</v>
      </c>
      <c r="H26" s="130"/>
    </row>
    <row r="27" spans="2:8" ht="20.25" customHeight="1" x14ac:dyDescent="0.2">
      <c r="B27" s="134" t="s">
        <v>169</v>
      </c>
      <c r="C27" s="134">
        <v>2</v>
      </c>
      <c r="D27" s="134" t="s">
        <v>5362</v>
      </c>
      <c r="E27" s="134" t="s">
        <v>5363</v>
      </c>
      <c r="F27" s="134" t="s">
        <v>5364</v>
      </c>
      <c r="G27" s="134" t="s">
        <v>5365</v>
      </c>
      <c r="H27" s="134"/>
    </row>
    <row r="28" spans="2:8" ht="20.25" customHeight="1" x14ac:dyDescent="0.2">
      <c r="B28" s="130" t="s">
        <v>169</v>
      </c>
      <c r="C28" s="130">
        <v>2</v>
      </c>
      <c r="D28" s="130" t="s">
        <v>5366</v>
      </c>
      <c r="E28" s="130" t="s">
        <v>5367</v>
      </c>
      <c r="F28" s="130" t="s">
        <v>5368</v>
      </c>
      <c r="G28" s="130" t="s">
        <v>17</v>
      </c>
      <c r="H28" s="130"/>
    </row>
    <row r="29" spans="2:8" ht="20.25" customHeight="1" x14ac:dyDescent="0.2">
      <c r="B29" s="130" t="s">
        <v>169</v>
      </c>
      <c r="C29" s="130">
        <v>2</v>
      </c>
      <c r="D29" s="130" t="s">
        <v>5369</v>
      </c>
      <c r="E29" s="130" t="s">
        <v>5370</v>
      </c>
      <c r="F29" s="130" t="s">
        <v>5371</v>
      </c>
      <c r="G29" s="130" t="s">
        <v>28</v>
      </c>
      <c r="H29" s="130"/>
    </row>
    <row r="30" spans="2:8" ht="20.25" customHeight="1" x14ac:dyDescent="0.2">
      <c r="B30" s="130" t="s">
        <v>169</v>
      </c>
      <c r="C30" s="130">
        <v>2</v>
      </c>
      <c r="D30" s="130" t="s">
        <v>5372</v>
      </c>
      <c r="E30" s="130" t="s">
        <v>5373</v>
      </c>
      <c r="F30" s="130" t="s">
        <v>5374</v>
      </c>
      <c r="G30" s="132" t="s">
        <v>28</v>
      </c>
      <c r="H30" s="132"/>
    </row>
    <row r="31" spans="2:8" ht="20.25" customHeight="1" x14ac:dyDescent="0.2">
      <c r="B31" s="130" t="s">
        <v>169</v>
      </c>
      <c r="C31" s="130">
        <v>2</v>
      </c>
      <c r="D31" s="130" t="s">
        <v>5375</v>
      </c>
      <c r="E31" s="132" t="s">
        <v>5344</v>
      </c>
      <c r="F31" s="130" t="s">
        <v>24</v>
      </c>
      <c r="G31" s="135" t="s">
        <v>5344</v>
      </c>
      <c r="H31" s="135"/>
    </row>
    <row r="32" spans="2:8" ht="20.25" customHeight="1" x14ac:dyDescent="0.2">
      <c r="B32" s="130" t="s">
        <v>169</v>
      </c>
      <c r="C32" s="130">
        <v>2</v>
      </c>
      <c r="D32" s="130" t="s">
        <v>472</v>
      </c>
      <c r="E32" s="130" t="s">
        <v>5361</v>
      </c>
      <c r="F32" s="130" t="s">
        <v>5361</v>
      </c>
      <c r="G32" s="135" t="s">
        <v>5344</v>
      </c>
      <c r="H32" s="135"/>
    </row>
    <row r="33" spans="2:8" ht="20.25" customHeight="1" x14ac:dyDescent="0.2">
      <c r="B33" s="130" t="s">
        <v>169</v>
      </c>
      <c r="C33" s="130">
        <v>2</v>
      </c>
      <c r="D33" s="130" t="s">
        <v>492</v>
      </c>
      <c r="E33" s="130" t="s">
        <v>5361</v>
      </c>
      <c r="F33" s="130" t="s">
        <v>5361</v>
      </c>
      <c r="G33" s="135" t="s">
        <v>5344</v>
      </c>
      <c r="H33" s="135"/>
    </row>
  </sheetData>
  <conditionalFormatting sqref="D4:D17">
    <cfRule type="duplicateValues" dxfId="4" priority="1"/>
  </conditionalFormatting>
  <conditionalFormatting sqref="D18:D19">
    <cfRule type="duplicateValues" dxfId="3" priority="2"/>
  </conditionalFormatting>
  <dataValidations count="1">
    <dataValidation allowBlank="1" showInputMessage="1" showErrorMessage="1" sqref="G28:H28 C32:C33 D30:D31 D4:D19 B4:C31 G18:H19" xr:uid="{379EE7C7-731B-495F-B691-D30DDA82216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AE5-E74C-4236-96F7-ABD8A449C5A3}">
  <dimension ref="C6:G58"/>
  <sheetViews>
    <sheetView workbookViewId="0">
      <selection activeCell="F44" sqref="F44"/>
    </sheetView>
  </sheetViews>
  <sheetFormatPr defaultRowHeight="20.25" customHeight="1" x14ac:dyDescent="0.25"/>
  <cols>
    <col min="4" max="4" width="16.28515625" customWidth="1"/>
    <col min="5" max="5" width="27.140625" customWidth="1"/>
    <col min="6" max="6" width="31" customWidth="1"/>
    <col min="7" max="7" width="38.85546875" customWidth="1"/>
  </cols>
  <sheetData>
    <row r="6" spans="3:7" ht="20.25" customHeight="1" x14ac:dyDescent="0.25">
      <c r="C6" s="201" t="s">
        <v>37</v>
      </c>
      <c r="D6" s="192" t="s">
        <v>42</v>
      </c>
      <c r="E6" s="193" t="s">
        <v>84</v>
      </c>
      <c r="F6" s="193" t="s">
        <v>85</v>
      </c>
      <c r="G6" s="193" t="s">
        <v>86</v>
      </c>
    </row>
    <row r="7" spans="3:7" ht="20.25" customHeight="1" x14ac:dyDescent="0.25">
      <c r="C7" s="202">
        <v>1</v>
      </c>
      <c r="D7" s="199" t="s">
        <v>5376</v>
      </c>
      <c r="E7" s="195">
        <v>45068</v>
      </c>
      <c r="F7" s="195" t="s">
        <v>107</v>
      </c>
      <c r="G7" s="196" t="s">
        <v>108</v>
      </c>
    </row>
    <row r="8" spans="3:7" ht="20.25" customHeight="1" x14ac:dyDescent="0.25">
      <c r="C8" s="202">
        <v>2</v>
      </c>
      <c r="D8" s="199" t="s">
        <v>293</v>
      </c>
      <c r="E8" s="195">
        <v>45068</v>
      </c>
      <c r="F8" s="195" t="s">
        <v>107</v>
      </c>
      <c r="G8" s="196" t="s">
        <v>108</v>
      </c>
    </row>
    <row r="9" spans="3:7" ht="20.25" customHeight="1" x14ac:dyDescent="0.25">
      <c r="C9" s="202">
        <v>3</v>
      </c>
      <c r="D9" s="199" t="s">
        <v>176</v>
      </c>
      <c r="E9" s="197">
        <v>45068</v>
      </c>
      <c r="F9" s="197">
        <v>44894</v>
      </c>
      <c r="G9" s="196" t="s">
        <v>31</v>
      </c>
    </row>
    <row r="10" spans="3:7" ht="20.25" customHeight="1" x14ac:dyDescent="0.25">
      <c r="C10" s="202">
        <v>4</v>
      </c>
      <c r="D10" s="199" t="s">
        <v>329</v>
      </c>
      <c r="E10" s="197">
        <v>45068</v>
      </c>
      <c r="F10" s="195" t="s">
        <v>107</v>
      </c>
      <c r="G10" s="196" t="s">
        <v>108</v>
      </c>
    </row>
    <row r="11" spans="3:7" ht="20.25" customHeight="1" x14ac:dyDescent="0.25">
      <c r="C11" s="202">
        <v>5</v>
      </c>
      <c r="D11" s="199" t="s">
        <v>5377</v>
      </c>
      <c r="E11" s="195">
        <v>45065</v>
      </c>
      <c r="F11" s="195" t="s">
        <v>107</v>
      </c>
      <c r="G11" s="196" t="s">
        <v>108</v>
      </c>
    </row>
    <row r="12" spans="3:7" ht="20.25" customHeight="1" x14ac:dyDescent="0.25">
      <c r="C12" s="202">
        <v>6</v>
      </c>
      <c r="D12" s="199" t="s">
        <v>579</v>
      </c>
      <c r="E12" s="195">
        <v>45065</v>
      </c>
      <c r="F12" s="195" t="s">
        <v>107</v>
      </c>
      <c r="G12" s="196" t="s">
        <v>108</v>
      </c>
    </row>
    <row r="13" spans="3:7" ht="20.25" customHeight="1" x14ac:dyDescent="0.25">
      <c r="C13" s="202">
        <v>7</v>
      </c>
      <c r="D13" s="199" t="s">
        <v>295</v>
      </c>
      <c r="E13" s="195">
        <v>45065</v>
      </c>
      <c r="F13" s="195" t="s">
        <v>107</v>
      </c>
      <c r="G13" s="196" t="s">
        <v>108</v>
      </c>
    </row>
    <row r="14" spans="3:7" ht="20.25" customHeight="1" x14ac:dyDescent="0.25">
      <c r="C14" s="202">
        <v>8</v>
      </c>
      <c r="D14" s="199" t="s">
        <v>165</v>
      </c>
      <c r="E14" s="195">
        <v>45065</v>
      </c>
      <c r="F14" s="195">
        <v>44526</v>
      </c>
      <c r="G14" s="194" t="s">
        <v>30</v>
      </c>
    </row>
    <row r="15" spans="3:7" ht="20.25" customHeight="1" x14ac:dyDescent="0.25">
      <c r="C15" s="202">
        <v>9</v>
      </c>
      <c r="D15" s="199" t="s">
        <v>207</v>
      </c>
      <c r="E15" s="195">
        <v>45065</v>
      </c>
      <c r="F15" s="195">
        <v>44642</v>
      </c>
      <c r="G15" s="194" t="s">
        <v>30</v>
      </c>
    </row>
    <row r="16" spans="3:7" ht="20.25" customHeight="1" x14ac:dyDescent="0.25">
      <c r="C16" s="202">
        <v>10</v>
      </c>
      <c r="D16" s="199" t="s">
        <v>226</v>
      </c>
      <c r="E16" s="195">
        <v>45065</v>
      </c>
      <c r="F16" s="197">
        <v>44694</v>
      </c>
      <c r="G16" s="194" t="s">
        <v>31</v>
      </c>
    </row>
    <row r="17" spans="3:7" ht="20.25" customHeight="1" x14ac:dyDescent="0.25">
      <c r="C17" s="202">
        <v>11</v>
      </c>
      <c r="D17" s="199" t="s">
        <v>319</v>
      </c>
      <c r="E17" s="195">
        <v>45065</v>
      </c>
      <c r="F17" s="195" t="s">
        <v>107</v>
      </c>
      <c r="G17" s="196" t="s">
        <v>108</v>
      </c>
    </row>
    <row r="18" spans="3:7" ht="20.25" customHeight="1" x14ac:dyDescent="0.25">
      <c r="C18" s="202">
        <v>12</v>
      </c>
      <c r="D18" s="199" t="s">
        <v>747</v>
      </c>
      <c r="E18" s="195">
        <v>45065</v>
      </c>
      <c r="F18" s="197">
        <v>44659</v>
      </c>
      <c r="G18" s="194" t="s">
        <v>31</v>
      </c>
    </row>
    <row r="19" spans="3:7" ht="20.25" customHeight="1" x14ac:dyDescent="0.25">
      <c r="C19" s="202">
        <v>13</v>
      </c>
      <c r="D19" s="199" t="s">
        <v>5378</v>
      </c>
      <c r="E19" s="195">
        <v>45064</v>
      </c>
      <c r="F19" s="195" t="s">
        <v>107</v>
      </c>
      <c r="G19" s="196" t="s">
        <v>108</v>
      </c>
    </row>
    <row r="20" spans="3:7" ht="20.25" customHeight="1" x14ac:dyDescent="0.25">
      <c r="C20" s="202">
        <v>14</v>
      </c>
      <c r="D20" s="199" t="s">
        <v>5379</v>
      </c>
      <c r="E20" s="195">
        <v>45064</v>
      </c>
      <c r="F20" s="195" t="s">
        <v>107</v>
      </c>
      <c r="G20" s="196" t="s">
        <v>108</v>
      </c>
    </row>
    <row r="21" spans="3:7" ht="20.25" customHeight="1" x14ac:dyDescent="0.25">
      <c r="C21" s="202">
        <v>15</v>
      </c>
      <c r="D21" s="199" t="s">
        <v>538</v>
      </c>
      <c r="E21" s="195">
        <v>45064</v>
      </c>
      <c r="F21" s="195" t="s">
        <v>107</v>
      </c>
      <c r="G21" s="196" t="s">
        <v>108</v>
      </c>
    </row>
    <row r="22" spans="3:7" ht="20.25" customHeight="1" x14ac:dyDescent="0.25">
      <c r="C22" s="202">
        <v>16</v>
      </c>
      <c r="D22" s="199" t="s">
        <v>540</v>
      </c>
      <c r="E22" s="195">
        <v>45064</v>
      </c>
      <c r="F22" s="195" t="s">
        <v>107</v>
      </c>
      <c r="G22" s="196" t="s">
        <v>108</v>
      </c>
    </row>
    <row r="23" spans="3:7" ht="20.25" customHeight="1" x14ac:dyDescent="0.25">
      <c r="C23" s="202">
        <v>17</v>
      </c>
      <c r="D23" s="199" t="s">
        <v>567</v>
      </c>
      <c r="E23" s="195">
        <v>45064</v>
      </c>
      <c r="F23" s="195">
        <v>44859</v>
      </c>
      <c r="G23" s="194" t="s">
        <v>30</v>
      </c>
    </row>
    <row r="24" spans="3:7" ht="20.25" customHeight="1" x14ac:dyDescent="0.25">
      <c r="C24" s="202">
        <v>18</v>
      </c>
      <c r="D24" s="199" t="s">
        <v>287</v>
      </c>
      <c r="E24" s="195">
        <v>45064</v>
      </c>
      <c r="F24" s="195" t="s">
        <v>107</v>
      </c>
      <c r="G24" s="196" t="s">
        <v>108</v>
      </c>
    </row>
    <row r="25" spans="3:7" ht="20.25" customHeight="1" x14ac:dyDescent="0.25">
      <c r="C25" s="202">
        <v>19</v>
      </c>
      <c r="D25" s="199" t="s">
        <v>291</v>
      </c>
      <c r="E25" s="195">
        <v>45064</v>
      </c>
      <c r="F25" s="195" t="s">
        <v>107</v>
      </c>
      <c r="G25" s="196" t="s">
        <v>108</v>
      </c>
    </row>
    <row r="26" spans="3:7" ht="20.25" customHeight="1" x14ac:dyDescent="0.25">
      <c r="C26" s="202">
        <v>20</v>
      </c>
      <c r="D26" s="199" t="s">
        <v>196</v>
      </c>
      <c r="E26" s="195">
        <v>45064</v>
      </c>
      <c r="F26" s="197">
        <v>44643</v>
      </c>
      <c r="G26" s="194" t="s">
        <v>31</v>
      </c>
    </row>
    <row r="27" spans="3:7" ht="20.25" customHeight="1" x14ac:dyDescent="0.25">
      <c r="C27" s="202">
        <v>21</v>
      </c>
      <c r="D27" s="199" t="s">
        <v>816</v>
      </c>
      <c r="E27" s="195">
        <v>45064</v>
      </c>
      <c r="F27" s="197">
        <v>44638</v>
      </c>
      <c r="G27" s="194" t="s">
        <v>31</v>
      </c>
    </row>
    <row r="28" spans="3:7" ht="20.25" customHeight="1" x14ac:dyDescent="0.25">
      <c r="C28" s="202">
        <v>22</v>
      </c>
      <c r="D28" s="199" t="s">
        <v>341</v>
      </c>
      <c r="E28" s="195">
        <v>45064</v>
      </c>
      <c r="F28" s="195" t="s">
        <v>107</v>
      </c>
      <c r="G28" s="196" t="s">
        <v>108</v>
      </c>
    </row>
    <row r="29" spans="3:7" ht="20.25" customHeight="1" x14ac:dyDescent="0.25">
      <c r="C29" s="202">
        <v>23</v>
      </c>
      <c r="D29" s="199" t="s">
        <v>343</v>
      </c>
      <c r="E29" s="195">
        <v>45064</v>
      </c>
      <c r="F29" s="195" t="s">
        <v>107</v>
      </c>
      <c r="G29" s="196" t="s">
        <v>108</v>
      </c>
    </row>
    <row r="30" spans="3:7" ht="20.25" customHeight="1" x14ac:dyDescent="0.25">
      <c r="C30" s="202">
        <v>24</v>
      </c>
      <c r="D30" s="199" t="s">
        <v>934</v>
      </c>
      <c r="E30" s="195">
        <v>45064</v>
      </c>
      <c r="F30" s="195" t="s">
        <v>107</v>
      </c>
      <c r="G30" s="196" t="s">
        <v>108</v>
      </c>
    </row>
    <row r="31" spans="3:7" ht="20.25" customHeight="1" x14ac:dyDescent="0.25">
      <c r="C31" s="202">
        <v>25</v>
      </c>
      <c r="D31" s="199" t="s">
        <v>5380</v>
      </c>
      <c r="E31" s="195">
        <v>45063</v>
      </c>
      <c r="F31" s="195" t="s">
        <v>107</v>
      </c>
      <c r="G31" s="196" t="s">
        <v>108</v>
      </c>
    </row>
    <row r="32" spans="3:7" ht="20.25" customHeight="1" x14ac:dyDescent="0.25">
      <c r="C32" s="202">
        <v>26</v>
      </c>
      <c r="D32" s="199" t="s">
        <v>5381</v>
      </c>
      <c r="E32" s="195">
        <v>45063</v>
      </c>
      <c r="F32" s="195" t="s">
        <v>107</v>
      </c>
      <c r="G32" s="196" t="s">
        <v>108</v>
      </c>
    </row>
    <row r="33" spans="3:7" ht="20.25" customHeight="1" x14ac:dyDescent="0.25">
      <c r="C33" s="202">
        <v>27</v>
      </c>
      <c r="D33" s="199" t="s">
        <v>5382</v>
      </c>
      <c r="E33" s="195">
        <v>45063</v>
      </c>
      <c r="F33" s="195" t="s">
        <v>107</v>
      </c>
      <c r="G33" s="196" t="s">
        <v>108</v>
      </c>
    </row>
    <row r="34" spans="3:7" ht="20.25" customHeight="1" x14ac:dyDescent="0.25">
      <c r="C34" s="202">
        <v>28</v>
      </c>
      <c r="D34" s="199" t="s">
        <v>5383</v>
      </c>
      <c r="E34" s="195">
        <v>45063</v>
      </c>
      <c r="F34" s="195" t="s">
        <v>107</v>
      </c>
      <c r="G34" s="196" t="s">
        <v>108</v>
      </c>
    </row>
    <row r="35" spans="3:7" ht="20.25" customHeight="1" x14ac:dyDescent="0.25">
      <c r="C35" s="202">
        <v>29</v>
      </c>
      <c r="D35" s="199" t="s">
        <v>5384</v>
      </c>
      <c r="E35" s="195">
        <v>45063</v>
      </c>
      <c r="F35" s="195" t="s">
        <v>107</v>
      </c>
      <c r="G35" s="196" t="s">
        <v>108</v>
      </c>
    </row>
    <row r="36" spans="3:7" ht="20.25" customHeight="1" x14ac:dyDescent="0.25">
      <c r="C36" s="202">
        <v>30</v>
      </c>
      <c r="D36" s="199" t="s">
        <v>5385</v>
      </c>
      <c r="E36" s="195">
        <v>45063</v>
      </c>
      <c r="F36" s="195" t="s">
        <v>107</v>
      </c>
      <c r="G36" s="196" t="s">
        <v>108</v>
      </c>
    </row>
    <row r="37" spans="3:7" ht="20.25" customHeight="1" x14ac:dyDescent="0.25">
      <c r="C37" s="202">
        <v>31</v>
      </c>
      <c r="D37" s="199" t="s">
        <v>5386</v>
      </c>
      <c r="E37" s="195">
        <v>45063</v>
      </c>
      <c r="F37" s="195" t="s">
        <v>107</v>
      </c>
      <c r="G37" s="196" t="s">
        <v>108</v>
      </c>
    </row>
    <row r="38" spans="3:7" ht="20.25" customHeight="1" x14ac:dyDescent="0.25">
      <c r="C38" s="202">
        <v>32</v>
      </c>
      <c r="D38" s="199" t="s">
        <v>231</v>
      </c>
      <c r="E38" s="195">
        <v>45063</v>
      </c>
      <c r="F38" s="197">
        <v>44655</v>
      </c>
      <c r="G38" s="194" t="s">
        <v>31</v>
      </c>
    </row>
    <row r="39" spans="3:7" ht="20.25" customHeight="1" x14ac:dyDescent="0.25">
      <c r="C39" s="202">
        <v>33</v>
      </c>
      <c r="D39" s="199" t="s">
        <v>206</v>
      </c>
      <c r="E39" s="195">
        <v>45063</v>
      </c>
      <c r="F39" s="197">
        <v>44659</v>
      </c>
      <c r="G39" s="194" t="s">
        <v>31</v>
      </c>
    </row>
    <row r="40" spans="3:7" ht="20.25" customHeight="1" x14ac:dyDescent="0.25">
      <c r="C40" s="202">
        <v>34</v>
      </c>
      <c r="D40" s="199" t="s">
        <v>780</v>
      </c>
      <c r="E40" s="195">
        <v>45063</v>
      </c>
      <c r="F40" s="195" t="s">
        <v>107</v>
      </c>
      <c r="G40" s="196" t="s">
        <v>108</v>
      </c>
    </row>
    <row r="41" spans="3:7" ht="20.25" customHeight="1" x14ac:dyDescent="0.25">
      <c r="C41" s="202">
        <v>35</v>
      </c>
      <c r="D41" s="199" t="s">
        <v>781</v>
      </c>
      <c r="E41" s="195">
        <v>45063</v>
      </c>
      <c r="F41" s="197">
        <v>44642</v>
      </c>
      <c r="G41" s="196" t="s">
        <v>31</v>
      </c>
    </row>
    <row r="42" spans="3:7" ht="20.25" customHeight="1" x14ac:dyDescent="0.25">
      <c r="C42" s="202">
        <v>36</v>
      </c>
      <c r="D42" s="199" t="s">
        <v>237</v>
      </c>
      <c r="E42" s="195">
        <v>45063</v>
      </c>
      <c r="F42" s="197">
        <v>44638</v>
      </c>
      <c r="G42" s="196" t="s">
        <v>31</v>
      </c>
    </row>
    <row r="43" spans="3:7" ht="20.25" customHeight="1" x14ac:dyDescent="0.25">
      <c r="C43" s="202">
        <v>37</v>
      </c>
      <c r="D43" s="199" t="s">
        <v>804</v>
      </c>
      <c r="E43" s="195">
        <v>45063</v>
      </c>
      <c r="F43" s="195" t="s">
        <v>107</v>
      </c>
      <c r="G43" s="196" t="s">
        <v>108</v>
      </c>
    </row>
    <row r="44" spans="3:7" ht="20.25" customHeight="1" x14ac:dyDescent="0.25">
      <c r="C44" s="202">
        <v>38</v>
      </c>
      <c r="D44" s="200" t="s">
        <v>805</v>
      </c>
      <c r="E44" s="195">
        <v>45063</v>
      </c>
      <c r="F44" s="195" t="s">
        <v>107</v>
      </c>
      <c r="G44" s="196" t="s">
        <v>108</v>
      </c>
    </row>
    <row r="45" spans="3:7" ht="20.25" customHeight="1" x14ac:dyDescent="0.25">
      <c r="C45" s="202">
        <v>39</v>
      </c>
      <c r="D45" s="199" t="s">
        <v>327</v>
      </c>
      <c r="E45" s="195">
        <v>45063</v>
      </c>
      <c r="F45" s="195" t="s">
        <v>107</v>
      </c>
      <c r="G45" s="196" t="s">
        <v>108</v>
      </c>
    </row>
    <row r="46" spans="3:7" ht="20.25" customHeight="1" x14ac:dyDescent="0.25">
      <c r="C46" s="202">
        <v>40</v>
      </c>
      <c r="D46" s="199" t="s">
        <v>333</v>
      </c>
      <c r="E46" s="195">
        <v>45063</v>
      </c>
      <c r="F46" s="195" t="s">
        <v>107</v>
      </c>
      <c r="G46" s="196" t="s">
        <v>108</v>
      </c>
    </row>
    <row r="47" spans="3:7" ht="20.25" customHeight="1" x14ac:dyDescent="0.25">
      <c r="C47" s="202">
        <v>41</v>
      </c>
      <c r="D47" s="199" t="s">
        <v>5387</v>
      </c>
      <c r="E47" s="198">
        <v>45054</v>
      </c>
      <c r="F47" s="195" t="s">
        <v>107</v>
      </c>
      <c r="G47" s="196" t="s">
        <v>108</v>
      </c>
    </row>
    <row r="48" spans="3:7" ht="20.25" customHeight="1" x14ac:dyDescent="0.25">
      <c r="C48" s="202">
        <v>42</v>
      </c>
      <c r="D48" s="199" t="s">
        <v>602</v>
      </c>
      <c r="E48" s="195">
        <v>45051</v>
      </c>
      <c r="F48" s="195" t="s">
        <v>107</v>
      </c>
      <c r="G48" s="196" t="s">
        <v>108</v>
      </c>
    </row>
    <row r="49" spans="4:4" ht="20.25" customHeight="1" x14ac:dyDescent="0.25">
      <c r="D49" s="178"/>
    </row>
    <row r="50" spans="4:4" ht="20.25" customHeight="1" x14ac:dyDescent="0.25">
      <c r="D50" s="158"/>
    </row>
    <row r="51" spans="4:4" ht="20.25" customHeight="1" x14ac:dyDescent="0.25">
      <c r="D51" s="158"/>
    </row>
    <row r="52" spans="4:4" ht="20.25" customHeight="1" x14ac:dyDescent="0.25">
      <c r="D52" s="158"/>
    </row>
    <row r="53" spans="4:4" ht="20.25" customHeight="1" x14ac:dyDescent="0.25">
      <c r="D53" s="158"/>
    </row>
    <row r="54" spans="4:4" ht="20.25" customHeight="1" x14ac:dyDescent="0.25">
      <c r="D54" s="171"/>
    </row>
    <row r="55" spans="4:4" ht="20.25" customHeight="1" x14ac:dyDescent="0.25">
      <c r="D55" s="154"/>
    </row>
    <row r="56" spans="4:4" ht="20.25" customHeight="1" x14ac:dyDescent="0.25">
      <c r="D56" s="158"/>
    </row>
    <row r="57" spans="4:4" ht="20.25" customHeight="1" x14ac:dyDescent="0.25">
      <c r="D57" s="176"/>
    </row>
    <row r="58" spans="4:4" ht="20.25" customHeight="1" x14ac:dyDescent="0.25">
      <c r="D58" s="154"/>
    </row>
  </sheetData>
  <dataValidations count="1">
    <dataValidation allowBlank="1" showInputMessage="1" showErrorMessage="1" sqref="D7:D13 D21:F21 D23:D43 E48:F48 E7:F10 F11:F17 E12:E17 E18:F20 E22:E23 F23:F24 E25:F41 F42:F44 E43 E47 D49:D53" xr:uid="{02B92FBB-E581-47E0-A3F9-2F4D8A7FD326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0C34-1337-472B-AC70-3DAEF3FC50AD}">
  <dimension ref="D3:F98"/>
  <sheetViews>
    <sheetView workbookViewId="0">
      <selection activeCell="B5" sqref="B5"/>
    </sheetView>
  </sheetViews>
  <sheetFormatPr defaultRowHeight="20.25" customHeight="1" x14ac:dyDescent="0.2"/>
  <cols>
    <col min="1" max="3" width="9.140625" style="221"/>
    <col min="4" max="4" width="29.28515625" style="221" bestFit="1" customWidth="1"/>
    <col min="5" max="5" width="38" style="221" customWidth="1"/>
    <col min="6" max="6" width="32.7109375" style="221" customWidth="1"/>
    <col min="7" max="16384" width="9.140625" style="221"/>
  </cols>
  <sheetData>
    <row r="3" spans="4:6" ht="20.25" customHeight="1" x14ac:dyDescent="0.2">
      <c r="D3" s="227" t="s">
        <v>38</v>
      </c>
      <c r="E3" s="228" t="s">
        <v>76</v>
      </c>
      <c r="F3" s="229" t="s">
        <v>5388</v>
      </c>
    </row>
    <row r="4" spans="4:6" ht="20.25" customHeight="1" x14ac:dyDescent="0.2">
      <c r="D4" s="226" t="s">
        <v>169</v>
      </c>
      <c r="E4" s="226" t="s">
        <v>5389</v>
      </c>
      <c r="F4" s="230">
        <v>60000</v>
      </c>
    </row>
    <row r="5" spans="4:6" ht="20.25" customHeight="1" x14ac:dyDescent="0.2">
      <c r="D5" s="222" t="s">
        <v>169</v>
      </c>
      <c r="E5" s="222" t="s">
        <v>5390</v>
      </c>
      <c r="F5" s="231">
        <v>53382.82</v>
      </c>
    </row>
    <row r="6" spans="4:6" ht="20.25" customHeight="1" x14ac:dyDescent="0.2">
      <c r="D6" s="222" t="s">
        <v>169</v>
      </c>
      <c r="E6" s="222" t="s">
        <v>5391</v>
      </c>
      <c r="F6" s="231">
        <v>55091.16</v>
      </c>
    </row>
    <row r="7" spans="4:6" ht="20.25" customHeight="1" x14ac:dyDescent="0.2">
      <c r="D7" s="222" t="s">
        <v>169</v>
      </c>
      <c r="E7" s="222" t="s">
        <v>5392</v>
      </c>
      <c r="F7" s="231">
        <v>71112.509999999995</v>
      </c>
    </row>
    <row r="8" spans="4:6" ht="20.25" customHeight="1" x14ac:dyDescent="0.2">
      <c r="D8" s="222" t="s">
        <v>169</v>
      </c>
      <c r="E8" s="222" t="s">
        <v>5393</v>
      </c>
      <c r="F8" s="231">
        <v>60000</v>
      </c>
    </row>
    <row r="9" spans="4:6" ht="20.25" customHeight="1" x14ac:dyDescent="0.2">
      <c r="D9" s="222" t="s">
        <v>169</v>
      </c>
      <c r="E9" s="222" t="s">
        <v>5394</v>
      </c>
      <c r="F9" s="231">
        <v>60000</v>
      </c>
    </row>
    <row r="10" spans="4:6" ht="20.25" customHeight="1" x14ac:dyDescent="0.2">
      <c r="D10" s="222" t="s">
        <v>169</v>
      </c>
      <c r="E10" s="222" t="s">
        <v>5395</v>
      </c>
      <c r="F10" s="231">
        <v>60000</v>
      </c>
    </row>
    <row r="11" spans="4:6" ht="20.25" customHeight="1" x14ac:dyDescent="0.2">
      <c r="D11" s="222" t="s">
        <v>169</v>
      </c>
      <c r="E11" s="222" t="s">
        <v>5396</v>
      </c>
      <c r="F11" s="231">
        <v>60000</v>
      </c>
    </row>
    <row r="12" spans="4:6" ht="20.25" customHeight="1" x14ac:dyDescent="0.2">
      <c r="D12" s="222" t="s">
        <v>169</v>
      </c>
      <c r="E12" s="222" t="s">
        <v>5397</v>
      </c>
      <c r="F12" s="231">
        <v>48801.81</v>
      </c>
    </row>
    <row r="13" spans="4:6" ht="20.25" customHeight="1" x14ac:dyDescent="0.2">
      <c r="D13" s="222" t="s">
        <v>169</v>
      </c>
      <c r="E13" s="222" t="s">
        <v>5398</v>
      </c>
      <c r="F13" s="231">
        <v>60000</v>
      </c>
    </row>
    <row r="14" spans="4:6" ht="20.25" customHeight="1" x14ac:dyDescent="0.2">
      <c r="D14" s="222" t="s">
        <v>169</v>
      </c>
      <c r="E14" s="223" t="s">
        <v>5399</v>
      </c>
      <c r="F14" s="231">
        <v>48087.05</v>
      </c>
    </row>
    <row r="15" spans="4:6" ht="20.25" customHeight="1" x14ac:dyDescent="0.2">
      <c r="D15" s="222" t="s">
        <v>169</v>
      </c>
      <c r="E15" s="222" t="s">
        <v>5400</v>
      </c>
      <c r="F15" s="231">
        <v>56900.74</v>
      </c>
    </row>
    <row r="16" spans="4:6" ht="20.25" customHeight="1" x14ac:dyDescent="0.2">
      <c r="D16" s="222" t="s">
        <v>169</v>
      </c>
      <c r="E16" s="222" t="s">
        <v>5401</v>
      </c>
      <c r="F16" s="231">
        <v>56351.92</v>
      </c>
    </row>
    <row r="17" spans="4:6" ht="20.25" customHeight="1" x14ac:dyDescent="0.2">
      <c r="D17" s="222" t="s">
        <v>169</v>
      </c>
      <c r="E17" s="224" t="s">
        <v>5402</v>
      </c>
      <c r="F17" s="231">
        <v>60000</v>
      </c>
    </row>
    <row r="18" spans="4:6" ht="20.25" customHeight="1" x14ac:dyDescent="0.2">
      <c r="D18" s="222" t="s">
        <v>169</v>
      </c>
      <c r="E18" s="224" t="s">
        <v>5403</v>
      </c>
      <c r="F18" s="231">
        <v>51994.25</v>
      </c>
    </row>
    <row r="19" spans="4:6" ht="20.25" customHeight="1" x14ac:dyDescent="0.2">
      <c r="D19" s="222" t="s">
        <v>169</v>
      </c>
      <c r="E19" s="224" t="s">
        <v>5404</v>
      </c>
      <c r="F19" s="231">
        <v>111877.18</v>
      </c>
    </row>
    <row r="20" spans="4:6" ht="20.25" customHeight="1" x14ac:dyDescent="0.2">
      <c r="D20" s="222" t="s">
        <v>169</v>
      </c>
      <c r="E20" s="224" t="s">
        <v>5405</v>
      </c>
      <c r="F20" s="231">
        <v>49473.05</v>
      </c>
    </row>
    <row r="21" spans="4:6" ht="20.25" customHeight="1" x14ac:dyDescent="0.2">
      <c r="D21" s="222" t="s">
        <v>169</v>
      </c>
      <c r="E21" s="224" t="s">
        <v>5406</v>
      </c>
      <c r="F21" s="231">
        <v>60000</v>
      </c>
    </row>
    <row r="22" spans="4:6" ht="20.25" customHeight="1" x14ac:dyDescent="0.2">
      <c r="D22" s="222" t="s">
        <v>169</v>
      </c>
      <c r="E22" s="224" t="s">
        <v>5407</v>
      </c>
      <c r="F22" s="231">
        <v>60000</v>
      </c>
    </row>
    <row r="23" spans="4:6" ht="20.25" customHeight="1" x14ac:dyDescent="0.2">
      <c r="D23" s="222" t="s">
        <v>169</v>
      </c>
      <c r="E23" s="224" t="s">
        <v>5408</v>
      </c>
      <c r="F23" s="231">
        <v>35237.620000000003</v>
      </c>
    </row>
    <row r="24" spans="4:6" ht="20.25" customHeight="1" x14ac:dyDescent="0.2">
      <c r="D24" s="222" t="s">
        <v>169</v>
      </c>
      <c r="E24" s="224" t="s">
        <v>5409</v>
      </c>
      <c r="F24" s="231">
        <v>39091.379999999997</v>
      </c>
    </row>
    <row r="25" spans="4:6" ht="20.25" customHeight="1" x14ac:dyDescent="0.2">
      <c r="D25" s="222" t="s">
        <v>169</v>
      </c>
      <c r="E25" s="224" t="s">
        <v>5410</v>
      </c>
      <c r="F25" s="231">
        <v>40219.46</v>
      </c>
    </row>
    <row r="26" spans="4:6" ht="20.25" customHeight="1" x14ac:dyDescent="0.2">
      <c r="D26" s="222" t="s">
        <v>169</v>
      </c>
      <c r="E26" s="224" t="s">
        <v>5411</v>
      </c>
      <c r="F26" s="231">
        <v>34607.300000000003</v>
      </c>
    </row>
    <row r="27" spans="4:6" ht="20.25" customHeight="1" x14ac:dyDescent="0.2">
      <c r="D27" s="222" t="s">
        <v>169</v>
      </c>
      <c r="E27" s="224" t="s">
        <v>5412</v>
      </c>
      <c r="F27" s="231">
        <v>36263.089999999997</v>
      </c>
    </row>
    <row r="28" spans="4:6" ht="20.25" customHeight="1" x14ac:dyDescent="0.2">
      <c r="D28" s="222" t="s">
        <v>169</v>
      </c>
      <c r="E28" s="224" t="s">
        <v>5413</v>
      </c>
      <c r="F28" s="231">
        <v>35849.730000000003</v>
      </c>
    </row>
    <row r="29" spans="4:6" ht="20.25" customHeight="1" x14ac:dyDescent="0.2">
      <c r="D29" s="222" t="s">
        <v>169</v>
      </c>
      <c r="E29" s="224" t="s">
        <v>5414</v>
      </c>
      <c r="F29" s="231">
        <v>33958.269999999997</v>
      </c>
    </row>
    <row r="30" spans="4:6" ht="20.25" customHeight="1" x14ac:dyDescent="0.2">
      <c r="D30" s="222" t="s">
        <v>169</v>
      </c>
      <c r="E30" s="224" t="s">
        <v>5415</v>
      </c>
      <c r="F30" s="231">
        <v>35807.660000000003</v>
      </c>
    </row>
    <row r="31" spans="4:6" ht="20.25" customHeight="1" x14ac:dyDescent="0.2">
      <c r="D31" s="222" t="s">
        <v>169</v>
      </c>
      <c r="E31" s="224" t="s">
        <v>5416</v>
      </c>
      <c r="F31" s="231">
        <v>34233.85</v>
      </c>
    </row>
    <row r="32" spans="4:6" ht="20.25" customHeight="1" x14ac:dyDescent="0.2">
      <c r="D32" s="222" t="s">
        <v>169</v>
      </c>
      <c r="E32" s="224" t="s">
        <v>5417</v>
      </c>
      <c r="F32" s="231">
        <v>43197.84</v>
      </c>
    </row>
    <row r="33" spans="4:6" ht="20.25" customHeight="1" x14ac:dyDescent="0.2">
      <c r="D33" s="222" t="s">
        <v>169</v>
      </c>
      <c r="E33" s="224" t="s">
        <v>5418</v>
      </c>
      <c r="F33" s="231">
        <v>40476.01</v>
      </c>
    </row>
    <row r="34" spans="4:6" ht="20.25" customHeight="1" x14ac:dyDescent="0.2">
      <c r="D34" s="222" t="s">
        <v>169</v>
      </c>
      <c r="E34" s="224" t="s">
        <v>5419</v>
      </c>
      <c r="F34" s="231">
        <v>40038.410000000003</v>
      </c>
    </row>
    <row r="35" spans="4:6" ht="20.25" customHeight="1" x14ac:dyDescent="0.2">
      <c r="D35" s="222" t="s">
        <v>169</v>
      </c>
      <c r="E35" s="224" t="s">
        <v>5420</v>
      </c>
      <c r="F35" s="231">
        <v>38035.89</v>
      </c>
    </row>
    <row r="36" spans="4:6" ht="20.25" customHeight="1" x14ac:dyDescent="0.2">
      <c r="D36" s="222" t="s">
        <v>169</v>
      </c>
      <c r="E36" s="224" t="s">
        <v>5421</v>
      </c>
      <c r="F36" s="231">
        <v>35969.519999999997</v>
      </c>
    </row>
    <row r="37" spans="4:6" ht="20.25" customHeight="1" x14ac:dyDescent="0.2">
      <c r="D37" s="222" t="s">
        <v>169</v>
      </c>
      <c r="E37" s="224" t="s">
        <v>5422</v>
      </c>
      <c r="F37" s="231">
        <v>42410.14</v>
      </c>
    </row>
    <row r="38" spans="4:6" ht="20.25" customHeight="1" x14ac:dyDescent="0.2">
      <c r="D38" s="222" t="s">
        <v>169</v>
      </c>
      <c r="E38" s="224" t="s">
        <v>5423</v>
      </c>
      <c r="F38" s="231">
        <v>40108.129999999997</v>
      </c>
    </row>
    <row r="39" spans="4:6" ht="20.25" customHeight="1" x14ac:dyDescent="0.2">
      <c r="D39" s="222" t="s">
        <v>169</v>
      </c>
      <c r="E39" s="224" t="s">
        <v>5424</v>
      </c>
      <c r="F39" s="231">
        <v>39408.28</v>
      </c>
    </row>
    <row r="40" spans="4:6" ht="20.25" customHeight="1" x14ac:dyDescent="0.2">
      <c r="D40" s="222" t="s">
        <v>169</v>
      </c>
      <c r="E40" s="224" t="s">
        <v>5425</v>
      </c>
      <c r="F40" s="231">
        <v>39754.07</v>
      </c>
    </row>
    <row r="41" spans="4:6" ht="20.25" customHeight="1" x14ac:dyDescent="0.2">
      <c r="D41" s="222" t="s">
        <v>169</v>
      </c>
      <c r="E41" s="224" t="s">
        <v>5426</v>
      </c>
      <c r="F41" s="231">
        <v>45063.11</v>
      </c>
    </row>
    <row r="42" spans="4:6" ht="20.25" customHeight="1" x14ac:dyDescent="0.2">
      <c r="D42" s="222" t="s">
        <v>169</v>
      </c>
      <c r="E42" s="224" t="s">
        <v>5427</v>
      </c>
      <c r="F42" s="231">
        <v>47121.63</v>
      </c>
    </row>
    <row r="43" spans="4:6" ht="20.25" customHeight="1" x14ac:dyDescent="0.2">
      <c r="D43" s="222" t="s">
        <v>169</v>
      </c>
      <c r="E43" s="224" t="s">
        <v>5428</v>
      </c>
      <c r="F43" s="231">
        <v>54604.78</v>
      </c>
    </row>
    <row r="44" spans="4:6" ht="20.25" customHeight="1" x14ac:dyDescent="0.2">
      <c r="D44" s="222" t="s">
        <v>169</v>
      </c>
      <c r="E44" s="224" t="s">
        <v>5429</v>
      </c>
      <c r="F44" s="231">
        <v>46317.919999999998</v>
      </c>
    </row>
    <row r="45" spans="4:6" ht="20.25" customHeight="1" x14ac:dyDescent="0.2">
      <c r="D45" s="222" t="s">
        <v>169</v>
      </c>
      <c r="E45" s="224" t="s">
        <v>5430</v>
      </c>
      <c r="F45" s="231">
        <v>60000</v>
      </c>
    </row>
    <row r="46" spans="4:6" ht="20.25" customHeight="1" x14ac:dyDescent="0.2">
      <c r="D46" s="222" t="s">
        <v>169</v>
      </c>
      <c r="E46" s="224" t="s">
        <v>5431</v>
      </c>
      <c r="F46" s="231">
        <v>54794.55</v>
      </c>
    </row>
    <row r="47" spans="4:6" ht="20.25" customHeight="1" x14ac:dyDescent="0.2">
      <c r="D47" s="222" t="s">
        <v>169</v>
      </c>
      <c r="E47" s="224" t="s">
        <v>5432</v>
      </c>
      <c r="F47" s="231">
        <v>55630.87</v>
      </c>
    </row>
    <row r="48" spans="4:6" ht="20.25" customHeight="1" x14ac:dyDescent="0.2">
      <c r="D48" s="222" t="s">
        <v>169</v>
      </c>
      <c r="E48" s="224" t="s">
        <v>5433</v>
      </c>
      <c r="F48" s="231">
        <v>60000</v>
      </c>
    </row>
    <row r="49" spans="4:6" ht="20.25" customHeight="1" x14ac:dyDescent="0.2">
      <c r="D49" s="222" t="s">
        <v>169</v>
      </c>
      <c r="E49" s="224" t="s">
        <v>5434</v>
      </c>
      <c r="F49" s="231">
        <v>60000</v>
      </c>
    </row>
    <row r="50" spans="4:6" ht="20.25" customHeight="1" x14ac:dyDescent="0.2">
      <c r="D50" s="222" t="s">
        <v>169</v>
      </c>
      <c r="E50" s="222" t="s">
        <v>5435</v>
      </c>
      <c r="F50" s="231">
        <v>41376.720000000001</v>
      </c>
    </row>
    <row r="51" spans="4:6" ht="20.25" customHeight="1" x14ac:dyDescent="0.2">
      <c r="D51" s="222" t="s">
        <v>169</v>
      </c>
      <c r="E51" s="224" t="s">
        <v>5436</v>
      </c>
      <c r="F51" s="231">
        <v>40145.410000000003</v>
      </c>
    </row>
    <row r="52" spans="4:6" ht="20.25" customHeight="1" x14ac:dyDescent="0.2">
      <c r="D52" s="222" t="s">
        <v>169</v>
      </c>
      <c r="E52" s="224" t="s">
        <v>5437</v>
      </c>
      <c r="F52" s="231">
        <v>36640.120000000003</v>
      </c>
    </row>
    <row r="53" spans="4:6" ht="20.25" customHeight="1" x14ac:dyDescent="0.2">
      <c r="D53" s="222" t="s">
        <v>169</v>
      </c>
      <c r="E53" s="222" t="s">
        <v>5438</v>
      </c>
      <c r="F53" s="231">
        <v>60000</v>
      </c>
    </row>
    <row r="54" spans="4:6" ht="20.25" customHeight="1" x14ac:dyDescent="0.2">
      <c r="D54" s="222" t="s">
        <v>169</v>
      </c>
      <c r="E54" s="224" t="s">
        <v>5439</v>
      </c>
      <c r="F54" s="231">
        <v>60000</v>
      </c>
    </row>
    <row r="55" spans="4:6" ht="20.25" customHeight="1" x14ac:dyDescent="0.2">
      <c r="D55" s="222" t="s">
        <v>169</v>
      </c>
      <c r="E55" s="224" t="s">
        <v>5440</v>
      </c>
      <c r="F55" s="231">
        <v>53913.62</v>
      </c>
    </row>
    <row r="56" spans="4:6" ht="20.25" customHeight="1" x14ac:dyDescent="0.2">
      <c r="D56" s="222" t="s">
        <v>169</v>
      </c>
      <c r="E56" s="224" t="s">
        <v>5441</v>
      </c>
      <c r="F56" s="231">
        <v>59293.99</v>
      </c>
    </row>
    <row r="57" spans="4:6" ht="20.25" customHeight="1" x14ac:dyDescent="0.2">
      <c r="D57" s="222" t="s">
        <v>169</v>
      </c>
      <c r="E57" s="224" t="s">
        <v>5442</v>
      </c>
      <c r="F57" s="231">
        <v>60000</v>
      </c>
    </row>
    <row r="58" spans="4:6" ht="20.25" customHeight="1" x14ac:dyDescent="0.2">
      <c r="D58" s="222" t="s">
        <v>169</v>
      </c>
      <c r="E58" s="224" t="s">
        <v>5443</v>
      </c>
      <c r="F58" s="231">
        <v>34028.03</v>
      </c>
    </row>
    <row r="59" spans="4:6" ht="20.25" customHeight="1" x14ac:dyDescent="0.2">
      <c r="D59" s="222" t="s">
        <v>169</v>
      </c>
      <c r="E59" s="224" t="s">
        <v>5444</v>
      </c>
      <c r="F59" s="231">
        <v>46067.25</v>
      </c>
    </row>
    <row r="60" spans="4:6" ht="20.25" customHeight="1" x14ac:dyDescent="0.2">
      <c r="D60" s="222" t="s">
        <v>169</v>
      </c>
      <c r="E60" s="224" t="s">
        <v>5445</v>
      </c>
      <c r="F60" s="231">
        <v>44186.69</v>
      </c>
    </row>
    <row r="61" spans="4:6" ht="20.25" customHeight="1" x14ac:dyDescent="0.2">
      <c r="D61" s="222" t="s">
        <v>169</v>
      </c>
      <c r="E61" s="224" t="s">
        <v>5446</v>
      </c>
      <c r="F61" s="231">
        <v>52337.599999999999</v>
      </c>
    </row>
    <row r="62" spans="4:6" ht="20.25" customHeight="1" x14ac:dyDescent="0.2">
      <c r="D62" s="222" t="s">
        <v>169</v>
      </c>
      <c r="E62" s="224" t="s">
        <v>5447</v>
      </c>
      <c r="F62" s="231">
        <v>60000</v>
      </c>
    </row>
    <row r="63" spans="4:6" ht="20.25" customHeight="1" x14ac:dyDescent="0.2">
      <c r="D63" s="222" t="s">
        <v>169</v>
      </c>
      <c r="E63" s="224" t="s">
        <v>5448</v>
      </c>
      <c r="F63" s="231">
        <v>70901.86</v>
      </c>
    </row>
    <row r="64" spans="4:6" ht="20.25" customHeight="1" x14ac:dyDescent="0.2">
      <c r="D64" s="222" t="s">
        <v>169</v>
      </c>
      <c r="E64" s="224" t="s">
        <v>5449</v>
      </c>
      <c r="F64" s="231">
        <v>48757.24</v>
      </c>
    </row>
    <row r="65" spans="4:6" ht="20.25" customHeight="1" x14ac:dyDescent="0.2">
      <c r="D65" s="222" t="s">
        <v>169</v>
      </c>
      <c r="E65" s="224" t="s">
        <v>5450</v>
      </c>
      <c r="F65" s="231">
        <v>53633.54</v>
      </c>
    </row>
    <row r="66" spans="4:6" ht="20.25" customHeight="1" x14ac:dyDescent="0.2">
      <c r="D66" s="222" t="s">
        <v>169</v>
      </c>
      <c r="E66" s="224" t="s">
        <v>5451</v>
      </c>
      <c r="F66" s="231">
        <v>39458.730000000003</v>
      </c>
    </row>
    <row r="67" spans="4:6" ht="20.25" customHeight="1" x14ac:dyDescent="0.2">
      <c r="D67" s="222" t="s">
        <v>169</v>
      </c>
      <c r="E67" s="224" t="s">
        <v>5452</v>
      </c>
      <c r="F67" s="231">
        <v>53212.03</v>
      </c>
    </row>
    <row r="68" spans="4:6" ht="20.25" customHeight="1" x14ac:dyDescent="0.2">
      <c r="D68" s="222" t="s">
        <v>169</v>
      </c>
      <c r="E68" s="224" t="s">
        <v>5453</v>
      </c>
      <c r="F68" s="231">
        <v>53212.03</v>
      </c>
    </row>
    <row r="69" spans="4:6" ht="20.25" customHeight="1" x14ac:dyDescent="0.2">
      <c r="D69" s="222" t="s">
        <v>169</v>
      </c>
      <c r="E69" s="224" t="s">
        <v>5454</v>
      </c>
      <c r="F69" s="231">
        <v>60000</v>
      </c>
    </row>
    <row r="70" spans="4:6" ht="20.25" customHeight="1" x14ac:dyDescent="0.2">
      <c r="D70" s="222" t="s">
        <v>169</v>
      </c>
      <c r="E70" s="224" t="s">
        <v>5455</v>
      </c>
      <c r="F70" s="231">
        <v>51660.32</v>
      </c>
    </row>
    <row r="71" spans="4:6" ht="20.25" customHeight="1" x14ac:dyDescent="0.2">
      <c r="D71" s="222" t="s">
        <v>169</v>
      </c>
      <c r="E71" s="224" t="s">
        <v>5456</v>
      </c>
      <c r="F71" s="231">
        <v>43296.639999999999</v>
      </c>
    </row>
    <row r="72" spans="4:6" ht="20.25" customHeight="1" x14ac:dyDescent="0.2">
      <c r="D72" s="222" t="s">
        <v>169</v>
      </c>
      <c r="E72" s="224" t="s">
        <v>5457</v>
      </c>
      <c r="F72" s="231">
        <v>52499.63</v>
      </c>
    </row>
    <row r="73" spans="4:6" ht="20.25" customHeight="1" x14ac:dyDescent="0.2">
      <c r="D73" s="222" t="s">
        <v>169</v>
      </c>
      <c r="E73" s="224" t="s">
        <v>5458</v>
      </c>
      <c r="F73" s="231">
        <v>60000</v>
      </c>
    </row>
    <row r="74" spans="4:6" ht="20.25" customHeight="1" x14ac:dyDescent="0.2">
      <c r="D74" s="222" t="s">
        <v>169</v>
      </c>
      <c r="E74" s="224" t="s">
        <v>5459</v>
      </c>
      <c r="F74" s="231">
        <v>85017.9</v>
      </c>
    </row>
    <row r="75" spans="4:6" ht="20.25" customHeight="1" x14ac:dyDescent="0.2">
      <c r="D75" s="222" t="s">
        <v>169</v>
      </c>
      <c r="E75" s="224" t="s">
        <v>5460</v>
      </c>
      <c r="F75" s="231">
        <v>53989.99</v>
      </c>
    </row>
    <row r="76" spans="4:6" ht="20.25" customHeight="1" x14ac:dyDescent="0.2">
      <c r="D76" s="222" t="s">
        <v>169</v>
      </c>
      <c r="E76" s="224" t="s">
        <v>5461</v>
      </c>
      <c r="F76" s="231">
        <v>84379.96</v>
      </c>
    </row>
    <row r="77" spans="4:6" ht="20.25" customHeight="1" x14ac:dyDescent="0.2">
      <c r="D77" s="222" t="s">
        <v>169</v>
      </c>
      <c r="E77" s="224" t="s">
        <v>5462</v>
      </c>
      <c r="F77" s="231">
        <v>51943.76</v>
      </c>
    </row>
    <row r="78" spans="4:6" ht="20.25" customHeight="1" x14ac:dyDescent="0.2">
      <c r="D78" s="222" t="s">
        <v>169</v>
      </c>
      <c r="E78" s="224" t="s">
        <v>5463</v>
      </c>
      <c r="F78" s="231">
        <v>55656.71</v>
      </c>
    </row>
    <row r="79" spans="4:6" ht="20.25" customHeight="1" x14ac:dyDescent="0.2">
      <c r="D79" s="222" t="s">
        <v>169</v>
      </c>
      <c r="E79" s="224" t="s">
        <v>5464</v>
      </c>
      <c r="F79" s="231">
        <v>54347.07</v>
      </c>
    </row>
    <row r="80" spans="4:6" ht="20.25" customHeight="1" x14ac:dyDescent="0.2">
      <c r="D80" s="222" t="s">
        <v>169</v>
      </c>
      <c r="E80" s="224" t="s">
        <v>5465</v>
      </c>
      <c r="F80" s="231">
        <v>51444.99</v>
      </c>
    </row>
    <row r="81" spans="4:6" ht="20.25" customHeight="1" x14ac:dyDescent="0.2">
      <c r="D81" s="222" t="s">
        <v>169</v>
      </c>
      <c r="E81" s="224" t="s">
        <v>5466</v>
      </c>
      <c r="F81" s="231">
        <v>48856.37</v>
      </c>
    </row>
    <row r="82" spans="4:6" ht="20.25" customHeight="1" x14ac:dyDescent="0.2">
      <c r="D82" s="222" t="s">
        <v>169</v>
      </c>
      <c r="E82" s="224" t="s">
        <v>5467</v>
      </c>
      <c r="F82" s="231">
        <v>57999.5</v>
      </c>
    </row>
    <row r="83" spans="4:6" ht="20.25" customHeight="1" x14ac:dyDescent="0.2">
      <c r="D83" s="222" t="s">
        <v>169</v>
      </c>
      <c r="E83" s="224" t="s">
        <v>5468</v>
      </c>
      <c r="F83" s="231">
        <v>53751.44</v>
      </c>
    </row>
    <row r="84" spans="4:6" ht="20.25" customHeight="1" x14ac:dyDescent="0.2">
      <c r="D84" s="222" t="s">
        <v>169</v>
      </c>
      <c r="E84" s="224" t="s">
        <v>5469</v>
      </c>
      <c r="F84" s="231">
        <v>102660.83</v>
      </c>
    </row>
    <row r="85" spans="4:6" ht="20.25" customHeight="1" x14ac:dyDescent="0.2">
      <c r="D85" s="222" t="s">
        <v>169</v>
      </c>
      <c r="E85" s="222" t="s">
        <v>5470</v>
      </c>
      <c r="F85" s="232">
        <v>60000</v>
      </c>
    </row>
    <row r="86" spans="4:6" ht="20.25" customHeight="1" x14ac:dyDescent="0.2">
      <c r="D86" s="222" t="s">
        <v>169</v>
      </c>
      <c r="E86" s="224" t="s">
        <v>5471</v>
      </c>
      <c r="F86" s="231">
        <v>60000</v>
      </c>
    </row>
    <row r="87" spans="4:6" ht="20.25" customHeight="1" x14ac:dyDescent="0.2">
      <c r="D87" s="222" t="s">
        <v>169</v>
      </c>
      <c r="E87" s="222" t="s">
        <v>5472</v>
      </c>
      <c r="F87" s="231">
        <v>51891.83</v>
      </c>
    </row>
    <row r="88" spans="4:6" ht="20.25" customHeight="1" x14ac:dyDescent="0.2">
      <c r="D88" s="222" t="s">
        <v>169</v>
      </c>
      <c r="E88" s="224" t="s">
        <v>5473</v>
      </c>
      <c r="F88" s="233">
        <v>36197.919999999998</v>
      </c>
    </row>
    <row r="89" spans="4:6" ht="20.25" customHeight="1" x14ac:dyDescent="0.2">
      <c r="D89" s="225" t="s">
        <v>169</v>
      </c>
      <c r="E89" s="224" t="s">
        <v>5474</v>
      </c>
      <c r="F89" s="231">
        <v>43155.13</v>
      </c>
    </row>
    <row r="90" spans="4:6" ht="20.25" customHeight="1" x14ac:dyDescent="0.2">
      <c r="D90" s="222" t="s">
        <v>169</v>
      </c>
      <c r="E90" s="224" t="s">
        <v>5475</v>
      </c>
      <c r="F90" s="231">
        <v>58988.86</v>
      </c>
    </row>
    <row r="91" spans="4:6" ht="20.25" customHeight="1" x14ac:dyDescent="0.2">
      <c r="D91" s="222" t="s">
        <v>169</v>
      </c>
      <c r="E91" s="224" t="s">
        <v>5476</v>
      </c>
      <c r="F91" s="231">
        <v>56274.27</v>
      </c>
    </row>
    <row r="92" spans="4:6" ht="20.25" customHeight="1" x14ac:dyDescent="0.2">
      <c r="D92" s="222" t="s">
        <v>169</v>
      </c>
      <c r="E92" s="224" t="s">
        <v>5477</v>
      </c>
      <c r="F92" s="231">
        <v>51308.19</v>
      </c>
    </row>
    <row r="93" spans="4:6" ht="20.25" customHeight="1" x14ac:dyDescent="0.2">
      <c r="D93" s="222" t="s">
        <v>169</v>
      </c>
      <c r="E93" s="224" t="s">
        <v>5478</v>
      </c>
      <c r="F93" s="231">
        <v>44226.95</v>
      </c>
    </row>
    <row r="94" spans="4:6" ht="20.25" customHeight="1" x14ac:dyDescent="0.2">
      <c r="D94" s="222" t="s">
        <v>169</v>
      </c>
      <c r="E94" s="224" t="s">
        <v>5479</v>
      </c>
      <c r="F94" s="231">
        <v>53896.74</v>
      </c>
    </row>
    <row r="95" spans="4:6" ht="20.25" customHeight="1" x14ac:dyDescent="0.2">
      <c r="D95" s="222" t="s">
        <v>169</v>
      </c>
      <c r="E95" s="224" t="s">
        <v>5480</v>
      </c>
      <c r="F95" s="231">
        <v>46409.63</v>
      </c>
    </row>
    <row r="96" spans="4:6" ht="20.25" customHeight="1" x14ac:dyDescent="0.2">
      <c r="D96" s="222" t="s">
        <v>169</v>
      </c>
      <c r="E96" s="224" t="s">
        <v>5481</v>
      </c>
      <c r="F96" s="231">
        <v>57433.2</v>
      </c>
    </row>
    <row r="98" spans="5:6" ht="20.25" customHeight="1" x14ac:dyDescent="0.2">
      <c r="E98" s="235" t="s">
        <v>5482</v>
      </c>
      <c r="F98" s="234">
        <f>SUM(F4:F97)</f>
        <v>4865724.6900000004</v>
      </c>
    </row>
  </sheetData>
  <dataValidations count="1">
    <dataValidation allowBlank="1" showInputMessage="1" showErrorMessage="1" sqref="D4:D34 D38:D39 D43:D50 E4 E7:E49 E56:E58 E65 E67:E69" xr:uid="{F442693F-EB21-4ED8-991D-F74DD830A65F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309" t="s">
        <v>5483</v>
      </c>
      <c r="B1" s="309"/>
      <c r="C1" s="59"/>
      <c r="D1" s="59"/>
      <c r="E1" s="309" t="s">
        <v>5484</v>
      </c>
      <c r="F1" s="309"/>
    </row>
    <row r="2" spans="1:6" x14ac:dyDescent="0.25">
      <c r="A2" s="60" t="s">
        <v>38</v>
      </c>
      <c r="B2" s="60" t="s">
        <v>5485</v>
      </c>
      <c r="E2" s="58" t="s">
        <v>38</v>
      </c>
      <c r="F2" s="58" t="s">
        <v>5485</v>
      </c>
    </row>
    <row r="3" spans="1:6" x14ac:dyDescent="0.25">
      <c r="A3" s="8" t="s">
        <v>129</v>
      </c>
      <c r="B3" s="11">
        <v>39</v>
      </c>
      <c r="E3" s="8" t="s">
        <v>129</v>
      </c>
      <c r="F3" s="11">
        <v>54</v>
      </c>
    </row>
    <row r="4" spans="1:6" x14ac:dyDescent="0.25">
      <c r="A4" s="8" t="s">
        <v>5486</v>
      </c>
      <c r="B4" s="11">
        <v>15</v>
      </c>
      <c r="E4" s="8" t="s">
        <v>5487</v>
      </c>
      <c r="F4" s="11">
        <v>13</v>
      </c>
    </row>
    <row r="5" spans="1:6" x14ac:dyDescent="0.25">
      <c r="A5" s="8" t="s">
        <v>5488</v>
      </c>
      <c r="B5" s="11">
        <v>7</v>
      </c>
      <c r="E5" s="8" t="s">
        <v>5488</v>
      </c>
      <c r="F5" s="11">
        <v>15</v>
      </c>
    </row>
    <row r="6" spans="1:6" x14ac:dyDescent="0.25">
      <c r="A6" s="8" t="s">
        <v>1070</v>
      </c>
      <c r="B6" s="11">
        <v>2</v>
      </c>
      <c r="E6" s="8" t="s">
        <v>1070</v>
      </c>
      <c r="F6" s="11">
        <v>9</v>
      </c>
    </row>
    <row r="7" spans="1:6" x14ac:dyDescent="0.25">
      <c r="A7" s="8" t="s">
        <v>1064</v>
      </c>
      <c r="B7" s="11">
        <v>0</v>
      </c>
      <c r="E7" s="8" t="s">
        <v>1064</v>
      </c>
      <c r="F7" s="11">
        <v>9</v>
      </c>
    </row>
    <row r="8" spans="1:6" x14ac:dyDescent="0.25">
      <c r="A8" s="8" t="s">
        <v>1078</v>
      </c>
      <c r="B8" s="11">
        <v>15</v>
      </c>
      <c r="E8" s="8" t="s">
        <v>1078</v>
      </c>
      <c r="F8" s="11">
        <v>21</v>
      </c>
    </row>
    <row r="9" spans="1:6" x14ac:dyDescent="0.25">
      <c r="A9" s="61" t="s">
        <v>987</v>
      </c>
      <c r="B9" s="62">
        <f>SUM(B3:B8)</f>
        <v>78</v>
      </c>
      <c r="E9" s="61" t="s">
        <v>987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10</vt:i4>
      </vt:variant>
    </vt:vector>
  </HeadingPairs>
  <TitlesOfParts>
    <vt:vector size="21" baseType="lpstr">
      <vt:lpstr>PRIORIDADES</vt:lpstr>
      <vt:lpstr>Planilha1</vt:lpstr>
      <vt:lpstr>RESUMO ANTONICO</vt:lpstr>
      <vt:lpstr>Listas (não utilizar)</vt:lpstr>
      <vt:lpstr>QUANT COND</vt:lpstr>
      <vt:lpstr>OFÍCIOS</vt:lpstr>
      <vt:lpstr>Planilha2</vt:lpstr>
      <vt:lpstr>Planilha3</vt:lpstr>
      <vt:lpstr>Planilha4</vt:lpstr>
      <vt:lpstr>Planilha5</vt:lpstr>
      <vt:lpstr>Quantitativo Fora da Demanda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2026-06-19T17:23:19Z</dcterms:modified>
  <cp:category/>
  <cp:contentStatus/>
</cp:coreProperties>
</file>