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ardim Aurora/Planilha de Controle/"/>
    </mc:Choice>
  </mc:AlternateContent>
  <xr:revisionPtr revIDLastSave="96129" documentId="8_{DAC6C9CA-70D7-4111-A0A7-BC6755E560D9}" xr6:coauthVersionLast="47" xr6:coauthVersionMax="47" xr10:uidLastSave="{9E351141-1E79-42BE-8027-C87C2968B4AB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PRIORIDADES!$B$9:$BM$10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 calcOnSave="0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4" i="20" l="1"/>
  <c r="BD14" i="20"/>
  <c r="BE14" i="20"/>
  <c r="BC21" i="20"/>
  <c r="BD21" i="20"/>
  <c r="BE21" i="20"/>
  <c r="BC15" i="20"/>
  <c r="BD15" i="20"/>
  <c r="BE15" i="20"/>
  <c r="BC16" i="20"/>
  <c r="BD16" i="20"/>
  <c r="BE16" i="20"/>
  <c r="BC25" i="20"/>
  <c r="BD25" i="20"/>
  <c r="BE25" i="20"/>
  <c r="BC26" i="20"/>
  <c r="BD26" i="20"/>
  <c r="BE26" i="20"/>
  <c r="BC11" i="20"/>
  <c r="BD11" i="20"/>
  <c r="BE11" i="20"/>
  <c r="BC19" i="20"/>
  <c r="BD19" i="20"/>
  <c r="BE19" i="20"/>
  <c r="BC12" i="20"/>
  <c r="BD12" i="20"/>
  <c r="BE12" i="20"/>
  <c r="BC22" i="20"/>
  <c r="BD22" i="20"/>
  <c r="BE22" i="20"/>
  <c r="BC20" i="20"/>
  <c r="BD20" i="20"/>
  <c r="BE20" i="20"/>
  <c r="BC10" i="20"/>
  <c r="BD10" i="20"/>
  <c r="BE10" i="20"/>
  <c r="BC23" i="20"/>
  <c r="BD23" i="20"/>
  <c r="BE23" i="20"/>
  <c r="BC18" i="20"/>
  <c r="BD18" i="20"/>
  <c r="BE18" i="20"/>
  <c r="BC24" i="20"/>
  <c r="BD24" i="20"/>
  <c r="BE24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E17" i="20"/>
  <c r="BD17" i="20"/>
  <c r="BC17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<sst xmlns="http://schemas.openxmlformats.org/spreadsheetml/2006/main" count="8263" uniqueCount="5440">
  <si>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</si>
  <si>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</si>
  <si>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</si>
  <si>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</si>
  <si>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</si>
  <si>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</si>
  <si>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</si>
  <si>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</si>
  <si>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</si>
  <si>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</si>
  <si>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</si>
  <si>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</si>
  <si>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</si>
  <si>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</si>
  <si>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</si>
  <si>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</si>
  <si>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</si>
  <si>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</si>
  <si>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</si>
  <si>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</si>
  <si>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</si>
  <si>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</si>
  <si>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</si>
  <si>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</si>
  <si>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</si>
  <si>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</si>
  <si>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</si>
  <si>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</si>
  <si>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</si>
  <si>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</si>
  <si>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</si>
  <si>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</si>
  <si>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</si>
  <si>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</si>
  <si>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</si>
  <si>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</si>
  <si>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</si>
  <si>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</si>
  <si>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</si>
  <si>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</si>
  <si>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</si>
  <si>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</si>
  <si>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</si>
  <si>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</si>
  <si>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</si>
  <si>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</si>
  <si>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</si>
  <si>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</si>
  <si>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</si>
  <si>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</si>
  <si>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</si>
  <si>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</si>
  <si>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</si>
  <si>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</si>
  <si>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</si>
  <si>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</si>
  <si>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</si>
  <si>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</si>
  <si>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</si>
  <si>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</si>
  <si>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</si>
  <si>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</si>
  <si>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</si>
  <si>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</si>
  <si>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</si>
  <si>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</si>
  <si>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</si>
  <si>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</si>
  <si>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</si>
  <si>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</si>
  <si>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</si>
  <si>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</si>
  <si>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</si>
  <si>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</si>
  <si>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</si>
  <si>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</si>
  <si>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</si>
  <si>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</si>
  <si>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</si>
  <si>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</si>
  <si>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</si>
  <si>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</si>
  <si>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</si>
  <si>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</si>
  <si>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</si>
  <si>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</si>
  <si>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</si>
  <si>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</si>
  <si>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</si>
  <si>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</si>
  <si>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</si>
  <si>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</si>
  <si>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</si>
  <si>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</si>
  <si>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</si>
  <si>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</si>
  <si>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</si>
  <si>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</si>
  <si>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</si>
  <si>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</si>
  <si>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</si>
  <si>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</si>
  <si>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</si>
  <si>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</si>
  <si>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</si>
  <si>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</si>
  <si>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</si>
  <si>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</si>
  <si>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</si>
  <si>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</si>
  <si>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</si>
  <si>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</si>
  <si>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</si>
  <si>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</si>
  <si>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</si>
  <si>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</si>
  <si>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</si>
  <si>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</si>
  <si>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</si>
  <si>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</si>
  <si>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</si>
  <si>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</si>
  <si>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</si>
  <si>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</si>
  <si>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</si>
  <si>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</si>
  <si>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</si>
  <si>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</si>
  <si>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</si>
  <si>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</si>
  <si>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</si>
  <si>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</si>
  <si>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</si>
  <si>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</si>
  <si>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</si>
  <si>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</si>
  <si>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</si>
  <si>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</si>
  <si>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</si>
  <si>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</si>
  <si>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</si>
  <si>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</si>
  <si>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</si>
  <si>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</si>
  <si>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</si>
  <si>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</si>
  <si>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</si>
  <si>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</si>
  <si>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</si>
  <si>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</si>
  <si>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</si>
  <si>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</si>
  <si>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</si>
  <si>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</si>
  <si>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</si>
  <si>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</si>
  <si>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</si>
  <si>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</si>
  <si>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</si>
  <si>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</si>
  <si>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</si>
  <si>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</si>
  <si>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</si>
  <si>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</si>
  <si>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</si>
  <si>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</si>
  <si>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</si>
  <si>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</si>
  <si>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</si>
  <si>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</si>
  <si>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</si>
  <si>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</si>
  <si>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</si>
  <si>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</si>
  <si>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</si>
  <si>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</si>
  <si>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</si>
  <si>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</si>
  <si>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</si>
  <si>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</si>
  <si>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</si>
  <si>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</si>
  <si>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</si>
  <si>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</si>
  <si>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</si>
  <si>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</si>
  <si>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</si>
  <si>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</si>
  <si>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</si>
  <si>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</si>
  <si>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</si>
  <si>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</si>
  <si>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</si>
  <si>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</si>
  <si>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</si>
  <si>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</si>
  <si>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</si>
  <si>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</si>
  <si>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</si>
  <si>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</si>
  <si>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</si>
  <si>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</si>
  <si>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</si>
  <si>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</si>
  <si>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</si>
  <si>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</si>
  <si>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</si>
  <si>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</si>
  <si>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</si>
  <si>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</si>
  <si>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</si>
  <si>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</si>
  <si>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</si>
  <si>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</si>
  <si>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</si>
  <si>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</si>
  <si>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</si>
  <si>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</si>
  <si>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</si>
  <si>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</si>
  <si>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</si>
  <si>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</si>
  <si>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</si>
  <si>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</si>
  <si>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</si>
  <si>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</si>
  <si>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</si>
  <si>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</si>
  <si>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</si>
  <si>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</si>
  <si>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</si>
  <si>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</si>
  <si>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</si>
  <si>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</si>
  <si>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</si>
  <si>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</si>
  <si>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</si>
  <si>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</si>
  <si>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</si>
  <si>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</si>
  <si>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</si>
  <si>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</si>
  <si>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</si>
  <si>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</si>
  <si>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</si>
  <si>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</si>
  <si>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</si>
  <si>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</si>
  <si>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</si>
  <si>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</si>
  <si>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</si>
  <si>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</si>
  <si>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</si>
  <si>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</si>
  <si>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</si>
  <si>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</si>
  <si>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</si>
  <si>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</si>
  <si>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</si>
  <si>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</si>
  <si>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</si>
  <si>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</si>
  <si>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</si>
  <si>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</si>
  <si>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</si>
  <si>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</si>
  <si>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</si>
  <si>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</si>
  <si>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</si>
  <si>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</si>
  <si>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</si>
  <si>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</si>
  <si>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</si>
  <si>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</si>
  <si>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</si>
  <si>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</si>
  <si>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</si>
  <si>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</si>
  <si>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</si>
  <si>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</si>
  <si>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</si>
  <si>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</si>
  <si>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</si>
  <si>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</si>
  <si>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</si>
  <si>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</si>
  <si>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</si>
  <si>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</si>
  <si>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</si>
  <si>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</si>
  <si>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</si>
  <si>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</si>
  <si>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</si>
  <si>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</si>
  <si>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</si>
  <si>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</si>
  <si>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</si>
  <si>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</si>
  <si>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</si>
  <si>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</si>
  <si>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</si>
  <si>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</si>
  <si>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</si>
  <si>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</si>
  <si>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</si>
  <si>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</si>
  <si>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</si>
  <si>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</si>
  <si>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</si>
  <si>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</si>
  <si>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</si>
  <si>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</si>
  <si>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</si>
  <si>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</si>
  <si>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</si>
  <si>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</si>
  <si>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</si>
  <si>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</si>
  <si>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</si>
  <si>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</si>
  <si>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</si>
  <si>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</si>
  <si>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</si>
  <si>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</si>
  <si>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</si>
  <si>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</si>
  <si>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</si>
  <si>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</si>
  <si>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</si>
  <si>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</si>
  <si>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</si>
  <si>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</si>
  <si>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</si>
  <si>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</si>
  <si>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</si>
  <si>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</si>
  <si>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</si>
  <si>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</si>
  <si>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</si>
  <si>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</si>
  <si>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</si>
  <si>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</si>
  <si>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</si>
  <si>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</si>
  <si>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</si>
  <si>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</si>
  <si>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</si>
  <si>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</si>
  <si>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</si>
  <si>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</si>
  <si>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</si>
  <si>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</si>
  <si>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</si>
  <si>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</si>
  <si>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</si>
  <si>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</si>
  <si>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</si>
  <si>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</si>
  <si>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</si>
  <si>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</si>
  <si>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</si>
  <si>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</si>
  <si>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</si>
  <si>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</si>
  <si>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</si>
  <si>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</si>
  <si>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</si>
  <si>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</si>
  <si>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</si>
  <si>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</si>
  <si>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</si>
  <si>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</si>
  <si>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</si>
  <si>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</si>
  <si>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</si>
  <si>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</si>
  <si>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</si>
  <si>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</si>
  <si>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</si>
  <si>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</si>
  <si>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</si>
  <si>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</si>
  <si>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</si>
  <si>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</si>
  <si>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</si>
  <si>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</si>
  <si>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</si>
  <si>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</si>
  <si>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</si>
  <si>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</si>
  <si>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</si>
  <si>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</si>
  <si>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</si>
  <si>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</si>
  <si>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</si>
  <si>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</si>
  <si>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</si>
  <si>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</si>
  <si>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</si>
  <si>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</si>
  <si>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</si>
  <si>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</si>
  <si>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</si>
  <si>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</si>
  <si>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</si>
  <si>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</si>
  <si>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</si>
  <si>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</si>
  <si>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</si>
  <si>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</si>
  <si>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</si>
  <si>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</si>
  <si>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</si>
  <si>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</si>
  <si>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</si>
  <si>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</si>
  <si>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</si>
  <si>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</si>
  <si>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</si>
  <si>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</si>
  <si>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</si>
  <si>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</si>
  <si>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</si>
  <si>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</si>
  <si>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</si>
  <si>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</si>
  <si>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</si>
  <si>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</si>
  <si>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</si>
  <si>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</si>
  <si>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</si>
  <si>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</si>
  <si>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</si>
  <si>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</si>
  <si>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</si>
  <si>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</si>
  <si>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</si>
  <si>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</si>
  <si>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</si>
  <si>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</si>
  <si>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</si>
  <si>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</si>
  <si>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</si>
  <si>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</si>
  <si>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</si>
  <si>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</si>
  <si>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</si>
  <si>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</si>
  <si>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</si>
  <si>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</si>
  <si>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</si>
  <si>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</si>
  <si>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</si>
  <si>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</si>
  <si>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</si>
  <si>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</si>
  <si>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</si>
  <si>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</si>
  <si>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</si>
  <si>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</si>
  <si>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</si>
  <si>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</si>
  <si>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</si>
  <si>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</si>
  <si>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</si>
  <si>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</si>
  <si>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</si>
  <si>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</si>
  <si>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</si>
  <si>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</si>
  <si>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</si>
  <si>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</si>
  <si>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</si>
  <si>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</si>
  <si>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</si>
  <si>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</si>
  <si>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</si>
  <si>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</si>
  <si>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</si>
  <si>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</si>
  <si>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</si>
  <si>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</si>
  <si>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</si>
  <si>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</si>
  <si>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</si>
  <si>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</si>
  <si>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</si>
  <si>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</si>
  <si>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</si>
  <si>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</si>
  <si>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</si>
  <si>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</si>
  <si>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</si>
  <si>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</si>
  <si>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</si>
  <si>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</si>
  <si>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</si>
  <si>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</si>
  <si>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</si>
  <si>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</si>
  <si>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</si>
  <si>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</si>
  <si>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</si>
  <si>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</si>
  <si>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</si>
  <si>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</si>
  <si>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</si>
  <si>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</si>
  <si>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</si>
  <si>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</si>
  <si>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</si>
  <si>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</si>
  <si>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</si>
  <si>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</si>
  <si>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</si>
  <si>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</si>
  <si>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</si>
  <si>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</si>
  <si>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</si>
  <si>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</si>
  <si>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</si>
  <si>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</si>
  <si>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</si>
  <si>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</si>
  <si>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</si>
  <si>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</si>
  <si>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</si>
  <si>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</si>
  <si>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</si>
  <si>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</si>
  <si>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</si>
  <si>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</si>
  <si>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</si>
  <si>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</si>
  <si>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</si>
  <si>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</si>
  <si>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</si>
  <si>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</si>
  <si>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</si>
  <si>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</si>
  <si>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</si>
  <si>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</si>
  <si>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</si>
  <si>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</si>
  <si>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</si>
  <si>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</si>
  <si>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</si>
  <si>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</si>
  <si>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</si>
  <si>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</si>
  <si>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</si>
  <si>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</si>
  <si>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</si>
  <si>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</si>
  <si>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</si>
  <si>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</si>
  <si>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</si>
  <si>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</si>
  <si>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</si>
  <si>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</si>
  <si>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</si>
  <si>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</si>
  <si>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</si>
  <si>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</si>
  <si>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</si>
  <si>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</si>
  <si>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</si>
  <si>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</si>
  <si>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</si>
  <si>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</si>
  <si>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</si>
  <si>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</si>
  <si>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</si>
  <si>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</si>
  <si>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</si>
  <si>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</si>
  <si>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</si>
  <si>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</si>
  <si>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</si>
  <si>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</si>
  <si>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</si>
  <si>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</si>
  <si>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</si>
  <si>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</si>
  <si>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</si>
  <si>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</si>
  <si>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</si>
  <si>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</si>
  <si>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</si>
  <si>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</si>
  <si>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</si>
  <si>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</si>
  <si>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</si>
  <si>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</si>
  <si>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</si>
  <si>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</si>
  <si>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</si>
  <si>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</si>
  <si>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</si>
  <si>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</si>
  <si>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</si>
  <si>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</si>
  <si>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</si>
  <si>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</si>
  <si>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</si>
  <si>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</si>
  <si>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</si>
  <si>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</si>
  <si>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</si>
  <si>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</si>
  <si>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</si>
  <si>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</si>
  <si>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</si>
  <si>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</si>
  <si>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</si>
  <si>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</si>
  <si>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</si>
  <si>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</si>
  <si>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</si>
  <si>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</si>
  <si>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</si>
  <si>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</si>
  <si>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</si>
  <si>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</si>
  <si>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</si>
  <si>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</si>
  <si>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</si>
  <si>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</si>
  <si>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</si>
  <si>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</si>
  <si>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</si>
  <si>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</si>
  <si>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</si>
  <si>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</si>
  <si>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</si>
  <si>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</si>
  <si>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</si>
  <si>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</si>
  <si>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</si>
  <si>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</si>
  <si>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</si>
  <si>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</si>
  <si>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</si>
  <si>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</si>
  <si>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</si>
  <si>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</si>
  <si>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</si>
  <si>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</si>
  <si>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</si>
  <si>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</si>
  <si>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</si>
  <si>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</si>
  <si>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</si>
  <si>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</si>
  <si>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</si>
  <si>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</si>
  <si>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</si>
  <si>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</si>
  <si>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</si>
  <si>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</si>
  <si>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</si>
  <si>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</si>
  <si>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</si>
  <si>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</si>
  <si>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</si>
  <si>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</si>
  <si>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</si>
  <si>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</si>
  <si>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</si>
  <si>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</si>
  <si>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</si>
  <si>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</si>
  <si>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</si>
  <si>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</si>
  <si>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</si>
  <si>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</si>
  <si>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</si>
  <si>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</si>
  <si>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</si>
  <si>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</si>
  <si>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</si>
  <si>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</si>
  <si>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</si>
  <si>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</si>
  <si>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</si>
  <si>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</si>
  <si>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</si>
  <si>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</si>
  <si>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</si>
  <si>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</si>
  <si>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</si>
  <si>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</si>
  <si>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</si>
  <si>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</si>
  <si>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</si>
  <si>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</si>
  <si>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</si>
  <si>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</si>
  <si>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</si>
  <si>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</si>
  <si>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</si>
  <si>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</si>
  <si>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</si>
  <si>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</si>
  <si>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</si>
  <si>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</si>
  <si>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</si>
  <si>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</si>
  <si>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</si>
  <si>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</si>
  <si>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</si>
  <si>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</si>
  <si>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</si>
  <si>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</si>
  <si>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</si>
  <si>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</si>
  <si>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</si>
  <si>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</si>
  <si>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</si>
  <si>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</si>
  <si>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</si>
  <si>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</si>
  <si>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</si>
  <si>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</si>
  <si>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</si>
  <si>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</si>
  <si>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</si>
  <si>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</si>
  <si>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</si>
  <si>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</si>
  <si>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</si>
  <si>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</si>
  <si>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</si>
  <si>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</si>
  <si>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</si>
  <si>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</si>
  <si>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</si>
  <si>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</si>
  <si>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</si>
  <si>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</si>
  <si>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</si>
  <si>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</si>
  <si>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</si>
  <si>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</si>
  <si>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</si>
  <si>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</si>
  <si>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</si>
  <si>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</si>
  <si>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</si>
  <si>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</si>
  <si>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</si>
  <si>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</si>
  <si>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</si>
  <si>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</si>
  <si>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</si>
  <si>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</si>
  <si>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</si>
  <si>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</si>
  <si>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</si>
  <si>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</si>
  <si>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</si>
  <si>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</si>
  <si>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</si>
  <si>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</si>
  <si>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</si>
  <si>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</si>
  <si>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</si>
  <si>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</si>
  <si>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</si>
  <si>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</si>
  <si>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</si>
  <si>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</si>
  <si>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</si>
  <si>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</si>
  <si>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</si>
  <si>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</si>
  <si>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</si>
  <si>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</si>
  <si>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</si>
  <si>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</si>
  <si>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</si>
  <si>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</si>
  <si>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</si>
  <si>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</si>
  <si>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</si>
  <si>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</si>
  <si>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</si>
  <si>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</si>
  <si>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</si>
  <si>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</si>
  <si>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</si>
  <si>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</si>
  <si>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</si>
  <si>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</si>
  <si>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</si>
  <si>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</si>
  <si>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</si>
  <si>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</si>
  <si>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</si>
  <si>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</si>
  <si>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</si>
  <si>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</si>
  <si>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</si>
  <si>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</si>
  <si>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</si>
  <si>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</si>
  <si>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</si>
  <si>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</si>
  <si>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</si>
  <si>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</si>
  <si>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</si>
  <si>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</si>
  <si>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</si>
  <si>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</si>
  <si>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</si>
  <si>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</si>
  <si>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</si>
  <si>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</si>
  <si>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</si>
  <si>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</si>
  <si>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</si>
  <si>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</si>
  <si>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</si>
  <si>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</si>
  <si>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</si>
  <si>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</si>
  <si>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</si>
  <si>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</si>
  <si>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</si>
  <si>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</si>
  <si>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</si>
  <si>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</si>
  <si>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</si>
  <si>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</si>
  <si>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</si>
  <si>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</si>
  <si>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</si>
  <si>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</si>
  <si>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</si>
  <si>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</si>
  <si>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</si>
  <si>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</si>
  <si>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</si>
  <si>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</si>
  <si>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</si>
  <si>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</si>
  <si>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</si>
  <si>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</si>
  <si>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</si>
  <si>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</si>
  <si>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</si>
  <si>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</si>
  <si>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</si>
  <si>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</si>
  <si>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</si>
  <si>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</si>
  <si>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</si>
  <si>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</si>
  <si>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</si>
  <si>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</si>
  <si>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</si>
  <si>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</si>
  <si>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</si>
  <si>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</si>
  <si>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</si>
  <si>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</si>
  <si>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</si>
  <si>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</si>
  <si>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</si>
  <si>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</si>
  <si>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</si>
  <si>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</si>
  <si>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</si>
  <si>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</si>
  <si>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</si>
  <si>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</si>
  <si>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</si>
  <si>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</si>
  <si>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</si>
  <si>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</si>
  <si>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</si>
  <si>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</si>
  <si>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</si>
  <si>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</si>
  <si>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</si>
  <si>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</si>
  <si>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</si>
  <si>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</si>
  <si>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</si>
  <si>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</si>
  <si>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</si>
  <si>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</si>
  <si>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</si>
  <si>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</si>
  <si>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</si>
  <si>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</si>
  <si>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</si>
  <si>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</si>
  <si>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</si>
  <si>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</si>
  <si>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</si>
  <si>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</si>
  <si>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</si>
  <si>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</si>
  <si>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</si>
  <si>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</si>
  <si>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</si>
  <si>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</si>
  <si>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</si>
  <si>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</si>
  <si>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</si>
  <si>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</si>
  <si>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</si>
  <si>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</si>
  <si>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</si>
  <si>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</si>
  <si>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</si>
  <si>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</si>
  <si>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</si>
  <si>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</si>
  <si>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</si>
  <si>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</si>
  <si>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</si>
  <si>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</si>
  <si>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</si>
  <si>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</si>
  <si>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</si>
  <si>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</si>
  <si>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</si>
  <si>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</si>
  <si>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</si>
  <si>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</si>
  <si>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</si>
  <si>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</si>
  <si>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</si>
  <si>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</si>
  <si>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</si>
  <si>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</si>
  <si>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</si>
  <si>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</si>
  <si>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</si>
  <si>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</si>
  <si>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</si>
  <si>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</si>
  <si>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</si>
  <si>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</si>
  <si>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</si>
  <si>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</si>
  <si>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</si>
  <si>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</si>
  <si>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</si>
  <si>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</si>
  <si>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</si>
  <si>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</si>
  <si>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</si>
  <si>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</si>
  <si>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</si>
  <si>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</si>
  <si>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</si>
  <si>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</si>
  <si>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</si>
  <si>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</si>
  <si>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</si>
  <si>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</si>
  <si>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</si>
  <si>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</si>
  <si>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</si>
  <si>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</si>
  <si>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</si>
  <si>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</si>
  <si>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</si>
  <si>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</si>
  <si>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</si>
  <si>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</si>
  <si>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</si>
  <si>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</si>
  <si>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</si>
  <si>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</si>
  <si>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</si>
  <si>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</si>
  <si>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</si>
  <si>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</si>
  <si>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</si>
  <si>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</si>
  <si>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</si>
  <si>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</si>
  <si>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</si>
  <si>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</si>
  <si>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</si>
  <si>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</si>
  <si>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</si>
  <si>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</si>
  <si>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</si>
  <si>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</si>
  <si>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</si>
  <si>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</si>
  <si>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</si>
  <si>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</si>
  <si>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</si>
  <si>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</si>
  <si>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</si>
  <si>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</si>
  <si>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</si>
  <si>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</si>
  <si>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</si>
  <si>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</si>
  <si>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</si>
  <si>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</si>
  <si>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</si>
  <si>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</si>
  <si>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</si>
  <si>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</si>
  <si>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</si>
  <si>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</si>
  <si>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</si>
  <si>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</si>
  <si>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</si>
  <si>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</si>
  <si>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</si>
  <si>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</si>
  <si>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</si>
  <si>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</si>
  <si>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</si>
  <si>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</si>
  <si>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</si>
  <si>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</si>
  <si>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</si>
  <si>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</si>
  <si>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</si>
  <si>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</si>
  <si>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</si>
  <si>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</si>
  <si>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</si>
  <si>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</si>
  <si>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</si>
  <si>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</si>
  <si>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</si>
  <si>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</si>
  <si>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</si>
  <si>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</si>
  <si>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</si>
  <si>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</si>
  <si>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</si>
  <si>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</si>
  <si>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</si>
  <si>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</si>
  <si>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</si>
  <si>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</si>
  <si>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</si>
  <si>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</si>
  <si>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</si>
  <si>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</si>
  <si>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</si>
  <si>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</si>
  <si>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</si>
  <si>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</si>
  <si>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</si>
  <si>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</si>
  <si>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</si>
  <si>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</si>
  <si>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</si>
  <si>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</si>
  <si>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</si>
  <si>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</si>
  <si>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</si>
  <si>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</si>
  <si>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</si>
  <si>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</si>
  <si>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</si>
  <si>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</si>
  <si>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</si>
  <si>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</si>
  <si>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</si>
  <si>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</si>
  <si>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</si>
  <si>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</si>
  <si>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</si>
  <si>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</si>
  <si>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</si>
  <si>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</si>
  <si>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</si>
  <si>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</si>
  <si>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</si>
  <si>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</si>
  <si>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</si>
  <si>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</si>
  <si>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</si>
  <si>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</si>
  <si>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</si>
  <si>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</si>
  <si>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</si>
  <si>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</si>
  <si>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</si>
  <si>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</si>
  <si>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</si>
  <si>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</si>
  <si>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</si>
  <si>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</si>
  <si>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</si>
  <si>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</si>
  <si>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</si>
  <si>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</si>
  <si>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</si>
  <si>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</si>
  <si>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</si>
  <si>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</si>
  <si>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</si>
  <si>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</si>
  <si>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</si>
  <si>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</si>
  <si>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</si>
  <si>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</si>
  <si>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</si>
  <si>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</si>
  <si>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</si>
  <si>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</si>
  <si>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</si>
  <si>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</si>
  <si>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</si>
  <si>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</si>
  <si>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</si>
  <si>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</si>
  <si>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</si>
  <si>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</si>
  <si>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</si>
  <si>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</si>
  <si>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</si>
  <si>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</si>
  <si>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</si>
  <si>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</si>
  <si>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</si>
  <si>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</si>
  <si>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</si>
  <si>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</si>
  <si>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</si>
  <si>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</si>
  <si>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</si>
  <si>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</si>
  <si>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</si>
  <si>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</si>
  <si>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</si>
  <si>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</si>
  <si>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</si>
  <si>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</si>
  <si>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</si>
  <si>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</si>
  <si>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</si>
  <si>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</si>
  <si>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</si>
  <si>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</si>
  <si>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</si>
  <si>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</si>
  <si>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</si>
  <si>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</si>
  <si>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</si>
  <si>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</si>
  <si>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</si>
  <si>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</si>
  <si>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</si>
  <si>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</si>
  <si>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</si>
  <si>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</si>
  <si>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</si>
  <si>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</si>
  <si>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</si>
  <si>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</si>
  <si>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</si>
  <si>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</si>
  <si>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</si>
  <si>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</si>
  <si>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</si>
  <si>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</si>
  <si>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</si>
  <si>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</si>
  <si>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</si>
  <si>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</si>
  <si>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</si>
  <si>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</si>
  <si>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</si>
  <si>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</si>
  <si>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</si>
  <si>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</si>
  <si>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</si>
  <si>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</si>
  <si>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</si>
  <si>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</si>
  <si>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</si>
  <si>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</si>
  <si>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</si>
  <si>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</si>
  <si>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</si>
  <si>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</si>
  <si>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</si>
  <si>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</si>
  <si>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</si>
  <si>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</si>
  <si>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</si>
  <si>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</si>
  <si>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</si>
  <si>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</si>
  <si>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</si>
  <si>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</si>
  <si>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</si>
  <si>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</si>
  <si>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</si>
  <si>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</si>
  <si>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</si>
  <si>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</si>
  <si>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</si>
  <si>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</si>
  <si>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</si>
  <si>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</si>
  <si>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</si>
  <si>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</si>
  <si>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</si>
  <si>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</si>
  <si>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</si>
  <si>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</si>
  <si>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</si>
  <si>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</si>
  <si>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</si>
  <si>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</si>
  <si>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</si>
  <si>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</si>
  <si>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</si>
  <si>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</si>
  <si>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</si>
  <si>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</si>
  <si>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</si>
  <si>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</si>
  <si>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</si>
  <si>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</si>
  <si>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</si>
  <si>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</si>
  <si>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</si>
  <si>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</si>
  <si>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</si>
  <si>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</si>
  <si>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</si>
  <si>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</si>
  <si>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</si>
  <si>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</si>
  <si>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</si>
  <si>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</si>
  <si>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</si>
  <si>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</si>
  <si>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</si>
  <si>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</si>
  <si>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</si>
  <si>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</si>
  <si>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</si>
  <si>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</si>
  <si>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</si>
  <si>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</si>
  <si>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</si>
  <si>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</si>
  <si>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</si>
  <si>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</si>
  <si>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</si>
  <si>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</si>
  <si>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</si>
  <si>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</si>
  <si>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</si>
  <si>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</si>
  <si>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</si>
  <si>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</si>
  <si>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</si>
  <si>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</si>
  <si>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</si>
  <si>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</si>
  <si>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</si>
  <si>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</si>
  <si>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</si>
  <si>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</si>
  <si>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</si>
  <si>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</si>
  <si>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</si>
  <si>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</si>
  <si>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</si>
  <si>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</si>
  <si>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</si>
  <si>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</si>
  <si>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</si>
  <si>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</si>
  <si>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</si>
  <si>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</si>
  <si>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</si>
  <si>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</si>
  <si>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</si>
  <si>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</si>
  <si>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</si>
  <si>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</si>
  <si>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</si>
  <si>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</si>
  <si>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</si>
  <si>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</si>
  <si>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</si>
  <si>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</si>
  <si>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</si>
  <si>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</si>
  <si>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</si>
  <si>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</si>
  <si>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</si>
  <si>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</si>
  <si>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</si>
  <si>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</si>
  <si>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</si>
  <si>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</si>
  <si>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</si>
  <si>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</si>
  <si>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</si>
  <si>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</si>
  <si>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</si>
  <si>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</si>
  <si>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</si>
  <si>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</si>
  <si>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</si>
  <si>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</si>
  <si>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</si>
  <si>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</si>
  <si>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</si>
  <si>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</si>
  <si>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</si>
  <si>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</si>
  <si>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</si>
  <si>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</si>
  <si>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</si>
  <si>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</si>
  <si>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</si>
  <si>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</si>
  <si>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</si>
  <si>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</si>
  <si>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</si>
  <si>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</si>
  <si>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</si>
  <si>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</si>
  <si>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</si>
  <si>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</si>
  <si>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</si>
  <si>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</si>
  <si>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</si>
  <si>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</si>
  <si>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</si>
  <si>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</si>
  <si>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</si>
  <si>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</si>
  <si>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</si>
  <si>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</si>
  <si>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</si>
  <si>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</si>
  <si>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</si>
  <si>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</si>
  <si>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</si>
  <si>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</si>
  <si>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</si>
  <si>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</si>
  <si>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</si>
  <si>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</si>
  <si>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</si>
  <si>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</si>
  <si>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</si>
  <si>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</si>
  <si>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</si>
  <si>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</si>
  <si>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</si>
  <si>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</si>
  <si>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</si>
  <si>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</si>
  <si>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</si>
  <si>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</si>
  <si>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</si>
  <si>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</si>
  <si>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</si>
  <si>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</si>
  <si>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</si>
  <si>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</si>
  <si>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</si>
  <si>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</si>
  <si>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</si>
  <si>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</si>
  <si>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</si>
  <si>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</si>
  <si>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</si>
  <si>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</si>
  <si>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</si>
  <si>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</si>
  <si>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</si>
  <si>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</si>
  <si>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</si>
  <si>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</si>
  <si>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</si>
  <si>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</si>
  <si>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</si>
  <si>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</si>
  <si>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</si>
  <si>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</si>
  <si>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</si>
  <si>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</si>
  <si>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</si>
  <si>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</si>
  <si>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</si>
  <si>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</si>
  <si>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</si>
  <si>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</si>
  <si>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</si>
  <si>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</si>
  <si>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</si>
  <si>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</si>
  <si>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</si>
  <si>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</si>
  <si>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</si>
  <si>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</si>
  <si>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</si>
  <si>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</si>
  <si>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</si>
  <si>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</si>
  <si>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</si>
  <si>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</si>
  <si>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</si>
  <si>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</si>
  <si>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</si>
  <si>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</si>
  <si>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</si>
  <si>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</si>
  <si>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</si>
  <si>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</si>
  <si>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</si>
  <si>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</si>
  <si>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</si>
  <si>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</si>
  <si>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</si>
  <si>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</si>
  <si>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</si>
  <si>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</si>
  <si>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</si>
  <si>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</si>
  <si>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</si>
  <si>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</si>
  <si>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</si>
  <si>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</si>
  <si>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</si>
  <si>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</si>
  <si>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</si>
  <si>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</si>
  <si>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</si>
  <si>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</si>
  <si>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</si>
  <si>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</si>
  <si>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</si>
  <si>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</si>
  <si>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</si>
  <si>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</si>
  <si>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</si>
  <si>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</si>
  <si>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</si>
  <si>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</si>
  <si>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</si>
  <si>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</si>
  <si>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</si>
  <si>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</si>
  <si>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</si>
  <si>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</si>
  <si>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</si>
  <si>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</si>
  <si>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</si>
  <si>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</si>
  <si>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</si>
  <si>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</si>
  <si>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</si>
  <si>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</si>
  <si>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</si>
  <si>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</si>
  <si>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</si>
  <si>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</si>
  <si>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</si>
  <si>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</si>
  <si>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</si>
  <si>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</si>
  <si>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</si>
  <si>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</si>
  <si>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</si>
  <si>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</si>
  <si>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</si>
  <si>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</si>
  <si>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</si>
  <si>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</si>
  <si>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</si>
  <si>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</si>
  <si>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</si>
  <si>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</si>
  <si>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</si>
  <si>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</si>
  <si>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</si>
  <si>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</si>
  <si>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</si>
  <si>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</si>
  <si>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</si>
  <si>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</si>
  <si>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</si>
  <si>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</si>
  <si>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</si>
  <si>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</si>
  <si>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</si>
  <si>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</si>
  <si>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</si>
  <si>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</si>
  <si>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</si>
  <si>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</si>
  <si>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</si>
  <si>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</si>
  <si>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</si>
  <si>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</si>
  <si>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</si>
  <si>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</si>
  <si>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</si>
  <si>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</si>
  <si>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</si>
  <si>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</si>
  <si>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</si>
  <si>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</si>
  <si>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</si>
  <si>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</si>
  <si>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</si>
  <si>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</si>
  <si>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</si>
  <si>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</si>
  <si>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</si>
  <si>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</si>
  <si>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</si>
  <si>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</si>
  <si>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</si>
  <si>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</si>
  <si>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</si>
  <si>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</si>
  <si>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</si>
  <si>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</si>
  <si>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</si>
  <si>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</si>
  <si>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</si>
  <si>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</si>
  <si>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</si>
  <si>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</si>
  <si>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</si>
  <si>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</si>
  <si>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</si>
  <si>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</si>
  <si>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</si>
  <si>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</si>
  <si>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</si>
  <si>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</si>
  <si>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</si>
  <si>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</si>
  <si>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</si>
  <si>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</si>
  <si>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</si>
  <si>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</si>
  <si>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</si>
  <si>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</si>
  <si>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</si>
  <si>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</si>
  <si>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</si>
  <si>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</si>
  <si>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</si>
  <si>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</si>
  <si>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</si>
  <si>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</si>
  <si>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</si>
  <si>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</si>
  <si>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</si>
  <si>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</si>
  <si>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</si>
  <si>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</si>
  <si>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</si>
  <si>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</si>
  <si>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</si>
  <si>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</si>
  <si>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</si>
  <si>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</si>
  <si>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</si>
  <si>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</si>
  <si>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</si>
  <si>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</si>
  <si>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</si>
  <si>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</si>
  <si>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</si>
  <si>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</si>
  <si>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</si>
  <si>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</si>
  <si>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</si>
  <si>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</si>
  <si>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</si>
  <si>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</si>
  <si>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</si>
  <si>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</si>
  <si>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</si>
  <si>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</si>
  <si>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</si>
  <si>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</si>
  <si>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</si>
  <si>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</si>
  <si>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</si>
  <si>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</si>
  <si>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</si>
  <si>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</si>
  <si>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</si>
  <si>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</si>
  <si>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</si>
  <si>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</si>
  <si>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</si>
  <si>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</si>
  <si>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</si>
  <si>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</si>
  <si>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</si>
  <si>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</si>
  <si>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</si>
  <si>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</si>
  <si>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</si>
  <si>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</si>
  <si>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</si>
  <si>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</si>
  <si>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</si>
  <si>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</si>
  <si>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</si>
  <si>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</si>
  <si>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</si>
  <si>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</si>
  <si>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</si>
  <si>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</si>
  <si>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</si>
  <si>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</si>
  <si>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</si>
  <si>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</si>
  <si>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</si>
  <si>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</si>
  <si>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</si>
  <si>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</si>
  <si>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</si>
  <si>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</si>
  <si>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</si>
  <si>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</si>
  <si>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</si>
  <si>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</si>
  <si>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</si>
  <si>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</si>
  <si>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</si>
  <si>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</si>
  <si>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</si>
  <si>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</si>
  <si>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</si>
  <si>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</si>
  <si>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</si>
  <si>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</si>
  <si>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</si>
  <si>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</si>
  <si>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</si>
  <si>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</si>
  <si>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</si>
  <si>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</si>
  <si>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</si>
  <si>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</si>
  <si>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</si>
  <si>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</si>
  <si>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</si>
  <si>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</si>
  <si>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</si>
  <si>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</si>
  <si>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</si>
  <si>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</si>
  <si>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</si>
  <si>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</si>
  <si>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</si>
  <si>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</si>
  <si>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</si>
  <si>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</si>
  <si>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</si>
  <si>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</si>
  <si>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</si>
  <si>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</si>
  <si>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</si>
  <si>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</si>
  <si>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</si>
  <si>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</si>
  <si>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</si>
  <si>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</si>
  <si>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</si>
  <si>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</si>
  <si>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</si>
  <si>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</si>
  <si>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</si>
  <si>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</si>
  <si>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</si>
  <si>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</si>
  <si>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</si>
  <si>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</si>
  <si>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</si>
  <si>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</si>
  <si>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</si>
  <si>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</si>
  <si>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</si>
  <si>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</si>
  <si>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</si>
  <si>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</si>
  <si>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</si>
  <si>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</si>
  <si>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</si>
  <si>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</si>
  <si>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</si>
  <si>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</si>
  <si>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</si>
  <si>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</si>
  <si>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</si>
  <si>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</si>
  <si>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</si>
  <si>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</si>
  <si>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</si>
  <si>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</si>
  <si>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</si>
  <si>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</si>
  <si>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</si>
  <si>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</si>
  <si>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</si>
  <si>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</si>
  <si>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</si>
  <si>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</si>
  <si>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</si>
  <si>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</si>
  <si>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</si>
  <si>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</si>
  <si>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</si>
  <si>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</si>
  <si>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</si>
  <si>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</si>
  <si>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</si>
  <si>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</si>
  <si>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</si>
  <si>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</si>
  <si>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</si>
  <si>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</si>
  <si>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</si>
  <si>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</si>
  <si>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</si>
  <si>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</si>
  <si>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</si>
  <si>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</si>
  <si>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</si>
  <si>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</si>
  <si>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</si>
  <si>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</si>
  <si>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</si>
  <si>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</si>
  <si>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</si>
  <si>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</si>
  <si>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</si>
  <si>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</si>
  <si>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</si>
  <si>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</si>
  <si>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</si>
  <si>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</si>
  <si>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</si>
  <si>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</si>
  <si>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</si>
  <si>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</si>
  <si>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</si>
  <si>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</si>
  <si>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</si>
  <si>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</si>
  <si>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</si>
  <si>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</si>
  <si>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</si>
  <si>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</si>
  <si>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</si>
  <si>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</si>
  <si>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</si>
  <si>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</si>
  <si>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</si>
  <si>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</si>
  <si>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</si>
  <si>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</si>
  <si>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</si>
  <si>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</si>
  <si>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</si>
  <si>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</si>
  <si>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</si>
  <si>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</si>
  <si>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</si>
  <si>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</si>
  <si>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</si>
  <si>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</si>
  <si>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</si>
  <si>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</si>
  <si>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</si>
  <si>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</si>
  <si>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</si>
  <si>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</si>
  <si>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</si>
  <si>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</si>
  <si>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</si>
  <si>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</si>
  <si>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</si>
  <si>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</si>
  <si>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</si>
  <si>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</si>
  <si>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</si>
  <si>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</si>
  <si>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</si>
  <si>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</si>
  <si>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</si>
  <si>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</si>
  <si>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</si>
  <si>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</si>
  <si>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</si>
  <si>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</si>
  <si>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</si>
  <si>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</si>
  <si>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</si>
  <si>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</si>
  <si>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</si>
  <si>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</si>
  <si>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</si>
  <si>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</si>
  <si>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</si>
  <si>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</si>
  <si>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</si>
  <si>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</si>
  <si>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</si>
  <si>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</si>
  <si>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</si>
  <si>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</si>
  <si>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</si>
  <si>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</si>
  <si>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</si>
  <si>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</si>
  <si>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</si>
  <si>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</si>
  <si>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</si>
  <si>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</si>
  <si>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</si>
  <si>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</si>
  <si>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</si>
  <si>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</si>
  <si>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</si>
  <si>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</si>
  <si>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</si>
  <si>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</si>
  <si>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</si>
  <si>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</si>
  <si>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</si>
  <si>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</si>
  <si>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</si>
  <si>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</si>
  <si>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</si>
  <si>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</si>
  <si>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</si>
  <si>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</si>
  <si>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</si>
  <si>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</si>
  <si>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</si>
  <si>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</si>
  <si>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</si>
  <si>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</si>
  <si>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</si>
  <si>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</si>
  <si>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</si>
  <si>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</si>
  <si>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</si>
  <si>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</si>
  <si>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</si>
  <si>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</si>
  <si>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</si>
  <si>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</si>
  <si>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</si>
  <si>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</si>
  <si>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</si>
  <si>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</si>
  <si>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</si>
  <si>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</si>
  <si>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</si>
  <si>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</si>
  <si>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</si>
  <si>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</si>
  <si>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</si>
  <si>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</si>
  <si>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</si>
  <si>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</si>
  <si>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</si>
  <si>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</si>
  <si>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</si>
  <si>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</si>
  <si>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</si>
  <si>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</si>
  <si>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</si>
  <si>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</si>
  <si>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</si>
  <si>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</si>
  <si>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</si>
  <si>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</si>
  <si>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</si>
  <si>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</si>
  <si>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</si>
  <si>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</si>
  <si>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</si>
  <si>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</si>
  <si>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</si>
  <si>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</si>
  <si>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</si>
  <si>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</si>
  <si>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</si>
  <si>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</si>
  <si>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</si>
  <si>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</si>
  <si>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</si>
  <si>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</si>
  <si>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</si>
  <si>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</si>
  <si>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</si>
  <si>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</si>
  <si>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</si>
  <si>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</si>
  <si>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</si>
  <si>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</si>
  <si>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</si>
  <si>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</si>
  <si>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</si>
  <si>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</si>
  <si>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</si>
  <si>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</si>
  <si>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</si>
  <si>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</si>
  <si>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</si>
  <si>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</si>
  <si>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</si>
  <si>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</si>
  <si>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</si>
  <si>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</si>
  <si>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</si>
  <si>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</si>
  <si>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</si>
  <si>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</si>
  <si>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</si>
  <si>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</si>
  <si>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</si>
  <si>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</si>
  <si>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</si>
  <si>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</si>
  <si>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</si>
  <si>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</si>
  <si>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</si>
  <si>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</si>
  <si>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</si>
  <si>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</si>
  <si>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</si>
  <si>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</si>
  <si>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</si>
  <si>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</si>
  <si>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</si>
  <si>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</si>
  <si>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</si>
  <si>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</si>
  <si>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</si>
  <si>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</si>
  <si>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</si>
  <si>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</si>
  <si>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</si>
  <si>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</si>
  <si>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</si>
  <si>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</si>
  <si>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</si>
  <si>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</si>
  <si>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</si>
  <si>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</si>
  <si>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</si>
  <si>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</si>
  <si>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</si>
  <si>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</si>
  <si>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</si>
  <si>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</si>
  <si>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</si>
  <si>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</si>
  <si>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</si>
  <si>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</si>
  <si>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</si>
  <si>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</si>
  <si>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</si>
  <si>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</si>
  <si>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</si>
  <si>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</si>
  <si>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</si>
  <si>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</si>
  <si>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</si>
  <si>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</si>
  <si>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</si>
  <si>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</si>
  <si>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</si>
  <si>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</si>
  <si>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</si>
  <si>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</si>
  <si>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</si>
  <si>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</si>
  <si>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</si>
  <si>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</si>
  <si>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</si>
  <si>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</si>
  <si>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</si>
  <si>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</si>
  <si>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</si>
  <si>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</si>
  <si>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</si>
  <si>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</si>
  <si>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</si>
  <si>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</si>
  <si>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</si>
  <si>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</si>
  <si>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</si>
  <si>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</si>
  <si>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</si>
  <si>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</si>
  <si>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</si>
  <si>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</si>
  <si>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</si>
  <si>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</si>
  <si>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</si>
  <si>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</si>
  <si>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</si>
  <si>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</si>
  <si>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</si>
  <si>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</si>
  <si>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</si>
  <si>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</si>
  <si>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</si>
  <si>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</si>
  <si>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</si>
  <si>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</si>
  <si>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</si>
  <si>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</si>
  <si>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</si>
  <si>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</si>
  <si>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</si>
  <si>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</si>
  <si>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</si>
  <si>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</si>
  <si>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</si>
  <si>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</si>
  <si>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</si>
  <si>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</si>
  <si>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</si>
  <si>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</si>
  <si>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</si>
  <si>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</si>
  <si>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</si>
  <si>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</si>
  <si>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</si>
  <si>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</si>
  <si>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</si>
  <si>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</si>
  <si>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</si>
  <si>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</si>
  <si>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</si>
  <si>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</si>
  <si>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</si>
  <si>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</si>
  <si>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</si>
  <si>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</si>
  <si>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</si>
  <si>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</si>
  <si>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</si>
  <si>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</si>
  <si>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</si>
  <si>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</si>
  <si>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</si>
  <si>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</si>
  <si>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</si>
  <si>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</si>
  <si>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</si>
  <si>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</si>
  <si>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</si>
  <si>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</si>
  <si>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</si>
  <si>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</si>
  <si>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</si>
  <si>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</si>
  <si>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</si>
  <si>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</si>
  <si>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</si>
  <si>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</si>
  <si>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</si>
  <si>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</si>
  <si>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</si>
  <si>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</si>
  <si>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</si>
  <si>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</si>
  <si>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</si>
  <si>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</si>
  <si>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</si>
  <si>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</si>
  <si>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</si>
  <si>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</si>
  <si>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</si>
  <si>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</si>
  <si>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</si>
  <si>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</si>
  <si>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</si>
  <si>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</si>
  <si>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</si>
  <si>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</si>
  <si>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</si>
  <si>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</si>
  <si>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</si>
  <si>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</si>
  <si>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</si>
  <si>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</si>
  <si>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</si>
  <si>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</si>
  <si>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</si>
  <si>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</si>
  <si>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</si>
  <si>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</si>
  <si>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</si>
  <si>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</si>
  <si>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</si>
  <si>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</si>
  <si>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</si>
  <si>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</si>
  <si>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</si>
  <si>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</si>
  <si>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</si>
  <si>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</si>
  <si>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</si>
  <si>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</si>
  <si>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</si>
  <si>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</si>
  <si>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</si>
  <si>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</si>
  <si>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</si>
  <si>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</si>
  <si>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</si>
  <si>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</si>
  <si>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</si>
  <si>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</si>
  <si>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</si>
  <si>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</si>
  <si>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</si>
  <si>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</si>
  <si>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</si>
  <si>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</si>
  <si>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</si>
  <si>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</si>
  <si>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</si>
  <si>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</si>
  <si>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</si>
  <si>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</si>
  <si>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</si>
  <si>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</si>
  <si>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</si>
  <si>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</si>
  <si>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</si>
  <si>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</si>
  <si>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</si>
  <si>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</si>
  <si>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</si>
  <si>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</si>
  <si>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</si>
  <si>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</si>
  <si>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</si>
  <si>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</si>
  <si>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</si>
  <si>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</si>
  <si>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</si>
  <si>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</si>
  <si>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</si>
  <si>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</si>
  <si>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</si>
  <si>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</si>
  <si>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</si>
  <si>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</si>
  <si>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</si>
  <si>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</si>
  <si>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</si>
  <si>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</si>
  <si>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</si>
  <si>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</si>
  <si>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</si>
  <si>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</si>
  <si>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</si>
  <si>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</si>
  <si>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</si>
  <si>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</si>
  <si>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</si>
  <si>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</si>
  <si>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</si>
  <si>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</si>
  <si>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</si>
  <si>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</si>
  <si>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</si>
  <si>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</si>
  <si>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</si>
  <si>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</si>
  <si>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</si>
  <si>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</si>
  <si>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</si>
  <si>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</si>
  <si>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</si>
  <si>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</si>
  <si>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</si>
  <si>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</si>
  <si>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</si>
  <si>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</si>
  <si>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</si>
  <si>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</si>
  <si>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</si>
  <si>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</si>
  <si>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</si>
  <si>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</si>
  <si>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</si>
  <si>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</si>
  <si>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</si>
  <si>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</si>
  <si>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</si>
  <si>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</si>
  <si>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</si>
  <si>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</si>
  <si>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</si>
  <si>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</si>
  <si>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</si>
  <si>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</si>
  <si>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</si>
  <si>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</si>
  <si>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</si>
  <si>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</si>
  <si>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</si>
  <si>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</si>
  <si>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</si>
  <si>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</si>
  <si>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</si>
  <si>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</si>
  <si>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</si>
  <si>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</si>
  <si>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</si>
  <si>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</si>
  <si>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</si>
  <si>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</si>
  <si>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</si>
  <si>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</si>
  <si>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</si>
  <si>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</si>
  <si>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</si>
  <si>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</si>
  <si>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</si>
  <si>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</si>
  <si>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</si>
  <si>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</si>
  <si>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</si>
  <si>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</si>
  <si>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</si>
  <si>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</si>
  <si>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</si>
  <si>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</si>
  <si>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</si>
  <si>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</si>
  <si>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</si>
  <si>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</si>
  <si>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</si>
  <si>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</si>
  <si>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</si>
  <si>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</si>
  <si>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</si>
  <si>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</si>
  <si>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</si>
  <si>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</si>
  <si>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</si>
  <si>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</si>
  <si>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</si>
  <si>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</si>
  <si>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</si>
  <si>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</si>
  <si>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</si>
  <si>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</si>
  <si>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</si>
  <si>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</si>
  <si>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</si>
  <si>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</si>
  <si>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</si>
  <si>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</si>
  <si>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</si>
  <si>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</si>
  <si>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</si>
  <si>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</si>
  <si>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</si>
  <si>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</si>
  <si>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</si>
  <si>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</si>
  <si>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</si>
  <si>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</si>
  <si>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</si>
  <si>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</si>
  <si>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</si>
  <si>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</si>
  <si>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</si>
  <si>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</si>
  <si>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</si>
  <si>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</si>
  <si>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</si>
  <si>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</si>
  <si>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</si>
  <si>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</si>
  <si>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</si>
  <si>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</si>
  <si>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</si>
  <si>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</si>
  <si>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</si>
  <si>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</si>
  <si>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</si>
  <si>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</si>
  <si>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</si>
  <si>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</si>
  <si>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</si>
  <si>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</si>
  <si>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</si>
  <si>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</si>
  <si>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</si>
  <si>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</si>
  <si>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</si>
  <si>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</si>
  <si>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</si>
  <si>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</si>
  <si>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</si>
  <si>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</si>
  <si>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</si>
  <si>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</si>
  <si>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</si>
  <si>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</si>
  <si>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</si>
  <si>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</si>
  <si>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</si>
  <si>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</si>
  <si>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</si>
  <si>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</si>
  <si>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</si>
  <si>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</si>
  <si>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</si>
  <si>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</si>
  <si>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</si>
  <si>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</si>
  <si>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</si>
  <si>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</si>
  <si>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</si>
  <si>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</si>
  <si>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</si>
  <si>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</si>
  <si>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</si>
  <si>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</si>
  <si>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</si>
  <si>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</si>
  <si>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</si>
  <si>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</si>
  <si>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</si>
  <si>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</si>
  <si>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</si>
  <si>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</si>
  <si>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</si>
  <si>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</si>
  <si>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</si>
  <si>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</si>
  <si>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</si>
  <si>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</si>
  <si>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</si>
  <si>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</si>
  <si>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</si>
  <si>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</si>
  <si>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</si>
  <si>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</si>
  <si>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</si>
  <si>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</si>
  <si>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</si>
  <si>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</si>
  <si>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</si>
  <si>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</si>
  <si>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</si>
  <si>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</si>
  <si>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</si>
  <si>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</si>
  <si>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</si>
  <si>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</si>
  <si>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</si>
  <si>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</si>
  <si>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</si>
  <si>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</si>
  <si>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</si>
  <si>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</si>
  <si>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</si>
  <si>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</si>
  <si>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</si>
  <si>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</si>
  <si>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</si>
  <si>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</si>
  <si>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</si>
  <si>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</si>
  <si>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</si>
  <si>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</si>
  <si>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</si>
  <si>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</si>
  <si>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</si>
  <si>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</si>
  <si>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</si>
  <si>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</si>
  <si>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</si>
  <si>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</si>
  <si>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</si>
  <si>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</si>
  <si>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</si>
  <si>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</si>
  <si>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</si>
  <si>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</si>
  <si>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</si>
  <si>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</si>
  <si>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</si>
  <si>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</si>
  <si>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</si>
  <si>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</si>
  <si>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</si>
  <si>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</si>
  <si>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</si>
  <si>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</si>
  <si>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</si>
  <si>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</si>
  <si>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</si>
  <si>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</si>
  <si>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</si>
  <si>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</si>
  <si>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</si>
  <si>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</si>
  <si>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</si>
  <si>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</si>
  <si>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</si>
  <si>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</si>
  <si>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</si>
  <si>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</si>
  <si>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</si>
  <si>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</si>
  <si>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</si>
  <si>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</si>
  <si>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</si>
  <si>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</si>
  <si>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</si>
  <si>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</si>
  <si>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</si>
  <si>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</si>
  <si>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</si>
  <si>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</si>
  <si>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</si>
  <si>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</si>
  <si>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</si>
  <si>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</si>
  <si>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</si>
  <si>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</si>
  <si>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</si>
  <si>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</si>
  <si>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</si>
  <si>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</si>
  <si>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</si>
  <si>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</si>
  <si>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</si>
  <si>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</si>
  <si>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</si>
  <si>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</si>
  <si>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</si>
  <si>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</si>
  <si>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</si>
  <si>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</si>
  <si>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</si>
  <si>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</si>
  <si>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</si>
  <si>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</si>
  <si>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</si>
  <si>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</si>
  <si>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</si>
  <si>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</si>
  <si>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</si>
  <si>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</si>
  <si>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</si>
  <si>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</si>
  <si>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</si>
  <si>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</si>
  <si>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</si>
  <si>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</si>
  <si>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</si>
  <si>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</si>
  <si>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</si>
  <si>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</si>
  <si>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</si>
  <si>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</si>
  <si>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</si>
  <si>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</si>
  <si>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</si>
  <si>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</si>
  <si>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</si>
  <si>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</si>
  <si>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</si>
  <si>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</si>
  <si>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</si>
  <si>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</si>
  <si>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</si>
  <si>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</si>
  <si>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</si>
  <si>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</si>
  <si>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</si>
  <si>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</si>
  <si>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</si>
  <si>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</si>
  <si>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</si>
  <si>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</si>
  <si>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</si>
  <si>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</si>
  <si>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</si>
  <si>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</si>
  <si>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</si>
  <si>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</si>
  <si>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</si>
  <si>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</si>
  <si>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</si>
  <si>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</si>
  <si>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</si>
  <si>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</si>
  <si>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</si>
  <si>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</si>
  <si>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</si>
  <si>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</si>
  <si>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</si>
  <si>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</si>
  <si>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</si>
  <si>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</si>
  <si>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</si>
  <si>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</si>
  <si>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</si>
  <si>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</si>
  <si>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</si>
  <si>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</si>
  <si>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</si>
  <si>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</si>
  <si>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</si>
  <si>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</si>
  <si>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</si>
  <si>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</si>
  <si>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</si>
  <si>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</si>
  <si>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</si>
  <si>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</si>
  <si>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</si>
  <si>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</si>
  <si>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</si>
  <si>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</si>
  <si>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</si>
  <si>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</si>
  <si>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</si>
  <si>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</si>
  <si>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</si>
  <si>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</si>
  <si>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</si>
  <si>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</si>
  <si>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</si>
  <si>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</si>
  <si>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</si>
  <si>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</si>
  <si>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</si>
  <si>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</si>
  <si>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</si>
  <si>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</si>
  <si>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</si>
  <si>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</si>
  <si>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</si>
  <si>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</si>
  <si>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</si>
  <si>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</si>
  <si>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</si>
  <si>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</si>
  <si>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</si>
  <si>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</si>
  <si>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</si>
  <si>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</si>
  <si>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</si>
  <si>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</si>
  <si>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</si>
  <si>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</si>
  <si>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</si>
  <si>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</si>
  <si>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</si>
  <si>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</si>
  <si>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</si>
  <si>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</si>
  <si>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</si>
  <si>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</si>
  <si>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</si>
  <si>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</si>
  <si>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</si>
  <si>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</si>
  <si>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</si>
  <si>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</si>
  <si>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</si>
  <si>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</si>
  <si>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</si>
  <si>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</si>
  <si>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</si>
  <si>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</si>
  <si>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</si>
  <si>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</si>
  <si>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</si>
  <si>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</si>
  <si>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</si>
  <si>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</si>
  <si>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</si>
  <si>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</si>
  <si>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</si>
  <si>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</si>
  <si>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</si>
  <si>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</si>
  <si>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</si>
  <si>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</si>
  <si>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</si>
  <si>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</si>
  <si>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</si>
  <si>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</si>
  <si>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</si>
  <si>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</si>
  <si>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</si>
  <si>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</si>
  <si>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</si>
  <si>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</si>
  <si>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</si>
  <si>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</si>
  <si>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</si>
  <si>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</si>
  <si>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</si>
  <si>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</si>
  <si>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</si>
  <si>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</si>
  <si>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</si>
  <si>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</si>
  <si>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</si>
  <si>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</si>
  <si>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</si>
  <si>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</si>
  <si>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</si>
  <si>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</si>
  <si>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</si>
  <si>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</si>
  <si>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</si>
  <si>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</si>
  <si>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</si>
  <si>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</si>
  <si>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</si>
  <si>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</si>
  <si>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</si>
  <si>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</si>
  <si>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</si>
  <si>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</si>
  <si>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</si>
  <si>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</si>
  <si>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</si>
  <si>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</si>
  <si>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</si>
  <si>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</si>
  <si>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</si>
  <si>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</si>
  <si>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</si>
  <si>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</si>
  <si>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</si>
  <si>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</si>
  <si>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</si>
  <si>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</si>
  <si>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</si>
  <si>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</si>
  <si>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</si>
  <si>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</si>
  <si>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</si>
  <si>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</si>
  <si>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</si>
  <si>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</si>
  <si>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</si>
  <si>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</si>
  <si>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</si>
  <si>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</si>
  <si>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</si>
  <si>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</si>
  <si>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</si>
  <si>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</si>
  <si>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</si>
  <si>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</si>
  <si>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</si>
  <si>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</si>
  <si>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</si>
  <si>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</si>
  <si>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</si>
  <si>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</si>
  <si>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</si>
  <si>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</si>
  <si>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</si>
  <si>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</si>
  <si>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</si>
  <si>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</si>
  <si>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</si>
  <si>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</si>
  <si>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</si>
  <si>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</si>
  <si>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</si>
  <si>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</si>
  <si>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</si>
  <si>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</si>
  <si>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</si>
  <si>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</si>
  <si>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</si>
  <si>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</si>
  <si>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</si>
  <si>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</si>
  <si>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</si>
  <si>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</si>
  <si>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</si>
  <si>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</si>
  <si>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</si>
  <si>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</si>
  <si>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</si>
  <si>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</si>
  <si>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</si>
  <si>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</si>
  <si>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</si>
  <si>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</si>
  <si>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</si>
  <si>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</si>
  <si>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</si>
  <si>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</si>
  <si>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</si>
  <si>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</si>
  <si>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</si>
  <si>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</si>
  <si>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</si>
  <si>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</si>
  <si>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</si>
  <si>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</si>
  <si>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</si>
  <si>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</si>
  <si>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</si>
  <si>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</si>
  <si>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</si>
  <si>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</si>
  <si>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</si>
  <si>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</si>
  <si>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</si>
  <si>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</si>
  <si>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</si>
  <si>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</si>
  <si>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</si>
  <si>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</si>
  <si>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</si>
  <si>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</si>
  <si>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</si>
  <si>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</si>
  <si>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</si>
  <si>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</si>
  <si>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</si>
  <si>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</si>
  <si>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</si>
  <si>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</si>
  <si>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</si>
  <si>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</si>
  <si>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</si>
  <si>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</si>
  <si>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</si>
  <si>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</si>
  <si>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</si>
  <si>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</si>
  <si>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</si>
  <si>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</si>
  <si>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</si>
  <si>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</si>
  <si>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</si>
  <si>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</si>
  <si>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</si>
  <si>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</si>
  <si>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</si>
  <si>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</si>
  <si>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</si>
  <si>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</si>
  <si>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</si>
  <si>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</si>
  <si>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</si>
  <si>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</si>
  <si>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</si>
  <si>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</si>
  <si>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</si>
  <si>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</si>
  <si>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</si>
  <si>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</si>
  <si>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</si>
  <si>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</si>
  <si>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</si>
  <si>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</si>
  <si>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</si>
  <si>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</si>
  <si>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</si>
  <si>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</si>
  <si>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</si>
  <si>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</si>
  <si>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</si>
  <si>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</si>
  <si>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</si>
  <si>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</si>
  <si>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</si>
  <si>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</si>
  <si>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</si>
  <si>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</si>
  <si>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</si>
  <si>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</si>
  <si>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</si>
  <si>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</si>
  <si>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</si>
  <si>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</si>
  <si>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</si>
  <si>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</si>
  <si>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</si>
  <si>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</si>
  <si>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</si>
  <si>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</si>
  <si>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</si>
  <si>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</si>
  <si>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</si>
  <si>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</si>
  <si>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</si>
  <si>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</si>
  <si>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</si>
  <si>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</si>
  <si>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</si>
  <si>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</si>
  <si>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</si>
  <si>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</si>
  <si>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</si>
  <si>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</si>
  <si>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</si>
  <si>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</si>
  <si>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</si>
  <si>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</si>
  <si>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</si>
  <si>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</si>
  <si>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</si>
  <si>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</si>
  <si>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</si>
  <si>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</si>
  <si>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</si>
  <si>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</si>
  <si>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</si>
  <si>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</si>
  <si>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</si>
  <si>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</si>
  <si>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</si>
  <si>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</si>
  <si>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</si>
  <si>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</si>
  <si>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</si>
  <si>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</si>
  <si>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</si>
  <si>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</si>
  <si>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</si>
  <si>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</si>
  <si>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</si>
  <si>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</si>
  <si>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</si>
  <si>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</si>
  <si>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</si>
  <si>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</si>
  <si>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</si>
  <si>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</si>
  <si>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</si>
  <si>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</si>
  <si>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</si>
  <si>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</si>
  <si>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</si>
  <si>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</si>
  <si>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</si>
  <si>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</si>
  <si>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</si>
  <si>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</si>
  <si>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</si>
  <si>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</si>
  <si>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</si>
  <si>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</si>
  <si>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</si>
  <si>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</si>
  <si>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</si>
  <si>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</si>
  <si>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</si>
  <si>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</si>
  <si>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</si>
  <si>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</si>
  <si>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</si>
  <si>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</si>
  <si>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</si>
  <si>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</si>
  <si>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</si>
  <si>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</si>
  <si>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</si>
  <si>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</si>
  <si>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</si>
  <si>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</si>
  <si>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</si>
  <si>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</si>
  <si>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</si>
  <si>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</si>
  <si>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</si>
  <si>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</si>
  <si>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</si>
  <si>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</si>
  <si>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</si>
  <si>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</si>
  <si>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</si>
  <si>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</si>
  <si>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</si>
  <si>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</si>
  <si>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</si>
  <si>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</si>
  <si>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</si>
  <si>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</si>
  <si>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</si>
  <si>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</si>
  <si>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</si>
  <si>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</si>
  <si>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</si>
  <si>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</si>
  <si>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</si>
  <si>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</si>
  <si>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</si>
  <si>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</si>
  <si>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</si>
  <si>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</si>
  <si>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</si>
  <si>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</si>
  <si>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</si>
  <si>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</si>
  <si>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</si>
  <si>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</si>
  <si>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</si>
  <si>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</si>
  <si>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</si>
  <si>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</si>
  <si>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</si>
  <si>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</si>
  <si>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</si>
  <si>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</si>
  <si>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</si>
  <si>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</si>
  <si>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</si>
  <si>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</si>
  <si>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</si>
  <si>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</si>
  <si>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</si>
  <si>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</si>
  <si>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</si>
  <si>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</si>
  <si>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</si>
  <si>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</si>
  <si>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</si>
  <si>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</si>
  <si>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</si>
  <si>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</si>
  <si>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</si>
  <si>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</si>
  <si>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</si>
  <si>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</si>
  <si>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</si>
  <si>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</si>
  <si>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</si>
  <si>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</si>
  <si>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</si>
  <si>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</si>
  <si>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</si>
  <si>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</si>
  <si>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</si>
  <si>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</si>
  <si>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</si>
  <si>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</si>
  <si>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</si>
  <si>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</si>
  <si>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</si>
  <si>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</si>
  <si>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</si>
  <si>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</si>
  <si>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</si>
  <si>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</si>
  <si>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</si>
  <si>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</si>
  <si>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</si>
  <si>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</si>
  <si>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</si>
  <si>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</si>
  <si>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</si>
  <si>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</si>
  <si>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</si>
  <si>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</si>
  <si>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</si>
  <si>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</si>
  <si>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</si>
  <si>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</si>
  <si>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</si>
  <si>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</si>
  <si>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</si>
  <si>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</si>
  <si>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</si>
  <si>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</si>
  <si>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</si>
  <si>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</si>
  <si>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</si>
  <si>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</si>
  <si>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</si>
  <si>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</si>
  <si>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</si>
  <si>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</si>
  <si>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</si>
  <si>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</si>
  <si>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</si>
  <si>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</si>
  <si>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</si>
  <si>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</si>
  <si>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</si>
  <si>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</si>
  <si>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</si>
  <si>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</si>
  <si>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</si>
  <si>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</si>
  <si>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</si>
  <si>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</si>
  <si>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</si>
  <si>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</si>
  <si>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</si>
  <si>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</si>
  <si>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</si>
  <si>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</si>
  <si>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</si>
  <si>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</si>
  <si>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</si>
  <si>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</si>
  <si>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</si>
  <si>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</si>
  <si>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</si>
  <si>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</si>
  <si>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</si>
  <si>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</si>
  <si>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</si>
  <si>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</si>
  <si>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</si>
  <si>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</si>
  <si>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</si>
  <si>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</si>
  <si>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</si>
  <si>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</si>
  <si>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</si>
  <si>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</si>
  <si>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</si>
  <si>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</si>
  <si>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</si>
  <si>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</si>
  <si>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</si>
  <si>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</si>
  <si>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</si>
  <si>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</si>
  <si>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</si>
  <si>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</si>
  <si>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</si>
  <si>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</si>
  <si>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</si>
  <si>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</si>
  <si>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</si>
  <si>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</si>
  <si>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</si>
  <si>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</si>
  <si>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</si>
  <si>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</si>
  <si>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</si>
  <si>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</si>
  <si>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</si>
  <si>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</si>
  <si>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</si>
  <si>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</si>
  <si>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</si>
  <si>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</si>
  <si>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</si>
  <si>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</si>
  <si>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</si>
  <si>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</si>
  <si>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</si>
  <si>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</si>
  <si>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</si>
  <si>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</si>
  <si>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</si>
  <si>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</si>
  <si>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</si>
  <si>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</si>
  <si>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</si>
  <si>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</si>
  <si>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</si>
  <si>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</si>
  <si>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</si>
  <si>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</si>
  <si>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</si>
  <si>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</si>
  <si>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</si>
  <si>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</si>
  <si>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</si>
  <si>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</si>
  <si>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</si>
  <si>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</si>
  <si>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</si>
  <si>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</si>
  <si>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</si>
  <si>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</si>
  <si>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</si>
  <si>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</si>
  <si>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</si>
  <si>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</si>
  <si>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</si>
  <si>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</si>
  <si>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</si>
  <si>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</si>
  <si>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</si>
  <si>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</si>
  <si>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</si>
  <si>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</si>
  <si>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</si>
  <si>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</si>
  <si>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</si>
  <si>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</si>
  <si>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</si>
  <si>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</si>
  <si>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</si>
  <si>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</si>
  <si>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</si>
  <si>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</si>
  <si>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</si>
  <si>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</si>
  <si>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</si>
  <si>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</si>
  <si>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</si>
  <si>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</si>
  <si>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</si>
  <si>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</si>
  <si>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</si>
  <si>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</si>
  <si>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</si>
  <si>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</si>
  <si>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</si>
  <si>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</si>
  <si>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</si>
  <si>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</si>
  <si>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</si>
  <si>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</si>
  <si>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</si>
  <si>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</si>
  <si>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</si>
  <si>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</si>
  <si>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</si>
  <si>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</si>
  <si>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</si>
  <si>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</si>
  <si>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</si>
  <si>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</si>
  <si>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</si>
  <si>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</si>
  <si>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</si>
  <si>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</si>
  <si>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</si>
  <si>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</si>
  <si>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</si>
  <si>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</si>
  <si>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</si>
  <si>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</si>
  <si>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</si>
  <si>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</si>
  <si>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</si>
  <si>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</si>
  <si>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</si>
  <si>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</si>
  <si>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</si>
  <si>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</si>
  <si>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</si>
  <si>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</si>
  <si>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</si>
  <si>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</si>
  <si>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</si>
  <si>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</si>
  <si>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</si>
  <si>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</si>
  <si>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</si>
  <si>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</si>
  <si>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</si>
  <si>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</si>
  <si>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</si>
  <si>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</si>
  <si>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</si>
  <si>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</si>
  <si>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</si>
  <si>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</si>
  <si>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</si>
  <si>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</si>
  <si>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</si>
  <si>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</si>
  <si>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</si>
  <si>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</si>
  <si>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</si>
  <si>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</si>
  <si>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</si>
  <si>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</si>
  <si>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</si>
  <si>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</si>
  <si>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</si>
  <si>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</si>
  <si>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</si>
  <si>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</si>
  <si>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</si>
  <si>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</si>
  <si>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</si>
  <si>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</si>
  <si>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</si>
  <si>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</si>
  <si>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</si>
  <si>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</si>
  <si>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</si>
  <si>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</si>
  <si>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</si>
  <si>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</si>
  <si>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</si>
  <si>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</si>
  <si>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</si>
  <si>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</si>
  <si>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</si>
  <si>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</si>
  <si>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</si>
  <si>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</si>
  <si>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</si>
  <si>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</si>
  <si>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</si>
  <si>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</si>
  <si>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</si>
  <si>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</si>
  <si>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</si>
  <si>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</si>
  <si>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</si>
  <si>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</si>
  <si>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</si>
  <si>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</si>
  <si>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</si>
  <si>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</si>
  <si>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</si>
  <si>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</si>
  <si>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</si>
  <si>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</si>
  <si>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</si>
  <si>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</si>
  <si>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</si>
  <si>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</si>
  <si>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</si>
  <si>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</si>
  <si>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</si>
  <si>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</si>
  <si>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</si>
  <si>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</si>
  <si>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</si>
  <si>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</si>
  <si>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</si>
  <si>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</si>
  <si>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</si>
  <si>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</si>
  <si>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</si>
  <si>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</si>
  <si>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</si>
  <si>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</si>
  <si>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</si>
  <si>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</si>
  <si>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</si>
  <si>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</si>
  <si>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</si>
  <si>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</si>
  <si>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</si>
  <si>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</si>
  <si>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</si>
  <si>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</si>
  <si>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</si>
  <si>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</si>
  <si>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</si>
  <si>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</si>
  <si>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</si>
  <si>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</si>
  <si>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</si>
  <si>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</si>
  <si>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</si>
  <si>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</si>
  <si>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</si>
  <si>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</si>
  <si>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</si>
  <si>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</si>
  <si>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</si>
  <si>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</si>
  <si>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</si>
  <si>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</si>
  <si>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</si>
  <si>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</si>
  <si>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</si>
  <si>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</si>
  <si>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</si>
  <si>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</si>
  <si>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</si>
  <si>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</si>
  <si>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</si>
  <si>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</si>
  <si>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</si>
  <si>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</si>
  <si>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</si>
  <si>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</si>
  <si>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</si>
  <si>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</si>
  <si>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</si>
  <si>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</si>
  <si>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</si>
  <si>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</si>
  <si>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</si>
  <si>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</si>
  <si>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</si>
  <si>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</si>
  <si>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</si>
  <si>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</si>
  <si>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</si>
  <si>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</si>
  <si>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</si>
  <si>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</si>
  <si>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</si>
  <si>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</si>
  <si>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</si>
  <si>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</si>
  <si>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</si>
  <si>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</si>
  <si>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</si>
  <si>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</si>
  <si>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</si>
  <si>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</si>
  <si>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</si>
  <si>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</si>
  <si>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</si>
  <si>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</si>
  <si>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</si>
  <si>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</si>
  <si>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</si>
  <si>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</si>
  <si>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</si>
  <si>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</si>
  <si>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</si>
  <si>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</si>
  <si>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</si>
  <si>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</si>
  <si>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</si>
  <si>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</si>
  <si>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</si>
  <si>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</si>
  <si>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</si>
  <si>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</si>
  <si>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</si>
  <si>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</si>
  <si>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</si>
  <si>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</si>
  <si>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</si>
  <si>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</si>
  <si>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</si>
  <si>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</si>
  <si>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</si>
  <si>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</si>
  <si>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</si>
  <si>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</si>
  <si>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</si>
  <si>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</si>
  <si>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</si>
  <si>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</si>
  <si>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</si>
  <si>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</si>
  <si>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</si>
  <si>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</si>
  <si>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</si>
  <si>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</si>
  <si>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</si>
  <si>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</si>
  <si>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</si>
  <si>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</si>
  <si>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</si>
  <si>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</si>
  <si>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</si>
  <si>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</si>
  <si>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</si>
  <si>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</si>
  <si>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</si>
  <si>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</si>
  <si>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</si>
  <si>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</si>
  <si>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</si>
  <si>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</si>
  <si>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</si>
  <si>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</si>
  <si>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</si>
  <si>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</si>
  <si>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</si>
  <si>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</si>
  <si>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</si>
  <si>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</si>
  <si>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</si>
  <si>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</si>
  <si>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</si>
  <si>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</si>
  <si>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</si>
  <si>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</si>
  <si>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</si>
  <si>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</si>
  <si>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</si>
  <si>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</si>
  <si>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</si>
  <si>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</si>
  <si>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</si>
  <si>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</si>
  <si>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</si>
  <si>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</si>
  <si>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</si>
  <si>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</si>
  <si>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</si>
  <si>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</si>
  <si>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</si>
  <si>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</si>
  <si>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</si>
  <si>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</si>
  <si>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</si>
  <si>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</si>
  <si>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</si>
  <si>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</si>
  <si>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</si>
  <si>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</si>
  <si>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</si>
  <si>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</si>
  <si>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</si>
  <si>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</si>
  <si>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</si>
  <si>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</si>
  <si>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</si>
  <si>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</si>
  <si>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</si>
  <si>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</si>
  <si>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</si>
  <si>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</si>
  <si>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</si>
  <si>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</si>
  <si>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</si>
  <si>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</si>
  <si>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</si>
  <si>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</si>
  <si>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</si>
  <si>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</si>
  <si>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</si>
  <si>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</si>
  <si>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</si>
  <si>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</si>
  <si>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</si>
  <si>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</si>
  <si>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</si>
  <si>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</si>
  <si>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</si>
  <si>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</si>
  <si>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</si>
  <si>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</si>
  <si>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</si>
  <si>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</si>
  <si>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</si>
  <si>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</si>
  <si>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</si>
  <si>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</si>
  <si>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</si>
  <si>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</si>
  <si>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</si>
  <si>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</si>
  <si>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</si>
  <si>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</si>
  <si>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</si>
  <si>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</si>
  <si>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</si>
  <si>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</si>
  <si>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</si>
  <si>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</si>
  <si>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</si>
  <si>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</si>
  <si>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</si>
  <si>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</si>
  <si>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</si>
  <si>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</si>
  <si>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</si>
  <si>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</si>
  <si>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</si>
  <si>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</si>
  <si>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</si>
  <si>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</si>
  <si>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</si>
  <si>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</si>
  <si>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</si>
  <si>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</si>
  <si>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</si>
  <si>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</si>
  <si>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</si>
  <si>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</si>
  <si>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</si>
  <si>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</si>
  <si>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</si>
  <si>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</si>
  <si>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</si>
  <si>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</si>
  <si>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</si>
  <si>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</si>
  <si>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</si>
  <si>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</si>
  <si>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</si>
  <si>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</si>
  <si>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</si>
  <si>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</si>
  <si>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</si>
  <si>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</si>
  <si>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</si>
  <si>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</si>
  <si>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</si>
  <si>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</si>
  <si>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</si>
  <si>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</si>
  <si>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</si>
  <si>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</si>
  <si>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</si>
  <si>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</si>
  <si>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</si>
  <si>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</si>
  <si>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</si>
  <si>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</si>
  <si>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</si>
  <si>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</si>
  <si>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</si>
  <si>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</si>
  <si>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</si>
  <si>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</si>
  <si>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</si>
  <si>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</si>
  <si>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</si>
  <si>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</si>
  <si>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</si>
  <si>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</si>
  <si>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</si>
  <si>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</si>
  <si>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</si>
  <si>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</si>
  <si>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</si>
  <si>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</si>
  <si>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</si>
  <si>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</si>
  <si>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</si>
  <si>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</si>
  <si>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</si>
  <si>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</si>
  <si>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</si>
  <si>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</si>
  <si>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</si>
  <si>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</si>
  <si>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</si>
  <si>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</si>
  <si>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</si>
  <si>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</si>
  <si>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</si>
  <si>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</si>
  <si>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</si>
  <si>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</si>
  <si>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</si>
  <si>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</si>
  <si>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</si>
  <si>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</si>
  <si>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</si>
  <si>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</si>
  <si>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</si>
  <si>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</si>
  <si>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</si>
  <si>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</si>
  <si>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</si>
  <si>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</si>
  <si>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</si>
  <si>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</si>
  <si>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</si>
  <si>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</si>
  <si>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</si>
  <si>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</si>
  <si>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</si>
  <si>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</si>
  <si>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</si>
  <si>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</si>
  <si>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</si>
  <si>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</si>
  <si>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</si>
  <si>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</si>
  <si>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</si>
  <si>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</si>
  <si>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</si>
  <si>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</si>
  <si>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</si>
  <si>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</si>
  <si>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</si>
  <si>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</si>
  <si>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</si>
  <si>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</si>
  <si>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</si>
  <si>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</si>
  <si>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</si>
  <si>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</si>
  <si>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</si>
  <si>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</si>
  <si>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</si>
  <si>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</si>
  <si>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</si>
  <si>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</si>
  <si>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</si>
  <si>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</si>
  <si>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</si>
  <si>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</si>
  <si>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</si>
  <si>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</si>
  <si>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</si>
  <si>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</si>
  <si>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</si>
  <si>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</si>
  <si>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</si>
  <si>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</si>
  <si>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</si>
  <si>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</si>
  <si>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</si>
  <si>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</si>
  <si>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</si>
  <si>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</si>
  <si>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</si>
  <si>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</si>
  <si>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</si>
  <si>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</si>
  <si>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</si>
  <si>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</si>
  <si>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</si>
  <si>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</si>
  <si>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</si>
  <si>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</si>
  <si>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</si>
  <si>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</si>
  <si>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</si>
  <si>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</si>
  <si>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</si>
  <si>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</si>
  <si>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</si>
  <si>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</si>
  <si>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</si>
  <si>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</si>
  <si>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</si>
  <si>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</si>
  <si>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</si>
  <si>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</si>
  <si>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</si>
  <si>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</si>
  <si>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</si>
  <si>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</si>
  <si>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</si>
  <si>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</si>
  <si>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</si>
  <si>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</si>
  <si>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</si>
  <si>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</si>
  <si>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</si>
  <si>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</si>
  <si>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</si>
  <si>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</si>
  <si>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</si>
  <si>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</si>
  <si>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</si>
  <si>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</si>
  <si>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</si>
  <si>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</si>
  <si>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</si>
  <si>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</si>
  <si>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</si>
  <si>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</si>
  <si>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</si>
  <si>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</si>
  <si>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</si>
  <si>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</si>
  <si>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</si>
  <si>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</si>
  <si>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</si>
  <si>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</si>
  <si>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</si>
  <si>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</si>
  <si>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</si>
  <si>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</si>
  <si>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</si>
  <si>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</si>
  <si>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</si>
  <si>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</si>
  <si>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</si>
  <si>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</si>
  <si>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</si>
  <si>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</si>
  <si>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</si>
  <si>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</si>
  <si>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</si>
  <si>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</si>
  <si>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</si>
  <si>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</si>
  <si>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</si>
  <si>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</si>
  <si>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</si>
  <si>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</si>
  <si>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</si>
  <si>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</si>
  <si>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</si>
  <si>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</si>
  <si>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</si>
  <si>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</si>
  <si>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</si>
  <si>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</si>
  <si>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</si>
  <si>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</si>
  <si>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</si>
  <si>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</si>
  <si>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</si>
  <si>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</si>
  <si>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</si>
  <si>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</si>
  <si>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</si>
  <si>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</si>
  <si>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</si>
  <si>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</si>
  <si>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</si>
  <si>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</si>
  <si>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</si>
  <si>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</si>
  <si>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</si>
  <si>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</si>
  <si>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</si>
  <si>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</si>
  <si>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</si>
  <si>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</si>
  <si>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</si>
  <si>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</si>
  <si>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</si>
  <si>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</si>
  <si>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</si>
  <si>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</si>
  <si>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</si>
  <si>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</si>
  <si>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</si>
  <si>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</si>
  <si>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</si>
  <si>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</si>
  <si>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</si>
  <si>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</si>
  <si>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</si>
  <si>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</si>
  <si>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</si>
  <si>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</si>
  <si>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</si>
  <si>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</si>
  <si>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</si>
  <si>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</si>
  <si>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</si>
  <si>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</si>
  <si>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</si>
  <si>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</si>
  <si>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</si>
  <si>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</si>
  <si>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</si>
  <si>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</si>
  <si>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</si>
  <si>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</si>
  <si>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</si>
  <si>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</si>
  <si>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</si>
  <si>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</si>
  <si>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</si>
  <si>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</si>
  <si>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</si>
  <si>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</si>
  <si>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</si>
  <si>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</si>
  <si>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</si>
  <si>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</si>
  <si>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</si>
  <si>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</si>
  <si>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</si>
  <si>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</si>
  <si>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</si>
  <si>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</si>
  <si>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</si>
  <si>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</si>
  <si>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</si>
  <si>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</si>
  <si>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</si>
  <si>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</si>
  <si>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</si>
  <si>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</si>
  <si>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</si>
  <si>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</si>
  <si>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</si>
  <si>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</si>
  <si>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</si>
  <si>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</si>
  <si>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</si>
  <si>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</si>
  <si>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</si>
  <si>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</si>
  <si>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</si>
  <si>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</si>
  <si>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</si>
  <si>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</si>
  <si>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</si>
  <si>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</si>
  <si>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</si>
  <si>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</si>
  <si>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</si>
  <si>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</si>
  <si>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</si>
  <si>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</si>
  <si>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</si>
  <si>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</si>
  <si>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</si>
  <si>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</si>
  <si>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</si>
  <si>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</si>
  <si>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</si>
  <si>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</si>
  <si>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</si>
  <si>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</si>
  <si>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</si>
  <si>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</si>
  <si>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</si>
  <si>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</si>
  <si>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</si>
  <si>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</si>
  <si>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</si>
  <si>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</si>
  <si>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</si>
  <si>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</si>
  <si>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</si>
  <si>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</si>
  <si>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</si>
  <si>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</si>
  <si>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</si>
  <si>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</si>
  <si>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</si>
  <si>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</si>
  <si>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</si>
  <si>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</si>
  <si>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</si>
  <si>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</si>
  <si>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</si>
  <si>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</si>
  <si>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</si>
  <si>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</si>
  <si>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</si>
  <si>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</si>
  <si>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</si>
  <si>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</si>
  <si>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</si>
  <si>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</si>
  <si>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</si>
  <si>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</si>
  <si>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</si>
  <si>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</si>
  <si>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</si>
  <si>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</si>
  <si>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</si>
  <si>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</si>
  <si>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</si>
  <si>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</si>
  <si>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</si>
  <si>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</si>
  <si>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</si>
  <si>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</si>
  <si>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</si>
  <si>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</si>
  <si>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</si>
  <si>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</si>
  <si>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</si>
  <si>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</si>
  <si>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</si>
  <si>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</si>
  <si>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</si>
  <si>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</si>
  <si>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</si>
  <si>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</si>
  <si>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</si>
  <si>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</si>
  <si>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</si>
  <si>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</si>
  <si>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</si>
  <si>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</si>
  <si>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</si>
  <si>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</si>
  <si>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</si>
  <si>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</si>
  <si>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</si>
  <si>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</si>
  <si>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</si>
  <si>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</si>
  <si>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</si>
  <si>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</si>
  <si>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</si>
  <si>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</si>
  <si>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</si>
  <si>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</si>
  <si>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</si>
  <si>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</si>
  <si>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</si>
  <si>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</si>
  <si>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</si>
  <si>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</si>
  <si>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</si>
  <si>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</si>
  <si>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</si>
  <si>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</si>
  <si>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</si>
  <si>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</si>
  <si>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</si>
  <si>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</si>
  <si>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</si>
  <si>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</si>
  <si>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</si>
  <si>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</si>
  <si>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</si>
  <si>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</si>
  <si>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</si>
  <si>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</si>
  <si>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</si>
  <si>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</si>
  <si>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</si>
  <si>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</si>
  <si>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</si>
  <si>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</si>
  <si>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</si>
  <si>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</si>
  <si>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</si>
  <si>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</si>
  <si>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</si>
  <si>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</si>
  <si>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</si>
  <si>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</si>
  <si>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</si>
  <si>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</si>
  <si>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</si>
  <si>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</si>
  <si>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</si>
  <si>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</si>
  <si>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</si>
  <si>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</si>
  <si>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</si>
  <si>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</si>
  <si>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</si>
  <si>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</si>
  <si>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</si>
  <si>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</si>
  <si>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</si>
  <si>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</si>
  <si>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</si>
  <si>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</si>
  <si>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</si>
  <si>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</si>
  <si>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</si>
  <si>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</si>
  <si>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</si>
  <si>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</si>
  <si>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</si>
  <si>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</si>
  <si>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</si>
  <si>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</si>
  <si>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</si>
  <si>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</si>
  <si>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</si>
  <si>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</si>
  <si>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</si>
  <si>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</si>
  <si>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</si>
  <si>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</si>
  <si>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</si>
  <si>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</si>
  <si>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</si>
  <si>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</si>
  <si>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</si>
  <si>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</si>
  <si>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</si>
  <si>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</si>
  <si>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</si>
  <si>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</si>
  <si>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</si>
  <si>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</si>
  <si>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</si>
  <si>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</si>
  <si>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</si>
  <si>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</si>
  <si>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</si>
  <si>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</si>
  <si>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</si>
  <si>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</si>
  <si>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</si>
  <si>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</si>
  <si>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</si>
  <si>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</si>
  <si>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</si>
  <si>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</si>
  <si>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</si>
  <si>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</si>
  <si>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</si>
  <si>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</si>
  <si>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</si>
  <si>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</si>
  <si>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</si>
  <si>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</si>
  <si>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</si>
  <si>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</si>
  <si>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</si>
  <si>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</si>
  <si>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</si>
  <si>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</si>
  <si>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</si>
  <si>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</si>
  <si>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</si>
  <si>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</si>
  <si>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</si>
  <si>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</si>
  <si>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</si>
  <si>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</si>
  <si>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</si>
  <si>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</si>
  <si>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</si>
  <si>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</si>
  <si>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</si>
  <si>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</si>
  <si>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</si>
  <si>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</si>
  <si>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</si>
  <si>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</si>
  <si>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</si>
  <si>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</si>
  <si>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</si>
  <si>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</si>
  <si>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</si>
  <si>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</si>
  <si>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</si>
  <si>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</si>
  <si>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</si>
  <si>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</si>
  <si>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</si>
  <si>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</si>
  <si>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</si>
  <si>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</si>
  <si>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</si>
  <si>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</si>
  <si>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</si>
  <si>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</si>
  <si>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</si>
  <si>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</si>
  <si>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</si>
  <si>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</si>
  <si>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</si>
  <si>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</si>
  <si>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</si>
  <si>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</si>
  <si>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</si>
  <si>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</si>
  <si>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</si>
  <si>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</si>
  <si>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</si>
  <si>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</si>
  <si>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</si>
  <si>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</si>
  <si>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</si>
  <si>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</si>
  <si>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</si>
  <si>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</si>
  <si>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</si>
  <si>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</si>
  <si>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</si>
  <si>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</si>
  <si>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</si>
  <si>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</si>
  <si>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</si>
  <si>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</si>
  <si>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</si>
  <si>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</si>
  <si>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</si>
  <si>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</si>
  <si>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</si>
  <si>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</si>
  <si>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</si>
  <si>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</si>
  <si>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</si>
  <si>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</si>
  <si>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</si>
  <si>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</si>
  <si>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</si>
  <si>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</si>
  <si>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</si>
  <si>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</si>
  <si>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</si>
  <si>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</si>
  <si>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</si>
  <si>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</si>
  <si>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</si>
  <si>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</si>
  <si>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</si>
  <si>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</si>
  <si>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</si>
  <si>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</si>
  <si>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</si>
  <si>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</si>
  <si>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</si>
  <si>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</si>
  <si>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</si>
  <si>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</si>
  <si>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</si>
  <si>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</si>
  <si>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</si>
  <si>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</si>
  <si>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</si>
  <si>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</si>
  <si>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</si>
  <si>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</si>
  <si>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</si>
  <si>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</si>
  <si>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</si>
  <si>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</si>
  <si>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</si>
  <si>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</si>
  <si>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</si>
  <si>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</si>
  <si>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</si>
  <si>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</si>
  <si>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</si>
  <si>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</si>
  <si>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</si>
  <si>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</si>
  <si>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</si>
  <si>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</si>
  <si>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</si>
  <si>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</si>
  <si>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</si>
  <si>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</si>
  <si>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</si>
  <si>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</si>
  <si>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</si>
  <si>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</si>
  <si>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</si>
  <si>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</si>
  <si>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</si>
  <si>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</si>
  <si>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</si>
  <si>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</si>
  <si>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</si>
  <si>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</si>
  <si>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</si>
  <si>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</si>
  <si>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</si>
  <si>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</si>
  <si>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</si>
  <si>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</si>
  <si>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</si>
  <si>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</si>
  <si>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</si>
  <si>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</si>
  <si>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</si>
  <si>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</si>
  <si>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</si>
  <si>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</si>
  <si>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</si>
  <si>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</si>
  <si>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</si>
  <si>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</si>
  <si>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</si>
  <si>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</si>
  <si>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</si>
  <si>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</si>
  <si>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</si>
  <si>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</si>
  <si>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</si>
  <si>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</si>
  <si>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</si>
  <si>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</si>
  <si>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</si>
  <si>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</si>
  <si>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</si>
  <si>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</si>
  <si>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</si>
  <si>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</si>
  <si>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</si>
  <si>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</si>
  <si>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</si>
  <si>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</si>
  <si>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</si>
  <si>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</si>
  <si>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</si>
  <si>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</si>
  <si>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</si>
  <si>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</si>
  <si>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</si>
  <si>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</si>
  <si>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</si>
  <si>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</si>
  <si>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</si>
  <si>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</si>
  <si>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</si>
  <si>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</si>
  <si>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</si>
  <si>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</si>
  <si>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</si>
  <si>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</si>
  <si>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</si>
  <si>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</si>
  <si>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</si>
  <si>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</si>
  <si>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</si>
  <si>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</si>
  <si>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</si>
  <si>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</si>
  <si>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</si>
  <si>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</si>
  <si>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</si>
  <si>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</si>
  <si>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</si>
  <si>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</si>
  <si>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</si>
  <si>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</si>
  <si>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</si>
  <si>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</si>
  <si>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</si>
  <si>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</si>
  <si>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</si>
  <si>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</si>
  <si>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</si>
  <si>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</si>
  <si>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</si>
  <si>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</si>
  <si>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</si>
  <si>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</si>
  <si>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</si>
  <si>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</si>
  <si>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</si>
  <si>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</si>
  <si>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</si>
  <si>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</si>
  <si>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</si>
  <si>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</si>
  <si>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</si>
  <si>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</si>
  <si>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</si>
  <si>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</si>
  <si>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</si>
  <si>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</si>
  <si>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</si>
  <si>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</si>
  <si>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</si>
  <si>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</si>
  <si>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</si>
  <si>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</si>
  <si>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</si>
  <si>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</si>
  <si>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</si>
  <si>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</si>
  <si>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</si>
  <si>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</si>
  <si>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</si>
  <si>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</si>
  <si>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</si>
  <si>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</si>
  <si>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</si>
  <si>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</si>
  <si>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</si>
  <si>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</si>
  <si>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</si>
  <si>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</si>
  <si>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</si>
  <si>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</si>
  <si>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</si>
  <si>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</si>
  <si>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</si>
  <si>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</si>
  <si>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</si>
  <si>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</si>
  <si>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</si>
  <si>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</si>
  <si>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</si>
  <si>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</si>
  <si>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</si>
  <si>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</si>
  <si>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</si>
  <si>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</si>
  <si>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</si>
  <si>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</si>
  <si>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</si>
  <si>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</si>
  <si>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</si>
  <si>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</si>
  <si>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</si>
  <si>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</si>
  <si>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</si>
  <si>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</si>
  <si>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</si>
  <si>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</si>
  <si>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</si>
  <si>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</si>
  <si>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</si>
  <si>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</si>
  <si>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</si>
  <si>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</si>
  <si>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</si>
  <si>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</si>
  <si>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</si>
  <si>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</si>
  <si>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</si>
  <si>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</si>
  <si>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</si>
  <si>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</si>
  <si>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</si>
  <si>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</si>
  <si>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</si>
  <si>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</si>
  <si>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</si>
  <si>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</si>
  <si>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</si>
  <si>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</si>
  <si>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</si>
  <si>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--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</si>
  <si>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</si>
  <si>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</si>
  <si>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</si>
  <si>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</si>
  <si>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</si>
  <si>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</si>
  <si>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</si>
  <si>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</si>
  <si>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</si>
  <si>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</si>
  <si>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</si>
  <si>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</si>
  <si>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</si>
  <si>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</si>
  <si>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</si>
  <si>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</si>
  <si>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</si>
  <si>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</si>
  <si>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</si>
  <si>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</si>
  <si>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</si>
  <si>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</si>
  <si>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</si>
  <si>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</si>
  <si>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</si>
  <si>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</si>
  <si>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</si>
  <si>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</si>
  <si>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</si>
  <si>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</si>
  <si>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</si>
  <si>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</si>
  <si>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</si>
  <si>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</si>
  <si>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</si>
  <si>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</si>
  <si>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</si>
  <si>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</si>
  <si>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</si>
  <si>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</si>
  <si>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</si>
  <si>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</si>
  <si>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</si>
  <si>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</si>
  <si>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</si>
  <si>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</si>
  <si>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</si>
  <si>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</si>
  <si>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</si>
  <si>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</si>
  <si>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</si>
  <si>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</si>
  <si>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</si>
  <si>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</si>
  <si>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</si>
  <si>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</si>
  <si>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</si>
  <si>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</si>
  <si>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</si>
  <si>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</si>
  <si>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</si>
  <si>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</si>
  <si>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</si>
  <si>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</si>
  <si>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</si>
  <si>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</si>
  <si>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</si>
  <si>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</si>
  <si>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</si>
  <si>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</si>
  <si>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</si>
  <si>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</si>
  <si>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</si>
  <si>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</si>
  <si>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</si>
  <si>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</si>
  <si>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</si>
  <si>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</si>
  <si>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</si>
  <si>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</si>
  <si>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</si>
  <si>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</si>
  <si>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</si>
  <si>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</si>
  <si>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</si>
  <si>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</si>
  <si>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</si>
  <si>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</si>
  <si>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</si>
  <si>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</si>
  <si>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</si>
  <si>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</si>
  <si>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</si>
  <si>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</si>
  <si>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</si>
  <si>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</si>
  <si>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</si>
  <si>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AURORA</t>
  </si>
  <si>
    <t>001/0008/A</t>
  </si>
  <si>
    <t>RAQUEL FERNANDEZ DE QUEIROZ</t>
  </si>
  <si>
    <t>36.647.758-7</t>
  </si>
  <si>
    <t>297.435.165-49</t>
  </si>
  <si>
    <t>RAQUEL FERNANDES DE QUEIROZ</t>
  </si>
  <si>
    <t>36.647.785-7</t>
  </si>
  <si>
    <t>6014.2026/0002719-0</t>
  </si>
  <si>
    <t>001/0008/B</t>
  </si>
  <si>
    <t>ERIKA CRISTINA FELICIANO MARQUES</t>
  </si>
  <si>
    <t>47.637.886-2</t>
  </si>
  <si>
    <t>424.408.848-20</t>
  </si>
  <si>
    <t>001/0008/C</t>
  </si>
  <si>
    <t>RAPHAEL QUEIROZ SIMPLICIO</t>
  </si>
  <si>
    <t>47.214.327-X</t>
  </si>
  <si>
    <t>395.907.698-37</t>
  </si>
  <si>
    <t>001/0027/A</t>
  </si>
  <si>
    <t>ZENAIDE DOURADO DA SILVA</t>
  </si>
  <si>
    <t>50.042.833-5</t>
  </si>
  <si>
    <t>741.697.695-20</t>
  </si>
  <si>
    <t>CADASTRO</t>
  </si>
  <si>
    <t>001/0027/B</t>
  </si>
  <si>
    <t xml:space="preserve">Gleice Cristina de Souza </t>
  </si>
  <si>
    <t>47.483.525-X</t>
  </si>
  <si>
    <t>413.011.438-71</t>
  </si>
  <si>
    <t>JOSELY PEREIRA DOURADO</t>
  </si>
  <si>
    <t>23.468.204-8</t>
  </si>
  <si>
    <t>126.857.038-96</t>
  </si>
  <si>
    <t xml:space="preserve">CADASTRADO </t>
  </si>
  <si>
    <t>001/0029/B</t>
  </si>
  <si>
    <t>LUCIANA MARIA SANTOS DA SILVA</t>
  </si>
  <si>
    <t>38.510.210-0</t>
  </si>
  <si>
    <t>346.889.848-71</t>
  </si>
  <si>
    <t>ANTONIA VALQUIANA MOREIRA DE SOUSA</t>
  </si>
  <si>
    <t>42.572.902-3</t>
  </si>
  <si>
    <t>389.352.538-63</t>
  </si>
  <si>
    <t>002/0001/A</t>
  </si>
  <si>
    <t>ANALIA DA CONCEIÇÃO PRIMO MEDEIROS</t>
  </si>
  <si>
    <t>37.358.607-3</t>
  </si>
  <si>
    <t>318.882.178-63</t>
  </si>
  <si>
    <t>002/0001/B</t>
  </si>
  <si>
    <t>MANUEL JOSÉ SOARES</t>
  </si>
  <si>
    <t>66.888.065-X</t>
  </si>
  <si>
    <t>428.988.623-04</t>
  </si>
  <si>
    <t>EDISON SAMPAIO FIGUEIREDO</t>
  </si>
  <si>
    <t>22.904.827-4</t>
  </si>
  <si>
    <t>142.907.508-26</t>
  </si>
  <si>
    <t>002/0001/C</t>
  </si>
  <si>
    <t>KAUANE SANTOS NASCIMENTO</t>
  </si>
  <si>
    <t>55.762.596-8</t>
  </si>
  <si>
    <t>406.935.838-27</t>
  </si>
  <si>
    <t>LUIZA GOMES TRINDADE</t>
  </si>
  <si>
    <t>23.416.922-9</t>
  </si>
  <si>
    <t>134.160.398-90</t>
  </si>
  <si>
    <t>002/0001/D</t>
  </si>
  <si>
    <t>SEVERINO UMBELINO DA SILVA</t>
  </si>
  <si>
    <t>54.413.141-1</t>
  </si>
  <si>
    <t>093.420.864-62</t>
  </si>
  <si>
    <t>002/0001/E</t>
  </si>
  <si>
    <t>MARIA JOZENEIDE BEZERRA</t>
  </si>
  <si>
    <t>55.198.258-5</t>
  </si>
  <si>
    <t>838.093.843-72</t>
  </si>
  <si>
    <t>002/0003/A</t>
  </si>
  <si>
    <t>EMILY OLIVEIRA SILVA</t>
  </si>
  <si>
    <t>55.495.600-7</t>
  </si>
  <si>
    <t>240.874.718-02</t>
  </si>
  <si>
    <t>002/0003/D</t>
  </si>
  <si>
    <t>TATIANE ROCHA DO NASCIMENTO</t>
  </si>
  <si>
    <t>44.716.705-4</t>
  </si>
  <si>
    <t>372.899.928-81</t>
  </si>
  <si>
    <t>003/0001/A</t>
  </si>
  <si>
    <t>IVANILDES FAGUNDES DE OLIVEIRA</t>
  </si>
  <si>
    <t>004.106.358-98</t>
  </si>
  <si>
    <t>ROGERIO GARCIA DE OLIVEIRA</t>
  </si>
  <si>
    <t>26.333.056-4</t>
  </si>
  <si>
    <t>262.288.348-00</t>
  </si>
  <si>
    <t>004/0007/A</t>
  </si>
  <si>
    <t>CLEONICE ALVES DE SOUSA</t>
  </si>
  <si>
    <t>53.603.228-2</t>
  </si>
  <si>
    <t>576.533.055-04</t>
  </si>
  <si>
    <t>YURI ALVES DE SOUSA</t>
  </si>
  <si>
    <t>36.348.682-3</t>
  </si>
  <si>
    <t>402.077.608-37</t>
  </si>
  <si>
    <t>CONFIRMAÇÃO PAGAMENTO</t>
  </si>
  <si>
    <t>JD. PANTANAL</t>
  </si>
  <si>
    <t xml:space="preserve">VILA DA PAZ </t>
  </si>
  <si>
    <t>002/0018/D</t>
  </si>
  <si>
    <t xml:space="preserve">ERICLES DE SOUSA SILVA </t>
  </si>
  <si>
    <t xml:space="preserve">NOVO HORIZONTE </t>
  </si>
  <si>
    <t>LUANA KELLY DA SILVA SOUSA</t>
  </si>
  <si>
    <t>SÃO MARTINHO VÁRZEA</t>
  </si>
  <si>
    <t>002/0017/A</t>
  </si>
  <si>
    <t xml:space="preserve">LUCILENE LUZIA DE OLIVEIRA FIGUEIREDO </t>
  </si>
  <si>
    <t>002/0020/A</t>
  </si>
  <si>
    <t xml:space="preserve">MARIA DAS DORES BASTOS DA SILVA </t>
  </si>
  <si>
    <t>008/0011/A</t>
  </si>
  <si>
    <t xml:space="preserve">REGINALDO BARRENSE DE LIMA </t>
  </si>
  <si>
    <t>008/0042/A</t>
  </si>
  <si>
    <t xml:space="preserve">JUCIENE DOS SANTOS SILVA </t>
  </si>
  <si>
    <t>011/0009/A</t>
  </si>
  <si>
    <t xml:space="preserve">EDISON DE JESUS </t>
  </si>
  <si>
    <t>012/0008/B</t>
  </si>
  <si>
    <t xml:space="preserve">ELIAS RIBEIRO GUIMARÃES </t>
  </si>
  <si>
    <t>013/0002/A</t>
  </si>
  <si>
    <t>EDSON FRANCISCO DA SILVA SA</t>
  </si>
  <si>
    <t>002/0014/A</t>
  </si>
  <si>
    <t xml:space="preserve">MARINALVA DOS SANTOS </t>
  </si>
  <si>
    <t>002/0018/A</t>
  </si>
  <si>
    <t xml:space="preserve">JÉSSIKA DE ANDRADE SOUZA </t>
  </si>
  <si>
    <t>006/0010/B</t>
  </si>
  <si>
    <t xml:space="preserve">CAMILA DE LIRA FERNANDES </t>
  </si>
  <si>
    <t>007/0002/A</t>
  </si>
  <si>
    <t xml:space="preserve">DOUGLAS MIRANDA DA SILVA </t>
  </si>
  <si>
    <t xml:space="preserve">SARLON GUIMARAES DIAS </t>
  </si>
  <si>
    <t>002/0022/D</t>
  </si>
  <si>
    <t xml:space="preserve">EMERSON JOSÉ ROCHA SOARES </t>
  </si>
  <si>
    <t>002/0014/B</t>
  </si>
  <si>
    <t>MARIANE CAMILA DE FREITAS VALES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</si>
  <si>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</si>
  <si>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</si>
  <si>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</si>
  <si>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</si>
  <si>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</si>
  <si>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</si>
  <si>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</si>
  <si>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</si>
  <si>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</si>
  <si>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</si>
  <si>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</si>
  <si>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</si>
  <si>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</si>
  <si>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</si>
  <si>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</si>
  <si>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</si>
  <si>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</si>
  <si>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</si>
  <si>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</si>
  <si>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</si>
  <si>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</si>
  <si>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</si>
  <si>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</si>
  <si>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</si>
  <si>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</si>
  <si>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</si>
  <si>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</si>
  <si>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</si>
  <si>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</si>
  <si>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</si>
  <si>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</si>
  <si>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</si>
  <si>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</si>
  <si>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</si>
  <si>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</si>
  <si>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</si>
  <si>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</si>
  <si>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</si>
  <si>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</si>
  <si>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</si>
  <si>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</si>
  <si>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</si>
  <si>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</si>
  <si>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</si>
  <si>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</si>
  <si>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</si>
  <si>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</si>
  <si>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</si>
  <si>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</si>
  <si>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</si>
  <si>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</si>
  <si>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</si>
  <si>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</si>
  <si>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</si>
  <si>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</si>
  <si>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</si>
  <si>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</si>
  <si>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</si>
  <si>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</si>
  <si>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</si>
  <si>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</si>
  <si>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</si>
  <si>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</si>
  <si>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</si>
  <si>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</si>
  <si>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</si>
  <si>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</si>
  <si>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</si>
  <si>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</si>
  <si>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</si>
  <si>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</si>
  <si>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</si>
  <si>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</si>
  <si>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</si>
  <si>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</si>
  <si>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</si>
  <si>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</si>
  <si>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</si>
  <si>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</si>
  <si>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</si>
  <si>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</si>
  <si>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</si>
  <si>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</si>
  <si>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</si>
  <si>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</si>
  <si>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</si>
  <si>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</si>
  <si>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</si>
  <si>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</si>
  <si>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</si>
  <si>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</si>
  <si>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</si>
  <si>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</si>
  <si>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</si>
  <si>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</si>
  <si>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</si>
  <si>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</si>
  <si>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</si>
  <si>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</si>
  <si>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</si>
  <si>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</si>
  <si>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</si>
  <si>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</si>
  <si>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</si>
  <si>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</si>
  <si>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</si>
  <si>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</si>
  <si>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</si>
  <si>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</si>
  <si>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</si>
  <si>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</si>
  <si>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</si>
  <si>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</si>
  <si>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</si>
  <si>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</si>
  <si>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</si>
  <si>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</si>
  <si>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</si>
  <si>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</si>
  <si>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</si>
  <si>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</si>
  <si>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</si>
  <si>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</si>
  <si>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</si>
  <si>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</si>
  <si>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</si>
  <si>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</si>
  <si>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</si>
  <si>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</si>
  <si>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</si>
  <si>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</si>
  <si>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</si>
  <si>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</si>
  <si>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</si>
  <si>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</si>
  <si>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</si>
  <si>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</si>
  <si>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</si>
  <si>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</si>
  <si>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</si>
  <si>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</si>
  <si>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</si>
  <si>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</si>
  <si>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</si>
  <si>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</si>
  <si>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</si>
  <si>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</si>
  <si>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</si>
  <si>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</si>
  <si>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</si>
  <si>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</si>
  <si>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</si>
  <si>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</si>
  <si>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</si>
  <si>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</si>
  <si>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</si>
  <si>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</si>
  <si>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</si>
  <si>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</si>
  <si>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</si>
  <si>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</si>
  <si>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</si>
  <si>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</si>
  <si>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</si>
  <si>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</si>
  <si>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</si>
  <si>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</si>
  <si>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</si>
  <si>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</si>
  <si>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</si>
  <si>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</si>
  <si>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</si>
  <si>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</si>
  <si>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</si>
  <si>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</si>
  <si>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</si>
  <si>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</si>
  <si>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</si>
  <si>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</si>
  <si>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</si>
  <si>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</si>
  <si>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</si>
  <si>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</si>
  <si>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</si>
  <si>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</si>
  <si>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</si>
  <si>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</si>
  <si>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</si>
  <si>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</si>
  <si>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</si>
  <si>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</si>
  <si>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</si>
  <si>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</si>
  <si>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</si>
  <si>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</si>
  <si>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</si>
  <si>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</si>
  <si>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</si>
  <si>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</si>
  <si>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</si>
  <si>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</si>
  <si>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</si>
  <si>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</si>
  <si>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</si>
  <si>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</si>
  <si>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</si>
  <si>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</si>
  <si>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</si>
  <si>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</si>
  <si>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</si>
  <si>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</si>
  <si>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</si>
  <si>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</si>
  <si>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</si>
  <si>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</si>
  <si>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</si>
  <si>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</si>
  <si>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</si>
  <si>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</si>
  <si>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</si>
  <si>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</si>
  <si>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</si>
  <si>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</si>
  <si>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</si>
  <si>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</si>
  <si>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</si>
  <si>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</si>
  <si>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</si>
  <si>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</si>
  <si>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</si>
  <si>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</si>
  <si>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</si>
  <si>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</si>
  <si>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</si>
  <si>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</si>
  <si>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</si>
  <si>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</si>
  <si>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</si>
  <si>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</si>
  <si>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</si>
  <si>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</si>
  <si>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</si>
  <si>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</si>
  <si>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</si>
  <si>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</si>
  <si>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</si>
  <si>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</si>
  <si>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</si>
  <si>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</si>
  <si>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</si>
  <si>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</si>
  <si>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</si>
  <si>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</si>
  <si>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</si>
  <si>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</si>
  <si>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</si>
  <si>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</si>
  <si>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</si>
  <si>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</si>
  <si>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</si>
  <si>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</si>
  <si>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</si>
  <si>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</si>
  <si>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</si>
  <si>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</si>
  <si>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</si>
  <si>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</si>
  <si>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</si>
  <si>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</si>
  <si>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</si>
  <si>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</si>
  <si>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</si>
  <si>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</si>
  <si>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</si>
  <si>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</si>
  <si>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</si>
  <si>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</si>
  <si>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</si>
  <si>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</si>
  <si>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</si>
  <si>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</si>
  <si>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</si>
  <si>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</si>
  <si>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</si>
  <si>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</si>
  <si>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</si>
  <si>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</si>
  <si>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</si>
  <si>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</si>
  <si>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</si>
  <si>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</si>
  <si>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</si>
  <si>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</si>
  <si>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</si>
  <si>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</si>
  <si>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</si>
  <si>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</si>
  <si>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</si>
  <si>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</si>
  <si>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</si>
  <si>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</si>
  <si>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</si>
  <si>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</si>
  <si>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</si>
  <si>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</si>
  <si>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</si>
  <si>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</si>
  <si>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</si>
  <si>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</si>
  <si>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</si>
  <si>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</si>
  <si>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</si>
  <si>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</si>
  <si>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</si>
  <si>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</si>
  <si>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</si>
  <si>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</si>
  <si>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</si>
  <si>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</si>
  <si>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</si>
  <si>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</si>
  <si>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</si>
  <si>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</si>
  <si>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</si>
  <si>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</si>
  <si>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</si>
  <si>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</si>
  <si>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</si>
  <si>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</si>
  <si>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</si>
  <si>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</si>
  <si>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</si>
  <si>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</si>
  <si>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</si>
  <si>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</si>
  <si>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</si>
  <si>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</si>
  <si>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</si>
  <si>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</si>
  <si>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</si>
  <si>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</si>
  <si>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</si>
  <si>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</si>
  <si>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</si>
  <si>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</si>
  <si>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</si>
  <si>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</si>
  <si>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</si>
  <si>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</si>
  <si>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</si>
  <si>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</si>
  <si>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</si>
  <si>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</si>
  <si>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</si>
  <si>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</si>
  <si>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</si>
  <si>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</si>
  <si>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</si>
  <si>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</si>
  <si>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</si>
  <si>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</si>
  <si>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</si>
  <si>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</si>
  <si>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</si>
  <si>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</si>
  <si>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</si>
  <si>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</si>
  <si>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</si>
  <si>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</si>
  <si>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</si>
  <si>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</si>
  <si>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</si>
  <si>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</si>
  <si>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</si>
  <si>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</si>
  <si>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</si>
  <si>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</si>
  <si>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</si>
  <si>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</si>
  <si>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</si>
  <si>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</si>
  <si>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</si>
  <si>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</si>
  <si>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</si>
  <si>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</si>
  <si>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</si>
  <si>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</si>
  <si>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</si>
  <si>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</si>
  <si>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</si>
  <si>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</si>
  <si>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</si>
  <si>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</si>
  <si>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</si>
  <si>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</si>
  <si>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</si>
  <si>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</si>
  <si>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</si>
  <si>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</si>
  <si>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</si>
  <si>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</si>
  <si>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</si>
  <si>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</si>
  <si>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</si>
  <si>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</si>
  <si>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</si>
  <si>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</si>
  <si>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</si>
  <si>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</si>
  <si>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</si>
  <si>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</si>
  <si>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</si>
  <si>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</si>
  <si>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</si>
  <si>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</si>
  <si>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</si>
  <si>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</si>
  <si>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</si>
  <si>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</si>
  <si>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</si>
  <si>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</si>
  <si>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</si>
  <si>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</si>
  <si>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</si>
  <si>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</si>
  <si>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</si>
  <si>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</si>
  <si>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</si>
  <si>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</si>
  <si>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</si>
  <si>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</si>
  <si>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</si>
  <si>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</si>
  <si>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</si>
  <si>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</si>
  <si>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</si>
  <si>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</si>
  <si>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</si>
  <si>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</si>
  <si>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</si>
  <si>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</si>
  <si>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</si>
  <si>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</si>
  <si>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</si>
  <si>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</si>
  <si>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</si>
  <si>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</si>
  <si>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</si>
  <si>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</si>
  <si>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</si>
  <si>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</si>
  <si>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</si>
  <si>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</si>
  <si>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</si>
  <si>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</si>
  <si>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</si>
  <si>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</si>
  <si>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</si>
  <si>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</si>
  <si>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</si>
  <si>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</si>
  <si>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</si>
  <si>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</si>
  <si>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</si>
  <si>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</si>
  <si>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</si>
  <si>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</si>
  <si>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</si>
  <si>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</si>
  <si>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</si>
  <si>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</si>
  <si>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</si>
  <si>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</si>
  <si>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</si>
  <si>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</si>
  <si>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</si>
  <si>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</si>
  <si>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</si>
  <si>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</si>
  <si>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</si>
  <si>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</si>
  <si>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</si>
  <si>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</si>
  <si>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</si>
  <si>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</si>
  <si>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</si>
  <si>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</si>
  <si>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</si>
  <si>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</si>
  <si>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</si>
  <si>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</si>
  <si>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</si>
  <si>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</si>
  <si>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</si>
  <si>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</si>
  <si>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</si>
  <si>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</si>
  <si>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</si>
  <si>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</si>
  <si>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</si>
  <si>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</si>
  <si>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</si>
  <si>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</si>
  <si>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</si>
  <si>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</si>
  <si>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</si>
  <si>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</si>
  <si>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</si>
  <si>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</si>
  <si>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</si>
  <si>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</si>
  <si>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</si>
  <si>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</si>
  <si>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</si>
  <si>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</si>
  <si>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</si>
  <si>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</si>
  <si>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</si>
  <si>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</si>
  <si>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</si>
  <si>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</si>
  <si>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</si>
  <si>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</si>
  <si>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</si>
  <si>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</si>
  <si>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</si>
  <si>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</si>
  <si>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</si>
  <si>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</si>
  <si>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</si>
  <si>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</si>
  <si>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</si>
  <si>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</si>
  <si>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</si>
  <si>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</si>
  <si>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</si>
  <si>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</si>
  <si>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</si>
  <si>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</si>
  <si>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</si>
  <si>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</si>
  <si>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</si>
  <si>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</si>
  <si>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</si>
  <si>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</si>
  <si>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</si>
  <si>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</si>
  <si>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</si>
  <si>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</si>
  <si>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</si>
  <si>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</si>
  <si>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</si>
  <si>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</si>
  <si>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</si>
  <si>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</si>
  <si>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</si>
  <si>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</si>
  <si>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</si>
  <si>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</si>
  <si>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</si>
  <si>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</si>
  <si>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</si>
  <si>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</si>
  <si>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</si>
  <si>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</si>
  <si>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</si>
  <si>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</si>
  <si>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</si>
  <si>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</si>
  <si>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</si>
  <si>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</si>
  <si>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</si>
  <si>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</si>
  <si>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</si>
  <si>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</si>
  <si>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</si>
  <si>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</si>
  <si>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</si>
  <si>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</si>
  <si>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</si>
  <si>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</si>
  <si>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</si>
  <si>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</si>
  <si>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</si>
  <si>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</si>
  <si>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</si>
  <si>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</si>
  <si>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</si>
  <si>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</si>
  <si>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</si>
  <si>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</si>
  <si>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</si>
  <si>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</si>
  <si>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</si>
  <si>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</si>
  <si>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</si>
  <si>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</si>
  <si>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</si>
  <si>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</si>
  <si>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</si>
  <si>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</si>
  <si>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</si>
  <si>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</si>
  <si>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</si>
  <si>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</si>
  <si>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</si>
  <si>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</si>
  <si>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</si>
  <si>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</si>
  <si>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</si>
  <si>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</si>
  <si>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</si>
  <si>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</si>
  <si>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</si>
  <si>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</si>
  <si>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</si>
  <si>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</si>
  <si>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</si>
  <si>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</si>
  <si>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</si>
  <si>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</si>
  <si>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</si>
  <si>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</si>
  <si>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</si>
  <si>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</si>
  <si>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</si>
  <si>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</si>
  <si>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</si>
  <si>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</si>
  <si>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</si>
  <si>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</si>
  <si>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</si>
  <si>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</si>
  <si>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</si>
  <si>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</si>
  <si>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</si>
  <si>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</si>
  <si>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</si>
  <si>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</si>
  <si>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</si>
  <si>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</si>
  <si>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</si>
  <si>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</si>
  <si>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</si>
  <si>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</si>
  <si>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</si>
  <si>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</si>
  <si>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</si>
  <si>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</si>
  <si>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</si>
  <si>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</si>
  <si>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</si>
  <si>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</si>
  <si>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</si>
  <si>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</si>
  <si>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</si>
  <si>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</si>
  <si>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</si>
  <si>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</si>
  <si>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</si>
  <si>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</si>
  <si>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</si>
  <si>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</si>
  <si>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</si>
  <si>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</si>
  <si>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</si>
  <si>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</si>
  <si>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</si>
  <si>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</si>
  <si>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</si>
  <si>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</si>
  <si>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</si>
  <si>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</si>
  <si>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</si>
  <si>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</si>
  <si>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</si>
  <si>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</si>
  <si>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</si>
  <si>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</si>
  <si>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</si>
  <si>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</si>
  <si>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</si>
  <si>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</si>
  <si>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</si>
  <si>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</si>
  <si>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</si>
  <si>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</si>
  <si>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</si>
  <si>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</si>
  <si>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</si>
  <si>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</si>
  <si>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</si>
  <si>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</si>
  <si>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</si>
  <si>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</si>
  <si>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</si>
  <si>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</si>
  <si>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</si>
  <si>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</si>
  <si>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</si>
  <si>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</si>
  <si>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</si>
  <si>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</si>
  <si>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</si>
  <si>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</si>
  <si>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</si>
  <si>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</si>
  <si>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</si>
  <si>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</si>
  <si>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</si>
  <si>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</si>
  <si>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</si>
  <si>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</si>
  <si>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</si>
  <si>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</si>
  <si>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</si>
  <si>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</si>
  <si>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</si>
  <si>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</si>
  <si>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</si>
  <si>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</si>
  <si>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</si>
  <si>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</si>
  <si>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</si>
  <si>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</si>
  <si>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</si>
  <si>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</si>
  <si>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</si>
  <si>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</si>
  <si>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</si>
  <si>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</si>
  <si>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</si>
  <si>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</si>
  <si>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</si>
  <si>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</si>
  <si>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</si>
  <si>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</si>
  <si>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</si>
  <si>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</si>
  <si>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</si>
  <si>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</si>
  <si>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</si>
  <si>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</si>
  <si>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</si>
  <si>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</si>
  <si>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</si>
  <si>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</si>
  <si>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</si>
  <si>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</si>
  <si>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</si>
  <si>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</si>
  <si>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</si>
  <si>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</si>
  <si>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</si>
  <si>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</si>
  <si>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</si>
  <si>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</si>
  <si>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</si>
  <si>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</si>
  <si>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</si>
  <si>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</si>
  <si>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</si>
  <si>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</si>
  <si>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</si>
  <si>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</si>
  <si>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</si>
  <si>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</si>
  <si>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</si>
  <si>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</si>
  <si>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</si>
  <si>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</si>
  <si>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</si>
  <si>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</si>
  <si>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</si>
  <si>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</si>
  <si>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</si>
  <si>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</si>
  <si>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</si>
  <si>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</si>
  <si>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</si>
  <si>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</si>
  <si>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</si>
  <si>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</si>
  <si>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</si>
  <si>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</si>
  <si>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</si>
  <si>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</si>
  <si>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001/0009/A</t>
  </si>
  <si>
    <t xml:space="preserve">WILLIAM MACIEL BISPO </t>
  </si>
  <si>
    <t>362.311.548-74</t>
  </si>
  <si>
    <t>6014.2026/0001049-1</t>
  </si>
  <si>
    <t>003/0002/A</t>
  </si>
  <si>
    <t xml:space="preserve">SIMONE PEREIRA BRITO DA SILVA </t>
  </si>
  <si>
    <t>330.971.178-14</t>
  </si>
  <si>
    <t>6014.2026/0000590-0</t>
  </si>
  <si>
    <t>003/0004/A</t>
  </si>
  <si>
    <t xml:space="preserve">JENIFER ALINE SANTANA DE ARAUJO </t>
  </si>
  <si>
    <t>412.301.608-17</t>
  </si>
  <si>
    <t>6014.2026/0001059-9</t>
  </si>
  <si>
    <t>ROSELI APARECIDA CARDOSO DOS SANTOS</t>
  </si>
  <si>
    <t>297.937.398-27</t>
  </si>
  <si>
    <t>6014.2026/0001565-5</t>
  </si>
  <si>
    <t>001/0010/A</t>
  </si>
  <si>
    <t>ANTONIO MARCOS DOS SANTOS</t>
  </si>
  <si>
    <t>222.428.258-36</t>
  </si>
  <si>
    <t>6014.2026/0001182-0</t>
  </si>
  <si>
    <t>002/0002/A</t>
  </si>
  <si>
    <t>CLEMENS MARTINS DA CRUZ</t>
  </si>
  <si>
    <t>142.323.228/33</t>
  </si>
  <si>
    <t>6014.2026/0002211-2</t>
  </si>
  <si>
    <t>002/0004/B</t>
  </si>
  <si>
    <t xml:space="preserve">THAMYRIS ERNESTO DOS SANTOS </t>
  </si>
  <si>
    <t>366.046.798-70</t>
  </si>
  <si>
    <t>6014.2026/0001765-8</t>
  </si>
  <si>
    <t>002/0009/A</t>
  </si>
  <si>
    <t>EDNEIDE DA COSTA FIGUEROA</t>
  </si>
  <si>
    <t>743.510.954-15</t>
  </si>
  <si>
    <t>6014.2026/0001185-4</t>
  </si>
  <si>
    <t>002/0010/A</t>
  </si>
  <si>
    <t xml:space="preserve">LEONARDO RODRIGUES MÁXIMO LEÃO </t>
  </si>
  <si>
    <t>555.672.058-48</t>
  </si>
  <si>
    <t>6014.2026/0001951-0</t>
  </si>
  <si>
    <t>045.174.525-65</t>
  </si>
  <si>
    <t>6014.2026/0000954-0</t>
  </si>
  <si>
    <t>073.054.673-08</t>
  </si>
  <si>
    <t>6014.2026/0000925-6</t>
  </si>
  <si>
    <t>054.868.845.16</t>
  </si>
  <si>
    <t>6014.2026/0001933-2</t>
  </si>
  <si>
    <t>439.697.788-32</t>
  </si>
  <si>
    <t>6014.2026/0001971-5</t>
  </si>
  <si>
    <t>002/0006/A</t>
  </si>
  <si>
    <t>THIAGO PAES CAVALCANTE</t>
  </si>
  <si>
    <t>405.351.638-27</t>
  </si>
  <si>
    <t>6014.2026/0001258-3</t>
  </si>
  <si>
    <t>001/0002/H</t>
  </si>
  <si>
    <t xml:space="preserve">MÉRCIA LOPES SILVA </t>
  </si>
  <si>
    <t>051.115.775-48</t>
  </si>
  <si>
    <t>6014.2026/0000683-4</t>
  </si>
  <si>
    <t xml:space="preserve">LORISVAL JESUS DOS SANTOS </t>
  </si>
  <si>
    <t>082.624.395-97</t>
  </si>
  <si>
    <t> 6014.2026/0000625-7</t>
  </si>
  <si>
    <t>001/0017/A</t>
  </si>
  <si>
    <t xml:space="preserve">ROBERTO FRANCISCO NETO </t>
  </si>
  <si>
    <t>034.705.005-09</t>
  </si>
  <si>
    <t>6014.2026/0002706-8</t>
  </si>
  <si>
    <t xml:space="preserve">JOSENEIDE VIEIRA DA COSTA BATISTA </t>
  </si>
  <si>
    <t>312.972.528-88</t>
  </si>
  <si>
    <t>6014.2026/0001052-1</t>
  </si>
  <si>
    <t>002/0011/A</t>
  </si>
  <si>
    <t>EUDES BORGES DOS SANTOS</t>
  </si>
  <si>
    <t>415.266.718-40</t>
  </si>
  <si>
    <t>6014.2026/0001976-6</t>
  </si>
  <si>
    <t>002/0015/A</t>
  </si>
  <si>
    <t xml:space="preserve">DANILO AQUINO MORENO </t>
  </si>
  <si>
    <t>403.392.358-61</t>
  </si>
  <si>
    <t>6014.2026/0001338-5</t>
  </si>
  <si>
    <t xml:space="preserve">WESLEY MENDES DA SILVEIRA </t>
  </si>
  <si>
    <t>494.279.318-17</t>
  </si>
  <si>
    <t>6014.2026/0001250-8</t>
  </si>
  <si>
    <t>002/0018/C</t>
  </si>
  <si>
    <t>CÍCERA DENALVA DE SOUZA</t>
  </si>
  <si>
    <t>329.957.048-07</t>
  </si>
  <si>
    <t>6014.2026/0001930-8</t>
  </si>
  <si>
    <t>002/0019/A</t>
  </si>
  <si>
    <t xml:space="preserve">LEANDRO DOS SANTOS </t>
  </si>
  <si>
    <t>379.202.498-56</t>
  </si>
  <si>
    <t>6014.2026/0001943-0</t>
  </si>
  <si>
    <t>002/0025/A</t>
  </si>
  <si>
    <t xml:space="preserve">MARIA LUIZA DA SILVA </t>
  </si>
  <si>
    <t>313.328.558-06</t>
  </si>
  <si>
    <t>6014.2026/0001940-5</t>
  </si>
  <si>
    <t>002/0027/A</t>
  </si>
  <si>
    <t>MÁRCIA BATISTA DA SILVA</t>
  </si>
  <si>
    <t>335.505.698.74</t>
  </si>
  <si>
    <t>6014.2026/0001979-0</t>
  </si>
  <si>
    <t>002/0031/A</t>
  </si>
  <si>
    <t>BRUNA FIGUEREDO MANTEIGA</t>
  </si>
  <si>
    <t>375.908.498-20</t>
  </si>
  <si>
    <t>6014.2026/0001983-9</t>
  </si>
  <si>
    <t>002/0031/B</t>
  </si>
  <si>
    <t>ROGILDO DIAS PALMA</t>
  </si>
  <si>
    <t>050.565.165-38</t>
  </si>
  <si>
    <t>6014.2026/0001984-7</t>
  </si>
  <si>
    <t>002/0032/A</t>
  </si>
  <si>
    <t xml:space="preserve">MIRIAM OLIVEIRA PEREIRA </t>
  </si>
  <si>
    <t>389.285.348-79</t>
  </si>
  <si>
    <t>6014.2026/0001990-1</t>
  </si>
  <si>
    <t>001/0006/A</t>
  </si>
  <si>
    <t xml:space="preserve">ANDERSON AIRTON SOUZA DA SILVA </t>
  </si>
  <si>
    <t>385.502.908-31</t>
  </si>
  <si>
    <t>6014.2026/0001045-9</t>
  </si>
  <si>
    <t>002/0026/A</t>
  </si>
  <si>
    <t>JANAINA FERREIRA ROMÃO</t>
  </si>
  <si>
    <t>308.584.918-18</t>
  </si>
  <si>
    <t>6014.2026/0001939-1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</si>
</sst>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u/>
      <sz val="11"/>
      <color theme="10"/>
      <name val="Calibri"/>
      <family val="2"/>
      <scheme val="minor"/>
    </font>
    <font>
      <sz val="12"/>
      <color theme="0"/>
      <name val="Arial"/>
    </font>
    <font>
      <sz val="10"/>
      <color rgb="FF000000"/>
      <name val="Arial"/>
      <family val="2"/>
    </font>
    <font>
      <sz val="10"/>
      <color rgb="FF242424"/>
      <name val="Arial"/>
      <family val="2"/>
    </font>
    <font>
      <b/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167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7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167" fontId="36" fillId="0" borderId="6" xfId="0" applyNumberFormat="1" applyFont="1" applyBorder="1" applyAlignment="1">
      <alignment horizontal="center" vertical="center"/>
    </xf>
    <xf numFmtId="167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167" fontId="35" fillId="0" borderId="14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14" fontId="36" fillId="0" borderId="0" xfId="0" applyNumberFormat="1" applyFont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167" fontId="36" fillId="21" borderId="13" xfId="0" applyNumberFormat="1" applyFont="1" applyFill="1" applyBorder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7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7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7" fontId="35" fillId="21" borderId="14" xfId="0" applyNumberFormat="1" applyFont="1" applyFill="1" applyBorder="1" applyAlignment="1">
      <alignment horizontal="center" vertical="center"/>
    </xf>
    <xf numFmtId="167" fontId="42" fillId="0" borderId="7" xfId="0" applyNumberFormat="1" applyFont="1" applyBorder="1" applyAlignment="1">
      <alignment horizontal="center" vertical="center"/>
    </xf>
    <xf numFmtId="0" fontId="42" fillId="21" borderId="7" xfId="0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7" fontId="42" fillId="0" borderId="12" xfId="0" applyNumberFormat="1" applyFont="1" applyBorder="1" applyAlignment="1">
      <alignment horizontal="center" vertical="center"/>
    </xf>
    <xf numFmtId="1" fontId="35" fillId="0" borderId="13" xfId="0" applyNumberFormat="1" applyFont="1" applyBorder="1" applyAlignment="1">
      <alignment horizontal="center" vertical="center"/>
    </xf>
    <xf numFmtId="0" fontId="49" fillId="12" borderId="9" xfId="47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167" fontId="50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35" fillId="0" borderId="14" xfId="0" quotePrefix="1" applyFont="1" applyBorder="1" applyAlignment="1">
      <alignment horizontal="center" vertical="center"/>
    </xf>
    <xf numFmtId="0" fontId="36" fillId="0" borderId="0" xfId="0" quotePrefix="1" applyFont="1" applyAlignment="1">
      <alignment horizontal="center" vertical="center"/>
    </xf>
    <xf numFmtId="0" fontId="52" fillId="16" borderId="18" xfId="0" applyFont="1" applyFill="1" applyBorder="1" applyAlignment="1">
      <alignment horizontal="center" vertical="center" wrapText="1"/>
    </xf>
    <xf numFmtId="169" fontId="39" fillId="0" borderId="15" xfId="0" applyNumberFormat="1" applyFont="1" applyBorder="1" applyAlignment="1">
      <alignment horizontal="center" vertical="center"/>
    </xf>
    <xf numFmtId="169" fontId="39" fillId="0" borderId="13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47" fillId="12" borderId="9" xfId="47" applyNumberFormat="1" applyFont="1" applyFill="1" applyBorder="1" applyAlignment="1">
      <alignment horizontal="center" vertical="center" wrapText="1"/>
    </xf>
    <xf numFmtId="169" fontId="40" fillId="16" borderId="18" xfId="0" applyNumberFormat="1" applyFont="1" applyFill="1" applyBorder="1" applyAlignment="1">
      <alignment horizontal="center" vertical="center" wrapText="1"/>
    </xf>
    <xf numFmtId="169" fontId="40" fillId="0" borderId="14" xfId="0" applyNumberFormat="1" applyFont="1" applyBorder="1" applyAlignment="1">
      <alignment horizontal="center" vertical="center" wrapText="1"/>
    </xf>
    <xf numFmtId="169" fontId="37" fillId="0" borderId="0" xfId="0" applyNumberFormat="1" applyFont="1" applyAlignment="1">
      <alignment horizontal="center" vertical="center"/>
    </xf>
    <xf numFmtId="170" fontId="40" fillId="0" borderId="14" xfId="0" applyNumberFormat="1" applyFont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7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3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36" tableId="0">
      <sortRules>
        <sortRule colId="4">
          <sortCondition ref="F9:F3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19" t="s">
        <v>101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18" t="s">
        <v>197</v>
      </c>
      <c r="P51" s="218"/>
      <c r="Q51" s="218"/>
      <c r="R51" s="218"/>
      <c r="S51" s="218"/>
      <c r="T51" s="218"/>
      <c r="U51" s="21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2" priority="5" stopIfTrue="1"/>
  </conditionalFormatting>
  <conditionalFormatting sqref="A3:A128">
    <cfRule type="duplicateValues" dxfId="61" priority="4" stopIfTrue="1"/>
  </conditionalFormatting>
  <conditionalFormatting sqref="A3:A626">
    <cfRule type="duplicateValues" dxfId="60" priority="1" stopIfTrue="1"/>
  </conditionalFormatting>
  <conditionalFormatting sqref="B2684">
    <cfRule type="duplicateValues" dxfId="59" priority="3" stopIfTrue="1"/>
  </conditionalFormatting>
  <conditionalFormatting sqref="C689">
    <cfRule type="duplicateValues" dxfId="5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M115"/>
  <sheetViews>
    <sheetView showGridLines="0" tabSelected="1" zoomScale="85" zoomScaleNormal="85" workbookViewId="0">
      <pane xSplit="6" ySplit="9" topLeftCell="M18" activePane="bottomRight" state="frozen"/>
      <selection pane="bottomRight" activeCell="F21" sqref="F21"/>
      <selection pane="bottomLeft"/>
      <selection pane="topRight"/>
    </sheetView>
  </sheetViews>
  <sheetFormatPr defaultColWidth="9.140625" defaultRowHeight="30" customHeight="1"/>
  <cols>
    <col min="1" max="1" width="10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64" bestFit="1" customWidth="1"/>
    <col min="7" max="7" width="27.85546875" style="99" bestFit="1" customWidth="1"/>
    <col min="8" max="8" width="21.42578125" style="99" bestFit="1" customWidth="1"/>
    <col min="9" max="9" width="38.85546875" style="136" bestFit="1" customWidth="1"/>
    <col min="10" max="10" width="77" style="169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3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37" bestFit="1" customWidth="1"/>
    <col min="25" max="25" width="21.42578125" style="101" bestFit="1" customWidth="1"/>
    <col min="26" max="26" width="25.5703125" style="114" bestFit="1" customWidth="1"/>
    <col min="27" max="27" width="106.140625" style="99" bestFit="1" customWidth="1"/>
    <col min="28" max="28" width="77" style="135" bestFit="1" customWidth="1"/>
    <col min="29" max="29" width="22" style="100" bestFit="1" customWidth="1"/>
    <col min="30" max="30" width="18.42578125" style="100" bestFit="1" customWidth="1"/>
    <col min="31" max="31" width="42" style="136" bestFit="1" customWidth="1"/>
    <col min="32" max="32" width="37.42578125" style="99" bestFit="1" customWidth="1"/>
    <col min="33" max="33" width="28.85546875" style="204" bestFit="1" customWidth="1"/>
    <col min="34" max="34" width="31.7109375" style="204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4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4" bestFit="1" customWidth="1"/>
    <col min="53" max="53" width="37.85546875" style="115" bestFit="1" customWidth="1"/>
    <col min="54" max="54" width="15.42578125" style="115" bestFit="1" customWidth="1"/>
    <col min="55" max="55" width="21" style="115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6" bestFit="1" customWidth="1"/>
    <col min="60" max="60" width="29.85546875" style="116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65" ht="30" hidden="1" customHeight="1">
      <c r="C1" s="195" t="s">
        <v>4329</v>
      </c>
      <c r="D1" s="195" t="s">
        <v>4329</v>
      </c>
      <c r="E1" s="195" t="s">
        <v>4329</v>
      </c>
      <c r="G1" s="99" t="s">
        <v>4330</v>
      </c>
      <c r="H1" s="99" t="s">
        <v>4331</v>
      </c>
      <c r="I1" s="136" t="s">
        <v>4332</v>
      </c>
      <c r="J1" s="135"/>
      <c r="M1" s="99" t="s">
        <v>4333</v>
      </c>
      <c r="N1" s="99" t="s">
        <v>4334</v>
      </c>
      <c r="O1" s="101"/>
      <c r="X1" s="99" t="s">
        <v>4335</v>
      </c>
      <c r="Z1" s="101"/>
      <c r="AE1" s="136" t="s">
        <v>4332</v>
      </c>
      <c r="AG1" s="197"/>
      <c r="AH1" s="198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65" ht="18.75" hidden="1" customHeight="1">
      <c r="G2" s="99" t="s">
        <v>4340</v>
      </c>
      <c r="H2" s="99" t="s">
        <v>4341</v>
      </c>
      <c r="I2" s="136" t="s">
        <v>4342</v>
      </c>
      <c r="J2" s="135"/>
      <c r="M2" s="99" t="s">
        <v>4343</v>
      </c>
      <c r="N2" s="99" t="s">
        <v>4344</v>
      </c>
      <c r="O2" s="101"/>
      <c r="X2" s="99"/>
      <c r="Z2" s="101"/>
      <c r="AE2" s="136" t="s">
        <v>4342</v>
      </c>
      <c r="AG2" s="197"/>
      <c r="AH2" s="198"/>
      <c r="AI2" s="103" t="s">
        <v>4345</v>
      </c>
      <c r="AJ2" s="99" t="s">
        <v>14</v>
      </c>
      <c r="AK2" s="103" t="s">
        <v>4343</v>
      </c>
      <c r="AL2" s="103" t="s">
        <v>4346</v>
      </c>
      <c r="AM2" s="103" t="s">
        <v>4347</v>
      </c>
      <c r="AN2" s="103" t="s">
        <v>4348</v>
      </c>
      <c r="AZ2" s="101"/>
      <c r="BA2" s="99"/>
      <c r="BB2" s="99"/>
      <c r="BC2" s="99"/>
    </row>
    <row r="3" spans="1:65" ht="22.5" hidden="1" customHeight="1">
      <c r="G3" s="99" t="s">
        <v>4349</v>
      </c>
      <c r="H3" s="102" t="s">
        <v>4350</v>
      </c>
      <c r="I3" s="136" t="s">
        <v>4351</v>
      </c>
      <c r="J3" s="135"/>
      <c r="N3" s="136" t="s">
        <v>4352</v>
      </c>
      <c r="O3" s="101"/>
      <c r="X3" s="99"/>
      <c r="Z3" s="101"/>
      <c r="AG3" s="197"/>
      <c r="AH3" s="198"/>
      <c r="AI3" s="103" t="s">
        <v>4353</v>
      </c>
      <c r="AJ3" s="99" t="s">
        <v>4354</v>
      </c>
      <c r="AK3" s="103"/>
      <c r="AL3" s="103" t="s">
        <v>4338</v>
      </c>
      <c r="AM3" s="103" t="s">
        <v>4355</v>
      </c>
      <c r="AN3" s="103" t="s">
        <v>4356</v>
      </c>
      <c r="AZ3" s="101"/>
      <c r="BA3" s="99"/>
      <c r="BB3" s="99"/>
      <c r="BC3" s="99"/>
    </row>
    <row r="4" spans="1:65" ht="16.5" hidden="1" customHeight="1">
      <c r="G4" s="99" t="s">
        <v>4357</v>
      </c>
      <c r="I4" s="136" t="s">
        <v>4358</v>
      </c>
      <c r="J4" s="135"/>
      <c r="N4" s="99" t="s">
        <v>4359</v>
      </c>
      <c r="O4" s="101"/>
      <c r="X4" s="99"/>
      <c r="Z4" s="101"/>
      <c r="AG4" s="197"/>
      <c r="AH4" s="198"/>
      <c r="AI4" s="103" t="s">
        <v>4360</v>
      </c>
      <c r="AJ4" s="99" t="s">
        <v>4347</v>
      </c>
      <c r="AK4" s="103"/>
      <c r="AL4" s="103" t="s">
        <v>4361</v>
      </c>
      <c r="AM4" s="103"/>
      <c r="AN4" s="103" t="s">
        <v>4362</v>
      </c>
      <c r="AZ4" s="101"/>
      <c r="BA4" s="99"/>
      <c r="BB4" s="99"/>
      <c r="BC4" s="99"/>
    </row>
    <row r="5" spans="1:65" ht="30" hidden="1" customHeight="1">
      <c r="J5" s="135"/>
      <c r="N5" s="99" t="s">
        <v>4363</v>
      </c>
      <c r="O5" s="101"/>
      <c r="X5" s="99"/>
      <c r="Z5" s="101"/>
      <c r="AG5" s="197"/>
      <c r="AH5" s="198"/>
      <c r="AI5" s="103"/>
      <c r="AK5" s="103"/>
      <c r="AL5" s="103" t="s">
        <v>4355</v>
      </c>
      <c r="AM5" s="103"/>
      <c r="AN5" s="103" t="s">
        <v>4364</v>
      </c>
      <c r="AZ5" s="101"/>
      <c r="BA5" s="99"/>
      <c r="BB5" s="99"/>
      <c r="BC5" s="99"/>
    </row>
    <row r="6" spans="1:65" ht="25.5" hidden="1" customHeight="1">
      <c r="O6" s="101"/>
      <c r="X6" s="99"/>
      <c r="Z6" s="101"/>
      <c r="AG6" s="199"/>
      <c r="AH6" s="199"/>
      <c r="AI6" s="98"/>
      <c r="AK6" s="98"/>
      <c r="AL6" s="103"/>
      <c r="AM6" s="103"/>
      <c r="AN6" s="103" t="s">
        <v>4355</v>
      </c>
      <c r="AZ6" s="101"/>
      <c r="BA6" s="99"/>
      <c r="BB6" s="99"/>
      <c r="BC6" s="99"/>
    </row>
    <row r="7" spans="1:65" ht="30" hidden="1" customHeight="1">
      <c r="O7" s="101"/>
      <c r="X7" s="99"/>
      <c r="Z7" s="101"/>
      <c r="AG7" s="200"/>
      <c r="AH7" s="200"/>
      <c r="AI7" s="98"/>
      <c r="AK7" s="98"/>
      <c r="AL7" s="98"/>
      <c r="AM7" s="98"/>
      <c r="AN7" s="98"/>
      <c r="AZ7" s="101"/>
      <c r="BA7" s="99"/>
      <c r="BB7" s="99"/>
      <c r="BC7" s="99"/>
    </row>
    <row r="8" spans="1:65" s="180" customFormat="1" ht="30" customHeight="1">
      <c r="A8" s="212" t="s">
        <v>4365</v>
      </c>
      <c r="B8" s="213"/>
      <c r="C8" s="213"/>
      <c r="D8" s="213"/>
      <c r="E8" s="213"/>
      <c r="F8" s="213"/>
      <c r="G8" s="213"/>
      <c r="H8" s="213"/>
      <c r="I8" s="213"/>
      <c r="J8" s="214"/>
      <c r="K8" s="213"/>
      <c r="L8" s="213"/>
      <c r="M8" s="213"/>
      <c r="N8" s="213"/>
      <c r="O8" s="215"/>
      <c r="P8" s="208" t="s">
        <v>4366</v>
      </c>
      <c r="Q8" s="208"/>
      <c r="R8" s="208"/>
      <c r="S8" s="208"/>
      <c r="T8" s="208"/>
      <c r="U8" s="209"/>
      <c r="V8" s="208"/>
      <c r="W8" s="208"/>
      <c r="X8" s="210"/>
      <c r="Y8" s="209"/>
      <c r="Z8" s="208"/>
      <c r="AA8" s="211"/>
      <c r="AB8" s="141" t="s">
        <v>4367</v>
      </c>
      <c r="AC8" s="141"/>
      <c r="AD8" s="141"/>
      <c r="AE8" s="141"/>
      <c r="AF8" s="141"/>
      <c r="AG8" s="201"/>
      <c r="AH8" s="201"/>
      <c r="AI8" s="179"/>
      <c r="AJ8" s="141"/>
      <c r="AK8" s="141"/>
      <c r="AL8" s="141"/>
      <c r="AM8" s="141"/>
      <c r="AN8" s="141"/>
      <c r="AO8" s="141"/>
      <c r="AP8" s="146"/>
      <c r="AQ8" s="146"/>
      <c r="AR8" s="141"/>
      <c r="AS8" s="141"/>
      <c r="AT8" s="141"/>
      <c r="AU8" s="141"/>
      <c r="AV8" s="141"/>
      <c r="AW8" s="141"/>
      <c r="AX8" s="141"/>
      <c r="AY8" s="142"/>
      <c r="AZ8" s="142"/>
      <c r="BA8" s="141"/>
      <c r="BB8" s="216" t="s">
        <v>4368</v>
      </c>
      <c r="BC8" s="217"/>
      <c r="BD8" s="206"/>
      <c r="BE8" s="207"/>
      <c r="BF8" s="207"/>
      <c r="BG8" s="207"/>
      <c r="BH8" s="207"/>
      <c r="BI8" s="207"/>
      <c r="BJ8" s="207"/>
      <c r="BK8" s="207"/>
      <c r="BL8" s="207"/>
      <c r="BM8" s="207"/>
    </row>
    <row r="9" spans="1:65" s="100" customFormat="1" ht="38.25" customHeight="1">
      <c r="A9" s="163" t="s">
        <v>4369</v>
      </c>
      <c r="B9" s="162" t="s">
        <v>4370</v>
      </c>
      <c r="C9" s="162" t="s">
        <v>4371</v>
      </c>
      <c r="D9" s="162" t="s">
        <v>4372</v>
      </c>
      <c r="E9" s="162" t="s">
        <v>4373</v>
      </c>
      <c r="F9" s="165" t="s">
        <v>4374</v>
      </c>
      <c r="G9" s="162" t="s">
        <v>4375</v>
      </c>
      <c r="H9" s="162" t="s">
        <v>4376</v>
      </c>
      <c r="I9" s="162" t="s">
        <v>4377</v>
      </c>
      <c r="J9" s="161" t="s">
        <v>102</v>
      </c>
      <c r="K9" s="161" t="s">
        <v>4378</v>
      </c>
      <c r="L9" s="161" t="s">
        <v>103</v>
      </c>
      <c r="M9" s="161" t="s">
        <v>4379</v>
      </c>
      <c r="N9" s="161" t="s">
        <v>4380</v>
      </c>
      <c r="O9" s="160" t="s">
        <v>4381</v>
      </c>
      <c r="P9" s="158" t="s">
        <v>4382</v>
      </c>
      <c r="Q9" s="158" t="s">
        <v>4383</v>
      </c>
      <c r="R9" s="158" t="s">
        <v>4384</v>
      </c>
      <c r="S9" s="158" t="s">
        <v>4385</v>
      </c>
      <c r="T9" s="158" t="s">
        <v>4386</v>
      </c>
      <c r="U9" s="158" t="s">
        <v>4387</v>
      </c>
      <c r="V9" s="158" t="s">
        <v>4388</v>
      </c>
      <c r="W9" s="158" t="s">
        <v>4389</v>
      </c>
      <c r="X9" s="159" t="s">
        <v>4390</v>
      </c>
      <c r="Y9" s="158" t="s">
        <v>4391</v>
      </c>
      <c r="Z9" s="158" t="s">
        <v>4392</v>
      </c>
      <c r="AA9" s="157" t="s">
        <v>4393</v>
      </c>
      <c r="AB9" s="154" t="s">
        <v>4394</v>
      </c>
      <c r="AC9" s="154" t="s">
        <v>4378</v>
      </c>
      <c r="AD9" s="154" t="s">
        <v>103</v>
      </c>
      <c r="AE9" s="156" t="s">
        <v>4395</v>
      </c>
      <c r="AF9" s="154" t="s">
        <v>4396</v>
      </c>
      <c r="AG9" s="202" t="s">
        <v>4397</v>
      </c>
      <c r="AH9" s="202" t="s">
        <v>4398</v>
      </c>
      <c r="AI9" s="196" t="s">
        <v>4399</v>
      </c>
      <c r="AJ9" s="156" t="s">
        <v>4400</v>
      </c>
      <c r="AK9" s="156" t="s">
        <v>4401</v>
      </c>
      <c r="AL9" s="156" t="s">
        <v>4402</v>
      </c>
      <c r="AM9" s="156" t="s">
        <v>4403</v>
      </c>
      <c r="AN9" s="156" t="s">
        <v>4404</v>
      </c>
      <c r="AO9" s="154" t="s">
        <v>4405</v>
      </c>
      <c r="AP9" s="154" t="s">
        <v>4406</v>
      </c>
      <c r="AQ9" s="154" t="s">
        <v>4385</v>
      </c>
      <c r="AR9" s="154" t="s">
        <v>4407</v>
      </c>
      <c r="AS9" s="154" t="s">
        <v>4408</v>
      </c>
      <c r="AT9" s="154" t="s">
        <v>4409</v>
      </c>
      <c r="AU9" s="154" t="s">
        <v>4410</v>
      </c>
      <c r="AV9" s="154" t="s">
        <v>4411</v>
      </c>
      <c r="AW9" s="154" t="s">
        <v>4412</v>
      </c>
      <c r="AX9" s="154" t="s">
        <v>4390</v>
      </c>
      <c r="AY9" s="155" t="s">
        <v>4413</v>
      </c>
      <c r="AZ9" s="155" t="s">
        <v>4414</v>
      </c>
      <c r="BA9" s="154" t="s">
        <v>4415</v>
      </c>
      <c r="BB9" s="153" t="s">
        <v>4416</v>
      </c>
      <c r="BC9" s="153" t="s">
        <v>4417</v>
      </c>
      <c r="BD9" s="149" t="s">
        <v>4418</v>
      </c>
      <c r="BE9" s="149" t="s">
        <v>4419</v>
      </c>
      <c r="BF9" s="149" t="s">
        <v>4420</v>
      </c>
      <c r="BG9" s="152" t="s">
        <v>4421</v>
      </c>
      <c r="BH9" s="151" t="s">
        <v>4422</v>
      </c>
      <c r="BI9" s="150" t="s">
        <v>4423</v>
      </c>
      <c r="BJ9" s="149" t="s">
        <v>4409</v>
      </c>
      <c r="BK9" s="150" t="s">
        <v>4424</v>
      </c>
      <c r="BL9" s="149" t="s">
        <v>4425</v>
      </c>
      <c r="BM9" s="182" t="s">
        <v>4426</v>
      </c>
    </row>
    <row r="10" spans="1:65" s="181" customFormat="1" ht="29.25" customHeight="1">
      <c r="A10" s="144">
        <v>1</v>
      </c>
      <c r="B10" s="144" t="s">
        <v>4427</v>
      </c>
      <c r="C10" s="194" t="s">
        <v>4329</v>
      </c>
      <c r="D10" s="194" t="s">
        <v>4329</v>
      </c>
      <c r="E10" s="144" t="s">
        <v>4329</v>
      </c>
      <c r="F10" s="148" t="s">
        <v>4428</v>
      </c>
      <c r="G10" s="144" t="s">
        <v>4330</v>
      </c>
      <c r="H10" s="144" t="s">
        <v>4331</v>
      </c>
      <c r="I10" s="147" t="s">
        <v>4342</v>
      </c>
      <c r="J10" s="170" t="s">
        <v>4429</v>
      </c>
      <c r="K10" s="148" t="s">
        <v>4430</v>
      </c>
      <c r="L10" s="148" t="s">
        <v>4431</v>
      </c>
      <c r="M10" s="144" t="s">
        <v>4333</v>
      </c>
      <c r="N10" s="144" t="s">
        <v>4334</v>
      </c>
      <c r="O10" s="134">
        <v>46248</v>
      </c>
      <c r="P10" s="104" t="s">
        <v>4354</v>
      </c>
      <c r="Q10" s="107" t="s">
        <v>4354</v>
      </c>
      <c r="R10" s="107" t="s">
        <v>4354</v>
      </c>
      <c r="S10" s="107" t="s">
        <v>4354</v>
      </c>
      <c r="T10" s="107" t="s">
        <v>4354</v>
      </c>
      <c r="U10" s="107" t="s">
        <v>4354</v>
      </c>
      <c r="V10" s="107" t="s">
        <v>4354</v>
      </c>
      <c r="W10" s="107" t="s">
        <v>4354</v>
      </c>
      <c r="X10" s="104" t="s">
        <v>4354</v>
      </c>
      <c r="Y10" s="104" t="s">
        <v>4354</v>
      </c>
      <c r="Z10" s="104" t="s">
        <v>4354</v>
      </c>
      <c r="AA10" s="144" t="s">
        <v>4354</v>
      </c>
      <c r="AB10" s="170" t="s">
        <v>4432</v>
      </c>
      <c r="AC10" s="170" t="s">
        <v>4433</v>
      </c>
      <c r="AD10" s="170" t="s">
        <v>4431</v>
      </c>
      <c r="AE10" s="172" t="s">
        <v>4342</v>
      </c>
      <c r="AF10" s="172" t="s">
        <v>4333</v>
      </c>
      <c r="AG10" s="203">
        <v>152462.76</v>
      </c>
      <c r="AH10" s="203">
        <v>152562.76</v>
      </c>
      <c r="AI10" s="172" t="s">
        <v>4336</v>
      </c>
      <c r="AJ10" s="148" t="s">
        <v>4434</v>
      </c>
      <c r="AK10" s="144">
        <v>159356863</v>
      </c>
      <c r="AL10" s="144"/>
      <c r="AM10" s="144"/>
      <c r="AN10" s="144"/>
      <c r="AO10" s="144"/>
      <c r="AP10" s="166"/>
      <c r="AQ10" s="144"/>
      <c r="AR10" s="144"/>
      <c r="AS10" s="103"/>
      <c r="AT10" s="144"/>
      <c r="AU10" s="134"/>
      <c r="AV10" s="144"/>
      <c r="AW10" s="144"/>
      <c r="AX10" s="134"/>
      <c r="AY10" s="145"/>
      <c r="AZ10" s="173"/>
      <c r="BA10" s="144"/>
      <c r="BB10" s="167"/>
      <c r="BC10" s="178" t="str">
        <f>IF(AY10-KD10=0,"",AY10-O10)</f>
        <v/>
      </c>
      <c r="BD10" s="103" t="str">
        <f>IF(AND(AI10&lt;&gt;"SIM",AI10="UH"),"AA","INDENIZAÇÃO")</f>
        <v>INDENIZAÇÃO</v>
      </c>
      <c r="BE10" s="103" t="str">
        <f>IF(AND(AY10&lt;&gt;"AGUARDANDO",AY10&lt;&gt;"",N10="AUXÍLIO ALUGUEL ATÉ INDENIZAÇÃO"),"SIM","NÃO")</f>
        <v>NÃO</v>
      </c>
      <c r="BF10" s="168"/>
      <c r="BG10" s="168"/>
      <c r="BH10" s="168"/>
      <c r="BI10" s="168"/>
      <c r="BJ10" s="168"/>
      <c r="BK10" s="168"/>
      <c r="BL10" s="168"/>
      <c r="BM10" s="168"/>
    </row>
    <row r="11" spans="1:65" ht="30" customHeight="1">
      <c r="A11" s="144">
        <v>2</v>
      </c>
      <c r="B11" s="144" t="s">
        <v>4427</v>
      </c>
      <c r="C11" s="194" t="s">
        <v>4329</v>
      </c>
      <c r="D11" s="194" t="s">
        <v>4329</v>
      </c>
      <c r="E11" s="144" t="s">
        <v>4329</v>
      </c>
      <c r="F11" s="148" t="s">
        <v>4435</v>
      </c>
      <c r="G11" s="144" t="s">
        <v>4330</v>
      </c>
      <c r="H11" s="144" t="s">
        <v>4331</v>
      </c>
      <c r="I11" s="147" t="s">
        <v>4342</v>
      </c>
      <c r="J11" s="170" t="s">
        <v>4436</v>
      </c>
      <c r="K11" s="148" t="s">
        <v>4437</v>
      </c>
      <c r="L11" s="148" t="s">
        <v>4438</v>
      </c>
      <c r="M11" s="144" t="s">
        <v>4333</v>
      </c>
      <c r="N11" s="144" t="s">
        <v>4334</v>
      </c>
      <c r="O11" s="134">
        <v>46248</v>
      </c>
      <c r="P11" s="104" t="s">
        <v>4354</v>
      </c>
      <c r="Q11" s="107" t="s">
        <v>4354</v>
      </c>
      <c r="R11" s="107" t="s">
        <v>4354</v>
      </c>
      <c r="S11" s="107" t="s">
        <v>4354</v>
      </c>
      <c r="T11" s="107" t="s">
        <v>4354</v>
      </c>
      <c r="U11" s="107" t="s">
        <v>4354</v>
      </c>
      <c r="V11" s="107" t="s">
        <v>4354</v>
      </c>
      <c r="W11" s="107" t="s">
        <v>4354</v>
      </c>
      <c r="X11" s="104" t="s">
        <v>4354</v>
      </c>
      <c r="Y11" s="104" t="s">
        <v>4354</v>
      </c>
      <c r="Z11" s="104" t="s">
        <v>4354</v>
      </c>
      <c r="AA11" s="144" t="s">
        <v>4354</v>
      </c>
      <c r="AB11" s="170" t="s">
        <v>4436</v>
      </c>
      <c r="AC11" s="148" t="s">
        <v>4437</v>
      </c>
      <c r="AD11" s="148" t="s">
        <v>4438</v>
      </c>
      <c r="AE11" s="172" t="s">
        <v>4342</v>
      </c>
      <c r="AF11" s="172" t="s">
        <v>4333</v>
      </c>
      <c r="AG11" s="203">
        <v>80881.460000000006</v>
      </c>
      <c r="AH11" s="203">
        <v>80881.460000000006</v>
      </c>
      <c r="AI11" s="172" t="s">
        <v>4336</v>
      </c>
      <c r="AJ11" s="148" t="s">
        <v>4434</v>
      </c>
      <c r="AK11" s="144">
        <v>159357668</v>
      </c>
      <c r="AL11" s="144"/>
      <c r="AM11" s="144"/>
      <c r="AN11" s="144"/>
      <c r="AO11" s="144"/>
      <c r="AP11" s="166"/>
      <c r="AQ11" s="144"/>
      <c r="AR11" s="144"/>
      <c r="AS11" s="103"/>
      <c r="AT11" s="144"/>
      <c r="AU11" s="134"/>
      <c r="AV11" s="144"/>
      <c r="AW11" s="144"/>
      <c r="AX11" s="134"/>
      <c r="AY11" s="145"/>
      <c r="AZ11" s="173"/>
      <c r="BA11" s="144"/>
      <c r="BB11" s="167"/>
      <c r="BC11" s="178" t="str">
        <f>IF(AY11-KD11=0,"",AY11-O11)</f>
        <v/>
      </c>
      <c r="BD11" s="103" t="str">
        <f>IF(AND(AI11&lt;&gt;"SIM",AI11="UH"),"AA","INDENIZAÇÃO")</f>
        <v>INDENIZAÇÃO</v>
      </c>
      <c r="BE11" s="103" t="str">
        <f>IF(AND(AY11&lt;&gt;"AGUARDANDO",AY11&lt;&gt;"",N11="AUXÍLIO ALUGUEL ATÉ INDENIZAÇÃO"),"SIM","NÃO")</f>
        <v>NÃO</v>
      </c>
      <c r="BF11" s="168"/>
      <c r="BG11" s="168"/>
      <c r="BH11" s="168"/>
      <c r="BI11" s="168"/>
      <c r="BJ11" s="168"/>
      <c r="BK11" s="168"/>
      <c r="BL11" s="168"/>
      <c r="BM11" s="168"/>
    </row>
    <row r="12" spans="1:65" ht="30" customHeight="1">
      <c r="A12" s="144">
        <v>3</v>
      </c>
      <c r="B12" s="144" t="s">
        <v>4427</v>
      </c>
      <c r="C12" s="194" t="s">
        <v>4329</v>
      </c>
      <c r="D12" s="194" t="s">
        <v>4329</v>
      </c>
      <c r="E12" s="144" t="s">
        <v>4329</v>
      </c>
      <c r="F12" s="148" t="s">
        <v>4439</v>
      </c>
      <c r="G12" s="144"/>
      <c r="H12" s="144"/>
      <c r="I12" s="147"/>
      <c r="J12" s="170" t="s">
        <v>4440</v>
      </c>
      <c r="K12" s="148" t="s">
        <v>4441</v>
      </c>
      <c r="L12" s="148" t="s">
        <v>4442</v>
      </c>
      <c r="M12" s="144"/>
      <c r="N12" s="144"/>
      <c r="O12" s="134"/>
      <c r="P12" s="104"/>
      <c r="Q12" s="107"/>
      <c r="R12" s="107"/>
      <c r="S12" s="107"/>
      <c r="T12" s="107"/>
      <c r="U12" s="107"/>
      <c r="V12" s="107"/>
      <c r="W12" s="107"/>
      <c r="X12" s="104"/>
      <c r="Y12" s="104"/>
      <c r="Z12" s="104"/>
      <c r="AA12" s="144"/>
      <c r="AB12" s="170"/>
      <c r="AC12" s="170"/>
      <c r="AD12" s="170"/>
      <c r="AE12" s="172"/>
      <c r="AF12" s="172"/>
      <c r="AG12" s="203"/>
      <c r="AH12" s="203"/>
      <c r="AI12" s="172"/>
      <c r="AJ12" s="148"/>
      <c r="AK12" s="144"/>
      <c r="AL12" s="144"/>
      <c r="AM12" s="144"/>
      <c r="AN12" s="144"/>
      <c r="AO12" s="144"/>
      <c r="AP12" s="166"/>
      <c r="AQ12" s="144"/>
      <c r="AR12" s="144"/>
      <c r="AS12" s="103"/>
      <c r="AT12" s="144"/>
      <c r="AU12" s="134"/>
      <c r="AV12" s="144"/>
      <c r="AW12" s="144"/>
      <c r="AX12" s="134"/>
      <c r="AY12" s="145"/>
      <c r="AZ12" s="173"/>
      <c r="BA12" s="144"/>
      <c r="BB12" s="167"/>
      <c r="BC12" s="178" t="str">
        <f>IF(AY12-KD12=0,"",AY12-O12)</f>
        <v/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68"/>
      <c r="BG12" s="168"/>
      <c r="BH12" s="168"/>
      <c r="BI12" s="168"/>
      <c r="BJ12" s="168"/>
      <c r="BK12" s="168"/>
      <c r="BL12" s="168"/>
      <c r="BM12" s="168"/>
    </row>
    <row r="13" spans="1:65" ht="30" customHeight="1">
      <c r="A13" s="144"/>
      <c r="B13" s="144" t="s">
        <v>4427</v>
      </c>
      <c r="C13" s="194" t="s">
        <v>4329</v>
      </c>
      <c r="D13" s="194" t="s">
        <v>4329</v>
      </c>
      <c r="E13" s="144" t="s">
        <v>4329</v>
      </c>
      <c r="F13" s="148" t="s">
        <v>4443</v>
      </c>
      <c r="G13" s="144"/>
      <c r="H13" s="144"/>
      <c r="I13" s="147"/>
      <c r="J13" s="170" t="s">
        <v>4444</v>
      </c>
      <c r="K13" s="148" t="s">
        <v>4445</v>
      </c>
      <c r="L13" s="148" t="s">
        <v>4446</v>
      </c>
      <c r="M13" s="144" t="s">
        <v>4333</v>
      </c>
      <c r="N13" s="144" t="s">
        <v>4334</v>
      </c>
      <c r="O13" s="134">
        <v>46248</v>
      </c>
      <c r="P13" s="104" t="s">
        <v>4354</v>
      </c>
      <c r="Q13" s="104" t="s">
        <v>4354</v>
      </c>
      <c r="R13" s="104" t="s">
        <v>4354</v>
      </c>
      <c r="S13" s="104" t="s">
        <v>4354</v>
      </c>
      <c r="T13" s="104" t="s">
        <v>4354</v>
      </c>
      <c r="U13" s="104" t="s">
        <v>4354</v>
      </c>
      <c r="V13" s="104" t="s">
        <v>4354</v>
      </c>
      <c r="W13" s="104" t="s">
        <v>4354</v>
      </c>
      <c r="X13" s="104" t="s">
        <v>4354</v>
      </c>
      <c r="Y13" s="104" t="s">
        <v>4354</v>
      </c>
      <c r="Z13" s="104" t="s">
        <v>4354</v>
      </c>
      <c r="AA13" s="104" t="s">
        <v>4354</v>
      </c>
      <c r="AB13" s="170" t="s">
        <v>4444</v>
      </c>
      <c r="AC13" s="170" t="s">
        <v>4445</v>
      </c>
      <c r="AD13" s="170" t="s">
        <v>4446</v>
      </c>
      <c r="AE13" s="172"/>
      <c r="AF13" s="172" t="s">
        <v>4447</v>
      </c>
      <c r="AG13" s="203">
        <v>143738.48000000001</v>
      </c>
      <c r="AH13" s="203">
        <v>143738.48000000001</v>
      </c>
      <c r="AI13" s="172" t="s">
        <v>4336</v>
      </c>
      <c r="AJ13" s="148" t="s">
        <v>4434</v>
      </c>
      <c r="AK13" s="144"/>
      <c r="AL13" s="144"/>
      <c r="AM13" s="144"/>
      <c r="AN13" s="144"/>
      <c r="AO13" s="144"/>
      <c r="AP13" s="166"/>
      <c r="AQ13" s="144"/>
      <c r="AR13" s="144"/>
      <c r="AS13" s="103"/>
      <c r="AT13" s="144"/>
      <c r="AU13" s="134"/>
      <c r="AV13" s="144"/>
      <c r="AW13" s="144"/>
      <c r="AX13" s="134"/>
      <c r="AY13" s="145"/>
      <c r="AZ13" s="173"/>
      <c r="BA13" s="144"/>
      <c r="BB13" s="167"/>
      <c r="BC13" s="178"/>
      <c r="BD13" s="103"/>
      <c r="BE13" s="103"/>
      <c r="BF13" s="168"/>
      <c r="BG13" s="168"/>
      <c r="BH13" s="168"/>
      <c r="BI13" s="168"/>
      <c r="BJ13" s="168"/>
      <c r="BK13" s="168"/>
      <c r="BL13" s="168"/>
      <c r="BM13" s="168"/>
    </row>
    <row r="14" spans="1:65" ht="30" customHeight="1">
      <c r="A14" s="144">
        <v>4</v>
      </c>
      <c r="B14" s="144" t="s">
        <v>4427</v>
      </c>
      <c r="C14" s="194" t="s">
        <v>4329</v>
      </c>
      <c r="D14" s="194" t="s">
        <v>4329</v>
      </c>
      <c r="E14" s="144" t="s">
        <v>4329</v>
      </c>
      <c r="F14" s="148" t="s">
        <v>4448</v>
      </c>
      <c r="G14" s="144" t="s">
        <v>4330</v>
      </c>
      <c r="H14" s="144" t="s">
        <v>4331</v>
      </c>
      <c r="I14" s="147" t="s">
        <v>4351</v>
      </c>
      <c r="J14" s="170" t="s">
        <v>4449</v>
      </c>
      <c r="K14" s="170" t="s">
        <v>4450</v>
      </c>
      <c r="L14" s="170" t="s">
        <v>4451</v>
      </c>
      <c r="M14" s="144" t="s">
        <v>4333</v>
      </c>
      <c r="N14" s="144" t="s">
        <v>4334</v>
      </c>
      <c r="O14" s="104">
        <v>46253</v>
      </c>
      <c r="P14" s="104"/>
      <c r="Q14" s="107"/>
      <c r="R14" s="107"/>
      <c r="S14" s="107"/>
      <c r="T14" s="107"/>
      <c r="U14" s="107"/>
      <c r="V14" s="107"/>
      <c r="W14" s="107"/>
      <c r="X14" s="104"/>
      <c r="Y14" s="104"/>
      <c r="Z14" s="104"/>
      <c r="AA14" s="144"/>
      <c r="AB14" s="170" t="s">
        <v>4452</v>
      </c>
      <c r="AC14" s="148" t="s">
        <v>4453</v>
      </c>
      <c r="AD14" s="148" t="s">
        <v>4454</v>
      </c>
      <c r="AE14" s="172" t="s">
        <v>4332</v>
      </c>
      <c r="AF14" s="172" t="s">
        <v>4455</v>
      </c>
      <c r="AG14" s="203">
        <v>72535.66</v>
      </c>
      <c r="AH14" s="203">
        <v>72535.66</v>
      </c>
      <c r="AI14" s="172" t="s">
        <v>4336</v>
      </c>
      <c r="AJ14" s="148" t="s">
        <v>4434</v>
      </c>
      <c r="AK14" s="144">
        <v>159359758</v>
      </c>
      <c r="AL14" s="144"/>
      <c r="AM14" s="144"/>
      <c r="AN14" s="144"/>
      <c r="AO14" s="144"/>
      <c r="AP14" s="166"/>
      <c r="AQ14" s="144"/>
      <c r="AR14" s="144"/>
      <c r="AS14" s="103"/>
      <c r="AT14" s="144"/>
      <c r="AU14" s="134"/>
      <c r="AV14" s="144"/>
      <c r="AW14" s="144"/>
      <c r="AX14" s="134"/>
      <c r="AY14" s="145"/>
      <c r="AZ14" s="173"/>
      <c r="BA14" s="144"/>
      <c r="BB14" s="167"/>
      <c r="BC14" s="178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68"/>
      <c r="BG14" s="168"/>
      <c r="BH14" s="168"/>
      <c r="BI14" s="168"/>
      <c r="BJ14" s="168"/>
      <c r="BK14" s="168"/>
      <c r="BL14" s="168"/>
      <c r="BM14" s="168"/>
    </row>
    <row r="15" spans="1:65" ht="30" customHeight="1">
      <c r="A15" s="144">
        <v>5</v>
      </c>
      <c r="B15" s="144" t="s">
        <v>4427</v>
      </c>
      <c r="C15" s="194" t="s">
        <v>4329</v>
      </c>
      <c r="D15" s="194" t="s">
        <v>4329</v>
      </c>
      <c r="E15" s="144" t="s">
        <v>4329</v>
      </c>
      <c r="F15" s="148" t="s">
        <v>4456</v>
      </c>
      <c r="G15" s="144" t="s">
        <v>4330</v>
      </c>
      <c r="H15" s="144" t="s">
        <v>4331</v>
      </c>
      <c r="I15" s="147" t="s">
        <v>4351</v>
      </c>
      <c r="J15" s="170" t="s">
        <v>4457</v>
      </c>
      <c r="K15" s="148" t="s">
        <v>4458</v>
      </c>
      <c r="L15" s="148" t="s">
        <v>4459</v>
      </c>
      <c r="M15" s="144"/>
      <c r="N15" s="144"/>
      <c r="O15" s="134"/>
      <c r="P15" s="104"/>
      <c r="Q15" s="107"/>
      <c r="R15" s="107"/>
      <c r="S15" s="107"/>
      <c r="T15" s="107"/>
      <c r="U15" s="107"/>
      <c r="V15" s="107"/>
      <c r="W15" s="107"/>
      <c r="X15" s="104"/>
      <c r="Y15" s="104"/>
      <c r="Z15" s="104"/>
      <c r="AA15" s="144"/>
      <c r="AB15" s="170" t="s">
        <v>4460</v>
      </c>
      <c r="AC15" s="148" t="s">
        <v>4461</v>
      </c>
      <c r="AD15" s="148" t="s">
        <v>4462</v>
      </c>
      <c r="AE15" s="172" t="s">
        <v>4332</v>
      </c>
      <c r="AF15" s="172" t="s">
        <v>4455</v>
      </c>
      <c r="AG15" s="203">
        <v>199457.84</v>
      </c>
      <c r="AH15" s="203">
        <v>199457.84</v>
      </c>
      <c r="AI15" s="172" t="s">
        <v>4336</v>
      </c>
      <c r="AJ15" s="148" t="s">
        <v>4434</v>
      </c>
      <c r="AK15" s="144">
        <v>159360097</v>
      </c>
      <c r="AL15" s="144"/>
      <c r="AM15" s="144"/>
      <c r="AN15" s="144"/>
      <c r="AO15" s="144"/>
      <c r="AP15" s="166"/>
      <c r="AQ15" s="144"/>
      <c r="AR15" s="144"/>
      <c r="AS15" s="103"/>
      <c r="AT15" s="144"/>
      <c r="AU15" s="134"/>
      <c r="AV15" s="144"/>
      <c r="AW15" s="144"/>
      <c r="AX15" s="134"/>
      <c r="AY15" s="145"/>
      <c r="AZ15" s="173"/>
      <c r="BA15" s="144"/>
      <c r="BB15" s="167"/>
      <c r="BC15" s="178" t="str">
        <f>IF(AY15-KD15=0,"",AY15-O15)</f>
        <v/>
      </c>
      <c r="BD15" s="103" t="str">
        <f>IF(AND(AI15&lt;&gt;"SIM",AI15="UH"),"AA","INDENIZAÇÃO")</f>
        <v>INDENIZAÇÃO</v>
      </c>
      <c r="BE15" s="103" t="str">
        <f>IF(AND(AY15&lt;&gt;"AGUARDANDO",AY15&lt;&gt;"",N15="AUXÍLIO ALUGUEL ATÉ INDENIZAÇÃO"),"SIM","NÃO")</f>
        <v>NÃO</v>
      </c>
      <c r="BF15" s="168"/>
      <c r="BG15" s="168"/>
      <c r="BH15" s="168"/>
      <c r="BI15" s="168"/>
      <c r="BJ15" s="168"/>
      <c r="BK15" s="168"/>
      <c r="BL15" s="168"/>
      <c r="BM15" s="168"/>
    </row>
    <row r="16" spans="1:65" ht="30" customHeight="1">
      <c r="A16" s="144">
        <v>7</v>
      </c>
      <c r="B16" s="144" t="s">
        <v>4427</v>
      </c>
      <c r="C16" s="194" t="s">
        <v>4329</v>
      </c>
      <c r="D16" s="194" t="s">
        <v>4329</v>
      </c>
      <c r="E16" s="144" t="s">
        <v>4329</v>
      </c>
      <c r="F16" s="148" t="s">
        <v>4463</v>
      </c>
      <c r="G16" s="144"/>
      <c r="H16" s="144"/>
      <c r="I16" s="147"/>
      <c r="J16" s="170" t="s">
        <v>4464</v>
      </c>
      <c r="K16" s="148" t="s">
        <v>4465</v>
      </c>
      <c r="L16" s="148" t="s">
        <v>4466</v>
      </c>
      <c r="M16" s="144" t="s">
        <v>4333</v>
      </c>
      <c r="N16" s="144" t="s">
        <v>4334</v>
      </c>
      <c r="O16" s="134">
        <v>46253</v>
      </c>
      <c r="P16" s="104" t="s">
        <v>4354</v>
      </c>
      <c r="Q16" s="104" t="s">
        <v>4354</v>
      </c>
      <c r="R16" s="104" t="s">
        <v>4354</v>
      </c>
      <c r="S16" s="104" t="s">
        <v>4354</v>
      </c>
      <c r="T16" s="104" t="s">
        <v>4354</v>
      </c>
      <c r="U16" s="104" t="s">
        <v>4354</v>
      </c>
      <c r="V16" s="104" t="s">
        <v>4354</v>
      </c>
      <c r="W16" s="104" t="s">
        <v>4354</v>
      </c>
      <c r="X16" s="104" t="s">
        <v>4354</v>
      </c>
      <c r="Y16" s="104" t="s">
        <v>4354</v>
      </c>
      <c r="Z16" s="104" t="s">
        <v>4354</v>
      </c>
      <c r="AA16" s="104" t="s">
        <v>4354</v>
      </c>
      <c r="AB16" s="170" t="s">
        <v>4464</v>
      </c>
      <c r="AC16" s="148" t="s">
        <v>4465</v>
      </c>
      <c r="AD16" s="148" t="s">
        <v>4466</v>
      </c>
      <c r="AE16" s="172"/>
      <c r="AF16" s="172" t="s">
        <v>4333</v>
      </c>
      <c r="AG16" s="203">
        <v>133305.54999999999</v>
      </c>
      <c r="AH16" s="203">
        <v>133305.54999999999</v>
      </c>
      <c r="AI16" s="172" t="s">
        <v>4336</v>
      </c>
      <c r="AJ16" s="148" t="s">
        <v>4434</v>
      </c>
      <c r="AK16" s="144"/>
      <c r="AL16" s="144"/>
      <c r="AM16" s="144"/>
      <c r="AN16" s="144"/>
      <c r="AO16" s="144"/>
      <c r="AP16" s="166"/>
      <c r="AQ16" s="144"/>
      <c r="AR16" s="144"/>
      <c r="AS16" s="103"/>
      <c r="AT16" s="144"/>
      <c r="AU16" s="134"/>
      <c r="AV16" s="144"/>
      <c r="AW16" s="144"/>
      <c r="AX16" s="134"/>
      <c r="AY16" s="145"/>
      <c r="AZ16" s="173"/>
      <c r="BA16" s="144"/>
      <c r="BB16" s="167"/>
      <c r="BC16" s="178" t="str">
        <f>IF(AY16-KD16=0,"",AY16-O16)</f>
        <v/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68"/>
      <c r="BG16" s="168"/>
      <c r="BH16" s="168"/>
      <c r="BI16" s="168"/>
      <c r="BJ16" s="168"/>
      <c r="BK16" s="168"/>
      <c r="BL16" s="168"/>
      <c r="BM16" s="168"/>
    </row>
    <row r="17" spans="1:65" ht="30" customHeight="1">
      <c r="A17" s="144">
        <v>8</v>
      </c>
      <c r="B17" s="144" t="s">
        <v>4427</v>
      </c>
      <c r="C17" s="194" t="s">
        <v>4329</v>
      </c>
      <c r="D17" s="194" t="s">
        <v>4329</v>
      </c>
      <c r="E17" s="144" t="s">
        <v>4329</v>
      </c>
      <c r="F17" s="148" t="s">
        <v>4467</v>
      </c>
      <c r="G17" s="144" t="s">
        <v>4330</v>
      </c>
      <c r="H17" s="144" t="s">
        <v>4331</v>
      </c>
      <c r="I17" s="147" t="s">
        <v>4351</v>
      </c>
      <c r="J17" s="170" t="s">
        <v>4468</v>
      </c>
      <c r="K17" s="148" t="s">
        <v>4469</v>
      </c>
      <c r="L17" s="148" t="s">
        <v>4470</v>
      </c>
      <c r="M17" s="144"/>
      <c r="N17" s="144"/>
      <c r="O17" s="134"/>
      <c r="P17" s="104"/>
      <c r="Q17" s="107"/>
      <c r="R17" s="107"/>
      <c r="S17" s="107"/>
      <c r="T17" s="107"/>
      <c r="U17" s="107"/>
      <c r="V17" s="107"/>
      <c r="W17" s="107"/>
      <c r="X17" s="104"/>
      <c r="Y17" s="104"/>
      <c r="Z17" s="104"/>
      <c r="AA17" s="144"/>
      <c r="AB17" s="170" t="s">
        <v>4471</v>
      </c>
      <c r="AC17" s="148" t="s">
        <v>4472</v>
      </c>
      <c r="AD17" s="148" t="s">
        <v>4473</v>
      </c>
      <c r="AE17" s="172" t="s">
        <v>4332</v>
      </c>
      <c r="AF17" s="172" t="s">
        <v>4455</v>
      </c>
      <c r="AG17" s="203">
        <v>39399.760000000002</v>
      </c>
      <c r="AH17" s="203">
        <v>39399.760000000002</v>
      </c>
      <c r="AI17" s="172" t="s">
        <v>4336</v>
      </c>
      <c r="AJ17" s="148" t="s">
        <v>4434</v>
      </c>
      <c r="AK17" s="144">
        <v>159360993</v>
      </c>
      <c r="AL17" s="144"/>
      <c r="AM17" s="144"/>
      <c r="AN17" s="144"/>
      <c r="AO17" s="144"/>
      <c r="AP17" s="166"/>
      <c r="AQ17" s="144"/>
      <c r="AR17" s="144"/>
      <c r="AS17" s="103"/>
      <c r="AT17" s="144"/>
      <c r="AU17" s="134"/>
      <c r="AV17" s="144"/>
      <c r="AW17" s="144"/>
      <c r="AX17" s="134"/>
      <c r="AY17" s="145"/>
      <c r="AZ17" s="173"/>
      <c r="BA17" s="144"/>
      <c r="BB17" s="167"/>
      <c r="BC17" s="178" t="str">
        <f>IF(AY17-KD17=0,"",AY17-O17)</f>
        <v/>
      </c>
      <c r="BD17" s="103" t="str">
        <f>IF(AND(AI17&lt;&gt;"SIM",AI17="UH"),"AA","INDENIZAÇÃO")</f>
        <v>INDENIZAÇÃO</v>
      </c>
      <c r="BE17" s="103" t="str">
        <f>IF(AND(AY17&lt;&gt;"AGUARDANDO",AY17&lt;&gt;"",N17="AUXÍLIO ALUGUEL ATÉ INDENIZAÇÃO"),"SIM","NÃO")</f>
        <v>NÃO</v>
      </c>
      <c r="BF17" s="168"/>
      <c r="BG17" s="168"/>
      <c r="BH17" s="168"/>
      <c r="BI17" s="168"/>
      <c r="BJ17" s="168"/>
      <c r="BK17" s="168"/>
      <c r="BL17" s="168"/>
      <c r="BM17" s="168"/>
    </row>
    <row r="18" spans="1:65" ht="30" customHeight="1">
      <c r="A18" s="144">
        <v>10</v>
      </c>
      <c r="B18" s="144" t="s">
        <v>4427</v>
      </c>
      <c r="C18" s="194" t="s">
        <v>4329</v>
      </c>
      <c r="D18" s="194" t="s">
        <v>4329</v>
      </c>
      <c r="E18" s="144" t="s">
        <v>4329</v>
      </c>
      <c r="F18" s="148" t="s">
        <v>4474</v>
      </c>
      <c r="G18" s="144" t="s">
        <v>4330</v>
      </c>
      <c r="H18" s="144" t="s">
        <v>4331</v>
      </c>
      <c r="I18" s="147" t="s">
        <v>4351</v>
      </c>
      <c r="J18" s="170" t="s">
        <v>4475</v>
      </c>
      <c r="K18" s="148" t="s">
        <v>4476</v>
      </c>
      <c r="L18" s="148" t="s">
        <v>4477</v>
      </c>
      <c r="M18" s="144"/>
      <c r="N18" s="144"/>
      <c r="O18" s="134"/>
      <c r="P18" s="104"/>
      <c r="Q18" s="107"/>
      <c r="R18" s="107"/>
      <c r="S18" s="107"/>
      <c r="T18" s="107"/>
      <c r="U18" s="107"/>
      <c r="V18" s="107"/>
      <c r="W18" s="107"/>
      <c r="X18" s="104"/>
      <c r="Y18" s="104"/>
      <c r="Z18" s="104"/>
      <c r="AA18" s="144"/>
      <c r="AB18" s="170" t="s">
        <v>4478</v>
      </c>
      <c r="AC18" s="148" t="s">
        <v>4479</v>
      </c>
      <c r="AD18" s="148" t="s">
        <v>4480</v>
      </c>
      <c r="AE18" s="172" t="s">
        <v>4332</v>
      </c>
      <c r="AF18" s="172" t="s">
        <v>4455</v>
      </c>
      <c r="AG18" s="203">
        <v>52274.64</v>
      </c>
      <c r="AH18" s="203">
        <v>52274.64</v>
      </c>
      <c r="AI18" s="172" t="s">
        <v>4336</v>
      </c>
      <c r="AJ18" s="148" t="s">
        <v>4434</v>
      </c>
      <c r="AK18" s="144">
        <v>159361098</v>
      </c>
      <c r="AL18" s="144"/>
      <c r="AM18" s="144"/>
      <c r="AN18" s="144"/>
      <c r="AO18" s="144"/>
      <c r="AP18" s="166"/>
      <c r="AQ18" s="144"/>
      <c r="AR18" s="144"/>
      <c r="AS18" s="103"/>
      <c r="AT18" s="144"/>
      <c r="AU18" s="134"/>
      <c r="AV18" s="144"/>
      <c r="AW18" s="144"/>
      <c r="AX18" s="134"/>
      <c r="AY18" s="145"/>
      <c r="AZ18" s="173"/>
      <c r="BA18" s="144"/>
      <c r="BB18" s="167"/>
      <c r="BC18" s="178" t="str">
        <f>IF(AY18-KD18=0,"",AY18-O18)</f>
        <v/>
      </c>
      <c r="BD18" s="103" t="str">
        <f>IF(AND(AI18&lt;&gt;"SIM",AI18="UH"),"AA","INDENIZAÇÃO")</f>
        <v>INDENIZAÇÃO</v>
      </c>
      <c r="BE18" s="103" t="str">
        <f>IF(AND(AY18&lt;&gt;"AGUARDANDO",AY18&lt;&gt;"",N18="AUXÍLIO ALUGUEL ATÉ INDENIZAÇÃO"),"SIM","NÃO")</f>
        <v>NÃO</v>
      </c>
      <c r="BF18" s="168"/>
      <c r="BG18" s="168"/>
      <c r="BH18" s="168"/>
      <c r="BI18" s="168"/>
      <c r="BJ18" s="168"/>
      <c r="BK18" s="168"/>
      <c r="BL18" s="168"/>
      <c r="BM18" s="168"/>
    </row>
    <row r="19" spans="1:65" ht="30" customHeight="1">
      <c r="A19" s="144">
        <v>12</v>
      </c>
      <c r="B19" s="144" t="s">
        <v>4427</v>
      </c>
      <c r="C19" s="194" t="s">
        <v>4329</v>
      </c>
      <c r="D19" s="194" t="s">
        <v>4329</v>
      </c>
      <c r="E19" s="144" t="s">
        <v>4329</v>
      </c>
      <c r="F19" s="148" t="s">
        <v>4481</v>
      </c>
      <c r="G19" s="144"/>
      <c r="H19" s="144"/>
      <c r="I19" s="147"/>
      <c r="J19" s="170" t="s">
        <v>4482</v>
      </c>
      <c r="K19" s="148" t="s">
        <v>4483</v>
      </c>
      <c r="L19" s="148" t="s">
        <v>4484</v>
      </c>
      <c r="M19" s="144"/>
      <c r="N19" s="144"/>
      <c r="O19" s="134"/>
      <c r="P19" s="104"/>
      <c r="Q19" s="107"/>
      <c r="R19" s="107"/>
      <c r="S19" s="107"/>
      <c r="T19" s="107"/>
      <c r="U19" s="107"/>
      <c r="V19" s="107"/>
      <c r="W19" s="107"/>
      <c r="X19" s="104"/>
      <c r="Y19" s="104"/>
      <c r="Z19" s="104"/>
      <c r="AA19" s="144"/>
      <c r="AB19" s="170"/>
      <c r="AC19" s="170"/>
      <c r="AD19" s="170"/>
      <c r="AE19" s="172"/>
      <c r="AF19" s="172"/>
      <c r="AG19" s="203"/>
      <c r="AH19" s="203"/>
      <c r="AI19" s="172"/>
      <c r="AJ19" s="148"/>
      <c r="AK19" s="144"/>
      <c r="AL19" s="144"/>
      <c r="AM19" s="144"/>
      <c r="AN19" s="144"/>
      <c r="AO19" s="144"/>
      <c r="AP19" s="166"/>
      <c r="AQ19" s="144"/>
      <c r="AR19" s="144"/>
      <c r="AS19" s="103"/>
      <c r="AT19" s="144"/>
      <c r="AU19" s="134"/>
      <c r="AV19" s="144"/>
      <c r="AW19" s="144"/>
      <c r="AX19" s="134"/>
      <c r="AY19" s="145"/>
      <c r="AZ19" s="173"/>
      <c r="BA19" s="144"/>
      <c r="BB19" s="167"/>
      <c r="BC19" s="178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68"/>
      <c r="BG19" s="168"/>
      <c r="BH19" s="168"/>
      <c r="BI19" s="168"/>
      <c r="BJ19" s="168"/>
      <c r="BK19" s="168"/>
      <c r="BL19" s="168"/>
      <c r="BM19" s="168"/>
    </row>
    <row r="20" spans="1:65" ht="30" customHeight="1">
      <c r="A20" s="144">
        <v>13</v>
      </c>
      <c r="B20" s="144" t="s">
        <v>4427</v>
      </c>
      <c r="C20" s="194" t="s">
        <v>4329</v>
      </c>
      <c r="D20" s="194" t="s">
        <v>4329</v>
      </c>
      <c r="E20" s="144" t="s">
        <v>4329</v>
      </c>
      <c r="F20" s="148" t="s">
        <v>4485</v>
      </c>
      <c r="G20" s="144"/>
      <c r="H20" s="144"/>
      <c r="I20" s="147"/>
      <c r="J20" s="170" t="s">
        <v>4486</v>
      </c>
      <c r="K20" s="148" t="s">
        <v>4487</v>
      </c>
      <c r="L20" s="148" t="s">
        <v>4488</v>
      </c>
      <c r="M20" s="144"/>
      <c r="N20" s="144"/>
      <c r="O20" s="134"/>
      <c r="P20" s="104"/>
      <c r="Q20" s="107"/>
      <c r="R20" s="107"/>
      <c r="S20" s="107"/>
      <c r="T20" s="107"/>
      <c r="U20" s="107"/>
      <c r="V20" s="107"/>
      <c r="W20" s="107"/>
      <c r="X20" s="104"/>
      <c r="Y20" s="104"/>
      <c r="Z20" s="104"/>
      <c r="AA20" s="144"/>
      <c r="AB20" s="170"/>
      <c r="AC20" s="170"/>
      <c r="AD20" s="170"/>
      <c r="AE20" s="172"/>
      <c r="AF20" s="172"/>
      <c r="AG20" s="203"/>
      <c r="AH20" s="203"/>
      <c r="AI20" s="172"/>
      <c r="AJ20" s="148"/>
      <c r="AK20" s="144"/>
      <c r="AL20" s="144"/>
      <c r="AM20" s="144"/>
      <c r="AN20" s="144"/>
      <c r="AO20" s="144"/>
      <c r="AP20" s="166"/>
      <c r="AQ20" s="144"/>
      <c r="AR20" s="144"/>
      <c r="AS20" s="103"/>
      <c r="AT20" s="144"/>
      <c r="AU20" s="134"/>
      <c r="AV20" s="144"/>
      <c r="AW20" s="144"/>
      <c r="AX20" s="134"/>
      <c r="AY20" s="145"/>
      <c r="AZ20" s="173"/>
      <c r="BA20" s="144"/>
      <c r="BB20" s="167"/>
      <c r="BC20" s="178" t="str">
        <f>IF(AY20-KD20=0,"",AY20-O20)</f>
        <v/>
      </c>
      <c r="BD20" s="103" t="str">
        <f>IF(AND(AI20&lt;&gt;"SIM",AI20="UH"),"AA","INDENIZAÇÃO")</f>
        <v>INDENIZAÇÃO</v>
      </c>
      <c r="BE20" s="103" t="str">
        <f>IF(AND(AY20&lt;&gt;"AGUARDANDO",AY20&lt;&gt;"",N20="AUXÍLIO ALUGUEL ATÉ INDENIZAÇÃO"),"SIM","NÃO")</f>
        <v>NÃO</v>
      </c>
      <c r="BF20" s="168"/>
      <c r="BG20" s="168"/>
      <c r="BH20" s="168"/>
      <c r="BI20" s="168"/>
      <c r="BJ20" s="168"/>
      <c r="BK20" s="168"/>
      <c r="BL20" s="168"/>
      <c r="BM20" s="168"/>
    </row>
    <row r="21" spans="1:65" ht="30" customHeight="1">
      <c r="A21" s="144">
        <v>14</v>
      </c>
      <c r="B21" s="144" t="s">
        <v>4427</v>
      </c>
      <c r="C21" s="194" t="s">
        <v>4329</v>
      </c>
      <c r="D21" s="194" t="s">
        <v>4329</v>
      </c>
      <c r="E21" s="144" t="s">
        <v>4329</v>
      </c>
      <c r="F21" s="148" t="s">
        <v>4489</v>
      </c>
      <c r="G21" s="144"/>
      <c r="H21" s="144"/>
      <c r="I21" s="147"/>
      <c r="J21" s="170" t="s">
        <v>4490</v>
      </c>
      <c r="K21" s="148" t="s">
        <v>4491</v>
      </c>
      <c r="L21" s="148" t="s">
        <v>4492</v>
      </c>
      <c r="M21" s="144"/>
      <c r="N21" s="144"/>
      <c r="O21" s="134"/>
      <c r="P21" s="104"/>
      <c r="Q21" s="107"/>
      <c r="R21" s="107"/>
      <c r="S21" s="107"/>
      <c r="T21" s="107"/>
      <c r="U21" s="107"/>
      <c r="V21" s="107"/>
      <c r="W21" s="107"/>
      <c r="X21" s="104"/>
      <c r="Y21" s="104"/>
      <c r="Z21" s="104"/>
      <c r="AA21" s="144"/>
      <c r="AB21" s="170"/>
      <c r="AC21" s="170"/>
      <c r="AD21" s="170"/>
      <c r="AE21" s="172"/>
      <c r="AF21" s="172"/>
      <c r="AG21" s="203"/>
      <c r="AH21" s="203"/>
      <c r="AI21" s="172"/>
      <c r="AJ21" s="148"/>
      <c r="AK21" s="144"/>
      <c r="AL21" s="144"/>
      <c r="AM21" s="144"/>
      <c r="AN21" s="144"/>
      <c r="AO21" s="144"/>
      <c r="AP21" s="166"/>
      <c r="AQ21" s="144"/>
      <c r="AR21" s="144"/>
      <c r="AS21" s="103"/>
      <c r="AT21" s="144"/>
      <c r="AU21" s="134"/>
      <c r="AV21" s="144"/>
      <c r="AW21" s="144"/>
      <c r="AX21" s="134"/>
      <c r="AY21" s="145"/>
      <c r="AZ21" s="173"/>
      <c r="BA21" s="144"/>
      <c r="BB21" s="167"/>
      <c r="BC21" s="178" t="str">
        <f>IF(AY21-KD21=0,"",AY21-O21)</f>
        <v/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168"/>
      <c r="BG21" s="168"/>
      <c r="BH21" s="168"/>
      <c r="BI21" s="168"/>
      <c r="BJ21" s="168"/>
      <c r="BK21" s="168"/>
      <c r="BL21" s="168"/>
      <c r="BM21" s="168"/>
    </row>
    <row r="22" spans="1:65" ht="30" customHeight="1">
      <c r="A22" s="144">
        <v>15</v>
      </c>
      <c r="B22" s="144" t="s">
        <v>4427</v>
      </c>
      <c r="C22" s="194" t="s">
        <v>4329</v>
      </c>
      <c r="D22" s="194" t="s">
        <v>4329</v>
      </c>
      <c r="E22" s="144" t="s">
        <v>4329</v>
      </c>
      <c r="F22" s="148" t="s">
        <v>4493</v>
      </c>
      <c r="G22" s="144"/>
      <c r="H22" s="144"/>
      <c r="I22" s="147"/>
      <c r="J22" s="170" t="s">
        <v>4494</v>
      </c>
      <c r="K22" s="148" t="s">
        <v>4495</v>
      </c>
      <c r="L22" s="148" t="s">
        <v>4496</v>
      </c>
      <c r="M22" s="144"/>
      <c r="N22" s="144"/>
      <c r="O22" s="134"/>
      <c r="P22" s="104"/>
      <c r="Q22" s="107"/>
      <c r="R22" s="107"/>
      <c r="S22" s="107"/>
      <c r="T22" s="107"/>
      <c r="U22" s="107"/>
      <c r="V22" s="107"/>
      <c r="W22" s="107"/>
      <c r="X22" s="104"/>
      <c r="Y22" s="104"/>
      <c r="Z22" s="104"/>
      <c r="AA22" s="144"/>
      <c r="AB22" s="170"/>
      <c r="AC22" s="170"/>
      <c r="AD22" s="170"/>
      <c r="AE22" s="172"/>
      <c r="AF22" s="172"/>
      <c r="AG22" s="203"/>
      <c r="AH22" s="203"/>
      <c r="AI22" s="172"/>
      <c r="AJ22" s="148"/>
      <c r="AK22" s="144"/>
      <c r="AL22" s="144"/>
      <c r="AM22" s="144"/>
      <c r="AN22" s="144"/>
      <c r="AO22" s="144"/>
      <c r="AP22" s="166"/>
      <c r="AQ22" s="144"/>
      <c r="AR22" s="144"/>
      <c r="AS22" s="103"/>
      <c r="AT22" s="144"/>
      <c r="AU22" s="134"/>
      <c r="AV22" s="144"/>
      <c r="AW22" s="144"/>
      <c r="AX22" s="134"/>
      <c r="AY22" s="145"/>
      <c r="AZ22" s="173"/>
      <c r="BA22" s="144"/>
      <c r="BB22" s="167"/>
      <c r="BC22" s="178" t="str">
        <f>IF(AY22-KD22=0,"",AY22-O22)</f>
        <v/>
      </c>
      <c r="BD22" s="103" t="str">
        <f>IF(AND(AI22&lt;&gt;"SIM",AI22="UH"),"AA","INDENIZAÇÃO")</f>
        <v>INDENIZAÇÃO</v>
      </c>
      <c r="BE22" s="103" t="str">
        <f>IF(AND(AY22&lt;&gt;"AGUARDANDO",AY22&lt;&gt;"",N22="AUXÍLIO ALUGUEL ATÉ INDENIZAÇÃO"),"SIM","NÃO")</f>
        <v>NÃO</v>
      </c>
      <c r="BF22" s="168"/>
      <c r="BG22" s="168"/>
      <c r="BH22" s="168"/>
      <c r="BI22" s="168"/>
      <c r="BJ22" s="168"/>
      <c r="BK22" s="168"/>
      <c r="BL22" s="168"/>
      <c r="BM22" s="168"/>
    </row>
    <row r="23" spans="1:65" ht="30" customHeight="1">
      <c r="A23" s="144">
        <v>16</v>
      </c>
      <c r="B23" s="144" t="s">
        <v>4427</v>
      </c>
      <c r="C23" s="194" t="s">
        <v>4329</v>
      </c>
      <c r="D23" s="194" t="s">
        <v>4329</v>
      </c>
      <c r="E23" s="144" t="s">
        <v>4329</v>
      </c>
      <c r="F23" s="148" t="s">
        <v>4497</v>
      </c>
      <c r="G23" s="144"/>
      <c r="H23" s="144"/>
      <c r="I23" s="147"/>
      <c r="J23" s="170" t="s">
        <v>4498</v>
      </c>
      <c r="K23" s="148"/>
      <c r="L23" s="148" t="s">
        <v>4499</v>
      </c>
      <c r="M23" s="144"/>
      <c r="N23" s="144"/>
      <c r="O23" s="134"/>
      <c r="P23" s="104"/>
      <c r="Q23" s="107"/>
      <c r="R23" s="107"/>
      <c r="S23" s="107"/>
      <c r="T23" s="107"/>
      <c r="U23" s="107"/>
      <c r="V23" s="107"/>
      <c r="W23" s="107"/>
      <c r="X23" s="104"/>
      <c r="Y23" s="104"/>
      <c r="Z23" s="104"/>
      <c r="AA23" s="144"/>
      <c r="AB23" s="170"/>
      <c r="AC23" s="170"/>
      <c r="AD23" s="170"/>
      <c r="AE23" s="172"/>
      <c r="AF23" s="172"/>
      <c r="AG23" s="203"/>
      <c r="AH23" s="203"/>
      <c r="AI23" s="172"/>
      <c r="AJ23" s="148"/>
      <c r="AK23" s="144"/>
      <c r="AL23" s="144"/>
      <c r="AM23" s="144"/>
      <c r="AN23" s="144"/>
      <c r="AO23" s="144"/>
      <c r="AP23" s="166"/>
      <c r="AQ23" s="144"/>
      <c r="AR23" s="144"/>
      <c r="AS23" s="103"/>
      <c r="AT23" s="144"/>
      <c r="AU23" s="134"/>
      <c r="AV23" s="144"/>
      <c r="AW23" s="144"/>
      <c r="AX23" s="134"/>
      <c r="AY23" s="145"/>
      <c r="AZ23" s="173"/>
      <c r="BA23" s="144"/>
      <c r="BB23" s="167"/>
      <c r="BC23" s="178" t="str">
        <f>IF(AY23-KD23=0,"",AY23-O23)</f>
        <v/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68"/>
      <c r="BG23" s="168"/>
      <c r="BH23" s="168"/>
      <c r="BI23" s="168"/>
      <c r="BJ23" s="168"/>
      <c r="BK23" s="168"/>
      <c r="BL23" s="168"/>
      <c r="BM23" s="168"/>
    </row>
    <row r="24" spans="1:65" ht="30" customHeight="1">
      <c r="A24" s="144">
        <v>17</v>
      </c>
      <c r="B24" s="144" t="s">
        <v>4427</v>
      </c>
      <c r="C24" s="194" t="s">
        <v>4329</v>
      </c>
      <c r="D24" s="194" t="s">
        <v>4329</v>
      </c>
      <c r="E24" s="144" t="s">
        <v>4329</v>
      </c>
      <c r="F24" s="148" t="s">
        <v>4497</v>
      </c>
      <c r="G24" s="144"/>
      <c r="H24" s="144"/>
      <c r="I24" s="147"/>
      <c r="J24" s="170" t="s">
        <v>4500</v>
      </c>
      <c r="K24" s="148" t="s">
        <v>4501</v>
      </c>
      <c r="L24" s="148" t="s">
        <v>4502</v>
      </c>
      <c r="M24" s="144"/>
      <c r="N24" s="144"/>
      <c r="O24" s="134"/>
      <c r="P24" s="104"/>
      <c r="Q24" s="107"/>
      <c r="R24" s="107"/>
      <c r="S24" s="107"/>
      <c r="T24" s="107"/>
      <c r="U24" s="107"/>
      <c r="V24" s="107"/>
      <c r="W24" s="107"/>
      <c r="X24" s="104"/>
      <c r="Y24" s="104"/>
      <c r="Z24" s="104"/>
      <c r="AA24" s="144"/>
      <c r="AB24" s="170"/>
      <c r="AC24" s="170"/>
      <c r="AD24" s="170"/>
      <c r="AE24" s="172"/>
      <c r="AF24" s="172"/>
      <c r="AG24" s="203"/>
      <c r="AH24" s="203"/>
      <c r="AI24" s="172"/>
      <c r="AJ24" s="148"/>
      <c r="AK24" s="144"/>
      <c r="AL24" s="144"/>
      <c r="AM24" s="144"/>
      <c r="AN24" s="144"/>
      <c r="AO24" s="144"/>
      <c r="AP24" s="166"/>
      <c r="AQ24" s="144"/>
      <c r="AR24" s="144"/>
      <c r="AS24" s="103"/>
      <c r="AT24" s="144"/>
      <c r="AU24" s="134"/>
      <c r="AV24" s="144"/>
      <c r="AW24" s="144"/>
      <c r="AX24" s="134"/>
      <c r="AY24" s="145"/>
      <c r="AZ24" s="173"/>
      <c r="BA24" s="144"/>
      <c r="BB24" s="167"/>
      <c r="BC24" s="178" t="str">
        <f>IF(AY24-KD24=0,"",AY24-O24)</f>
        <v/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68"/>
      <c r="BG24" s="168"/>
      <c r="BH24" s="168"/>
      <c r="BI24" s="168"/>
      <c r="BJ24" s="168"/>
      <c r="BK24" s="168"/>
      <c r="BL24" s="168"/>
      <c r="BM24" s="168"/>
    </row>
    <row r="25" spans="1:65" ht="30" customHeight="1">
      <c r="A25" s="144">
        <v>18</v>
      </c>
      <c r="B25" s="144" t="s">
        <v>4427</v>
      </c>
      <c r="C25" s="194" t="s">
        <v>4329</v>
      </c>
      <c r="D25" s="194" t="s">
        <v>4329</v>
      </c>
      <c r="E25" s="144" t="s">
        <v>4329</v>
      </c>
      <c r="F25" s="148" t="s">
        <v>4503</v>
      </c>
      <c r="G25" s="144" t="s">
        <v>4330</v>
      </c>
      <c r="H25" s="144" t="s">
        <v>4331</v>
      </c>
      <c r="I25" s="147" t="s">
        <v>4342</v>
      </c>
      <c r="J25" s="170" t="s">
        <v>4504</v>
      </c>
      <c r="K25" s="148" t="s">
        <v>4505</v>
      </c>
      <c r="L25" s="148" t="s">
        <v>4506</v>
      </c>
      <c r="M25" s="144" t="s">
        <v>4333</v>
      </c>
      <c r="N25" s="144" t="s">
        <v>4334</v>
      </c>
      <c r="O25" s="134">
        <v>46210</v>
      </c>
      <c r="P25" s="104" t="s">
        <v>4354</v>
      </c>
      <c r="Q25" s="104" t="s">
        <v>4354</v>
      </c>
      <c r="R25" s="104" t="s">
        <v>4354</v>
      </c>
      <c r="S25" s="104" t="s">
        <v>4354</v>
      </c>
      <c r="T25" s="104" t="s">
        <v>4354</v>
      </c>
      <c r="U25" s="104" t="s">
        <v>4354</v>
      </c>
      <c r="V25" s="104" t="s">
        <v>4354</v>
      </c>
      <c r="W25" s="104" t="s">
        <v>4354</v>
      </c>
      <c r="X25" s="104" t="s">
        <v>4354</v>
      </c>
      <c r="Y25" s="104" t="s">
        <v>4354</v>
      </c>
      <c r="Z25" s="104" t="s">
        <v>4354</v>
      </c>
      <c r="AA25" s="104" t="s">
        <v>4354</v>
      </c>
      <c r="AB25" s="170" t="s">
        <v>4504</v>
      </c>
      <c r="AC25" s="148" t="s">
        <v>4505</v>
      </c>
      <c r="AD25" s="148" t="s">
        <v>4506</v>
      </c>
      <c r="AE25" s="172" t="s">
        <v>4342</v>
      </c>
      <c r="AF25" s="172" t="s">
        <v>4333</v>
      </c>
      <c r="AG25" s="205">
        <v>64352.57</v>
      </c>
      <c r="AH25" s="205">
        <v>64352.57</v>
      </c>
      <c r="AI25" s="172" t="s">
        <v>4336</v>
      </c>
      <c r="AJ25" s="148" t="s">
        <v>4434</v>
      </c>
      <c r="AK25" s="148">
        <v>155550560</v>
      </c>
      <c r="AL25" s="144" t="s">
        <v>4346</v>
      </c>
      <c r="AM25" s="144" t="s">
        <v>4338</v>
      </c>
      <c r="AN25" s="144" t="s">
        <v>4364</v>
      </c>
      <c r="AO25" s="144"/>
      <c r="AP25" s="166"/>
      <c r="AQ25" s="144"/>
      <c r="AR25" s="144"/>
      <c r="AS25" s="103"/>
      <c r="AT25" s="144"/>
      <c r="AU25" s="134"/>
      <c r="AV25" s="144"/>
      <c r="AW25" s="144"/>
      <c r="AX25" s="134"/>
      <c r="AY25" s="145"/>
      <c r="AZ25" s="173"/>
      <c r="BA25" s="144"/>
      <c r="BB25" s="167"/>
      <c r="BC25" s="178" t="str">
        <f>IF(AY25-KD25=0,"",AY25-O25)</f>
        <v/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68"/>
      <c r="BG25" s="168"/>
      <c r="BH25" s="168"/>
      <c r="BI25" s="168"/>
      <c r="BJ25" s="168"/>
      <c r="BK25" s="168"/>
      <c r="BL25" s="168"/>
      <c r="BM25" s="168"/>
    </row>
    <row r="26" spans="1:65" ht="30" customHeight="1">
      <c r="A26" s="144">
        <v>19</v>
      </c>
      <c r="B26" s="144" t="s">
        <v>4427</v>
      </c>
      <c r="C26" s="194" t="s">
        <v>4329</v>
      </c>
      <c r="D26" s="194" t="s">
        <v>4329</v>
      </c>
      <c r="E26" s="144" t="s">
        <v>4329</v>
      </c>
      <c r="F26" s="148" t="s">
        <v>4503</v>
      </c>
      <c r="G26" s="144"/>
      <c r="H26" s="144"/>
      <c r="I26" s="147"/>
      <c r="J26" s="170" t="s">
        <v>4507</v>
      </c>
      <c r="K26" s="148" t="s">
        <v>4508</v>
      </c>
      <c r="L26" s="148" t="s">
        <v>4509</v>
      </c>
      <c r="M26" s="144"/>
      <c r="N26" s="144"/>
      <c r="O26" s="134"/>
      <c r="P26" s="104"/>
      <c r="Q26" s="107"/>
      <c r="R26" s="107"/>
      <c r="S26" s="107"/>
      <c r="T26" s="107"/>
      <c r="U26" s="107"/>
      <c r="V26" s="107"/>
      <c r="W26" s="107"/>
      <c r="X26" s="104"/>
      <c r="Y26" s="104"/>
      <c r="Z26" s="104"/>
      <c r="AA26" s="144"/>
      <c r="AB26" s="170"/>
      <c r="AC26" s="170"/>
      <c r="AD26" s="170"/>
      <c r="AE26" s="172"/>
      <c r="AF26" s="172"/>
      <c r="AG26" s="203"/>
      <c r="AH26" s="203"/>
      <c r="AI26" s="172"/>
      <c r="AJ26" s="148"/>
      <c r="AK26" s="144"/>
      <c r="AL26" s="144"/>
      <c r="AM26" s="144"/>
      <c r="AN26" s="144"/>
      <c r="AO26" s="144"/>
      <c r="AP26" s="166"/>
      <c r="AQ26" s="144"/>
      <c r="AR26" s="144"/>
      <c r="AS26" s="103"/>
      <c r="AT26" s="144"/>
      <c r="AU26" s="134"/>
      <c r="AV26" s="144"/>
      <c r="AW26" s="144"/>
      <c r="AX26" s="134"/>
      <c r="AY26" s="145"/>
      <c r="AZ26" s="173"/>
      <c r="BA26" s="144"/>
      <c r="BB26" s="167"/>
      <c r="BC26" s="178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68"/>
      <c r="BG26" s="168"/>
      <c r="BH26" s="168"/>
      <c r="BI26" s="168"/>
      <c r="BJ26" s="168"/>
      <c r="BK26" s="168"/>
      <c r="BL26" s="168"/>
      <c r="BM26" s="168"/>
    </row>
    <row r="27" spans="1:65" ht="30" customHeight="1">
      <c r="A27" s="144">
        <v>20</v>
      </c>
      <c r="B27" s="144" t="s">
        <v>4427</v>
      </c>
      <c r="C27" s="194" t="s">
        <v>4329</v>
      </c>
      <c r="D27" s="194" t="s">
        <v>4329</v>
      </c>
      <c r="E27" s="144" t="s">
        <v>4329</v>
      </c>
      <c r="F27" s="148"/>
      <c r="G27" s="144"/>
      <c r="H27" s="144"/>
      <c r="I27" s="147"/>
      <c r="J27" s="170"/>
      <c r="K27" s="148"/>
      <c r="L27" s="148"/>
      <c r="M27" s="144"/>
      <c r="N27" s="144"/>
      <c r="O27" s="134"/>
      <c r="P27" s="104"/>
      <c r="Q27" s="107"/>
      <c r="R27" s="107"/>
      <c r="S27" s="107"/>
      <c r="T27" s="107"/>
      <c r="U27" s="107"/>
      <c r="V27" s="107"/>
      <c r="W27" s="107"/>
      <c r="X27" s="104"/>
      <c r="Y27" s="104"/>
      <c r="Z27" s="104"/>
      <c r="AA27" s="144"/>
      <c r="AB27" s="170"/>
      <c r="AC27" s="170"/>
      <c r="AD27" s="170"/>
      <c r="AE27" s="172"/>
      <c r="AF27" s="172"/>
      <c r="AG27" s="203"/>
      <c r="AH27" s="203"/>
      <c r="AI27" s="172"/>
      <c r="AJ27" s="148"/>
      <c r="AK27" s="144"/>
      <c r="AL27" s="144"/>
      <c r="AM27" s="144"/>
      <c r="AN27" s="144"/>
      <c r="AO27" s="144"/>
      <c r="AP27" s="166"/>
      <c r="AQ27" s="144"/>
      <c r="AR27" s="144"/>
      <c r="AS27" s="103"/>
      <c r="AT27" s="144"/>
      <c r="AU27" s="134"/>
      <c r="AV27" s="144"/>
      <c r="AW27" s="144"/>
      <c r="AX27" s="134"/>
      <c r="AY27" s="145"/>
      <c r="AZ27" s="173"/>
      <c r="BA27" s="144"/>
      <c r="BB27" s="167"/>
      <c r="BC27" s="178" t="str">
        <f>IF(AY27-KD27=0,"",AY27-O27)</f>
        <v/>
      </c>
      <c r="BD27" s="103" t="str">
        <f>IF(AND(AI27&lt;&gt;"SIM",AI27="UH"),"AA","INDENIZAÇÃO")</f>
        <v>INDENIZAÇÃO</v>
      </c>
      <c r="BE27" s="103" t="str">
        <f>IF(AND(AY27&lt;&gt;"AGUARDANDO",AY27&lt;&gt;"",N27="AUXÍLIO ALUGUEL ATÉ INDENIZAÇÃO"),"SIM","NÃO")</f>
        <v>NÃO</v>
      </c>
      <c r="BF27" s="168"/>
      <c r="BG27" s="168"/>
      <c r="BH27" s="168"/>
      <c r="BI27" s="168"/>
      <c r="BJ27" s="168"/>
      <c r="BK27" s="168"/>
      <c r="BL27" s="168"/>
      <c r="BM27" s="168"/>
    </row>
    <row r="28" spans="1:65" ht="30" customHeight="1">
      <c r="A28" s="144">
        <v>21</v>
      </c>
      <c r="B28" s="144" t="s">
        <v>4427</v>
      </c>
      <c r="C28" s="194" t="s">
        <v>4329</v>
      </c>
      <c r="D28" s="194" t="s">
        <v>4329</v>
      </c>
      <c r="E28" s="144" t="s">
        <v>4329</v>
      </c>
      <c r="F28" s="148"/>
      <c r="G28" s="144"/>
      <c r="H28" s="144"/>
      <c r="I28" s="147"/>
      <c r="J28" s="170"/>
      <c r="K28" s="148"/>
      <c r="L28" s="148"/>
      <c r="M28" s="144"/>
      <c r="N28" s="144"/>
      <c r="O28" s="134"/>
      <c r="P28" s="104"/>
      <c r="Q28" s="107"/>
      <c r="R28" s="107"/>
      <c r="S28" s="107"/>
      <c r="T28" s="107"/>
      <c r="U28" s="107"/>
      <c r="V28" s="107"/>
      <c r="W28" s="107"/>
      <c r="X28" s="104"/>
      <c r="Y28" s="104"/>
      <c r="Z28" s="104"/>
      <c r="AA28" s="144"/>
      <c r="AB28" s="170"/>
      <c r="AC28" s="170"/>
      <c r="AD28" s="170"/>
      <c r="AE28" s="172"/>
      <c r="AF28" s="172"/>
      <c r="AG28" s="203"/>
      <c r="AH28" s="203"/>
      <c r="AI28" s="172"/>
      <c r="AJ28" s="148"/>
      <c r="AK28" s="144"/>
      <c r="AL28" s="144"/>
      <c r="AM28" s="144"/>
      <c r="AN28" s="144"/>
      <c r="AO28" s="144"/>
      <c r="AP28" s="166"/>
      <c r="AQ28" s="144"/>
      <c r="AR28" s="144"/>
      <c r="AS28" s="103"/>
      <c r="AT28" s="144"/>
      <c r="AU28" s="134"/>
      <c r="AV28" s="144"/>
      <c r="AW28" s="144"/>
      <c r="AX28" s="134"/>
      <c r="AY28" s="145"/>
      <c r="AZ28" s="173"/>
      <c r="BA28" s="144"/>
      <c r="BB28" s="167"/>
      <c r="BC28" s="178" t="str">
        <f>IF(AY28-KD28=0,"",AY28-O28)</f>
        <v/>
      </c>
      <c r="BD28" s="103" t="str">
        <f>IF(AND(AI28&lt;&gt;"SIM",AI28="UH"),"AA","INDENIZAÇÃO")</f>
        <v>INDENIZAÇÃO</v>
      </c>
      <c r="BE28" s="103" t="str">
        <f>IF(AND(AY28&lt;&gt;"AGUARDANDO",AY28&lt;&gt;"",N28="AUXÍLIO ALUGUEL ATÉ INDENIZAÇÃO"),"SIM","NÃO")</f>
        <v>NÃO</v>
      </c>
      <c r="BF28" s="168"/>
      <c r="BG28" s="168"/>
      <c r="BH28" s="168"/>
      <c r="BI28" s="168"/>
      <c r="BJ28" s="168"/>
      <c r="BK28" s="168"/>
      <c r="BL28" s="168"/>
      <c r="BM28" s="168"/>
    </row>
    <row r="29" spans="1:65" ht="30" customHeight="1">
      <c r="A29" s="144">
        <v>22</v>
      </c>
      <c r="B29" s="144" t="s">
        <v>4427</v>
      </c>
      <c r="C29" s="194" t="s">
        <v>4329</v>
      </c>
      <c r="D29" s="194" t="s">
        <v>4329</v>
      </c>
      <c r="E29" s="144" t="s">
        <v>4329</v>
      </c>
      <c r="F29" s="148"/>
      <c r="G29" s="144"/>
      <c r="H29" s="144"/>
      <c r="I29" s="147"/>
      <c r="J29" s="170"/>
      <c r="K29" s="148"/>
      <c r="L29" s="148"/>
      <c r="M29" s="144"/>
      <c r="N29" s="144"/>
      <c r="O29" s="134"/>
      <c r="P29" s="104"/>
      <c r="Q29" s="107"/>
      <c r="R29" s="107"/>
      <c r="S29" s="107"/>
      <c r="T29" s="107"/>
      <c r="U29" s="107"/>
      <c r="V29" s="107"/>
      <c r="W29" s="107"/>
      <c r="X29" s="104"/>
      <c r="Y29" s="104"/>
      <c r="Z29" s="104"/>
      <c r="AA29" s="144"/>
      <c r="AB29" s="170"/>
      <c r="AC29" s="170"/>
      <c r="AD29" s="170"/>
      <c r="AE29" s="172"/>
      <c r="AF29" s="172"/>
      <c r="AG29" s="203"/>
      <c r="AH29" s="203"/>
      <c r="AI29" s="172"/>
      <c r="AJ29" s="148"/>
      <c r="AK29" s="144"/>
      <c r="AL29" s="144"/>
      <c r="AM29" s="144"/>
      <c r="AN29" s="144"/>
      <c r="AO29" s="144"/>
      <c r="AP29" s="166"/>
      <c r="AQ29" s="144"/>
      <c r="AR29" s="144"/>
      <c r="AS29" s="103"/>
      <c r="AT29" s="144"/>
      <c r="AU29" s="134"/>
      <c r="AV29" s="144"/>
      <c r="AW29" s="144"/>
      <c r="AX29" s="134"/>
      <c r="AY29" s="145"/>
      <c r="AZ29" s="173"/>
      <c r="BA29" s="144"/>
      <c r="BB29" s="167"/>
      <c r="BC29" s="178" t="str">
        <f>IF(AY29-KD29=0,"",AY29-O29)</f>
        <v/>
      </c>
      <c r="BD29" s="103" t="str">
        <f>IF(AND(AI29&lt;&gt;"SIM",AI29="UH"),"AA","INDENIZAÇÃO")</f>
        <v>INDENIZAÇÃO</v>
      </c>
      <c r="BE29" s="103" t="str">
        <f>IF(AND(AY29&lt;&gt;"AGUARDANDO",AY29&lt;&gt;"",N29="AUXÍLIO ALUGUEL ATÉ INDENIZAÇÃO"),"SIM","NÃO")</f>
        <v>NÃO</v>
      </c>
      <c r="BF29" s="168"/>
      <c r="BG29" s="168"/>
      <c r="BH29" s="168"/>
      <c r="BI29" s="168"/>
      <c r="BJ29" s="168"/>
      <c r="BK29" s="168"/>
      <c r="BL29" s="168"/>
      <c r="BM29" s="168"/>
    </row>
    <row r="30" spans="1:65" ht="30" customHeight="1">
      <c r="A30" s="144">
        <v>23</v>
      </c>
      <c r="B30" s="144" t="s">
        <v>4427</v>
      </c>
      <c r="C30" s="194" t="s">
        <v>4329</v>
      </c>
      <c r="D30" s="194" t="s">
        <v>4329</v>
      </c>
      <c r="E30" s="144" t="s">
        <v>4329</v>
      </c>
      <c r="F30" s="148"/>
      <c r="G30" s="144"/>
      <c r="H30" s="144"/>
      <c r="I30" s="147"/>
      <c r="J30" s="170"/>
      <c r="K30" s="148"/>
      <c r="L30" s="148"/>
      <c r="M30" s="144"/>
      <c r="N30" s="144"/>
      <c r="O30" s="134"/>
      <c r="P30" s="104"/>
      <c r="Q30" s="107"/>
      <c r="R30" s="107"/>
      <c r="S30" s="107"/>
      <c r="T30" s="107"/>
      <c r="U30" s="107"/>
      <c r="V30" s="107"/>
      <c r="W30" s="107"/>
      <c r="X30" s="104"/>
      <c r="Y30" s="104"/>
      <c r="Z30" s="104"/>
      <c r="AA30" s="144"/>
      <c r="AB30" s="170"/>
      <c r="AC30" s="170"/>
      <c r="AD30" s="170"/>
      <c r="AE30" s="172"/>
      <c r="AF30" s="172"/>
      <c r="AG30" s="203"/>
      <c r="AH30" s="203"/>
      <c r="AI30" s="172"/>
      <c r="AJ30" s="148"/>
      <c r="AK30" s="144"/>
      <c r="AL30" s="144"/>
      <c r="AM30" s="144"/>
      <c r="AN30" s="144"/>
      <c r="AO30" s="144"/>
      <c r="AP30" s="166"/>
      <c r="AQ30" s="144"/>
      <c r="AR30" s="144"/>
      <c r="AS30" s="103"/>
      <c r="AT30" s="144"/>
      <c r="AU30" s="134"/>
      <c r="AV30" s="144"/>
      <c r="AW30" s="144"/>
      <c r="AX30" s="134"/>
      <c r="AY30" s="145"/>
      <c r="AZ30" s="173"/>
      <c r="BA30" s="144"/>
      <c r="BB30" s="167"/>
      <c r="BC30" s="178" t="str">
        <f>IF(AY30-KD30=0,"",AY30-O30)</f>
        <v/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68"/>
      <c r="BG30" s="168"/>
      <c r="BH30" s="168"/>
      <c r="BI30" s="168"/>
      <c r="BJ30" s="168"/>
      <c r="BK30" s="168"/>
      <c r="BL30" s="168"/>
      <c r="BM30" s="168"/>
    </row>
    <row r="31" spans="1:65" ht="30" customHeight="1">
      <c r="A31" s="144">
        <v>24</v>
      </c>
      <c r="B31" s="144" t="s">
        <v>4427</v>
      </c>
      <c r="C31" s="194" t="s">
        <v>4329</v>
      </c>
      <c r="D31" s="194" t="s">
        <v>4329</v>
      </c>
      <c r="E31" s="144" t="s">
        <v>4329</v>
      </c>
      <c r="F31" s="148"/>
      <c r="G31" s="144"/>
      <c r="H31" s="144"/>
      <c r="I31" s="147"/>
      <c r="J31" s="170"/>
      <c r="K31" s="148"/>
      <c r="L31" s="148"/>
      <c r="M31" s="144"/>
      <c r="N31" s="144"/>
      <c r="O31" s="134"/>
      <c r="P31" s="104"/>
      <c r="Q31" s="107"/>
      <c r="R31" s="107"/>
      <c r="S31" s="107"/>
      <c r="T31" s="107"/>
      <c r="U31" s="107"/>
      <c r="V31" s="107"/>
      <c r="W31" s="107"/>
      <c r="X31" s="104"/>
      <c r="Y31" s="104"/>
      <c r="Z31" s="104"/>
      <c r="AA31" s="144"/>
      <c r="AB31" s="170"/>
      <c r="AC31" s="170"/>
      <c r="AD31" s="170"/>
      <c r="AE31" s="172"/>
      <c r="AF31" s="172"/>
      <c r="AG31" s="203"/>
      <c r="AH31" s="203"/>
      <c r="AI31" s="172"/>
      <c r="AJ31" s="148"/>
      <c r="AK31" s="144"/>
      <c r="AL31" s="144"/>
      <c r="AM31" s="144"/>
      <c r="AN31" s="144"/>
      <c r="AO31" s="144"/>
      <c r="AP31" s="166"/>
      <c r="AQ31" s="144"/>
      <c r="AR31" s="144"/>
      <c r="AS31" s="103"/>
      <c r="AT31" s="144"/>
      <c r="AU31" s="134"/>
      <c r="AV31" s="144"/>
      <c r="AW31" s="144"/>
      <c r="AX31" s="134"/>
      <c r="AY31" s="145"/>
      <c r="AZ31" s="173"/>
      <c r="BA31" s="144"/>
      <c r="BB31" s="167"/>
      <c r="BC31" s="178" t="str">
        <f>IF(AY31-KD31=0,"",AY31-O31)</f>
        <v/>
      </c>
      <c r="BD31" s="103" t="str">
        <f>IF(AND(AI31&lt;&gt;"SIM",AI31="UH"),"AA","INDENIZAÇÃO")</f>
        <v>INDENIZAÇÃO</v>
      </c>
      <c r="BE31" s="103" t="str">
        <f>IF(AND(AY31&lt;&gt;"AGUARDANDO",AY31&lt;&gt;"",N31="AUXÍLIO ALUGUEL ATÉ INDENIZAÇÃO"),"SIM","NÃO")</f>
        <v>NÃO</v>
      </c>
      <c r="BF31" s="168"/>
      <c r="BG31" s="168"/>
      <c r="BH31" s="168"/>
      <c r="BI31" s="168"/>
      <c r="BJ31" s="168"/>
      <c r="BK31" s="168"/>
      <c r="BL31" s="168"/>
      <c r="BM31" s="168"/>
    </row>
    <row r="32" spans="1:65" ht="30" customHeight="1">
      <c r="A32" s="144">
        <v>25</v>
      </c>
      <c r="B32" s="144" t="s">
        <v>4427</v>
      </c>
      <c r="C32" s="194" t="s">
        <v>4329</v>
      </c>
      <c r="D32" s="194" t="s">
        <v>4329</v>
      </c>
      <c r="E32" s="144" t="s">
        <v>4329</v>
      </c>
      <c r="F32" s="148"/>
      <c r="G32" s="144"/>
      <c r="H32" s="144"/>
      <c r="I32" s="147"/>
      <c r="J32" s="170"/>
      <c r="K32" s="148"/>
      <c r="L32" s="148"/>
      <c r="M32" s="144"/>
      <c r="N32" s="144"/>
      <c r="O32" s="134"/>
      <c r="P32" s="104"/>
      <c r="Q32" s="107"/>
      <c r="R32" s="107"/>
      <c r="S32" s="107"/>
      <c r="T32" s="107"/>
      <c r="U32" s="107"/>
      <c r="V32" s="107"/>
      <c r="W32" s="107"/>
      <c r="X32" s="104"/>
      <c r="Y32" s="104"/>
      <c r="Z32" s="104"/>
      <c r="AA32" s="144"/>
      <c r="AB32" s="170"/>
      <c r="AC32" s="170"/>
      <c r="AD32" s="170"/>
      <c r="AE32" s="172"/>
      <c r="AF32" s="172"/>
      <c r="AG32" s="203"/>
      <c r="AH32" s="203"/>
      <c r="AI32" s="172"/>
      <c r="AJ32" s="148"/>
      <c r="AK32" s="144"/>
      <c r="AL32" s="144"/>
      <c r="AM32" s="144"/>
      <c r="AN32" s="144"/>
      <c r="AO32" s="144"/>
      <c r="AP32" s="166"/>
      <c r="AQ32" s="144"/>
      <c r="AR32" s="144"/>
      <c r="AS32" s="103"/>
      <c r="AT32" s="144"/>
      <c r="AU32" s="134"/>
      <c r="AV32" s="144"/>
      <c r="AW32" s="144"/>
      <c r="AX32" s="134"/>
      <c r="AY32" s="145"/>
      <c r="AZ32" s="173"/>
      <c r="BA32" s="144"/>
      <c r="BB32" s="167"/>
      <c r="BC32" s="178" t="str">
        <f>IF(AY32-KD32=0,"",AY32-O32)</f>
        <v/>
      </c>
      <c r="BD32" s="103" t="str">
        <f>IF(AND(AI32&lt;&gt;"SIM",AI32="UH"),"AA","INDENIZAÇÃO")</f>
        <v>INDENIZAÇÃO</v>
      </c>
      <c r="BE32" s="103" t="str">
        <f>IF(AND(AY32&lt;&gt;"AGUARDANDO",AY32&lt;&gt;"",N32="AUXÍLIO ALUGUEL ATÉ INDENIZAÇÃO"),"SIM","NÃO")</f>
        <v>NÃO</v>
      </c>
      <c r="BF32" s="168"/>
      <c r="BG32" s="168"/>
      <c r="BH32" s="168"/>
      <c r="BI32" s="168"/>
      <c r="BJ32" s="168"/>
      <c r="BK32" s="168"/>
      <c r="BL32" s="168"/>
      <c r="BM32" s="168"/>
    </row>
    <row r="33" spans="1:65" ht="30" customHeight="1">
      <c r="A33" s="144">
        <v>26</v>
      </c>
      <c r="B33" s="144" t="s">
        <v>4427</v>
      </c>
      <c r="C33" s="194" t="s">
        <v>4329</v>
      </c>
      <c r="D33" s="194" t="s">
        <v>4329</v>
      </c>
      <c r="E33" s="144" t="s">
        <v>4329</v>
      </c>
      <c r="F33" s="148"/>
      <c r="G33" s="144"/>
      <c r="H33" s="144"/>
      <c r="I33" s="147"/>
      <c r="J33" s="170"/>
      <c r="K33" s="148"/>
      <c r="L33" s="148"/>
      <c r="M33" s="144"/>
      <c r="N33" s="144"/>
      <c r="O33" s="134"/>
      <c r="P33" s="104"/>
      <c r="Q33" s="107"/>
      <c r="R33" s="107"/>
      <c r="S33" s="107"/>
      <c r="T33" s="107"/>
      <c r="U33" s="107"/>
      <c r="V33" s="107"/>
      <c r="W33" s="107"/>
      <c r="X33" s="104"/>
      <c r="Y33" s="104"/>
      <c r="Z33" s="104"/>
      <c r="AA33" s="144"/>
      <c r="AB33" s="170"/>
      <c r="AC33" s="170"/>
      <c r="AD33" s="170"/>
      <c r="AE33" s="172"/>
      <c r="AF33" s="172"/>
      <c r="AG33" s="203"/>
      <c r="AH33" s="203"/>
      <c r="AI33" s="172"/>
      <c r="AJ33" s="148"/>
      <c r="AK33" s="144"/>
      <c r="AL33" s="144"/>
      <c r="AM33" s="144"/>
      <c r="AN33" s="144"/>
      <c r="AO33" s="144"/>
      <c r="AP33" s="166"/>
      <c r="AQ33" s="144"/>
      <c r="AR33" s="144"/>
      <c r="AS33" s="103"/>
      <c r="AT33" s="144"/>
      <c r="AU33" s="134"/>
      <c r="AV33" s="144"/>
      <c r="AW33" s="144"/>
      <c r="AX33" s="134"/>
      <c r="AY33" s="145"/>
      <c r="AZ33" s="173"/>
      <c r="BA33" s="144"/>
      <c r="BB33" s="167"/>
      <c r="BC33" s="178" t="str">
        <f>IF(AY33-KD33=0,"",AY33-O33)</f>
        <v/>
      </c>
      <c r="BD33" s="103" t="str">
        <f>IF(AND(AI33&lt;&gt;"SIM",AI33="UH"),"AA","INDENIZAÇÃO")</f>
        <v>INDENIZAÇÃO</v>
      </c>
      <c r="BE33" s="103" t="str">
        <f>IF(AND(AY33&lt;&gt;"AGUARDANDO",AY33&lt;&gt;"",N33="AUXÍLIO ALUGUEL ATÉ INDENIZAÇÃO"),"SIM","NÃO")</f>
        <v>NÃO</v>
      </c>
      <c r="BF33" s="168"/>
      <c r="BG33" s="168"/>
      <c r="BH33" s="168"/>
      <c r="BI33" s="168"/>
      <c r="BJ33" s="168"/>
      <c r="BK33" s="168"/>
      <c r="BL33" s="168"/>
      <c r="BM33" s="168"/>
    </row>
    <row r="34" spans="1:65" ht="30" customHeight="1">
      <c r="A34" s="144">
        <v>27</v>
      </c>
      <c r="B34" s="144" t="s">
        <v>4427</v>
      </c>
      <c r="C34" s="194" t="s">
        <v>4329</v>
      </c>
      <c r="D34" s="194" t="s">
        <v>4329</v>
      </c>
      <c r="E34" s="144" t="s">
        <v>4329</v>
      </c>
      <c r="F34" s="148"/>
      <c r="G34" s="144"/>
      <c r="H34" s="144"/>
      <c r="I34" s="147"/>
      <c r="J34" s="170"/>
      <c r="K34" s="148"/>
      <c r="L34" s="148"/>
      <c r="M34" s="144"/>
      <c r="N34" s="144"/>
      <c r="O34" s="134"/>
      <c r="P34" s="104"/>
      <c r="Q34" s="107"/>
      <c r="R34" s="107"/>
      <c r="S34" s="107"/>
      <c r="T34" s="107"/>
      <c r="U34" s="107"/>
      <c r="V34" s="107"/>
      <c r="W34" s="107"/>
      <c r="X34" s="104"/>
      <c r="Y34" s="104"/>
      <c r="Z34" s="104"/>
      <c r="AA34" s="144"/>
      <c r="AB34" s="170"/>
      <c r="AC34" s="170"/>
      <c r="AD34" s="170"/>
      <c r="AE34" s="172"/>
      <c r="AF34" s="172"/>
      <c r="AG34" s="203"/>
      <c r="AH34" s="203"/>
      <c r="AI34" s="172"/>
      <c r="AJ34" s="148"/>
      <c r="AK34" s="144"/>
      <c r="AL34" s="144"/>
      <c r="AM34" s="144"/>
      <c r="AN34" s="144"/>
      <c r="AO34" s="144"/>
      <c r="AP34" s="166"/>
      <c r="AQ34" s="144"/>
      <c r="AR34" s="144"/>
      <c r="AS34" s="103"/>
      <c r="AT34" s="144"/>
      <c r="AU34" s="134"/>
      <c r="AV34" s="144"/>
      <c r="AW34" s="144"/>
      <c r="AX34" s="134"/>
      <c r="AY34" s="145"/>
      <c r="AZ34" s="173"/>
      <c r="BA34" s="144"/>
      <c r="BB34" s="167"/>
      <c r="BC34" s="178" t="str">
        <f>IF(AY34-KD34=0,"",AY34-O34)</f>
        <v/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68"/>
      <c r="BG34" s="168"/>
      <c r="BH34" s="168"/>
      <c r="BI34" s="168"/>
      <c r="BJ34" s="168"/>
      <c r="BK34" s="168"/>
      <c r="BL34" s="168"/>
      <c r="BM34" s="168"/>
    </row>
    <row r="35" spans="1:65" ht="30" customHeight="1">
      <c r="A35" s="144">
        <v>28</v>
      </c>
      <c r="B35" s="144" t="s">
        <v>4427</v>
      </c>
      <c r="C35" s="194" t="s">
        <v>4329</v>
      </c>
      <c r="D35" s="194" t="s">
        <v>4329</v>
      </c>
      <c r="E35" s="144" t="s">
        <v>4329</v>
      </c>
      <c r="F35" s="148"/>
      <c r="G35" s="144"/>
      <c r="H35" s="144"/>
      <c r="I35" s="147"/>
      <c r="J35" s="170"/>
      <c r="K35" s="148"/>
      <c r="L35" s="148"/>
      <c r="M35" s="144"/>
      <c r="N35" s="144"/>
      <c r="O35" s="134"/>
      <c r="P35" s="104"/>
      <c r="Q35" s="107"/>
      <c r="R35" s="107"/>
      <c r="S35" s="107"/>
      <c r="T35" s="107"/>
      <c r="U35" s="107"/>
      <c r="V35" s="107"/>
      <c r="W35" s="107"/>
      <c r="X35" s="104"/>
      <c r="Y35" s="104"/>
      <c r="Z35" s="104"/>
      <c r="AA35" s="144"/>
      <c r="AB35" s="170"/>
      <c r="AC35" s="170"/>
      <c r="AD35" s="170"/>
      <c r="AE35" s="172"/>
      <c r="AF35" s="172"/>
      <c r="AG35" s="203"/>
      <c r="AH35" s="203"/>
      <c r="AI35" s="172"/>
      <c r="AJ35" s="148"/>
      <c r="AK35" s="144"/>
      <c r="AL35" s="144"/>
      <c r="AM35" s="144"/>
      <c r="AN35" s="144"/>
      <c r="AO35" s="144"/>
      <c r="AP35" s="166"/>
      <c r="AQ35" s="144"/>
      <c r="AR35" s="144"/>
      <c r="AS35" s="103"/>
      <c r="AT35" s="144"/>
      <c r="AU35" s="134"/>
      <c r="AV35" s="144"/>
      <c r="AW35" s="144"/>
      <c r="AX35" s="134"/>
      <c r="AY35" s="145"/>
      <c r="AZ35" s="173"/>
      <c r="BA35" s="144"/>
      <c r="BB35" s="167"/>
      <c r="BC35" s="178" t="str">
        <f>IF(AY35-KD35=0,"",AY35-O35)</f>
        <v/>
      </c>
      <c r="BD35" s="103" t="str">
        <f>IF(AND(AI35&lt;&gt;"SIM",AI35="UH"),"AA","INDENIZAÇÃO")</f>
        <v>INDENIZAÇÃO</v>
      </c>
      <c r="BE35" s="103" t="str">
        <f>IF(AND(AY35&lt;&gt;"AGUARDANDO",AY35&lt;&gt;"",N35="AUXÍLIO ALUGUEL ATÉ INDENIZAÇÃO"),"SIM","NÃO")</f>
        <v>NÃO</v>
      </c>
      <c r="BF35" s="168"/>
      <c r="BG35" s="168"/>
      <c r="BH35" s="168"/>
      <c r="BI35" s="168"/>
      <c r="BJ35" s="168"/>
      <c r="BK35" s="168"/>
      <c r="BL35" s="168"/>
      <c r="BM35" s="168"/>
    </row>
    <row r="36" spans="1:65" ht="30" customHeight="1">
      <c r="A36" s="144">
        <v>29</v>
      </c>
      <c r="B36" s="144" t="s">
        <v>4427</v>
      </c>
      <c r="C36" s="194" t="s">
        <v>4329</v>
      </c>
      <c r="D36" s="194" t="s">
        <v>4329</v>
      </c>
      <c r="E36" s="144" t="s">
        <v>4329</v>
      </c>
      <c r="F36" s="148"/>
      <c r="G36" s="144"/>
      <c r="H36" s="144"/>
      <c r="I36" s="147"/>
      <c r="J36" s="170"/>
      <c r="K36" s="148"/>
      <c r="L36" s="148"/>
      <c r="M36" s="144"/>
      <c r="N36" s="144"/>
      <c r="O36" s="134"/>
      <c r="P36" s="104"/>
      <c r="Q36" s="107"/>
      <c r="R36" s="107"/>
      <c r="S36" s="107"/>
      <c r="T36" s="107"/>
      <c r="U36" s="107"/>
      <c r="V36" s="107"/>
      <c r="W36" s="107"/>
      <c r="X36" s="104"/>
      <c r="Y36" s="104"/>
      <c r="Z36" s="104"/>
      <c r="AA36" s="144"/>
      <c r="AB36" s="170"/>
      <c r="AC36" s="170"/>
      <c r="AD36" s="170"/>
      <c r="AE36" s="172"/>
      <c r="AF36" s="172"/>
      <c r="AG36" s="203"/>
      <c r="AH36" s="203"/>
      <c r="AI36" s="172"/>
      <c r="AJ36" s="148"/>
      <c r="AK36" s="144"/>
      <c r="AL36" s="144"/>
      <c r="AM36" s="144"/>
      <c r="AN36" s="144"/>
      <c r="AO36" s="144"/>
      <c r="AP36" s="166"/>
      <c r="AQ36" s="144"/>
      <c r="AR36" s="144"/>
      <c r="AS36" s="103"/>
      <c r="AT36" s="144"/>
      <c r="AU36" s="134"/>
      <c r="AV36" s="144"/>
      <c r="AW36" s="144"/>
      <c r="AX36" s="134"/>
      <c r="AY36" s="145"/>
      <c r="AZ36" s="173"/>
      <c r="BA36" s="144"/>
      <c r="BB36" s="167"/>
      <c r="BC36" s="178" t="str">
        <f>IF(AY36-KD36=0,"",AY36-O36)</f>
        <v/>
      </c>
      <c r="BD36" s="103" t="str">
        <f>IF(AND(AI36&lt;&gt;"SIM",AI36="UH"),"AA","INDENIZAÇÃO")</f>
        <v>INDENIZAÇÃO</v>
      </c>
      <c r="BE36" s="103" t="str">
        <f>IF(AND(AY36&lt;&gt;"AGUARDANDO",AY36&lt;&gt;"",N36="AUXÍLIO ALUGUEL ATÉ INDENIZAÇÃO"),"SIM","NÃO")</f>
        <v>NÃO</v>
      </c>
      <c r="BF36" s="168"/>
      <c r="BG36" s="168"/>
      <c r="BH36" s="168"/>
      <c r="BI36" s="168"/>
      <c r="BJ36" s="168"/>
      <c r="BK36" s="168"/>
      <c r="BL36" s="168"/>
      <c r="BM36" s="168"/>
    </row>
    <row r="37" spans="1:65" ht="30" customHeight="1">
      <c r="A37" s="144"/>
      <c r="B37" s="144"/>
      <c r="C37" s="144"/>
      <c r="D37" s="144"/>
      <c r="E37" s="144"/>
      <c r="F37" s="148"/>
      <c r="G37" s="144"/>
      <c r="H37" s="144"/>
      <c r="I37" s="147"/>
      <c r="J37" s="170"/>
      <c r="K37" s="148"/>
      <c r="L37" s="148"/>
      <c r="M37" s="144"/>
      <c r="N37" s="144"/>
      <c r="O37" s="134"/>
      <c r="P37" s="104"/>
      <c r="Q37" s="107"/>
      <c r="R37" s="107"/>
      <c r="S37" s="107"/>
      <c r="T37" s="107"/>
      <c r="U37" s="107"/>
      <c r="V37" s="107"/>
      <c r="W37" s="107"/>
      <c r="X37" s="104"/>
      <c r="Y37" s="104"/>
      <c r="Z37" s="104"/>
      <c r="AA37" s="144"/>
      <c r="AB37" s="170"/>
      <c r="AC37" s="170"/>
      <c r="AD37" s="170"/>
      <c r="AE37" s="172"/>
      <c r="AF37" s="172"/>
      <c r="AG37" s="203"/>
      <c r="AH37" s="203"/>
      <c r="AI37" s="172"/>
      <c r="AJ37" s="148"/>
      <c r="AK37" s="144"/>
      <c r="AL37" s="144"/>
      <c r="AM37" s="144"/>
      <c r="AN37" s="144"/>
      <c r="AO37" s="144"/>
      <c r="AP37" s="166"/>
      <c r="AQ37" s="144"/>
      <c r="AR37" s="144"/>
      <c r="AS37" s="103"/>
      <c r="AT37" s="144"/>
      <c r="AU37" s="134"/>
      <c r="AV37" s="144"/>
      <c r="AW37" s="144"/>
      <c r="AX37" s="134"/>
      <c r="AY37" s="145"/>
      <c r="AZ37" s="173"/>
      <c r="BA37" s="144"/>
      <c r="BB37" s="167"/>
      <c r="BC37" s="178"/>
      <c r="BD37" s="103"/>
      <c r="BE37" s="103"/>
      <c r="BF37" s="168"/>
      <c r="BG37" s="168"/>
      <c r="BH37" s="168"/>
      <c r="BI37" s="168"/>
      <c r="BJ37" s="168"/>
      <c r="BK37" s="168"/>
      <c r="BL37" s="168"/>
      <c r="BM37" s="168"/>
    </row>
    <row r="38" spans="1:65" ht="30" customHeight="1">
      <c r="A38" s="144"/>
      <c r="B38" s="144"/>
      <c r="C38" s="144"/>
      <c r="D38" s="144"/>
      <c r="E38" s="144"/>
      <c r="F38" s="148"/>
      <c r="G38" s="144"/>
      <c r="H38" s="144"/>
      <c r="I38" s="147"/>
      <c r="J38" s="170"/>
      <c r="K38" s="148"/>
      <c r="L38" s="148"/>
      <c r="M38" s="144"/>
      <c r="N38" s="144"/>
      <c r="O38" s="134"/>
      <c r="P38" s="104"/>
      <c r="Q38" s="107"/>
      <c r="R38" s="107"/>
      <c r="S38" s="107"/>
      <c r="T38" s="107"/>
      <c r="U38" s="107"/>
      <c r="V38" s="107"/>
      <c r="W38" s="107"/>
      <c r="X38" s="104"/>
      <c r="Y38" s="104"/>
      <c r="Z38" s="104"/>
      <c r="AA38" s="144"/>
      <c r="AB38" s="170"/>
      <c r="AC38" s="170"/>
      <c r="AD38" s="170"/>
      <c r="AE38" s="172"/>
      <c r="AF38" s="172"/>
      <c r="AG38" s="203"/>
      <c r="AH38" s="203"/>
      <c r="AI38" s="172"/>
      <c r="AJ38" s="148"/>
      <c r="AK38" s="144"/>
      <c r="AL38" s="144"/>
      <c r="AM38" s="144"/>
      <c r="AN38" s="144"/>
      <c r="AO38" s="144"/>
      <c r="AP38" s="166"/>
      <c r="AQ38" s="144"/>
      <c r="AR38" s="144"/>
      <c r="AS38" s="103"/>
      <c r="AT38" s="144"/>
      <c r="AU38" s="134"/>
      <c r="AV38" s="144"/>
      <c r="AW38" s="144"/>
      <c r="AX38" s="134"/>
      <c r="AY38" s="145"/>
      <c r="AZ38" s="173"/>
      <c r="BA38" s="144"/>
      <c r="BB38" s="167"/>
      <c r="BC38" s="178"/>
      <c r="BD38" s="103"/>
      <c r="BE38" s="103"/>
      <c r="BF38" s="168"/>
      <c r="BG38" s="168"/>
      <c r="BH38" s="168"/>
      <c r="BI38" s="168"/>
      <c r="BJ38" s="168"/>
      <c r="BK38" s="168"/>
      <c r="BL38" s="168"/>
      <c r="BM38" s="168"/>
    </row>
    <row r="39" spans="1:65" ht="30" customHeight="1">
      <c r="A39" s="144"/>
      <c r="B39" s="144"/>
      <c r="C39" s="144"/>
      <c r="D39" s="144"/>
      <c r="E39" s="144"/>
      <c r="F39" s="148"/>
      <c r="G39" s="144"/>
      <c r="H39" s="144"/>
      <c r="I39" s="147"/>
      <c r="J39" s="170"/>
      <c r="K39" s="148"/>
      <c r="L39" s="148"/>
      <c r="M39" s="144"/>
      <c r="N39" s="144"/>
      <c r="O39" s="134"/>
      <c r="P39" s="104"/>
      <c r="Q39" s="107"/>
      <c r="R39" s="107"/>
      <c r="S39" s="107"/>
      <c r="T39" s="107"/>
      <c r="U39" s="107"/>
      <c r="V39" s="107"/>
      <c r="W39" s="107"/>
      <c r="X39" s="104"/>
      <c r="Y39" s="104"/>
      <c r="Z39" s="104"/>
      <c r="AA39" s="144"/>
      <c r="AB39" s="170"/>
      <c r="AC39" s="170"/>
      <c r="AD39" s="170"/>
      <c r="AE39" s="172"/>
      <c r="AF39" s="172"/>
      <c r="AG39" s="203"/>
      <c r="AH39" s="203"/>
      <c r="AI39" s="172"/>
      <c r="AJ39" s="148"/>
      <c r="AK39" s="144"/>
      <c r="AL39" s="144"/>
      <c r="AM39" s="144"/>
      <c r="AN39" s="144"/>
      <c r="AO39" s="144"/>
      <c r="AP39" s="166"/>
      <c r="AQ39" s="144"/>
      <c r="AR39" s="144"/>
      <c r="AS39" s="103"/>
      <c r="AT39" s="144"/>
      <c r="AU39" s="134"/>
      <c r="AV39" s="144"/>
      <c r="AW39" s="144"/>
      <c r="AX39" s="134"/>
      <c r="AY39" s="145"/>
      <c r="AZ39" s="173"/>
      <c r="BA39" s="144"/>
      <c r="BB39" s="167"/>
      <c r="BC39" s="178"/>
      <c r="BD39" s="103"/>
      <c r="BE39" s="103"/>
      <c r="BF39" s="168"/>
      <c r="BG39" s="168"/>
      <c r="BH39" s="168"/>
      <c r="BI39" s="168"/>
      <c r="BJ39" s="168"/>
      <c r="BK39" s="168"/>
      <c r="BL39" s="168"/>
      <c r="BM39" s="168"/>
    </row>
    <row r="40" spans="1:65" ht="30" customHeight="1">
      <c r="A40" s="144"/>
      <c r="B40" s="144"/>
      <c r="C40" s="144"/>
      <c r="D40" s="144"/>
      <c r="E40" s="144"/>
      <c r="F40" s="148"/>
      <c r="G40" s="144"/>
      <c r="H40" s="144"/>
      <c r="I40" s="147"/>
      <c r="J40" s="170"/>
      <c r="K40" s="148"/>
      <c r="L40" s="148"/>
      <c r="M40" s="144"/>
      <c r="N40" s="144"/>
      <c r="O40" s="134"/>
      <c r="P40" s="104"/>
      <c r="Q40" s="107"/>
      <c r="R40" s="107"/>
      <c r="S40" s="107"/>
      <c r="T40" s="107"/>
      <c r="U40" s="107"/>
      <c r="V40" s="107"/>
      <c r="W40" s="107"/>
      <c r="X40" s="104"/>
      <c r="Y40" s="104"/>
      <c r="Z40" s="104"/>
      <c r="AA40" s="144"/>
      <c r="AB40" s="170"/>
      <c r="AC40" s="170"/>
      <c r="AD40" s="170"/>
      <c r="AE40" s="172"/>
      <c r="AF40" s="172"/>
      <c r="AG40" s="203"/>
      <c r="AH40" s="203"/>
      <c r="AI40" s="172"/>
      <c r="AJ40" s="148"/>
      <c r="AK40" s="144"/>
      <c r="AL40" s="144"/>
      <c r="AM40" s="144"/>
      <c r="AN40" s="144"/>
      <c r="AO40" s="144"/>
      <c r="AP40" s="166"/>
      <c r="AQ40" s="144"/>
      <c r="AR40" s="144"/>
      <c r="AS40" s="103"/>
      <c r="AT40" s="144"/>
      <c r="AU40" s="134"/>
      <c r="AV40" s="144"/>
      <c r="AW40" s="144"/>
      <c r="AX40" s="134"/>
      <c r="AY40" s="145"/>
      <c r="AZ40" s="173"/>
      <c r="BA40" s="144"/>
      <c r="BB40" s="167"/>
      <c r="BC40" s="178"/>
      <c r="BD40" s="103"/>
      <c r="BE40" s="103"/>
      <c r="BF40" s="168"/>
      <c r="BG40" s="168"/>
      <c r="BH40" s="168"/>
      <c r="BI40" s="168"/>
      <c r="BJ40" s="168"/>
      <c r="BK40" s="168"/>
      <c r="BL40" s="168"/>
      <c r="BM40" s="168"/>
    </row>
    <row r="41" spans="1:65" ht="30" customHeight="1">
      <c r="A41" s="144"/>
      <c r="B41" s="144"/>
      <c r="C41" s="144"/>
      <c r="D41" s="144"/>
      <c r="E41" s="144"/>
      <c r="F41" s="148"/>
      <c r="G41" s="144"/>
      <c r="H41" s="144"/>
      <c r="I41" s="147"/>
      <c r="J41" s="170"/>
      <c r="K41" s="148"/>
      <c r="L41" s="148"/>
      <c r="M41" s="144"/>
      <c r="N41" s="144"/>
      <c r="O41" s="134"/>
      <c r="P41" s="104"/>
      <c r="Q41" s="107"/>
      <c r="R41" s="107"/>
      <c r="S41" s="107"/>
      <c r="T41" s="107"/>
      <c r="U41" s="107"/>
      <c r="V41" s="107"/>
      <c r="W41" s="107"/>
      <c r="X41" s="104"/>
      <c r="Y41" s="104"/>
      <c r="Z41" s="104"/>
      <c r="AA41" s="144"/>
      <c r="AB41" s="170"/>
      <c r="AC41" s="170"/>
      <c r="AD41" s="170"/>
      <c r="AE41" s="172"/>
      <c r="AF41" s="172"/>
      <c r="AG41" s="203"/>
      <c r="AH41" s="203"/>
      <c r="AI41" s="172"/>
      <c r="AJ41" s="148"/>
      <c r="AK41" s="144"/>
      <c r="AL41" s="144"/>
      <c r="AM41" s="144"/>
      <c r="AN41" s="144"/>
      <c r="AO41" s="144"/>
      <c r="AP41" s="166"/>
      <c r="AQ41" s="144"/>
      <c r="AR41" s="144"/>
      <c r="AS41" s="103"/>
      <c r="AT41" s="144"/>
      <c r="AU41" s="134"/>
      <c r="AV41" s="144"/>
      <c r="AW41" s="144"/>
      <c r="AX41" s="134"/>
      <c r="AY41" s="145"/>
      <c r="AZ41" s="173"/>
      <c r="BA41" s="144"/>
      <c r="BB41" s="167"/>
      <c r="BC41" s="178"/>
      <c r="BD41" s="103"/>
      <c r="BE41" s="103"/>
      <c r="BF41" s="168"/>
      <c r="BG41" s="168"/>
      <c r="BH41" s="168"/>
      <c r="BI41" s="168"/>
      <c r="BJ41" s="168"/>
      <c r="BK41" s="168"/>
      <c r="BL41" s="168"/>
      <c r="BM41" s="168"/>
    </row>
    <row r="42" spans="1:65" ht="30" customHeight="1">
      <c r="A42" s="144"/>
      <c r="B42" s="144"/>
      <c r="C42" s="144"/>
      <c r="D42" s="144"/>
      <c r="E42" s="144"/>
      <c r="F42" s="148"/>
      <c r="G42" s="144"/>
      <c r="H42" s="144"/>
      <c r="I42" s="147"/>
      <c r="J42" s="170"/>
      <c r="K42" s="148"/>
      <c r="L42" s="148"/>
      <c r="M42" s="144"/>
      <c r="N42" s="144"/>
      <c r="O42" s="134"/>
      <c r="P42" s="104"/>
      <c r="Q42" s="107"/>
      <c r="R42" s="107"/>
      <c r="S42" s="107"/>
      <c r="T42" s="107"/>
      <c r="U42" s="107"/>
      <c r="V42" s="107"/>
      <c r="W42" s="107"/>
      <c r="X42" s="104"/>
      <c r="Y42" s="104"/>
      <c r="Z42" s="104"/>
      <c r="AA42" s="144"/>
      <c r="AB42" s="170"/>
      <c r="AC42" s="170"/>
      <c r="AD42" s="170"/>
      <c r="AE42" s="172"/>
      <c r="AF42" s="172"/>
      <c r="AG42" s="203"/>
      <c r="AH42" s="203"/>
      <c r="AI42" s="172"/>
      <c r="AJ42" s="148"/>
      <c r="AK42" s="144"/>
      <c r="AL42" s="144"/>
      <c r="AM42" s="144"/>
      <c r="AN42" s="144"/>
      <c r="AO42" s="144"/>
      <c r="AP42" s="166"/>
      <c r="AQ42" s="144"/>
      <c r="AR42" s="144"/>
      <c r="AS42" s="103"/>
      <c r="AT42" s="144"/>
      <c r="AU42" s="134"/>
      <c r="AV42" s="144"/>
      <c r="AW42" s="144"/>
      <c r="AX42" s="134"/>
      <c r="AY42" s="145"/>
      <c r="AZ42" s="173"/>
      <c r="BA42" s="144"/>
      <c r="BB42" s="167"/>
      <c r="BC42" s="178"/>
      <c r="BD42" s="103"/>
      <c r="BE42" s="103"/>
      <c r="BF42" s="168"/>
      <c r="BG42" s="168"/>
      <c r="BH42" s="168"/>
      <c r="BI42" s="168"/>
      <c r="BJ42" s="168"/>
      <c r="BK42" s="168"/>
      <c r="BL42" s="168"/>
      <c r="BM42" s="168"/>
    </row>
    <row r="43" spans="1:65" ht="30" customHeight="1">
      <c r="A43" s="144"/>
      <c r="B43" s="144"/>
      <c r="C43" s="144"/>
      <c r="D43" s="144"/>
      <c r="E43" s="144"/>
      <c r="F43" s="148"/>
      <c r="G43" s="144"/>
      <c r="H43" s="144"/>
      <c r="I43" s="147"/>
      <c r="J43" s="170"/>
      <c r="K43" s="148"/>
      <c r="L43" s="148"/>
      <c r="M43" s="144"/>
      <c r="N43" s="144"/>
      <c r="O43" s="134"/>
      <c r="P43" s="104"/>
      <c r="Q43" s="107"/>
      <c r="R43" s="107"/>
      <c r="S43" s="107"/>
      <c r="T43" s="107"/>
      <c r="U43" s="107"/>
      <c r="V43" s="107"/>
      <c r="W43" s="107"/>
      <c r="X43" s="104"/>
      <c r="Y43" s="104"/>
      <c r="Z43" s="104"/>
      <c r="AA43" s="144"/>
      <c r="AB43" s="170"/>
      <c r="AC43" s="170"/>
      <c r="AD43" s="170"/>
      <c r="AE43" s="172"/>
      <c r="AF43" s="172"/>
      <c r="AG43" s="203"/>
      <c r="AH43" s="203"/>
      <c r="AI43" s="172"/>
      <c r="AJ43" s="148"/>
      <c r="AK43" s="144"/>
      <c r="AL43" s="144"/>
      <c r="AM43" s="144"/>
      <c r="AN43" s="144"/>
      <c r="AO43" s="144"/>
      <c r="AP43" s="166"/>
      <c r="AQ43" s="144"/>
      <c r="AR43" s="144"/>
      <c r="AS43" s="103"/>
      <c r="AT43" s="144"/>
      <c r="AU43" s="134"/>
      <c r="AV43" s="144"/>
      <c r="AW43" s="144"/>
      <c r="AX43" s="134"/>
      <c r="AY43" s="145"/>
      <c r="AZ43" s="173"/>
      <c r="BA43" s="144"/>
      <c r="BB43" s="167"/>
      <c r="BC43" s="178"/>
      <c r="BD43" s="103"/>
      <c r="BE43" s="103"/>
      <c r="BF43" s="168"/>
      <c r="BG43" s="168"/>
      <c r="BH43" s="168"/>
      <c r="BI43" s="168"/>
      <c r="BJ43" s="168"/>
      <c r="BK43" s="168"/>
      <c r="BL43" s="168"/>
      <c r="BM43" s="168"/>
    </row>
    <row r="44" spans="1:65" ht="30" customHeight="1">
      <c r="A44" s="144"/>
      <c r="B44" s="144"/>
      <c r="C44" s="144"/>
      <c r="D44" s="144"/>
      <c r="E44" s="144"/>
      <c r="F44" s="148"/>
      <c r="G44" s="144"/>
      <c r="H44" s="144"/>
      <c r="I44" s="147"/>
      <c r="J44" s="170"/>
      <c r="K44" s="148"/>
      <c r="L44" s="148"/>
      <c r="M44" s="144"/>
      <c r="N44" s="144"/>
      <c r="O44" s="134"/>
      <c r="P44" s="104"/>
      <c r="Q44" s="107"/>
      <c r="R44" s="107"/>
      <c r="S44" s="107"/>
      <c r="T44" s="107"/>
      <c r="U44" s="107"/>
      <c r="V44" s="107"/>
      <c r="W44" s="107"/>
      <c r="X44" s="104"/>
      <c r="Y44" s="104"/>
      <c r="Z44" s="104"/>
      <c r="AA44" s="144"/>
      <c r="AB44" s="170"/>
      <c r="AC44" s="170"/>
      <c r="AD44" s="170"/>
      <c r="AE44" s="172"/>
      <c r="AF44" s="172"/>
      <c r="AG44" s="203"/>
      <c r="AH44" s="203"/>
      <c r="AI44" s="172"/>
      <c r="AJ44" s="148"/>
      <c r="AK44" s="144"/>
      <c r="AL44" s="144"/>
      <c r="AM44" s="144"/>
      <c r="AN44" s="144"/>
      <c r="AO44" s="144"/>
      <c r="AP44" s="166"/>
      <c r="AQ44" s="144"/>
      <c r="AR44" s="144"/>
      <c r="AS44" s="103"/>
      <c r="AT44" s="144"/>
      <c r="AU44" s="134"/>
      <c r="AV44" s="144"/>
      <c r="AW44" s="144"/>
      <c r="AX44" s="134"/>
      <c r="AY44" s="145"/>
      <c r="AZ44" s="173"/>
      <c r="BA44" s="144"/>
      <c r="BB44" s="167"/>
      <c r="BC44" s="178"/>
      <c r="BD44" s="103"/>
      <c r="BE44" s="103"/>
      <c r="BF44" s="168"/>
      <c r="BG44" s="168"/>
      <c r="BH44" s="168"/>
      <c r="BI44" s="168"/>
      <c r="BJ44" s="168"/>
      <c r="BK44" s="168"/>
      <c r="BL44" s="168"/>
      <c r="BM44" s="168"/>
    </row>
    <row r="45" spans="1:65" ht="30" customHeight="1">
      <c r="A45" s="144"/>
      <c r="B45" s="144"/>
      <c r="C45" s="144"/>
      <c r="D45" s="144"/>
      <c r="E45" s="144"/>
      <c r="F45" s="148"/>
      <c r="G45" s="144"/>
      <c r="H45" s="144"/>
      <c r="I45" s="147"/>
      <c r="J45" s="170"/>
      <c r="K45" s="148"/>
      <c r="L45" s="148"/>
      <c r="M45" s="144"/>
      <c r="N45" s="144"/>
      <c r="O45" s="134"/>
      <c r="P45" s="104"/>
      <c r="Q45" s="107"/>
      <c r="R45" s="107"/>
      <c r="S45" s="107"/>
      <c r="T45" s="107"/>
      <c r="U45" s="107"/>
      <c r="V45" s="107"/>
      <c r="W45" s="107"/>
      <c r="X45" s="104"/>
      <c r="Y45" s="104"/>
      <c r="Z45" s="104"/>
      <c r="AA45" s="144"/>
      <c r="AB45" s="170"/>
      <c r="AC45" s="170"/>
      <c r="AD45" s="170"/>
      <c r="AE45" s="172"/>
      <c r="AF45" s="172"/>
      <c r="AG45" s="203"/>
      <c r="AH45" s="203"/>
      <c r="AI45" s="172"/>
      <c r="AJ45" s="148"/>
      <c r="AK45" s="144"/>
      <c r="AL45" s="144"/>
      <c r="AM45" s="144"/>
      <c r="AN45" s="144"/>
      <c r="AO45" s="144"/>
      <c r="AP45" s="166"/>
      <c r="AQ45" s="144"/>
      <c r="AR45" s="144"/>
      <c r="AS45" s="103"/>
      <c r="AT45" s="144"/>
      <c r="AU45" s="134"/>
      <c r="AV45" s="144"/>
      <c r="AW45" s="144"/>
      <c r="AX45" s="134"/>
      <c r="AY45" s="145"/>
      <c r="AZ45" s="173"/>
      <c r="BA45" s="144"/>
      <c r="BB45" s="167"/>
      <c r="BC45" s="178"/>
      <c r="BD45" s="103"/>
      <c r="BE45" s="103"/>
      <c r="BF45" s="168"/>
      <c r="BG45" s="168"/>
      <c r="BH45" s="168"/>
      <c r="BI45" s="168"/>
      <c r="BJ45" s="168"/>
      <c r="BK45" s="168"/>
      <c r="BL45" s="168"/>
      <c r="BM45" s="168"/>
    </row>
    <row r="46" spans="1:65" ht="30" customHeight="1">
      <c r="A46" s="144"/>
      <c r="B46" s="144"/>
      <c r="C46" s="144"/>
      <c r="D46" s="144"/>
      <c r="E46" s="144"/>
      <c r="F46" s="148"/>
      <c r="G46" s="144"/>
      <c r="H46" s="144"/>
      <c r="I46" s="147"/>
      <c r="J46" s="170"/>
      <c r="K46" s="148"/>
      <c r="L46" s="148"/>
      <c r="M46" s="144"/>
      <c r="N46" s="144"/>
      <c r="O46" s="134"/>
      <c r="P46" s="104"/>
      <c r="Q46" s="107"/>
      <c r="R46" s="107"/>
      <c r="S46" s="107"/>
      <c r="T46" s="107"/>
      <c r="U46" s="107"/>
      <c r="V46" s="107"/>
      <c r="W46" s="107"/>
      <c r="X46" s="104"/>
      <c r="Y46" s="104"/>
      <c r="Z46" s="104"/>
      <c r="AA46" s="144"/>
      <c r="AB46" s="170"/>
      <c r="AC46" s="170"/>
      <c r="AD46" s="170"/>
      <c r="AE46" s="172"/>
      <c r="AF46" s="172"/>
      <c r="AG46" s="203"/>
      <c r="AH46" s="203"/>
      <c r="AI46" s="172"/>
      <c r="AJ46" s="148"/>
      <c r="AK46" s="144"/>
      <c r="AL46" s="144"/>
      <c r="AM46" s="144"/>
      <c r="AN46" s="144"/>
      <c r="AO46" s="144"/>
      <c r="AP46" s="166"/>
      <c r="AQ46" s="144"/>
      <c r="AR46" s="144"/>
      <c r="AS46" s="103"/>
      <c r="AT46" s="144"/>
      <c r="AU46" s="134"/>
      <c r="AV46" s="144"/>
      <c r="AW46" s="144"/>
      <c r="AX46" s="134"/>
      <c r="AY46" s="145"/>
      <c r="AZ46" s="173"/>
      <c r="BA46" s="144"/>
      <c r="BB46" s="167"/>
      <c r="BC46" s="178"/>
      <c r="BD46" s="103"/>
      <c r="BE46" s="103"/>
      <c r="BF46" s="168"/>
      <c r="BG46" s="168"/>
      <c r="BH46" s="168"/>
      <c r="BI46" s="168"/>
      <c r="BJ46" s="168"/>
      <c r="BK46" s="168"/>
      <c r="BL46" s="168"/>
      <c r="BM46" s="168"/>
    </row>
    <row r="47" spans="1:65" ht="30" customHeight="1">
      <c r="A47" s="144"/>
      <c r="B47" s="144"/>
      <c r="C47" s="144"/>
      <c r="D47" s="144"/>
      <c r="E47" s="144"/>
      <c r="F47" s="148"/>
      <c r="G47" s="144"/>
      <c r="H47" s="144"/>
      <c r="I47" s="147"/>
      <c r="J47" s="170"/>
      <c r="K47" s="148"/>
      <c r="L47" s="148"/>
      <c r="M47" s="144"/>
      <c r="N47" s="144"/>
      <c r="O47" s="134"/>
      <c r="P47" s="104"/>
      <c r="Q47" s="107"/>
      <c r="R47" s="107"/>
      <c r="S47" s="107"/>
      <c r="T47" s="107"/>
      <c r="U47" s="107"/>
      <c r="V47" s="107"/>
      <c r="W47" s="107"/>
      <c r="X47" s="104"/>
      <c r="Y47" s="104"/>
      <c r="Z47" s="104"/>
      <c r="AA47" s="144"/>
      <c r="AB47" s="170"/>
      <c r="AC47" s="170"/>
      <c r="AD47" s="170"/>
      <c r="AE47" s="172"/>
      <c r="AF47" s="172"/>
      <c r="AG47" s="203"/>
      <c r="AH47" s="203"/>
      <c r="AI47" s="172"/>
      <c r="AJ47" s="148"/>
      <c r="AK47" s="144"/>
      <c r="AL47" s="144"/>
      <c r="AM47" s="144"/>
      <c r="AN47" s="144"/>
      <c r="AO47" s="144"/>
      <c r="AP47" s="166"/>
      <c r="AQ47" s="144"/>
      <c r="AR47" s="144"/>
      <c r="AS47" s="103"/>
      <c r="AT47" s="144"/>
      <c r="AU47" s="134"/>
      <c r="AV47" s="144"/>
      <c r="AW47" s="144"/>
      <c r="AX47" s="134"/>
      <c r="AY47" s="145"/>
      <c r="AZ47" s="173"/>
      <c r="BA47" s="144"/>
      <c r="BB47" s="167"/>
      <c r="BC47" s="178"/>
      <c r="BD47" s="103"/>
      <c r="BE47" s="103"/>
      <c r="BF47" s="168"/>
      <c r="BG47" s="168"/>
      <c r="BH47" s="168"/>
      <c r="BI47" s="168"/>
      <c r="BJ47" s="168"/>
      <c r="BK47" s="168"/>
      <c r="BL47" s="168"/>
      <c r="BM47" s="168"/>
    </row>
    <row r="48" spans="1:65" ht="30" customHeight="1">
      <c r="A48" s="144"/>
      <c r="B48" s="144"/>
      <c r="C48" s="144"/>
      <c r="D48" s="144"/>
      <c r="E48" s="144"/>
      <c r="F48" s="148"/>
      <c r="G48" s="144"/>
      <c r="H48" s="144"/>
      <c r="I48" s="147"/>
      <c r="J48" s="170"/>
      <c r="K48" s="148"/>
      <c r="L48" s="148"/>
      <c r="M48" s="144"/>
      <c r="N48" s="144"/>
      <c r="O48" s="134"/>
      <c r="P48" s="104"/>
      <c r="Q48" s="107"/>
      <c r="R48" s="107"/>
      <c r="S48" s="107"/>
      <c r="T48" s="107"/>
      <c r="U48" s="107"/>
      <c r="V48" s="107"/>
      <c r="W48" s="107"/>
      <c r="X48" s="104"/>
      <c r="Y48" s="104"/>
      <c r="Z48" s="104"/>
      <c r="AA48" s="144"/>
      <c r="AB48" s="170"/>
      <c r="AC48" s="170"/>
      <c r="AD48" s="170"/>
      <c r="AE48" s="172"/>
      <c r="AF48" s="172"/>
      <c r="AG48" s="203"/>
      <c r="AH48" s="203"/>
      <c r="AI48" s="172"/>
      <c r="AJ48" s="148"/>
      <c r="AK48" s="144"/>
      <c r="AL48" s="144"/>
      <c r="AM48" s="144"/>
      <c r="AN48" s="144"/>
      <c r="AO48" s="144"/>
      <c r="AP48" s="166"/>
      <c r="AQ48" s="144"/>
      <c r="AR48" s="144"/>
      <c r="AS48" s="103"/>
      <c r="AT48" s="144"/>
      <c r="AU48" s="134"/>
      <c r="AV48" s="144"/>
      <c r="AW48" s="144"/>
      <c r="AX48" s="134"/>
      <c r="AY48" s="145"/>
      <c r="AZ48" s="173"/>
      <c r="BA48" s="144"/>
      <c r="BB48" s="167"/>
      <c r="BC48" s="178"/>
      <c r="BD48" s="103"/>
      <c r="BE48" s="103"/>
      <c r="BF48" s="168"/>
      <c r="BG48" s="168"/>
      <c r="BH48" s="168"/>
      <c r="BI48" s="168"/>
      <c r="BJ48" s="168"/>
      <c r="BK48" s="168"/>
      <c r="BL48" s="168"/>
      <c r="BM48" s="168"/>
    </row>
    <row r="49" spans="1:65" ht="30" customHeight="1">
      <c r="A49" s="144"/>
      <c r="B49" s="144"/>
      <c r="C49" s="144"/>
      <c r="D49" s="144"/>
      <c r="E49" s="144"/>
      <c r="F49" s="148"/>
      <c r="G49" s="144"/>
      <c r="H49" s="144"/>
      <c r="I49" s="147"/>
      <c r="J49" s="170"/>
      <c r="K49" s="148"/>
      <c r="L49" s="148"/>
      <c r="M49" s="144"/>
      <c r="N49" s="144"/>
      <c r="O49" s="134"/>
      <c r="P49" s="104"/>
      <c r="Q49" s="107"/>
      <c r="R49" s="107"/>
      <c r="S49" s="107"/>
      <c r="T49" s="107"/>
      <c r="U49" s="107"/>
      <c r="V49" s="107"/>
      <c r="W49" s="107"/>
      <c r="X49" s="104"/>
      <c r="Y49" s="104"/>
      <c r="Z49" s="104"/>
      <c r="AA49" s="144"/>
      <c r="AB49" s="170"/>
      <c r="AC49" s="170"/>
      <c r="AD49" s="170"/>
      <c r="AE49" s="172"/>
      <c r="AF49" s="172"/>
      <c r="AG49" s="203"/>
      <c r="AH49" s="203"/>
      <c r="AI49" s="172"/>
      <c r="AJ49" s="148"/>
      <c r="AK49" s="144"/>
      <c r="AL49" s="144"/>
      <c r="AM49" s="144"/>
      <c r="AN49" s="144"/>
      <c r="AO49" s="144"/>
      <c r="AP49" s="166"/>
      <c r="AQ49" s="144"/>
      <c r="AR49" s="144"/>
      <c r="AS49" s="103"/>
      <c r="AT49" s="144"/>
      <c r="AU49" s="134"/>
      <c r="AV49" s="144"/>
      <c r="AW49" s="144"/>
      <c r="AX49" s="134"/>
      <c r="AY49" s="145"/>
      <c r="AZ49" s="173"/>
      <c r="BA49" s="144"/>
      <c r="BB49" s="167"/>
      <c r="BC49" s="178"/>
      <c r="BD49" s="103"/>
      <c r="BE49" s="103"/>
      <c r="BF49" s="168"/>
      <c r="BG49" s="168"/>
      <c r="BH49" s="168"/>
      <c r="BI49" s="168"/>
      <c r="BJ49" s="168"/>
      <c r="BK49" s="168"/>
      <c r="BL49" s="168"/>
      <c r="BM49" s="168"/>
    </row>
    <row r="50" spans="1:65" ht="30" customHeight="1">
      <c r="A50" s="144"/>
      <c r="B50" s="144"/>
      <c r="C50" s="144"/>
      <c r="D50" s="144"/>
      <c r="E50" s="144"/>
      <c r="F50" s="148"/>
      <c r="G50" s="144"/>
      <c r="H50" s="144"/>
      <c r="I50" s="147"/>
      <c r="J50" s="170"/>
      <c r="K50" s="148"/>
      <c r="L50" s="148"/>
      <c r="M50" s="144"/>
      <c r="N50" s="144"/>
      <c r="O50" s="134"/>
      <c r="P50" s="104"/>
      <c r="Q50" s="107"/>
      <c r="R50" s="107"/>
      <c r="S50" s="107"/>
      <c r="T50" s="107"/>
      <c r="U50" s="107"/>
      <c r="V50" s="107"/>
      <c r="W50" s="107"/>
      <c r="X50" s="104"/>
      <c r="Y50" s="104"/>
      <c r="Z50" s="104"/>
      <c r="AA50" s="144"/>
      <c r="AB50" s="170"/>
      <c r="AC50" s="170"/>
      <c r="AD50" s="170"/>
      <c r="AE50" s="172"/>
      <c r="AF50" s="172"/>
      <c r="AG50" s="203"/>
      <c r="AH50" s="203"/>
      <c r="AI50" s="172"/>
      <c r="AJ50" s="148"/>
      <c r="AK50" s="144"/>
      <c r="AL50" s="144"/>
      <c r="AM50" s="144"/>
      <c r="AN50" s="144"/>
      <c r="AO50" s="144"/>
      <c r="AP50" s="166"/>
      <c r="AQ50" s="144"/>
      <c r="AR50" s="144"/>
      <c r="AS50" s="103"/>
      <c r="AT50" s="144"/>
      <c r="AU50" s="134"/>
      <c r="AV50" s="144"/>
      <c r="AW50" s="144"/>
      <c r="AX50" s="134"/>
      <c r="AY50" s="145"/>
      <c r="AZ50" s="173"/>
      <c r="BA50" s="144"/>
      <c r="BB50" s="167"/>
      <c r="BC50" s="178"/>
      <c r="BD50" s="103"/>
      <c r="BE50" s="103"/>
      <c r="BF50" s="168"/>
      <c r="BG50" s="168"/>
      <c r="BH50" s="168"/>
      <c r="BI50" s="168"/>
      <c r="BJ50" s="168"/>
      <c r="BK50" s="168"/>
      <c r="BL50" s="168"/>
      <c r="BM50" s="168"/>
    </row>
    <row r="51" spans="1:65" ht="30" customHeight="1">
      <c r="A51" s="144"/>
      <c r="B51" s="144"/>
      <c r="C51" s="144"/>
      <c r="D51" s="144"/>
      <c r="E51" s="144"/>
      <c r="F51" s="148"/>
      <c r="G51" s="144"/>
      <c r="H51" s="144"/>
      <c r="I51" s="147"/>
      <c r="J51" s="170"/>
      <c r="K51" s="148"/>
      <c r="L51" s="148"/>
      <c r="M51" s="144"/>
      <c r="N51" s="144"/>
      <c r="O51" s="134"/>
      <c r="P51" s="104"/>
      <c r="Q51" s="107"/>
      <c r="R51" s="107"/>
      <c r="S51" s="107"/>
      <c r="T51" s="107"/>
      <c r="U51" s="107"/>
      <c r="V51" s="107"/>
      <c r="W51" s="107"/>
      <c r="X51" s="104"/>
      <c r="Y51" s="104"/>
      <c r="Z51" s="104"/>
      <c r="AA51" s="144"/>
      <c r="AB51" s="170"/>
      <c r="AC51" s="170"/>
      <c r="AD51" s="170"/>
      <c r="AE51" s="172"/>
      <c r="AF51" s="172"/>
      <c r="AG51" s="203"/>
      <c r="AH51" s="203"/>
      <c r="AI51" s="172"/>
      <c r="AJ51" s="148"/>
      <c r="AK51" s="144"/>
      <c r="AL51" s="144"/>
      <c r="AM51" s="144"/>
      <c r="AN51" s="144"/>
      <c r="AO51" s="144"/>
      <c r="AP51" s="166"/>
      <c r="AQ51" s="144"/>
      <c r="AR51" s="144"/>
      <c r="AS51" s="103"/>
      <c r="AT51" s="144"/>
      <c r="AU51" s="134"/>
      <c r="AV51" s="144"/>
      <c r="AW51" s="144"/>
      <c r="AX51" s="134"/>
      <c r="AY51" s="145"/>
      <c r="AZ51" s="173"/>
      <c r="BA51" s="144"/>
      <c r="BB51" s="167"/>
      <c r="BC51" s="178"/>
      <c r="BD51" s="103"/>
      <c r="BE51" s="103"/>
      <c r="BF51" s="168"/>
      <c r="BG51" s="168"/>
      <c r="BH51" s="168"/>
      <c r="BI51" s="168"/>
      <c r="BJ51" s="168"/>
      <c r="BK51" s="168"/>
      <c r="BL51" s="168"/>
      <c r="BM51" s="168"/>
    </row>
    <row r="52" spans="1:65" ht="30" customHeight="1">
      <c r="A52" s="144"/>
      <c r="B52" s="144"/>
      <c r="C52" s="144"/>
      <c r="D52" s="144"/>
      <c r="E52" s="144"/>
      <c r="F52" s="148"/>
      <c r="G52" s="144"/>
      <c r="H52" s="144"/>
      <c r="I52" s="147"/>
      <c r="J52" s="170"/>
      <c r="K52" s="148"/>
      <c r="L52" s="148"/>
      <c r="M52" s="144"/>
      <c r="N52" s="144"/>
      <c r="O52" s="134"/>
      <c r="P52" s="104"/>
      <c r="Q52" s="107"/>
      <c r="R52" s="107"/>
      <c r="S52" s="107"/>
      <c r="T52" s="107"/>
      <c r="U52" s="107"/>
      <c r="V52" s="107"/>
      <c r="W52" s="107"/>
      <c r="X52" s="104"/>
      <c r="Y52" s="104"/>
      <c r="Z52" s="104"/>
      <c r="AA52" s="144"/>
      <c r="AB52" s="170"/>
      <c r="AC52" s="170"/>
      <c r="AD52" s="170"/>
      <c r="AE52" s="172"/>
      <c r="AF52" s="172"/>
      <c r="AG52" s="203"/>
      <c r="AH52" s="203"/>
      <c r="AI52" s="172"/>
      <c r="AJ52" s="148"/>
      <c r="AK52" s="144"/>
      <c r="AL52" s="144"/>
      <c r="AM52" s="144"/>
      <c r="AN52" s="144"/>
      <c r="AO52" s="144"/>
      <c r="AP52" s="166"/>
      <c r="AQ52" s="144"/>
      <c r="AR52" s="144"/>
      <c r="AS52" s="103"/>
      <c r="AT52" s="144"/>
      <c r="AU52" s="134"/>
      <c r="AV52" s="144"/>
      <c r="AW52" s="144"/>
      <c r="AX52" s="134"/>
      <c r="AY52" s="145"/>
      <c r="AZ52" s="173"/>
      <c r="BA52" s="144"/>
      <c r="BB52" s="167"/>
      <c r="BC52" s="178"/>
      <c r="BD52" s="103"/>
      <c r="BE52" s="103"/>
      <c r="BF52" s="168"/>
      <c r="BG52" s="168"/>
      <c r="BH52" s="168"/>
      <c r="BI52" s="168"/>
      <c r="BJ52" s="168"/>
      <c r="BK52" s="168"/>
      <c r="BL52" s="168"/>
      <c r="BM52" s="168"/>
    </row>
    <row r="53" spans="1:65" ht="30" customHeight="1">
      <c r="A53" s="144"/>
      <c r="B53" s="144"/>
      <c r="C53" s="144"/>
      <c r="D53" s="144"/>
      <c r="E53" s="144"/>
      <c r="F53" s="148"/>
      <c r="G53" s="144"/>
      <c r="H53" s="144"/>
      <c r="I53" s="147"/>
      <c r="J53" s="170"/>
      <c r="K53" s="148"/>
      <c r="L53" s="148"/>
      <c r="M53" s="144"/>
      <c r="N53" s="144"/>
      <c r="O53" s="134"/>
      <c r="P53" s="104"/>
      <c r="Q53" s="107"/>
      <c r="R53" s="107"/>
      <c r="S53" s="107"/>
      <c r="T53" s="107"/>
      <c r="U53" s="107"/>
      <c r="V53" s="107"/>
      <c r="W53" s="107"/>
      <c r="X53" s="104"/>
      <c r="Y53" s="104"/>
      <c r="Z53" s="104"/>
      <c r="AA53" s="144"/>
      <c r="AB53" s="170"/>
      <c r="AC53" s="170"/>
      <c r="AD53" s="170"/>
      <c r="AE53" s="172"/>
      <c r="AF53" s="172"/>
      <c r="AG53" s="203"/>
      <c r="AH53" s="203"/>
      <c r="AI53" s="172"/>
      <c r="AJ53" s="148"/>
      <c r="AK53" s="144"/>
      <c r="AL53" s="144"/>
      <c r="AM53" s="144"/>
      <c r="AN53" s="144"/>
      <c r="AO53" s="144"/>
      <c r="AP53" s="166"/>
      <c r="AQ53" s="144"/>
      <c r="AR53" s="144"/>
      <c r="AS53" s="103"/>
      <c r="AT53" s="144"/>
      <c r="AU53" s="134"/>
      <c r="AV53" s="144"/>
      <c r="AW53" s="144"/>
      <c r="AX53" s="134"/>
      <c r="AY53" s="145"/>
      <c r="AZ53" s="173"/>
      <c r="BA53" s="144"/>
      <c r="BB53" s="167"/>
      <c r="BC53" s="178"/>
      <c r="BD53" s="103"/>
      <c r="BE53" s="103"/>
      <c r="BF53" s="168"/>
      <c r="BG53" s="168"/>
      <c r="BH53" s="168"/>
      <c r="BI53" s="168"/>
      <c r="BJ53" s="168"/>
      <c r="BK53" s="168"/>
      <c r="BL53" s="168"/>
      <c r="BM53" s="168"/>
    </row>
    <row r="54" spans="1:65" ht="30" customHeight="1">
      <c r="A54" s="144"/>
      <c r="B54" s="144"/>
      <c r="C54" s="144"/>
      <c r="D54" s="144"/>
      <c r="E54" s="144"/>
      <c r="F54" s="148"/>
      <c r="G54" s="144"/>
      <c r="H54" s="144"/>
      <c r="I54" s="147"/>
      <c r="J54" s="170"/>
      <c r="K54" s="148"/>
      <c r="L54" s="148"/>
      <c r="M54" s="144"/>
      <c r="N54" s="144"/>
      <c r="O54" s="134"/>
      <c r="P54" s="104"/>
      <c r="Q54" s="107"/>
      <c r="R54" s="107"/>
      <c r="S54" s="107"/>
      <c r="T54" s="107"/>
      <c r="U54" s="107"/>
      <c r="V54" s="107"/>
      <c r="W54" s="107"/>
      <c r="X54" s="104"/>
      <c r="Y54" s="104"/>
      <c r="Z54" s="104"/>
      <c r="AA54" s="144"/>
      <c r="AB54" s="170"/>
      <c r="AC54" s="170"/>
      <c r="AD54" s="170"/>
      <c r="AE54" s="172"/>
      <c r="AF54" s="172"/>
      <c r="AG54" s="203"/>
      <c r="AH54" s="203"/>
      <c r="AI54" s="172"/>
      <c r="AJ54" s="148"/>
      <c r="AK54" s="144"/>
      <c r="AL54" s="144"/>
      <c r="AM54" s="144"/>
      <c r="AN54" s="144"/>
      <c r="AO54" s="144"/>
      <c r="AP54" s="166"/>
      <c r="AQ54" s="144"/>
      <c r="AR54" s="144"/>
      <c r="AS54" s="103"/>
      <c r="AT54" s="144"/>
      <c r="AU54" s="134"/>
      <c r="AV54" s="144"/>
      <c r="AW54" s="144"/>
      <c r="AX54" s="134"/>
      <c r="AY54" s="145"/>
      <c r="AZ54" s="173"/>
      <c r="BA54" s="144"/>
      <c r="BB54" s="167"/>
      <c r="BC54" s="178"/>
      <c r="BD54" s="103"/>
      <c r="BE54" s="103"/>
      <c r="BF54" s="168"/>
      <c r="BG54" s="168"/>
      <c r="BH54" s="168"/>
      <c r="BI54" s="168"/>
      <c r="BJ54" s="168"/>
      <c r="BK54" s="168"/>
      <c r="BL54" s="168"/>
      <c r="BM54" s="168"/>
    </row>
    <row r="55" spans="1:65" ht="30" customHeight="1">
      <c r="A55" s="144"/>
      <c r="B55" s="144"/>
      <c r="C55" s="144"/>
      <c r="D55" s="144"/>
      <c r="E55" s="144"/>
      <c r="F55" s="148"/>
      <c r="G55" s="144"/>
      <c r="H55" s="144"/>
      <c r="I55" s="147"/>
      <c r="J55" s="170"/>
      <c r="K55" s="148"/>
      <c r="L55" s="148"/>
      <c r="M55" s="144"/>
      <c r="N55" s="144"/>
      <c r="O55" s="134"/>
      <c r="P55" s="104"/>
      <c r="Q55" s="107"/>
      <c r="R55" s="107"/>
      <c r="S55" s="107"/>
      <c r="T55" s="107"/>
      <c r="U55" s="107"/>
      <c r="V55" s="107"/>
      <c r="W55" s="107"/>
      <c r="X55" s="104"/>
      <c r="Y55" s="104"/>
      <c r="Z55" s="104"/>
      <c r="AA55" s="144"/>
      <c r="AB55" s="170"/>
      <c r="AC55" s="170"/>
      <c r="AD55" s="170"/>
      <c r="AE55" s="172"/>
      <c r="AF55" s="172"/>
      <c r="AG55" s="203"/>
      <c r="AH55" s="203"/>
      <c r="AI55" s="172"/>
      <c r="AJ55" s="148"/>
      <c r="AK55" s="144"/>
      <c r="AL55" s="144"/>
      <c r="AM55" s="144"/>
      <c r="AN55" s="144"/>
      <c r="AO55" s="144"/>
      <c r="AP55" s="166"/>
      <c r="AQ55" s="144"/>
      <c r="AR55" s="144"/>
      <c r="AS55" s="103"/>
      <c r="AT55" s="144"/>
      <c r="AU55" s="134"/>
      <c r="AV55" s="144"/>
      <c r="AW55" s="144"/>
      <c r="AX55" s="134"/>
      <c r="AY55" s="145"/>
      <c r="AZ55" s="173"/>
      <c r="BA55" s="144"/>
      <c r="BB55" s="167"/>
      <c r="BC55" s="178"/>
      <c r="BD55" s="103"/>
      <c r="BE55" s="103"/>
      <c r="BF55" s="168"/>
      <c r="BG55" s="168"/>
      <c r="BH55" s="168"/>
      <c r="BI55" s="168"/>
      <c r="BJ55" s="168"/>
      <c r="BK55" s="168"/>
      <c r="BL55" s="168"/>
      <c r="BM55" s="168"/>
    </row>
    <row r="56" spans="1:65" ht="30" customHeight="1">
      <c r="A56" s="144"/>
      <c r="B56" s="144"/>
      <c r="C56" s="144"/>
      <c r="D56" s="144"/>
      <c r="E56" s="144"/>
      <c r="F56" s="148"/>
      <c r="G56" s="144"/>
      <c r="H56" s="144"/>
      <c r="I56" s="147"/>
      <c r="J56" s="170"/>
      <c r="K56" s="148"/>
      <c r="L56" s="148"/>
      <c r="M56" s="144"/>
      <c r="N56" s="144"/>
      <c r="O56" s="134"/>
      <c r="P56" s="104"/>
      <c r="Q56" s="107"/>
      <c r="R56" s="107"/>
      <c r="S56" s="107"/>
      <c r="T56" s="107"/>
      <c r="U56" s="107"/>
      <c r="V56" s="107"/>
      <c r="W56" s="107"/>
      <c r="X56" s="104"/>
      <c r="Y56" s="104"/>
      <c r="Z56" s="104"/>
      <c r="AA56" s="144"/>
      <c r="AB56" s="170"/>
      <c r="AC56" s="170"/>
      <c r="AD56" s="170"/>
      <c r="AE56" s="172"/>
      <c r="AF56" s="172"/>
      <c r="AG56" s="203"/>
      <c r="AH56" s="203"/>
      <c r="AI56" s="172"/>
      <c r="AJ56" s="148"/>
      <c r="AK56" s="144"/>
      <c r="AL56" s="144"/>
      <c r="AM56" s="144"/>
      <c r="AN56" s="144"/>
      <c r="AO56" s="144"/>
      <c r="AP56" s="166"/>
      <c r="AQ56" s="144"/>
      <c r="AR56" s="144"/>
      <c r="AS56" s="103"/>
      <c r="AT56" s="144"/>
      <c r="AU56" s="134"/>
      <c r="AV56" s="144"/>
      <c r="AW56" s="144"/>
      <c r="AX56" s="134"/>
      <c r="AY56" s="145"/>
      <c r="AZ56" s="173"/>
      <c r="BA56" s="144"/>
      <c r="BB56" s="167"/>
      <c r="BC56" s="178"/>
      <c r="BD56" s="103"/>
      <c r="BE56" s="103"/>
      <c r="BF56" s="168"/>
      <c r="BG56" s="168"/>
      <c r="BH56" s="168"/>
      <c r="BI56" s="168"/>
      <c r="BJ56" s="168"/>
      <c r="BK56" s="168"/>
      <c r="BL56" s="168"/>
      <c r="BM56" s="168"/>
    </row>
    <row r="57" spans="1:65" ht="30" customHeight="1">
      <c r="A57" s="144"/>
      <c r="B57" s="144"/>
      <c r="C57" s="144"/>
      <c r="D57" s="144"/>
      <c r="E57" s="144"/>
      <c r="F57" s="148"/>
      <c r="G57" s="144"/>
      <c r="H57" s="144"/>
      <c r="I57" s="147"/>
      <c r="J57" s="170"/>
      <c r="K57" s="148"/>
      <c r="L57" s="148"/>
      <c r="M57" s="144"/>
      <c r="N57" s="144"/>
      <c r="O57" s="134"/>
      <c r="P57" s="104"/>
      <c r="Q57" s="107"/>
      <c r="R57" s="107"/>
      <c r="S57" s="107"/>
      <c r="T57" s="107"/>
      <c r="U57" s="107"/>
      <c r="V57" s="107"/>
      <c r="W57" s="107"/>
      <c r="X57" s="104"/>
      <c r="Y57" s="104"/>
      <c r="Z57" s="104"/>
      <c r="AA57" s="144"/>
      <c r="AB57" s="170"/>
      <c r="AC57" s="170"/>
      <c r="AD57" s="170"/>
      <c r="AE57" s="172"/>
      <c r="AF57" s="172"/>
      <c r="AG57" s="203"/>
      <c r="AH57" s="203"/>
      <c r="AI57" s="172"/>
      <c r="AJ57" s="148"/>
      <c r="AK57" s="144"/>
      <c r="AL57" s="144"/>
      <c r="AM57" s="144"/>
      <c r="AN57" s="144"/>
      <c r="AO57" s="144"/>
      <c r="AP57" s="166"/>
      <c r="AQ57" s="144"/>
      <c r="AR57" s="144"/>
      <c r="AS57" s="103"/>
      <c r="AT57" s="144"/>
      <c r="AU57" s="134"/>
      <c r="AV57" s="144"/>
      <c r="AW57" s="144"/>
      <c r="AX57" s="134"/>
      <c r="AY57" s="145"/>
      <c r="AZ57" s="173"/>
      <c r="BA57" s="144"/>
      <c r="BB57" s="167"/>
      <c r="BC57" s="178"/>
      <c r="BD57" s="103"/>
      <c r="BE57" s="103"/>
      <c r="BF57" s="168"/>
      <c r="BG57" s="168"/>
      <c r="BH57" s="168"/>
      <c r="BI57" s="168"/>
      <c r="BJ57" s="168"/>
      <c r="BK57" s="168"/>
      <c r="BL57" s="168"/>
      <c r="BM57" s="168"/>
    </row>
    <row r="58" spans="1:65" ht="30" customHeight="1">
      <c r="A58" s="144"/>
      <c r="B58" s="144"/>
      <c r="C58" s="144"/>
      <c r="D58" s="144"/>
      <c r="E58" s="144"/>
      <c r="F58" s="148"/>
      <c r="G58" s="144"/>
      <c r="H58" s="144"/>
      <c r="I58" s="147"/>
      <c r="J58" s="170"/>
      <c r="K58" s="148"/>
      <c r="L58" s="148"/>
      <c r="M58" s="144"/>
      <c r="N58" s="144"/>
      <c r="O58" s="134"/>
      <c r="P58" s="104"/>
      <c r="Q58" s="107"/>
      <c r="R58" s="107"/>
      <c r="S58" s="107"/>
      <c r="T58" s="107"/>
      <c r="U58" s="107"/>
      <c r="V58" s="107"/>
      <c r="W58" s="107"/>
      <c r="X58" s="104"/>
      <c r="Y58" s="104"/>
      <c r="Z58" s="104"/>
      <c r="AA58" s="144"/>
      <c r="AB58" s="170"/>
      <c r="AC58" s="170"/>
      <c r="AD58" s="170"/>
      <c r="AE58" s="172"/>
      <c r="AF58" s="172"/>
      <c r="AG58" s="203"/>
      <c r="AH58" s="203"/>
      <c r="AI58" s="172"/>
      <c r="AJ58" s="148"/>
      <c r="AK58" s="144"/>
      <c r="AL58" s="144"/>
      <c r="AM58" s="144"/>
      <c r="AN58" s="144"/>
      <c r="AO58" s="144"/>
      <c r="AP58" s="166"/>
      <c r="AQ58" s="144"/>
      <c r="AR58" s="144"/>
      <c r="AS58" s="103"/>
      <c r="AT58" s="144"/>
      <c r="AU58" s="134"/>
      <c r="AV58" s="144"/>
      <c r="AW58" s="144"/>
      <c r="AX58" s="134"/>
      <c r="AY58" s="145"/>
      <c r="AZ58" s="173"/>
      <c r="BA58" s="144"/>
      <c r="BB58" s="167"/>
      <c r="BC58" s="178"/>
      <c r="BD58" s="103"/>
      <c r="BE58" s="103"/>
      <c r="BF58" s="168"/>
      <c r="BG58" s="168"/>
      <c r="BH58" s="168"/>
      <c r="BI58" s="168"/>
      <c r="BJ58" s="168"/>
      <c r="BK58" s="168"/>
      <c r="BL58" s="168"/>
      <c r="BM58" s="168"/>
    </row>
    <row r="59" spans="1:65" ht="30" customHeight="1">
      <c r="A59" s="144"/>
      <c r="B59" s="144"/>
      <c r="C59" s="144"/>
      <c r="D59" s="144"/>
      <c r="E59" s="144"/>
      <c r="F59" s="148"/>
      <c r="G59" s="144"/>
      <c r="H59" s="144"/>
      <c r="I59" s="147"/>
      <c r="J59" s="170"/>
      <c r="K59" s="148"/>
      <c r="L59" s="148"/>
      <c r="M59" s="144"/>
      <c r="N59" s="144"/>
      <c r="O59" s="134"/>
      <c r="P59" s="104"/>
      <c r="Q59" s="107"/>
      <c r="R59" s="107"/>
      <c r="S59" s="107"/>
      <c r="T59" s="107"/>
      <c r="U59" s="107"/>
      <c r="V59" s="107"/>
      <c r="W59" s="107"/>
      <c r="X59" s="104"/>
      <c r="Y59" s="104"/>
      <c r="Z59" s="104"/>
      <c r="AA59" s="144"/>
      <c r="AB59" s="170"/>
      <c r="AC59" s="170"/>
      <c r="AD59" s="170"/>
      <c r="AE59" s="172"/>
      <c r="AF59" s="172"/>
      <c r="AG59" s="203"/>
      <c r="AH59" s="203"/>
      <c r="AI59" s="172"/>
      <c r="AJ59" s="148"/>
      <c r="AK59" s="144"/>
      <c r="AL59" s="144"/>
      <c r="AM59" s="144"/>
      <c r="AN59" s="144"/>
      <c r="AO59" s="144"/>
      <c r="AP59" s="166"/>
      <c r="AQ59" s="144"/>
      <c r="AR59" s="144"/>
      <c r="AS59" s="103"/>
      <c r="AT59" s="144"/>
      <c r="AU59" s="134"/>
      <c r="AV59" s="144"/>
      <c r="AW59" s="144"/>
      <c r="AX59" s="134"/>
      <c r="AY59" s="145"/>
      <c r="AZ59" s="173"/>
      <c r="BA59" s="144"/>
      <c r="BB59" s="167"/>
      <c r="BC59" s="178"/>
      <c r="BD59" s="103"/>
      <c r="BE59" s="103"/>
      <c r="BF59" s="168"/>
      <c r="BG59" s="168"/>
      <c r="BH59" s="168"/>
      <c r="BI59" s="168"/>
      <c r="BJ59" s="168"/>
      <c r="BK59" s="168"/>
      <c r="BL59" s="168"/>
      <c r="BM59" s="168"/>
    </row>
    <row r="60" spans="1:65" ht="30" customHeight="1">
      <c r="A60" s="144"/>
      <c r="B60" s="144"/>
      <c r="C60" s="144"/>
      <c r="D60" s="144"/>
      <c r="E60" s="144"/>
      <c r="F60" s="148"/>
      <c r="G60" s="144"/>
      <c r="H60" s="144"/>
      <c r="I60" s="147"/>
      <c r="J60" s="170"/>
      <c r="K60" s="148"/>
      <c r="L60" s="148"/>
      <c r="M60" s="144"/>
      <c r="N60" s="144"/>
      <c r="O60" s="134"/>
      <c r="P60" s="104"/>
      <c r="Q60" s="107"/>
      <c r="R60" s="107"/>
      <c r="S60" s="107"/>
      <c r="T60" s="107"/>
      <c r="U60" s="107"/>
      <c r="V60" s="107"/>
      <c r="W60" s="107"/>
      <c r="X60" s="104"/>
      <c r="Y60" s="104"/>
      <c r="Z60" s="104"/>
      <c r="AA60" s="144"/>
      <c r="AB60" s="170"/>
      <c r="AC60" s="170"/>
      <c r="AD60" s="170"/>
      <c r="AE60" s="172"/>
      <c r="AF60" s="172"/>
      <c r="AG60" s="203"/>
      <c r="AH60" s="203"/>
      <c r="AI60" s="172"/>
      <c r="AJ60" s="148"/>
      <c r="AK60" s="144"/>
      <c r="AL60" s="144"/>
      <c r="AM60" s="144"/>
      <c r="AN60" s="144"/>
      <c r="AO60" s="144"/>
      <c r="AP60" s="166"/>
      <c r="AQ60" s="144"/>
      <c r="AR60" s="144"/>
      <c r="AS60" s="103"/>
      <c r="AT60" s="144"/>
      <c r="AU60" s="134"/>
      <c r="AV60" s="144"/>
      <c r="AW60" s="144"/>
      <c r="AX60" s="134"/>
      <c r="AY60" s="145"/>
      <c r="AZ60" s="173"/>
      <c r="BA60" s="144"/>
      <c r="BB60" s="167"/>
      <c r="BC60" s="178"/>
      <c r="BD60" s="103"/>
      <c r="BE60" s="103"/>
      <c r="BF60" s="168"/>
      <c r="BG60" s="168"/>
      <c r="BH60" s="168"/>
      <c r="BI60" s="168"/>
      <c r="BJ60" s="168"/>
      <c r="BK60" s="168"/>
      <c r="BL60" s="168"/>
      <c r="BM60" s="168"/>
    </row>
    <row r="61" spans="1:65" ht="30" customHeight="1">
      <c r="A61" s="144"/>
      <c r="B61" s="144"/>
      <c r="C61" s="144"/>
      <c r="D61" s="144"/>
      <c r="E61" s="144"/>
      <c r="F61" s="148"/>
      <c r="G61" s="144"/>
      <c r="H61" s="144"/>
      <c r="I61" s="147"/>
      <c r="J61" s="170"/>
      <c r="K61" s="148"/>
      <c r="L61" s="148"/>
      <c r="M61" s="144"/>
      <c r="N61" s="144"/>
      <c r="O61" s="134"/>
      <c r="P61" s="104"/>
      <c r="Q61" s="107"/>
      <c r="R61" s="107"/>
      <c r="S61" s="107"/>
      <c r="T61" s="107"/>
      <c r="U61" s="107"/>
      <c r="V61" s="107"/>
      <c r="W61" s="107"/>
      <c r="X61" s="104"/>
      <c r="Y61" s="104"/>
      <c r="Z61" s="104"/>
      <c r="AA61" s="144"/>
      <c r="AB61" s="170"/>
      <c r="AC61" s="170"/>
      <c r="AD61" s="170"/>
      <c r="AE61" s="172"/>
      <c r="AF61" s="172"/>
      <c r="AG61" s="203"/>
      <c r="AH61" s="203"/>
      <c r="AI61" s="172"/>
      <c r="AJ61" s="148"/>
      <c r="AK61" s="144"/>
      <c r="AL61" s="144"/>
      <c r="AM61" s="144"/>
      <c r="AN61" s="144"/>
      <c r="AO61" s="144"/>
      <c r="AP61" s="166"/>
      <c r="AQ61" s="144"/>
      <c r="AR61" s="144"/>
      <c r="AS61" s="103"/>
      <c r="AT61" s="144"/>
      <c r="AU61" s="134"/>
      <c r="AV61" s="144"/>
      <c r="AW61" s="144"/>
      <c r="AX61" s="134"/>
      <c r="AY61" s="145"/>
      <c r="AZ61" s="173"/>
      <c r="BA61" s="144"/>
      <c r="BB61" s="167"/>
      <c r="BC61" s="178"/>
      <c r="BD61" s="103"/>
      <c r="BE61" s="103"/>
      <c r="BF61" s="168"/>
      <c r="BG61" s="168"/>
      <c r="BH61" s="168"/>
      <c r="BI61" s="168"/>
      <c r="BJ61" s="168"/>
      <c r="BK61" s="168"/>
      <c r="BL61" s="168"/>
      <c r="BM61" s="168"/>
    </row>
    <row r="62" spans="1:65" ht="30" customHeight="1">
      <c r="A62" s="144"/>
      <c r="B62" s="144"/>
      <c r="C62" s="144"/>
      <c r="D62" s="144"/>
      <c r="E62" s="144"/>
      <c r="F62" s="148"/>
      <c r="G62" s="144"/>
      <c r="H62" s="144"/>
      <c r="I62" s="147"/>
      <c r="J62" s="170"/>
      <c r="K62" s="148"/>
      <c r="L62" s="148"/>
      <c r="M62" s="144"/>
      <c r="N62" s="144"/>
      <c r="O62" s="134"/>
      <c r="P62" s="104"/>
      <c r="Q62" s="107"/>
      <c r="R62" s="107"/>
      <c r="S62" s="107"/>
      <c r="T62" s="107"/>
      <c r="U62" s="107"/>
      <c r="V62" s="107"/>
      <c r="W62" s="107"/>
      <c r="X62" s="104"/>
      <c r="Y62" s="104"/>
      <c r="Z62" s="104"/>
      <c r="AA62" s="144"/>
      <c r="AB62" s="170"/>
      <c r="AC62" s="170"/>
      <c r="AD62" s="170"/>
      <c r="AE62" s="172"/>
      <c r="AF62" s="172"/>
      <c r="AG62" s="203"/>
      <c r="AH62" s="203"/>
      <c r="AI62" s="172"/>
      <c r="AJ62" s="148"/>
      <c r="AK62" s="144"/>
      <c r="AL62" s="144"/>
      <c r="AM62" s="144"/>
      <c r="AN62" s="144"/>
      <c r="AO62" s="144"/>
      <c r="AP62" s="166"/>
      <c r="AQ62" s="144"/>
      <c r="AR62" s="144"/>
      <c r="AS62" s="103"/>
      <c r="AT62" s="144"/>
      <c r="AU62" s="134"/>
      <c r="AV62" s="144"/>
      <c r="AW62" s="144"/>
      <c r="AX62" s="134"/>
      <c r="AY62" s="145"/>
      <c r="AZ62" s="173"/>
      <c r="BA62" s="144"/>
      <c r="BB62" s="167"/>
      <c r="BC62" s="178"/>
      <c r="BD62" s="103"/>
      <c r="BE62" s="103"/>
      <c r="BF62" s="168"/>
      <c r="BG62" s="168"/>
      <c r="BH62" s="168"/>
      <c r="BI62" s="168"/>
      <c r="BJ62" s="168"/>
      <c r="BK62" s="168"/>
      <c r="BL62" s="168"/>
      <c r="BM62" s="168"/>
    </row>
    <row r="63" spans="1:65" ht="30" customHeight="1">
      <c r="A63" s="144"/>
      <c r="B63" s="144"/>
      <c r="C63" s="144"/>
      <c r="D63" s="144"/>
      <c r="E63" s="144"/>
      <c r="F63" s="148"/>
      <c r="G63" s="144"/>
      <c r="H63" s="144"/>
      <c r="I63" s="147"/>
      <c r="J63" s="170"/>
      <c r="K63" s="148"/>
      <c r="L63" s="148"/>
      <c r="M63" s="144"/>
      <c r="N63" s="144"/>
      <c r="O63" s="134"/>
      <c r="P63" s="104"/>
      <c r="Q63" s="107"/>
      <c r="R63" s="107"/>
      <c r="S63" s="107"/>
      <c r="T63" s="107"/>
      <c r="U63" s="107"/>
      <c r="V63" s="107"/>
      <c r="W63" s="107"/>
      <c r="X63" s="104"/>
      <c r="Y63" s="104"/>
      <c r="Z63" s="104"/>
      <c r="AA63" s="144"/>
      <c r="AB63" s="170"/>
      <c r="AC63" s="170"/>
      <c r="AD63" s="170"/>
      <c r="AE63" s="172"/>
      <c r="AF63" s="172"/>
      <c r="AG63" s="203"/>
      <c r="AH63" s="203"/>
      <c r="AI63" s="172"/>
      <c r="AJ63" s="148"/>
      <c r="AK63" s="144"/>
      <c r="AL63" s="144"/>
      <c r="AM63" s="144"/>
      <c r="AN63" s="144"/>
      <c r="AO63" s="144"/>
      <c r="AP63" s="166"/>
      <c r="AQ63" s="144"/>
      <c r="AR63" s="144"/>
      <c r="AS63" s="103"/>
      <c r="AT63" s="144"/>
      <c r="AU63" s="134"/>
      <c r="AV63" s="144"/>
      <c r="AW63" s="144"/>
      <c r="AX63" s="134"/>
      <c r="AY63" s="145"/>
      <c r="AZ63" s="173"/>
      <c r="BA63" s="144"/>
      <c r="BB63" s="167"/>
      <c r="BC63" s="178"/>
      <c r="BD63" s="103"/>
      <c r="BE63" s="103"/>
      <c r="BF63" s="168"/>
      <c r="BG63" s="168"/>
      <c r="BH63" s="168"/>
      <c r="BI63" s="168"/>
      <c r="BJ63" s="168"/>
      <c r="BK63" s="168"/>
      <c r="BL63" s="168"/>
      <c r="BM63" s="168"/>
    </row>
    <row r="64" spans="1:65" ht="30" customHeight="1">
      <c r="A64" s="144"/>
      <c r="B64" s="144"/>
      <c r="C64" s="144"/>
      <c r="D64" s="144"/>
      <c r="E64" s="144"/>
      <c r="F64" s="148"/>
      <c r="G64" s="144"/>
      <c r="H64" s="144"/>
      <c r="I64" s="147"/>
      <c r="J64" s="170"/>
      <c r="K64" s="148"/>
      <c r="L64" s="148"/>
      <c r="M64" s="144"/>
      <c r="N64" s="144"/>
      <c r="O64" s="134"/>
      <c r="P64" s="104"/>
      <c r="Q64" s="107"/>
      <c r="R64" s="107"/>
      <c r="S64" s="107"/>
      <c r="T64" s="107"/>
      <c r="U64" s="107"/>
      <c r="V64" s="107"/>
      <c r="W64" s="107"/>
      <c r="X64" s="104"/>
      <c r="Y64" s="104"/>
      <c r="Z64" s="104"/>
      <c r="AA64" s="144"/>
      <c r="AB64" s="170"/>
      <c r="AC64" s="170"/>
      <c r="AD64" s="170"/>
      <c r="AE64" s="172"/>
      <c r="AF64" s="172"/>
      <c r="AG64" s="203"/>
      <c r="AH64" s="203"/>
      <c r="AI64" s="172"/>
      <c r="AJ64" s="148"/>
      <c r="AK64" s="144"/>
      <c r="AL64" s="144"/>
      <c r="AM64" s="144"/>
      <c r="AN64" s="144"/>
      <c r="AO64" s="144"/>
      <c r="AP64" s="166"/>
      <c r="AQ64" s="144"/>
      <c r="AR64" s="144"/>
      <c r="AS64" s="103"/>
      <c r="AT64" s="144"/>
      <c r="AU64" s="134"/>
      <c r="AV64" s="144"/>
      <c r="AW64" s="144"/>
      <c r="AX64" s="134"/>
      <c r="AY64" s="145"/>
      <c r="AZ64" s="173"/>
      <c r="BA64" s="144"/>
      <c r="BB64" s="167"/>
      <c r="BC64" s="178"/>
      <c r="BD64" s="103"/>
      <c r="BE64" s="103"/>
      <c r="BF64" s="168"/>
      <c r="BG64" s="168"/>
      <c r="BH64" s="168"/>
      <c r="BI64" s="168"/>
      <c r="BJ64" s="168"/>
      <c r="BK64" s="168"/>
      <c r="BL64" s="168"/>
      <c r="BM64" s="168"/>
    </row>
    <row r="65" spans="1:65" ht="30" customHeight="1">
      <c r="A65" s="144"/>
      <c r="B65" s="144"/>
      <c r="C65" s="144"/>
      <c r="D65" s="144"/>
      <c r="E65" s="144"/>
      <c r="F65" s="148"/>
      <c r="G65" s="144"/>
      <c r="H65" s="144"/>
      <c r="I65" s="147"/>
      <c r="J65" s="170"/>
      <c r="K65" s="148"/>
      <c r="L65" s="148"/>
      <c r="M65" s="144"/>
      <c r="N65" s="144"/>
      <c r="O65" s="134"/>
      <c r="P65" s="104"/>
      <c r="Q65" s="107"/>
      <c r="R65" s="107"/>
      <c r="S65" s="107"/>
      <c r="T65" s="107"/>
      <c r="U65" s="107"/>
      <c r="V65" s="107"/>
      <c r="W65" s="107"/>
      <c r="X65" s="104"/>
      <c r="Y65" s="104"/>
      <c r="Z65" s="104"/>
      <c r="AA65" s="144"/>
      <c r="AB65" s="170"/>
      <c r="AC65" s="170"/>
      <c r="AD65" s="170"/>
      <c r="AE65" s="172"/>
      <c r="AF65" s="172"/>
      <c r="AG65" s="203"/>
      <c r="AH65" s="203"/>
      <c r="AI65" s="172"/>
      <c r="AJ65" s="148"/>
      <c r="AK65" s="144"/>
      <c r="AL65" s="144"/>
      <c r="AM65" s="144"/>
      <c r="AN65" s="144"/>
      <c r="AO65" s="144"/>
      <c r="AP65" s="166"/>
      <c r="AQ65" s="144"/>
      <c r="AR65" s="144"/>
      <c r="AS65" s="103"/>
      <c r="AT65" s="144"/>
      <c r="AU65" s="134"/>
      <c r="AV65" s="144"/>
      <c r="AW65" s="144"/>
      <c r="AX65" s="134"/>
      <c r="AY65" s="145"/>
      <c r="AZ65" s="173"/>
      <c r="BA65" s="144"/>
      <c r="BB65" s="167"/>
      <c r="BC65" s="178"/>
      <c r="BD65" s="103"/>
      <c r="BE65" s="103"/>
      <c r="BF65" s="168"/>
      <c r="BG65" s="168"/>
      <c r="BH65" s="168"/>
      <c r="BI65" s="168"/>
      <c r="BJ65" s="168"/>
      <c r="BK65" s="168"/>
      <c r="BL65" s="168"/>
      <c r="BM65" s="168"/>
    </row>
    <row r="66" spans="1:65" ht="30" customHeight="1">
      <c r="A66" s="144"/>
      <c r="B66" s="144"/>
      <c r="C66" s="144"/>
      <c r="D66" s="144"/>
      <c r="E66" s="144"/>
      <c r="F66" s="148"/>
      <c r="G66" s="144"/>
      <c r="H66" s="144"/>
      <c r="I66" s="147"/>
      <c r="J66" s="170"/>
      <c r="K66" s="148"/>
      <c r="L66" s="148"/>
      <c r="M66" s="144"/>
      <c r="N66" s="144"/>
      <c r="O66" s="134"/>
      <c r="P66" s="104"/>
      <c r="Q66" s="107"/>
      <c r="R66" s="107"/>
      <c r="S66" s="107"/>
      <c r="T66" s="107"/>
      <c r="U66" s="107"/>
      <c r="V66" s="107"/>
      <c r="W66" s="107"/>
      <c r="X66" s="104"/>
      <c r="Y66" s="104"/>
      <c r="Z66" s="104"/>
      <c r="AA66" s="144"/>
      <c r="AB66" s="170"/>
      <c r="AC66" s="170"/>
      <c r="AD66" s="170"/>
      <c r="AE66" s="172"/>
      <c r="AF66" s="172"/>
      <c r="AG66" s="203"/>
      <c r="AH66" s="203"/>
      <c r="AI66" s="172"/>
      <c r="AJ66" s="148"/>
      <c r="AK66" s="144"/>
      <c r="AL66" s="144"/>
      <c r="AM66" s="144"/>
      <c r="AN66" s="144"/>
      <c r="AO66" s="144"/>
      <c r="AP66" s="166"/>
      <c r="AQ66" s="144"/>
      <c r="AR66" s="144"/>
      <c r="AS66" s="103"/>
      <c r="AT66" s="144"/>
      <c r="AU66" s="134"/>
      <c r="AV66" s="144"/>
      <c r="AW66" s="144"/>
      <c r="AX66" s="134"/>
      <c r="AY66" s="145"/>
      <c r="AZ66" s="173"/>
      <c r="BA66" s="144"/>
      <c r="BB66" s="167"/>
      <c r="BC66" s="178"/>
      <c r="BD66" s="103"/>
      <c r="BE66" s="103"/>
      <c r="BF66" s="168"/>
      <c r="BG66" s="168"/>
      <c r="BH66" s="168"/>
      <c r="BI66" s="168"/>
      <c r="BJ66" s="168"/>
      <c r="BK66" s="168"/>
      <c r="BL66" s="168"/>
      <c r="BM66" s="168"/>
    </row>
    <row r="67" spans="1:65" ht="30" customHeight="1">
      <c r="A67" s="144"/>
      <c r="B67" s="144"/>
      <c r="C67" s="144"/>
      <c r="D67" s="144"/>
      <c r="E67" s="144"/>
      <c r="F67" s="148"/>
      <c r="G67" s="144"/>
      <c r="H67" s="144"/>
      <c r="I67" s="147"/>
      <c r="J67" s="170"/>
      <c r="K67" s="148"/>
      <c r="L67" s="148"/>
      <c r="M67" s="144"/>
      <c r="N67" s="144"/>
      <c r="O67" s="134"/>
      <c r="P67" s="104"/>
      <c r="Q67" s="107"/>
      <c r="R67" s="107"/>
      <c r="S67" s="107"/>
      <c r="T67" s="107"/>
      <c r="U67" s="107"/>
      <c r="V67" s="107"/>
      <c r="W67" s="107"/>
      <c r="X67" s="104"/>
      <c r="Y67" s="104"/>
      <c r="Z67" s="104"/>
      <c r="AA67" s="144"/>
      <c r="AB67" s="170"/>
      <c r="AC67" s="170"/>
      <c r="AD67" s="170"/>
      <c r="AE67" s="172"/>
      <c r="AF67" s="172"/>
      <c r="AG67" s="203"/>
      <c r="AH67" s="203"/>
      <c r="AI67" s="172"/>
      <c r="AJ67" s="148"/>
      <c r="AK67" s="144"/>
      <c r="AL67" s="144"/>
      <c r="AM67" s="144"/>
      <c r="AN67" s="144"/>
      <c r="AO67" s="144"/>
      <c r="AP67" s="166"/>
      <c r="AQ67" s="144"/>
      <c r="AR67" s="144"/>
      <c r="AS67" s="103"/>
      <c r="AT67" s="144"/>
      <c r="AU67" s="134"/>
      <c r="AV67" s="144"/>
      <c r="AW67" s="144"/>
      <c r="AX67" s="134"/>
      <c r="AY67" s="145"/>
      <c r="AZ67" s="173"/>
      <c r="BA67" s="144"/>
      <c r="BB67" s="167"/>
      <c r="BC67" s="178"/>
      <c r="BD67" s="103"/>
      <c r="BE67" s="103"/>
      <c r="BF67" s="168"/>
      <c r="BG67" s="168"/>
      <c r="BH67" s="168"/>
      <c r="BI67" s="168"/>
      <c r="BJ67" s="168"/>
      <c r="BK67" s="168"/>
      <c r="BL67" s="168"/>
      <c r="BM67" s="168"/>
    </row>
    <row r="68" spans="1:65" ht="30" customHeight="1">
      <c r="A68" s="144"/>
      <c r="B68" s="144"/>
      <c r="C68" s="144"/>
      <c r="D68" s="144"/>
      <c r="E68" s="144"/>
      <c r="F68" s="148"/>
      <c r="G68" s="144"/>
      <c r="H68" s="144"/>
      <c r="I68" s="147"/>
      <c r="J68" s="170"/>
      <c r="K68" s="148"/>
      <c r="L68" s="148"/>
      <c r="M68" s="144"/>
      <c r="N68" s="144"/>
      <c r="O68" s="134"/>
      <c r="P68" s="104"/>
      <c r="Q68" s="107"/>
      <c r="R68" s="107"/>
      <c r="S68" s="107"/>
      <c r="T68" s="107"/>
      <c r="U68" s="107"/>
      <c r="V68" s="107"/>
      <c r="W68" s="107"/>
      <c r="X68" s="104"/>
      <c r="Y68" s="104"/>
      <c r="Z68" s="104"/>
      <c r="AA68" s="144"/>
      <c r="AB68" s="170"/>
      <c r="AC68" s="170"/>
      <c r="AD68" s="170"/>
      <c r="AE68" s="172"/>
      <c r="AF68" s="172"/>
      <c r="AG68" s="203"/>
      <c r="AH68" s="203"/>
      <c r="AI68" s="172"/>
      <c r="AJ68" s="148"/>
      <c r="AK68" s="144"/>
      <c r="AL68" s="144"/>
      <c r="AM68" s="144"/>
      <c r="AN68" s="144"/>
      <c r="AO68" s="144"/>
      <c r="AP68" s="166"/>
      <c r="AQ68" s="144"/>
      <c r="AR68" s="144"/>
      <c r="AS68" s="103"/>
      <c r="AT68" s="144"/>
      <c r="AU68" s="134"/>
      <c r="AV68" s="144"/>
      <c r="AW68" s="144"/>
      <c r="AX68" s="134"/>
      <c r="AY68" s="145"/>
      <c r="AZ68" s="173"/>
      <c r="BA68" s="144"/>
      <c r="BB68" s="167"/>
      <c r="BC68" s="178"/>
      <c r="BD68" s="103"/>
      <c r="BE68" s="103"/>
      <c r="BF68" s="168"/>
      <c r="BG68" s="168"/>
      <c r="BH68" s="168"/>
      <c r="BI68" s="168"/>
      <c r="BJ68" s="168"/>
      <c r="BK68" s="168"/>
      <c r="BL68" s="168"/>
      <c r="BM68" s="168"/>
    </row>
    <row r="69" spans="1:65" ht="30" customHeight="1">
      <c r="A69" s="144"/>
      <c r="B69" s="144"/>
      <c r="C69" s="144"/>
      <c r="D69" s="144"/>
      <c r="E69" s="144"/>
      <c r="F69" s="148"/>
      <c r="G69" s="144"/>
      <c r="H69" s="144"/>
      <c r="I69" s="147"/>
      <c r="J69" s="170"/>
      <c r="K69" s="148"/>
      <c r="L69" s="148"/>
      <c r="M69" s="144"/>
      <c r="N69" s="144"/>
      <c r="O69" s="134"/>
      <c r="P69" s="104"/>
      <c r="Q69" s="107"/>
      <c r="R69" s="107"/>
      <c r="S69" s="107"/>
      <c r="T69" s="107"/>
      <c r="U69" s="107"/>
      <c r="V69" s="107"/>
      <c r="W69" s="107"/>
      <c r="X69" s="104"/>
      <c r="Y69" s="104"/>
      <c r="Z69" s="104"/>
      <c r="AA69" s="144"/>
      <c r="AB69" s="170"/>
      <c r="AC69" s="170"/>
      <c r="AD69" s="170"/>
      <c r="AE69" s="172"/>
      <c r="AF69" s="172"/>
      <c r="AG69" s="203"/>
      <c r="AH69" s="203"/>
      <c r="AI69" s="172"/>
      <c r="AJ69" s="148"/>
      <c r="AK69" s="144"/>
      <c r="AL69" s="144"/>
      <c r="AM69" s="144"/>
      <c r="AN69" s="144"/>
      <c r="AO69" s="144"/>
      <c r="AP69" s="166"/>
      <c r="AQ69" s="144"/>
      <c r="AR69" s="144"/>
      <c r="AS69" s="103"/>
      <c r="AT69" s="144"/>
      <c r="AU69" s="134"/>
      <c r="AV69" s="144"/>
      <c r="AW69" s="144"/>
      <c r="AX69" s="134"/>
      <c r="AY69" s="145"/>
      <c r="AZ69" s="173"/>
      <c r="BA69" s="144"/>
      <c r="BB69" s="167"/>
      <c r="BC69" s="178"/>
      <c r="BD69" s="103"/>
      <c r="BE69" s="103"/>
      <c r="BF69" s="168"/>
      <c r="BG69" s="168"/>
      <c r="BH69" s="168"/>
      <c r="BI69" s="168"/>
      <c r="BJ69" s="168"/>
      <c r="BK69" s="168"/>
      <c r="BL69" s="168"/>
      <c r="BM69" s="168"/>
    </row>
    <row r="70" spans="1:65" ht="30" customHeight="1">
      <c r="A70" s="144"/>
      <c r="B70" s="144"/>
      <c r="C70" s="144"/>
      <c r="D70" s="144"/>
      <c r="E70" s="144"/>
      <c r="F70" s="148"/>
      <c r="G70" s="144"/>
      <c r="H70" s="144"/>
      <c r="I70" s="147"/>
      <c r="J70" s="170"/>
      <c r="K70" s="148"/>
      <c r="L70" s="148"/>
      <c r="M70" s="144"/>
      <c r="N70" s="144"/>
      <c r="O70" s="134"/>
      <c r="P70" s="104"/>
      <c r="Q70" s="107"/>
      <c r="R70" s="107"/>
      <c r="S70" s="107"/>
      <c r="T70" s="107"/>
      <c r="U70" s="107"/>
      <c r="V70" s="107"/>
      <c r="W70" s="107"/>
      <c r="X70" s="104"/>
      <c r="Y70" s="104"/>
      <c r="Z70" s="104"/>
      <c r="AA70" s="144"/>
      <c r="AB70" s="170"/>
      <c r="AC70" s="170"/>
      <c r="AD70" s="170"/>
      <c r="AE70" s="172"/>
      <c r="AF70" s="172"/>
      <c r="AG70" s="203"/>
      <c r="AH70" s="203"/>
      <c r="AI70" s="172"/>
      <c r="AJ70" s="148"/>
      <c r="AK70" s="144"/>
      <c r="AL70" s="144"/>
      <c r="AM70" s="144"/>
      <c r="AN70" s="144"/>
      <c r="AO70" s="144"/>
      <c r="AP70" s="166"/>
      <c r="AQ70" s="144"/>
      <c r="AR70" s="144"/>
      <c r="AS70" s="103"/>
      <c r="AT70" s="144"/>
      <c r="AU70" s="134"/>
      <c r="AV70" s="144"/>
      <c r="AW70" s="144"/>
      <c r="AX70" s="134"/>
      <c r="AY70" s="145"/>
      <c r="AZ70" s="173"/>
      <c r="BA70" s="144"/>
      <c r="BB70" s="167"/>
      <c r="BC70" s="178"/>
      <c r="BD70" s="103"/>
      <c r="BE70" s="103"/>
      <c r="BF70" s="168"/>
      <c r="BG70" s="168"/>
      <c r="BH70" s="168"/>
      <c r="BI70" s="168"/>
      <c r="BJ70" s="168"/>
      <c r="BK70" s="168"/>
      <c r="BL70" s="168"/>
      <c r="BM70" s="168"/>
    </row>
    <row r="71" spans="1:65" ht="30" customHeight="1">
      <c r="A71" s="144"/>
      <c r="B71" s="144"/>
      <c r="C71" s="144"/>
      <c r="D71" s="144"/>
      <c r="E71" s="144"/>
      <c r="F71" s="148"/>
      <c r="G71" s="144"/>
      <c r="H71" s="144"/>
      <c r="I71" s="147"/>
      <c r="J71" s="170"/>
      <c r="K71" s="148"/>
      <c r="L71" s="148"/>
      <c r="M71" s="144"/>
      <c r="N71" s="144"/>
      <c r="O71" s="134"/>
      <c r="P71" s="104"/>
      <c r="Q71" s="107"/>
      <c r="R71" s="107"/>
      <c r="S71" s="107"/>
      <c r="T71" s="107"/>
      <c r="U71" s="107"/>
      <c r="V71" s="107"/>
      <c r="W71" s="107"/>
      <c r="X71" s="104"/>
      <c r="Y71" s="104"/>
      <c r="Z71" s="104"/>
      <c r="AA71" s="144"/>
      <c r="AB71" s="170"/>
      <c r="AC71" s="170"/>
      <c r="AD71" s="170"/>
      <c r="AE71" s="172"/>
      <c r="AF71" s="172"/>
      <c r="AG71" s="203"/>
      <c r="AH71" s="203"/>
      <c r="AI71" s="172"/>
      <c r="AJ71" s="148"/>
      <c r="AK71" s="144"/>
      <c r="AL71" s="144"/>
      <c r="AM71" s="144"/>
      <c r="AN71" s="144"/>
      <c r="AO71" s="144"/>
      <c r="AP71" s="166"/>
      <c r="AQ71" s="144"/>
      <c r="AR71" s="144"/>
      <c r="AS71" s="103"/>
      <c r="AT71" s="144"/>
      <c r="AU71" s="134"/>
      <c r="AV71" s="144"/>
      <c r="AW71" s="144"/>
      <c r="AX71" s="134"/>
      <c r="AY71" s="145"/>
      <c r="AZ71" s="173"/>
      <c r="BA71" s="144"/>
      <c r="BB71" s="167"/>
      <c r="BC71" s="178"/>
      <c r="BD71" s="103"/>
      <c r="BE71" s="103"/>
      <c r="BF71" s="168"/>
      <c r="BG71" s="168"/>
      <c r="BH71" s="168"/>
      <c r="BI71" s="168"/>
      <c r="BJ71" s="168"/>
      <c r="BK71" s="168"/>
      <c r="BL71" s="168"/>
      <c r="BM71" s="168"/>
    </row>
    <row r="72" spans="1:65" ht="30" customHeight="1">
      <c r="A72" s="144"/>
      <c r="B72" s="144"/>
      <c r="C72" s="144"/>
      <c r="D72" s="144"/>
      <c r="E72" s="144"/>
      <c r="F72" s="148"/>
      <c r="G72" s="144"/>
      <c r="H72" s="144"/>
      <c r="I72" s="147"/>
      <c r="J72" s="170"/>
      <c r="K72" s="148"/>
      <c r="L72" s="148"/>
      <c r="M72" s="144"/>
      <c r="N72" s="144"/>
      <c r="O72" s="134"/>
      <c r="P72" s="104"/>
      <c r="Q72" s="107"/>
      <c r="R72" s="107"/>
      <c r="S72" s="107"/>
      <c r="T72" s="107"/>
      <c r="U72" s="107"/>
      <c r="V72" s="107"/>
      <c r="W72" s="107"/>
      <c r="X72" s="104"/>
      <c r="Y72" s="104"/>
      <c r="Z72" s="104"/>
      <c r="AA72" s="144"/>
      <c r="AB72" s="170"/>
      <c r="AC72" s="170"/>
      <c r="AD72" s="170"/>
      <c r="AE72" s="172"/>
      <c r="AF72" s="172"/>
      <c r="AG72" s="203"/>
      <c r="AH72" s="203"/>
      <c r="AI72" s="172"/>
      <c r="AJ72" s="148"/>
      <c r="AK72" s="144"/>
      <c r="AL72" s="144"/>
      <c r="AM72" s="144"/>
      <c r="AN72" s="144"/>
      <c r="AO72" s="144"/>
      <c r="AP72" s="166"/>
      <c r="AQ72" s="144"/>
      <c r="AR72" s="144"/>
      <c r="AS72" s="103"/>
      <c r="AT72" s="144"/>
      <c r="AU72" s="134"/>
      <c r="AV72" s="144"/>
      <c r="AW72" s="144"/>
      <c r="AX72" s="134"/>
      <c r="AY72" s="145"/>
      <c r="AZ72" s="173"/>
      <c r="BA72" s="144"/>
      <c r="BB72" s="167"/>
      <c r="BC72" s="178"/>
      <c r="BD72" s="103"/>
      <c r="BE72" s="103"/>
      <c r="BF72" s="168"/>
      <c r="BG72" s="168"/>
      <c r="BH72" s="168"/>
      <c r="BI72" s="168"/>
      <c r="BJ72" s="168"/>
      <c r="BK72" s="168"/>
      <c r="BL72" s="168"/>
      <c r="BM72" s="168"/>
    </row>
    <row r="73" spans="1:65" ht="30" customHeight="1">
      <c r="A73" s="144"/>
      <c r="B73" s="144"/>
      <c r="C73" s="144"/>
      <c r="D73" s="144"/>
      <c r="E73" s="144"/>
      <c r="F73" s="148"/>
      <c r="G73" s="144"/>
      <c r="H73" s="144"/>
      <c r="I73" s="147"/>
      <c r="J73" s="170"/>
      <c r="K73" s="148"/>
      <c r="L73" s="148"/>
      <c r="M73" s="144"/>
      <c r="N73" s="144"/>
      <c r="O73" s="134"/>
      <c r="P73" s="104"/>
      <c r="Q73" s="107"/>
      <c r="R73" s="107"/>
      <c r="S73" s="107"/>
      <c r="T73" s="107"/>
      <c r="U73" s="107"/>
      <c r="V73" s="107"/>
      <c r="W73" s="107"/>
      <c r="X73" s="104"/>
      <c r="Y73" s="104"/>
      <c r="Z73" s="104"/>
      <c r="AA73" s="144"/>
      <c r="AB73" s="170"/>
      <c r="AC73" s="170"/>
      <c r="AD73" s="170"/>
      <c r="AE73" s="172"/>
      <c r="AF73" s="172"/>
      <c r="AG73" s="203"/>
      <c r="AH73" s="203"/>
      <c r="AI73" s="172"/>
      <c r="AJ73" s="148"/>
      <c r="AK73" s="144"/>
      <c r="AL73" s="144"/>
      <c r="AM73" s="144"/>
      <c r="AN73" s="144"/>
      <c r="AO73" s="144"/>
      <c r="AP73" s="166"/>
      <c r="AQ73" s="144"/>
      <c r="AR73" s="144"/>
      <c r="AS73" s="103"/>
      <c r="AT73" s="144"/>
      <c r="AU73" s="134"/>
      <c r="AV73" s="144"/>
      <c r="AW73" s="144"/>
      <c r="AX73" s="134"/>
      <c r="AY73" s="145"/>
      <c r="AZ73" s="173"/>
      <c r="BA73" s="144"/>
      <c r="BB73" s="167"/>
      <c r="BC73" s="178"/>
      <c r="BD73" s="103"/>
      <c r="BE73" s="103"/>
      <c r="BF73" s="168"/>
      <c r="BG73" s="168"/>
      <c r="BH73" s="168"/>
      <c r="BI73" s="168"/>
      <c r="BJ73" s="168"/>
      <c r="BK73" s="168"/>
      <c r="BL73" s="168"/>
      <c r="BM73" s="168"/>
    </row>
    <row r="74" spans="1:65" ht="30" customHeight="1">
      <c r="A74" s="144"/>
      <c r="B74" s="144"/>
      <c r="C74" s="144"/>
      <c r="D74" s="144"/>
      <c r="E74" s="144"/>
      <c r="F74" s="148"/>
      <c r="G74" s="144"/>
      <c r="H74" s="144"/>
      <c r="I74" s="147"/>
      <c r="J74" s="170"/>
      <c r="K74" s="148"/>
      <c r="L74" s="148"/>
      <c r="M74" s="144"/>
      <c r="N74" s="144"/>
      <c r="O74" s="134"/>
      <c r="P74" s="104"/>
      <c r="Q74" s="107"/>
      <c r="R74" s="107"/>
      <c r="S74" s="107"/>
      <c r="T74" s="107"/>
      <c r="U74" s="107"/>
      <c r="V74" s="107"/>
      <c r="W74" s="107"/>
      <c r="X74" s="104"/>
      <c r="Y74" s="104"/>
      <c r="Z74" s="104"/>
      <c r="AA74" s="144"/>
      <c r="AB74" s="170"/>
      <c r="AC74" s="170"/>
      <c r="AD74" s="170"/>
      <c r="AE74" s="172"/>
      <c r="AF74" s="172"/>
      <c r="AG74" s="203"/>
      <c r="AH74" s="203"/>
      <c r="AI74" s="172"/>
      <c r="AJ74" s="148"/>
      <c r="AK74" s="144"/>
      <c r="AL74" s="144"/>
      <c r="AM74" s="144"/>
      <c r="AN74" s="144"/>
      <c r="AO74" s="144"/>
      <c r="AP74" s="166"/>
      <c r="AQ74" s="144"/>
      <c r="AR74" s="144"/>
      <c r="AS74" s="103"/>
      <c r="AT74" s="144"/>
      <c r="AU74" s="134"/>
      <c r="AV74" s="144"/>
      <c r="AW74" s="144"/>
      <c r="AX74" s="134"/>
      <c r="AY74" s="145"/>
      <c r="AZ74" s="173"/>
      <c r="BA74" s="144"/>
      <c r="BB74" s="167"/>
      <c r="BC74" s="178"/>
      <c r="BD74" s="103"/>
      <c r="BE74" s="103"/>
      <c r="BF74" s="168"/>
      <c r="BG74" s="168"/>
      <c r="BH74" s="168"/>
      <c r="BI74" s="168"/>
      <c r="BJ74" s="168"/>
      <c r="BK74" s="168"/>
      <c r="BL74" s="168"/>
      <c r="BM74" s="168"/>
    </row>
    <row r="75" spans="1:65" ht="30" customHeight="1">
      <c r="A75" s="144"/>
      <c r="B75" s="144"/>
      <c r="C75" s="144"/>
      <c r="D75" s="144"/>
      <c r="E75" s="144"/>
      <c r="F75" s="148"/>
      <c r="G75" s="144"/>
      <c r="H75" s="144"/>
      <c r="I75" s="147"/>
      <c r="J75" s="170"/>
      <c r="K75" s="148"/>
      <c r="L75" s="148"/>
      <c r="M75" s="144"/>
      <c r="N75" s="144"/>
      <c r="O75" s="134"/>
      <c r="P75" s="104"/>
      <c r="Q75" s="107"/>
      <c r="R75" s="107"/>
      <c r="S75" s="107"/>
      <c r="T75" s="107"/>
      <c r="U75" s="107"/>
      <c r="V75" s="107"/>
      <c r="W75" s="107"/>
      <c r="X75" s="104"/>
      <c r="Y75" s="104"/>
      <c r="Z75" s="104"/>
      <c r="AA75" s="144"/>
      <c r="AB75" s="170"/>
      <c r="AC75" s="170"/>
      <c r="AD75" s="170"/>
      <c r="AE75" s="172"/>
      <c r="AF75" s="172"/>
      <c r="AG75" s="203"/>
      <c r="AH75" s="203"/>
      <c r="AI75" s="172"/>
      <c r="AJ75" s="148"/>
      <c r="AK75" s="144"/>
      <c r="AL75" s="144"/>
      <c r="AM75" s="144"/>
      <c r="AN75" s="144"/>
      <c r="AO75" s="144"/>
      <c r="AP75" s="166"/>
      <c r="AQ75" s="144"/>
      <c r="AR75" s="144"/>
      <c r="AS75" s="103"/>
      <c r="AT75" s="144"/>
      <c r="AU75" s="134"/>
      <c r="AV75" s="144"/>
      <c r="AW75" s="144"/>
      <c r="AX75" s="134"/>
      <c r="AY75" s="145"/>
      <c r="AZ75" s="173"/>
      <c r="BA75" s="144"/>
      <c r="BB75" s="167"/>
      <c r="BC75" s="178"/>
      <c r="BD75" s="103"/>
      <c r="BE75" s="103"/>
      <c r="BF75" s="168"/>
      <c r="BG75" s="168"/>
      <c r="BH75" s="168"/>
      <c r="BI75" s="168"/>
      <c r="BJ75" s="168"/>
      <c r="BK75" s="168"/>
      <c r="BL75" s="168"/>
      <c r="BM75" s="168"/>
    </row>
    <row r="76" spans="1:65" ht="30" customHeight="1">
      <c r="A76" s="144"/>
      <c r="B76" s="144"/>
      <c r="C76" s="144"/>
      <c r="D76" s="144"/>
      <c r="E76" s="144"/>
      <c r="F76" s="148"/>
      <c r="G76" s="144"/>
      <c r="H76" s="144"/>
      <c r="I76" s="147"/>
      <c r="J76" s="170"/>
      <c r="K76" s="148"/>
      <c r="L76" s="148"/>
      <c r="M76" s="144"/>
      <c r="N76" s="144"/>
      <c r="O76" s="134"/>
      <c r="P76" s="104"/>
      <c r="Q76" s="107"/>
      <c r="R76" s="107"/>
      <c r="S76" s="107"/>
      <c r="T76" s="107"/>
      <c r="U76" s="107"/>
      <c r="V76" s="107"/>
      <c r="W76" s="107"/>
      <c r="X76" s="104"/>
      <c r="Y76" s="104"/>
      <c r="Z76" s="104"/>
      <c r="AA76" s="144"/>
      <c r="AB76" s="170"/>
      <c r="AC76" s="170"/>
      <c r="AD76" s="170"/>
      <c r="AE76" s="172"/>
      <c r="AF76" s="172"/>
      <c r="AG76" s="203"/>
      <c r="AH76" s="203"/>
      <c r="AI76" s="172"/>
      <c r="AJ76" s="148"/>
      <c r="AK76" s="144"/>
      <c r="AL76" s="144"/>
      <c r="AM76" s="144"/>
      <c r="AN76" s="144"/>
      <c r="AO76" s="144"/>
      <c r="AP76" s="166"/>
      <c r="AQ76" s="144"/>
      <c r="AR76" s="144"/>
      <c r="AS76" s="103"/>
      <c r="AT76" s="144"/>
      <c r="AU76" s="134"/>
      <c r="AV76" s="144"/>
      <c r="AW76" s="144"/>
      <c r="AX76" s="134"/>
      <c r="AY76" s="145"/>
      <c r="AZ76" s="173"/>
      <c r="BA76" s="144"/>
      <c r="BB76" s="167"/>
      <c r="BC76" s="178"/>
      <c r="BD76" s="103"/>
      <c r="BE76" s="103"/>
      <c r="BF76" s="168"/>
      <c r="BG76" s="168"/>
      <c r="BH76" s="168"/>
      <c r="BI76" s="168"/>
      <c r="BJ76" s="168"/>
      <c r="BK76" s="168"/>
      <c r="BL76" s="168"/>
      <c r="BM76" s="168"/>
    </row>
    <row r="77" spans="1:65" ht="30" customHeight="1">
      <c r="A77" s="144"/>
      <c r="B77" s="144"/>
      <c r="C77" s="144"/>
      <c r="D77" s="144"/>
      <c r="E77" s="144"/>
      <c r="F77" s="148"/>
      <c r="G77" s="144"/>
      <c r="H77" s="144"/>
      <c r="I77" s="147"/>
      <c r="J77" s="170"/>
      <c r="K77" s="148"/>
      <c r="L77" s="148"/>
      <c r="M77" s="144"/>
      <c r="N77" s="144"/>
      <c r="O77" s="134"/>
      <c r="P77" s="104"/>
      <c r="Q77" s="107"/>
      <c r="R77" s="107"/>
      <c r="S77" s="107"/>
      <c r="T77" s="107"/>
      <c r="U77" s="107"/>
      <c r="V77" s="107"/>
      <c r="W77" s="107"/>
      <c r="X77" s="104"/>
      <c r="Y77" s="104"/>
      <c r="Z77" s="104"/>
      <c r="AA77" s="144"/>
      <c r="AB77" s="170"/>
      <c r="AC77" s="170"/>
      <c r="AD77" s="170"/>
      <c r="AE77" s="172"/>
      <c r="AF77" s="172"/>
      <c r="AG77" s="203"/>
      <c r="AH77" s="203"/>
      <c r="AI77" s="172"/>
      <c r="AJ77" s="148"/>
      <c r="AK77" s="144"/>
      <c r="AL77" s="144"/>
      <c r="AM77" s="144"/>
      <c r="AN77" s="144"/>
      <c r="AO77" s="144"/>
      <c r="AP77" s="166"/>
      <c r="AQ77" s="144"/>
      <c r="AR77" s="144"/>
      <c r="AS77" s="103"/>
      <c r="AT77" s="144"/>
      <c r="AU77" s="134"/>
      <c r="AV77" s="144"/>
      <c r="AW77" s="144"/>
      <c r="AX77" s="134"/>
      <c r="AY77" s="145"/>
      <c r="AZ77" s="173"/>
      <c r="BA77" s="144"/>
      <c r="BB77" s="167"/>
      <c r="BC77" s="178"/>
      <c r="BD77" s="103"/>
      <c r="BE77" s="103"/>
      <c r="BF77" s="168"/>
      <c r="BG77" s="168"/>
      <c r="BH77" s="168"/>
      <c r="BI77" s="168"/>
      <c r="BJ77" s="168"/>
      <c r="BK77" s="168"/>
      <c r="BL77" s="168"/>
      <c r="BM77" s="168"/>
    </row>
    <row r="78" spans="1:65" ht="30" customHeight="1">
      <c r="A78" s="144"/>
      <c r="B78" s="144"/>
      <c r="C78" s="144"/>
      <c r="D78" s="144"/>
      <c r="E78" s="144"/>
      <c r="F78" s="148"/>
      <c r="G78" s="144"/>
      <c r="H78" s="144"/>
      <c r="I78" s="147"/>
      <c r="J78" s="170"/>
      <c r="K78" s="148"/>
      <c r="L78" s="148"/>
      <c r="M78" s="144"/>
      <c r="N78" s="144"/>
      <c r="O78" s="134"/>
      <c r="P78" s="104"/>
      <c r="Q78" s="107"/>
      <c r="R78" s="107"/>
      <c r="S78" s="107"/>
      <c r="T78" s="107"/>
      <c r="U78" s="107"/>
      <c r="V78" s="107"/>
      <c r="W78" s="107"/>
      <c r="X78" s="104"/>
      <c r="Y78" s="104"/>
      <c r="Z78" s="104"/>
      <c r="AA78" s="144"/>
      <c r="AB78" s="170"/>
      <c r="AC78" s="170"/>
      <c r="AD78" s="170"/>
      <c r="AE78" s="172"/>
      <c r="AF78" s="172"/>
      <c r="AG78" s="203"/>
      <c r="AH78" s="203"/>
      <c r="AI78" s="172"/>
      <c r="AJ78" s="148"/>
      <c r="AK78" s="144"/>
      <c r="AL78" s="144"/>
      <c r="AM78" s="144"/>
      <c r="AN78" s="144"/>
      <c r="AO78" s="144"/>
      <c r="AP78" s="166"/>
      <c r="AQ78" s="144"/>
      <c r="AR78" s="144"/>
      <c r="AS78" s="103"/>
      <c r="AT78" s="144"/>
      <c r="AU78" s="134"/>
      <c r="AV78" s="144"/>
      <c r="AW78" s="144"/>
      <c r="AX78" s="134"/>
      <c r="AY78" s="145"/>
      <c r="AZ78" s="173"/>
      <c r="BA78" s="144"/>
      <c r="BB78" s="167"/>
      <c r="BC78" s="178"/>
      <c r="BD78" s="103"/>
      <c r="BE78" s="103"/>
      <c r="BF78" s="168"/>
      <c r="BG78" s="168"/>
      <c r="BH78" s="168"/>
      <c r="BI78" s="168"/>
      <c r="BJ78" s="168"/>
      <c r="BK78" s="168"/>
      <c r="BL78" s="168"/>
      <c r="BM78" s="168"/>
    </row>
    <row r="79" spans="1:65" ht="30" customHeight="1">
      <c r="A79" s="144"/>
      <c r="B79" s="144"/>
      <c r="C79" s="144"/>
      <c r="D79" s="144"/>
      <c r="E79" s="144"/>
      <c r="F79" s="148"/>
      <c r="G79" s="144"/>
      <c r="H79" s="144"/>
      <c r="I79" s="147"/>
      <c r="J79" s="170"/>
      <c r="K79" s="148"/>
      <c r="L79" s="148"/>
      <c r="M79" s="144"/>
      <c r="N79" s="144"/>
      <c r="O79" s="134"/>
      <c r="P79" s="104"/>
      <c r="Q79" s="107"/>
      <c r="R79" s="107"/>
      <c r="S79" s="107"/>
      <c r="T79" s="107"/>
      <c r="U79" s="107"/>
      <c r="V79" s="107"/>
      <c r="W79" s="107"/>
      <c r="X79" s="104"/>
      <c r="Y79" s="104"/>
      <c r="Z79" s="104"/>
      <c r="AA79" s="144"/>
      <c r="AB79" s="170"/>
      <c r="AC79" s="170"/>
      <c r="AD79" s="170"/>
      <c r="AE79" s="172"/>
      <c r="AF79" s="172"/>
      <c r="AG79" s="203"/>
      <c r="AH79" s="203"/>
      <c r="AI79" s="172"/>
      <c r="AJ79" s="148"/>
      <c r="AK79" s="144"/>
      <c r="AL79" s="144"/>
      <c r="AM79" s="144"/>
      <c r="AN79" s="144"/>
      <c r="AO79" s="144"/>
      <c r="AP79" s="166"/>
      <c r="AQ79" s="144"/>
      <c r="AR79" s="144"/>
      <c r="AS79" s="103"/>
      <c r="AT79" s="144"/>
      <c r="AU79" s="134"/>
      <c r="AV79" s="144"/>
      <c r="AW79" s="144"/>
      <c r="AX79" s="134"/>
      <c r="AY79" s="145"/>
      <c r="AZ79" s="173"/>
      <c r="BA79" s="144"/>
      <c r="BB79" s="167"/>
      <c r="BC79" s="178"/>
      <c r="BD79" s="103"/>
      <c r="BE79" s="103"/>
      <c r="BF79" s="168"/>
      <c r="BG79" s="168"/>
      <c r="BH79" s="168"/>
      <c r="BI79" s="168"/>
      <c r="BJ79" s="168"/>
      <c r="BK79" s="168"/>
      <c r="BL79" s="168"/>
      <c r="BM79" s="168"/>
    </row>
    <row r="80" spans="1:65" ht="30" customHeight="1">
      <c r="A80" s="144"/>
      <c r="B80" s="144"/>
      <c r="C80" s="144"/>
      <c r="D80" s="144"/>
      <c r="E80" s="144"/>
      <c r="F80" s="148"/>
      <c r="G80" s="144"/>
      <c r="H80" s="144"/>
      <c r="I80" s="147"/>
      <c r="J80" s="170"/>
      <c r="K80" s="148"/>
      <c r="L80" s="148"/>
      <c r="M80" s="144"/>
      <c r="N80" s="144"/>
      <c r="O80" s="134"/>
      <c r="P80" s="104"/>
      <c r="Q80" s="107"/>
      <c r="R80" s="107"/>
      <c r="S80" s="107"/>
      <c r="T80" s="107"/>
      <c r="U80" s="107"/>
      <c r="V80" s="107"/>
      <c r="W80" s="107"/>
      <c r="X80" s="104"/>
      <c r="Y80" s="104"/>
      <c r="Z80" s="104"/>
      <c r="AA80" s="144"/>
      <c r="AB80" s="170"/>
      <c r="AC80" s="170"/>
      <c r="AD80" s="170"/>
      <c r="AE80" s="172"/>
      <c r="AF80" s="172"/>
      <c r="AG80" s="203"/>
      <c r="AH80" s="203"/>
      <c r="AI80" s="172"/>
      <c r="AJ80" s="148"/>
      <c r="AK80" s="144"/>
      <c r="AL80" s="144"/>
      <c r="AM80" s="144"/>
      <c r="AN80" s="144"/>
      <c r="AO80" s="144"/>
      <c r="AP80" s="166"/>
      <c r="AQ80" s="144"/>
      <c r="AR80" s="144"/>
      <c r="AS80" s="103"/>
      <c r="AT80" s="144"/>
      <c r="AU80" s="134"/>
      <c r="AV80" s="144"/>
      <c r="AW80" s="144"/>
      <c r="AX80" s="134"/>
      <c r="AY80" s="145"/>
      <c r="AZ80" s="173"/>
      <c r="BA80" s="144"/>
      <c r="BB80" s="167"/>
      <c r="BC80" s="178"/>
      <c r="BD80" s="103"/>
      <c r="BE80" s="103"/>
      <c r="BF80" s="168"/>
      <c r="BG80" s="168"/>
      <c r="BH80" s="168"/>
      <c r="BI80" s="168"/>
      <c r="BJ80" s="168"/>
      <c r="BK80" s="168"/>
      <c r="BL80" s="168"/>
      <c r="BM80" s="168"/>
    </row>
    <row r="81" spans="1:65" ht="30" customHeight="1">
      <c r="A81" s="144"/>
      <c r="B81" s="144"/>
      <c r="C81" s="144"/>
      <c r="D81" s="144"/>
      <c r="E81" s="144"/>
      <c r="F81" s="148"/>
      <c r="G81" s="144"/>
      <c r="H81" s="144"/>
      <c r="I81" s="147"/>
      <c r="J81" s="170"/>
      <c r="K81" s="148"/>
      <c r="L81" s="148"/>
      <c r="M81" s="144"/>
      <c r="N81" s="144"/>
      <c r="O81" s="134"/>
      <c r="P81" s="104"/>
      <c r="Q81" s="107"/>
      <c r="R81" s="107"/>
      <c r="S81" s="107"/>
      <c r="T81" s="107"/>
      <c r="U81" s="107"/>
      <c r="V81" s="107"/>
      <c r="W81" s="107"/>
      <c r="X81" s="104"/>
      <c r="Y81" s="104"/>
      <c r="Z81" s="104"/>
      <c r="AA81" s="144"/>
      <c r="AB81" s="170"/>
      <c r="AC81" s="170"/>
      <c r="AD81" s="170"/>
      <c r="AE81" s="172"/>
      <c r="AF81" s="172"/>
      <c r="AG81" s="203"/>
      <c r="AH81" s="203"/>
      <c r="AI81" s="172"/>
      <c r="AJ81" s="148"/>
      <c r="AK81" s="144"/>
      <c r="AL81" s="144"/>
      <c r="AM81" s="144"/>
      <c r="AN81" s="144"/>
      <c r="AO81" s="144"/>
      <c r="AP81" s="166"/>
      <c r="AQ81" s="144"/>
      <c r="AR81" s="144"/>
      <c r="AS81" s="103"/>
      <c r="AT81" s="144"/>
      <c r="AU81" s="134"/>
      <c r="AV81" s="144"/>
      <c r="AW81" s="144"/>
      <c r="AX81" s="134"/>
      <c r="AY81" s="145"/>
      <c r="AZ81" s="173"/>
      <c r="BA81" s="144"/>
      <c r="BB81" s="167"/>
      <c r="BC81" s="178"/>
      <c r="BD81" s="103"/>
      <c r="BE81" s="103"/>
      <c r="BF81" s="168"/>
      <c r="BG81" s="168"/>
      <c r="BH81" s="168"/>
      <c r="BI81" s="168"/>
      <c r="BJ81" s="168"/>
      <c r="BK81" s="168"/>
      <c r="BL81" s="168"/>
      <c r="BM81" s="168"/>
    </row>
    <row r="82" spans="1:65" ht="30" customHeight="1">
      <c r="A82" s="144"/>
      <c r="B82" s="144"/>
      <c r="C82" s="144"/>
      <c r="D82" s="144"/>
      <c r="E82" s="144"/>
      <c r="F82" s="148"/>
      <c r="G82" s="144"/>
      <c r="H82" s="144"/>
      <c r="I82" s="147"/>
      <c r="J82" s="170"/>
      <c r="K82" s="148"/>
      <c r="L82" s="148"/>
      <c r="M82" s="144"/>
      <c r="N82" s="144"/>
      <c r="O82" s="134"/>
      <c r="P82" s="104"/>
      <c r="Q82" s="107"/>
      <c r="R82" s="107"/>
      <c r="S82" s="107"/>
      <c r="T82" s="107"/>
      <c r="U82" s="107"/>
      <c r="V82" s="107"/>
      <c r="W82" s="107"/>
      <c r="X82" s="104"/>
      <c r="Y82" s="104"/>
      <c r="Z82" s="104"/>
      <c r="AA82" s="144"/>
      <c r="AB82" s="170"/>
      <c r="AC82" s="170"/>
      <c r="AD82" s="170"/>
      <c r="AE82" s="172"/>
      <c r="AF82" s="172"/>
      <c r="AG82" s="203"/>
      <c r="AH82" s="203"/>
      <c r="AI82" s="172"/>
      <c r="AJ82" s="148"/>
      <c r="AK82" s="144"/>
      <c r="AL82" s="144"/>
      <c r="AM82" s="144"/>
      <c r="AN82" s="144"/>
      <c r="AO82" s="144"/>
      <c r="AP82" s="166"/>
      <c r="AQ82" s="144"/>
      <c r="AR82" s="144"/>
      <c r="AS82" s="103"/>
      <c r="AT82" s="144"/>
      <c r="AU82" s="134"/>
      <c r="AV82" s="144"/>
      <c r="AW82" s="144"/>
      <c r="AX82" s="134"/>
      <c r="AY82" s="145"/>
      <c r="AZ82" s="173"/>
      <c r="BA82" s="144"/>
      <c r="BB82" s="167"/>
      <c r="BC82" s="178"/>
      <c r="BD82" s="103"/>
      <c r="BE82" s="103"/>
      <c r="BF82" s="168"/>
      <c r="BG82" s="168"/>
      <c r="BH82" s="168"/>
      <c r="BI82" s="168"/>
      <c r="BJ82" s="168"/>
      <c r="BK82" s="168"/>
      <c r="BL82" s="168"/>
      <c r="BM82" s="168"/>
    </row>
    <row r="83" spans="1:65" ht="30" customHeight="1">
      <c r="A83" s="144"/>
      <c r="B83" s="144"/>
      <c r="C83" s="144"/>
      <c r="D83" s="144"/>
      <c r="E83" s="144"/>
      <c r="F83" s="148"/>
      <c r="G83" s="144"/>
      <c r="H83" s="144"/>
      <c r="I83" s="147"/>
      <c r="J83" s="170"/>
      <c r="K83" s="148"/>
      <c r="L83" s="148"/>
      <c r="M83" s="144"/>
      <c r="N83" s="144"/>
      <c r="O83" s="134"/>
      <c r="P83" s="104"/>
      <c r="Q83" s="107"/>
      <c r="R83" s="107"/>
      <c r="S83" s="107"/>
      <c r="T83" s="107"/>
      <c r="U83" s="107"/>
      <c r="V83" s="107"/>
      <c r="W83" s="107"/>
      <c r="X83" s="104"/>
      <c r="Y83" s="104"/>
      <c r="Z83" s="104"/>
      <c r="AA83" s="144"/>
      <c r="AB83" s="170"/>
      <c r="AC83" s="170"/>
      <c r="AD83" s="170"/>
      <c r="AE83" s="172"/>
      <c r="AF83" s="172"/>
      <c r="AG83" s="203"/>
      <c r="AH83" s="203"/>
      <c r="AI83" s="172"/>
      <c r="AJ83" s="148"/>
      <c r="AK83" s="144"/>
      <c r="AL83" s="144"/>
      <c r="AM83" s="144"/>
      <c r="AN83" s="144"/>
      <c r="AO83" s="144"/>
      <c r="AP83" s="166"/>
      <c r="AQ83" s="144"/>
      <c r="AR83" s="144"/>
      <c r="AS83" s="103"/>
      <c r="AT83" s="144"/>
      <c r="AU83" s="134"/>
      <c r="AV83" s="144"/>
      <c r="AW83" s="144"/>
      <c r="AX83" s="134"/>
      <c r="AY83" s="145"/>
      <c r="AZ83" s="173"/>
      <c r="BA83" s="144"/>
      <c r="BB83" s="167"/>
      <c r="BC83" s="178"/>
      <c r="BD83" s="103"/>
      <c r="BE83" s="103"/>
      <c r="BF83" s="168"/>
      <c r="BG83" s="168"/>
      <c r="BH83" s="168"/>
      <c r="BI83" s="168"/>
      <c r="BJ83" s="168"/>
      <c r="BK83" s="168"/>
      <c r="BL83" s="168"/>
      <c r="BM83" s="168"/>
    </row>
    <row r="84" spans="1:65" ht="30" customHeight="1">
      <c r="A84" s="144"/>
      <c r="B84" s="144"/>
      <c r="C84" s="144"/>
      <c r="D84" s="144"/>
      <c r="E84" s="144"/>
      <c r="F84" s="148"/>
      <c r="G84" s="144"/>
      <c r="H84" s="144"/>
      <c r="I84" s="147"/>
      <c r="J84" s="170"/>
      <c r="K84" s="148"/>
      <c r="L84" s="148"/>
      <c r="M84" s="144"/>
      <c r="N84" s="144"/>
      <c r="O84" s="134"/>
      <c r="P84" s="104"/>
      <c r="Q84" s="107"/>
      <c r="R84" s="107"/>
      <c r="S84" s="107"/>
      <c r="T84" s="107"/>
      <c r="U84" s="107"/>
      <c r="V84" s="107"/>
      <c r="W84" s="107"/>
      <c r="X84" s="104"/>
      <c r="Y84" s="104"/>
      <c r="Z84" s="104"/>
      <c r="AA84" s="144"/>
      <c r="AB84" s="170"/>
      <c r="AC84" s="170"/>
      <c r="AD84" s="170"/>
      <c r="AE84" s="172"/>
      <c r="AF84" s="172"/>
      <c r="AG84" s="203"/>
      <c r="AH84" s="203"/>
      <c r="AI84" s="172"/>
      <c r="AJ84" s="148"/>
      <c r="AK84" s="144"/>
      <c r="AL84" s="144"/>
      <c r="AM84" s="144"/>
      <c r="AN84" s="144"/>
      <c r="AO84" s="144"/>
      <c r="AP84" s="166"/>
      <c r="AQ84" s="144"/>
      <c r="AR84" s="144"/>
      <c r="AS84" s="103"/>
      <c r="AT84" s="144"/>
      <c r="AU84" s="134"/>
      <c r="AV84" s="144"/>
      <c r="AW84" s="144"/>
      <c r="AX84" s="134"/>
      <c r="AY84" s="145"/>
      <c r="AZ84" s="173"/>
      <c r="BA84" s="144"/>
      <c r="BB84" s="167"/>
      <c r="BC84" s="178"/>
      <c r="BD84" s="103"/>
      <c r="BE84" s="103"/>
      <c r="BF84" s="168"/>
      <c r="BG84" s="168"/>
      <c r="BH84" s="168"/>
      <c r="BI84" s="168"/>
      <c r="BJ84" s="168"/>
      <c r="BK84" s="168"/>
      <c r="BL84" s="168"/>
      <c r="BM84" s="168"/>
    </row>
    <row r="85" spans="1:65" ht="30" customHeight="1">
      <c r="A85" s="144"/>
      <c r="B85" s="144"/>
      <c r="C85" s="144"/>
      <c r="D85" s="144"/>
      <c r="E85" s="144"/>
      <c r="F85" s="148"/>
      <c r="G85" s="144"/>
      <c r="H85" s="144"/>
      <c r="I85" s="147"/>
      <c r="J85" s="170"/>
      <c r="K85" s="148"/>
      <c r="L85" s="148"/>
      <c r="M85" s="144"/>
      <c r="N85" s="144"/>
      <c r="O85" s="134"/>
      <c r="P85" s="104"/>
      <c r="Q85" s="107"/>
      <c r="R85" s="107"/>
      <c r="S85" s="107"/>
      <c r="T85" s="107"/>
      <c r="U85" s="107"/>
      <c r="V85" s="107"/>
      <c r="W85" s="107"/>
      <c r="X85" s="104"/>
      <c r="Y85" s="104"/>
      <c r="Z85" s="104"/>
      <c r="AA85" s="144"/>
      <c r="AB85" s="170"/>
      <c r="AC85" s="170"/>
      <c r="AD85" s="170"/>
      <c r="AE85" s="172"/>
      <c r="AF85" s="172"/>
      <c r="AG85" s="203"/>
      <c r="AH85" s="203"/>
      <c r="AI85" s="172"/>
      <c r="AJ85" s="148"/>
      <c r="AK85" s="144"/>
      <c r="AL85" s="144"/>
      <c r="AM85" s="144"/>
      <c r="AN85" s="144"/>
      <c r="AO85" s="144"/>
      <c r="AP85" s="166"/>
      <c r="AQ85" s="144"/>
      <c r="AR85" s="144"/>
      <c r="AS85" s="103"/>
      <c r="AT85" s="144"/>
      <c r="AU85" s="134"/>
      <c r="AV85" s="144"/>
      <c r="AW85" s="144"/>
      <c r="AX85" s="134"/>
      <c r="AY85" s="145"/>
      <c r="AZ85" s="173"/>
      <c r="BA85" s="144"/>
      <c r="BB85" s="167"/>
      <c r="BC85" s="178"/>
      <c r="BD85" s="103"/>
      <c r="BE85" s="103"/>
      <c r="BF85" s="168"/>
      <c r="BG85" s="168"/>
      <c r="BH85" s="168"/>
      <c r="BI85" s="168"/>
      <c r="BJ85" s="168"/>
      <c r="BK85" s="168"/>
      <c r="BL85" s="168"/>
      <c r="BM85" s="168"/>
    </row>
    <row r="86" spans="1:65" ht="30" customHeight="1">
      <c r="A86" s="144"/>
      <c r="B86" s="144"/>
      <c r="C86" s="144"/>
      <c r="D86" s="144"/>
      <c r="E86" s="144"/>
      <c r="F86" s="148"/>
      <c r="G86" s="144"/>
      <c r="H86" s="144"/>
      <c r="I86" s="147"/>
      <c r="J86" s="170"/>
      <c r="K86" s="148"/>
      <c r="L86" s="148"/>
      <c r="M86" s="144"/>
      <c r="N86" s="144"/>
      <c r="O86" s="134"/>
      <c r="P86" s="104"/>
      <c r="Q86" s="107"/>
      <c r="R86" s="107"/>
      <c r="S86" s="107"/>
      <c r="T86" s="107"/>
      <c r="U86" s="107"/>
      <c r="V86" s="107"/>
      <c r="W86" s="107"/>
      <c r="X86" s="104"/>
      <c r="Y86" s="104"/>
      <c r="Z86" s="104"/>
      <c r="AA86" s="144"/>
      <c r="AB86" s="170"/>
      <c r="AC86" s="170"/>
      <c r="AD86" s="170"/>
      <c r="AE86" s="172"/>
      <c r="AF86" s="172"/>
      <c r="AG86" s="203"/>
      <c r="AH86" s="203"/>
      <c r="AI86" s="172"/>
      <c r="AJ86" s="148"/>
      <c r="AK86" s="144"/>
      <c r="AL86" s="144"/>
      <c r="AM86" s="144"/>
      <c r="AN86" s="144"/>
      <c r="AO86" s="144"/>
      <c r="AP86" s="166"/>
      <c r="AQ86" s="144"/>
      <c r="AR86" s="144"/>
      <c r="AS86" s="103"/>
      <c r="AT86" s="144"/>
      <c r="AU86" s="134"/>
      <c r="AV86" s="144"/>
      <c r="AW86" s="144"/>
      <c r="AX86" s="134"/>
      <c r="AY86" s="145"/>
      <c r="AZ86" s="173"/>
      <c r="BA86" s="144"/>
      <c r="BB86" s="167"/>
      <c r="BC86" s="178"/>
      <c r="BD86" s="103"/>
      <c r="BE86" s="103"/>
      <c r="BF86" s="168"/>
      <c r="BG86" s="168"/>
      <c r="BH86" s="168"/>
      <c r="BI86" s="168"/>
      <c r="BJ86" s="168"/>
      <c r="BK86" s="168"/>
      <c r="BL86" s="168"/>
      <c r="BM86" s="168"/>
    </row>
    <row r="87" spans="1:65" ht="30" customHeight="1">
      <c r="A87" s="144"/>
      <c r="B87" s="144"/>
      <c r="C87" s="144"/>
      <c r="D87" s="144"/>
      <c r="E87" s="144"/>
      <c r="F87" s="148"/>
      <c r="G87" s="144"/>
      <c r="H87" s="144"/>
      <c r="I87" s="147"/>
      <c r="J87" s="170"/>
      <c r="K87" s="148"/>
      <c r="L87" s="148"/>
      <c r="M87" s="144"/>
      <c r="N87" s="144"/>
      <c r="O87" s="134"/>
      <c r="P87" s="104"/>
      <c r="Q87" s="107"/>
      <c r="R87" s="107"/>
      <c r="S87" s="107"/>
      <c r="T87" s="107"/>
      <c r="U87" s="107"/>
      <c r="V87" s="107"/>
      <c r="W87" s="107"/>
      <c r="X87" s="104"/>
      <c r="Y87" s="104"/>
      <c r="Z87" s="104"/>
      <c r="AA87" s="144"/>
      <c r="AB87" s="170"/>
      <c r="AC87" s="170"/>
      <c r="AD87" s="170"/>
      <c r="AE87" s="172"/>
      <c r="AF87" s="172"/>
      <c r="AG87" s="203"/>
      <c r="AH87" s="203"/>
      <c r="AI87" s="172"/>
      <c r="AJ87" s="148"/>
      <c r="AK87" s="144"/>
      <c r="AL87" s="144"/>
      <c r="AM87" s="144"/>
      <c r="AN87" s="144"/>
      <c r="AO87" s="144"/>
      <c r="AP87" s="166"/>
      <c r="AQ87" s="144"/>
      <c r="AR87" s="144"/>
      <c r="AS87" s="103"/>
      <c r="AT87" s="144"/>
      <c r="AU87" s="134"/>
      <c r="AV87" s="144"/>
      <c r="AW87" s="144"/>
      <c r="AX87" s="134"/>
      <c r="AY87" s="145"/>
      <c r="AZ87" s="173"/>
      <c r="BA87" s="144"/>
      <c r="BB87" s="167"/>
      <c r="BC87" s="178"/>
      <c r="BD87" s="103"/>
      <c r="BE87" s="103"/>
      <c r="BF87" s="168"/>
      <c r="BG87" s="168"/>
      <c r="BH87" s="168"/>
      <c r="BI87" s="168"/>
      <c r="BJ87" s="168"/>
      <c r="BK87" s="168"/>
      <c r="BL87" s="168"/>
      <c r="BM87" s="168"/>
    </row>
    <row r="88" spans="1:65" ht="30" customHeight="1">
      <c r="A88" s="144"/>
      <c r="B88" s="144"/>
      <c r="C88" s="144"/>
      <c r="D88" s="144"/>
      <c r="E88" s="144"/>
      <c r="F88" s="148"/>
      <c r="G88" s="144"/>
      <c r="H88" s="144"/>
      <c r="I88" s="147"/>
      <c r="J88" s="170"/>
      <c r="K88" s="148"/>
      <c r="L88" s="148"/>
      <c r="M88" s="144"/>
      <c r="N88" s="144"/>
      <c r="O88" s="134"/>
      <c r="P88" s="104"/>
      <c r="Q88" s="107"/>
      <c r="R88" s="107"/>
      <c r="S88" s="107"/>
      <c r="T88" s="107"/>
      <c r="U88" s="107"/>
      <c r="V88" s="107"/>
      <c r="W88" s="107"/>
      <c r="X88" s="104"/>
      <c r="Y88" s="104"/>
      <c r="Z88" s="104"/>
      <c r="AA88" s="144"/>
      <c r="AB88" s="170"/>
      <c r="AC88" s="170"/>
      <c r="AD88" s="170"/>
      <c r="AE88" s="172"/>
      <c r="AF88" s="172"/>
      <c r="AG88" s="203"/>
      <c r="AH88" s="203"/>
      <c r="AI88" s="172"/>
      <c r="AJ88" s="148"/>
      <c r="AK88" s="144"/>
      <c r="AL88" s="144"/>
      <c r="AM88" s="144"/>
      <c r="AN88" s="144"/>
      <c r="AO88" s="144"/>
      <c r="AP88" s="166"/>
      <c r="AQ88" s="144"/>
      <c r="AR88" s="144"/>
      <c r="AS88" s="103"/>
      <c r="AT88" s="144"/>
      <c r="AU88" s="134"/>
      <c r="AV88" s="144"/>
      <c r="AW88" s="144"/>
      <c r="AX88" s="134"/>
      <c r="AY88" s="145"/>
      <c r="AZ88" s="173"/>
      <c r="BA88" s="144"/>
      <c r="BB88" s="167"/>
      <c r="BC88" s="178"/>
      <c r="BD88" s="103"/>
      <c r="BE88" s="103"/>
      <c r="BF88" s="168"/>
      <c r="BG88" s="168"/>
      <c r="BH88" s="168"/>
      <c r="BI88" s="168"/>
      <c r="BJ88" s="168"/>
      <c r="BK88" s="168"/>
      <c r="BL88" s="168"/>
      <c r="BM88" s="168"/>
    </row>
    <row r="89" spans="1:65" ht="30" customHeight="1">
      <c r="A89" s="144"/>
      <c r="B89" s="144"/>
      <c r="C89" s="144"/>
      <c r="D89" s="144"/>
      <c r="E89" s="144"/>
      <c r="F89" s="148"/>
      <c r="G89" s="144"/>
      <c r="H89" s="144"/>
      <c r="I89" s="147"/>
      <c r="J89" s="170"/>
      <c r="K89" s="148"/>
      <c r="L89" s="148"/>
      <c r="M89" s="144"/>
      <c r="N89" s="144"/>
      <c r="O89" s="134"/>
      <c r="P89" s="104"/>
      <c r="Q89" s="107"/>
      <c r="R89" s="107"/>
      <c r="S89" s="107"/>
      <c r="T89" s="107"/>
      <c r="U89" s="107"/>
      <c r="V89" s="107"/>
      <c r="W89" s="107"/>
      <c r="X89" s="104"/>
      <c r="Y89" s="104"/>
      <c r="Z89" s="104"/>
      <c r="AA89" s="144"/>
      <c r="AB89" s="170"/>
      <c r="AC89" s="170"/>
      <c r="AD89" s="170"/>
      <c r="AE89" s="172"/>
      <c r="AF89" s="172"/>
      <c r="AG89" s="203"/>
      <c r="AH89" s="203"/>
      <c r="AI89" s="172"/>
      <c r="AJ89" s="148"/>
      <c r="AK89" s="144"/>
      <c r="AL89" s="144"/>
      <c r="AM89" s="144"/>
      <c r="AN89" s="144"/>
      <c r="AO89" s="144"/>
      <c r="AP89" s="166"/>
      <c r="AQ89" s="144"/>
      <c r="AR89" s="144"/>
      <c r="AS89" s="103"/>
      <c r="AT89" s="144"/>
      <c r="AU89" s="134"/>
      <c r="AV89" s="144"/>
      <c r="AW89" s="144"/>
      <c r="AX89" s="134"/>
      <c r="AY89" s="145"/>
      <c r="AZ89" s="173"/>
      <c r="BA89" s="144"/>
      <c r="BB89" s="167"/>
      <c r="BC89" s="178"/>
      <c r="BD89" s="103"/>
      <c r="BE89" s="103"/>
      <c r="BF89" s="168"/>
      <c r="BG89" s="168"/>
      <c r="BH89" s="168"/>
      <c r="BI89" s="168"/>
      <c r="BJ89" s="168"/>
      <c r="BK89" s="168"/>
      <c r="BL89" s="168"/>
      <c r="BM89" s="168"/>
    </row>
    <row r="90" spans="1:65" ht="30" customHeight="1">
      <c r="A90" s="144"/>
      <c r="B90" s="144"/>
      <c r="C90" s="144"/>
      <c r="D90" s="144"/>
      <c r="E90" s="144"/>
      <c r="F90" s="148"/>
      <c r="G90" s="144"/>
      <c r="H90" s="144"/>
      <c r="I90" s="147"/>
      <c r="J90" s="170"/>
      <c r="K90" s="148"/>
      <c r="L90" s="148"/>
      <c r="M90" s="144"/>
      <c r="N90" s="144"/>
      <c r="O90" s="134"/>
      <c r="P90" s="104"/>
      <c r="Q90" s="107"/>
      <c r="R90" s="107"/>
      <c r="S90" s="107"/>
      <c r="T90" s="107"/>
      <c r="U90" s="107"/>
      <c r="V90" s="107"/>
      <c r="W90" s="107"/>
      <c r="X90" s="104"/>
      <c r="Y90" s="104"/>
      <c r="Z90" s="104"/>
      <c r="AA90" s="144"/>
      <c r="AB90" s="170"/>
      <c r="AC90" s="170"/>
      <c r="AD90" s="170"/>
      <c r="AE90" s="172"/>
      <c r="AF90" s="172"/>
      <c r="AG90" s="203"/>
      <c r="AH90" s="203"/>
      <c r="AI90" s="172"/>
      <c r="AJ90" s="148"/>
      <c r="AK90" s="144"/>
      <c r="AL90" s="144"/>
      <c r="AM90" s="144"/>
      <c r="AN90" s="144"/>
      <c r="AO90" s="144"/>
      <c r="AP90" s="166"/>
      <c r="AQ90" s="144"/>
      <c r="AR90" s="144"/>
      <c r="AS90" s="103"/>
      <c r="AT90" s="144"/>
      <c r="AU90" s="134"/>
      <c r="AV90" s="144"/>
      <c r="AW90" s="144"/>
      <c r="AX90" s="134"/>
      <c r="AY90" s="145"/>
      <c r="AZ90" s="173"/>
      <c r="BA90" s="144"/>
      <c r="BB90" s="167"/>
      <c r="BC90" s="178"/>
      <c r="BD90" s="103"/>
      <c r="BE90" s="103"/>
      <c r="BF90" s="168"/>
      <c r="BG90" s="168"/>
      <c r="BH90" s="168"/>
      <c r="BI90" s="168"/>
      <c r="BJ90" s="168"/>
      <c r="BK90" s="168"/>
      <c r="BL90" s="168"/>
      <c r="BM90" s="168"/>
    </row>
    <row r="91" spans="1:65" ht="30" customHeight="1">
      <c r="A91" s="144"/>
      <c r="B91" s="144"/>
      <c r="C91" s="144"/>
      <c r="D91" s="144"/>
      <c r="E91" s="144"/>
      <c r="F91" s="148"/>
      <c r="G91" s="144"/>
      <c r="H91" s="144"/>
      <c r="I91" s="147"/>
      <c r="J91" s="170"/>
      <c r="K91" s="148"/>
      <c r="L91" s="148"/>
      <c r="M91" s="144"/>
      <c r="N91" s="144"/>
      <c r="O91" s="134"/>
      <c r="P91" s="104"/>
      <c r="Q91" s="107"/>
      <c r="R91" s="107"/>
      <c r="S91" s="107"/>
      <c r="T91" s="107"/>
      <c r="U91" s="107"/>
      <c r="V91" s="107"/>
      <c r="W91" s="107"/>
      <c r="X91" s="104"/>
      <c r="Y91" s="104"/>
      <c r="Z91" s="104"/>
      <c r="AA91" s="144"/>
      <c r="AB91" s="170"/>
      <c r="AC91" s="170"/>
      <c r="AD91" s="170"/>
      <c r="AE91" s="172"/>
      <c r="AF91" s="172"/>
      <c r="AG91" s="203"/>
      <c r="AH91" s="203"/>
      <c r="AI91" s="172"/>
      <c r="AJ91" s="148"/>
      <c r="AK91" s="144"/>
      <c r="AL91" s="144"/>
      <c r="AM91" s="144"/>
      <c r="AN91" s="144"/>
      <c r="AO91" s="144"/>
      <c r="AP91" s="166"/>
      <c r="AQ91" s="144"/>
      <c r="AR91" s="144"/>
      <c r="AS91" s="103"/>
      <c r="AT91" s="144"/>
      <c r="AU91" s="134"/>
      <c r="AV91" s="144"/>
      <c r="AW91" s="144"/>
      <c r="AX91" s="134"/>
      <c r="AY91" s="145"/>
      <c r="AZ91" s="173"/>
      <c r="BA91" s="144"/>
      <c r="BB91" s="167"/>
      <c r="BC91" s="178"/>
      <c r="BD91" s="103"/>
      <c r="BE91" s="103"/>
      <c r="BF91" s="168"/>
      <c r="BG91" s="168"/>
      <c r="BH91" s="168"/>
      <c r="BI91" s="168"/>
      <c r="BJ91" s="168"/>
      <c r="BK91" s="168"/>
      <c r="BL91" s="168"/>
      <c r="BM91" s="168"/>
    </row>
    <row r="92" spans="1:65" ht="30" customHeight="1">
      <c r="A92" s="144"/>
      <c r="B92" s="144"/>
      <c r="C92" s="144"/>
      <c r="D92" s="144"/>
      <c r="E92" s="144"/>
      <c r="F92" s="148"/>
      <c r="G92" s="144"/>
      <c r="H92" s="144"/>
      <c r="I92" s="147"/>
      <c r="J92" s="170"/>
      <c r="K92" s="148"/>
      <c r="L92" s="148"/>
      <c r="M92" s="144"/>
      <c r="N92" s="144"/>
      <c r="O92" s="134"/>
      <c r="P92" s="104"/>
      <c r="Q92" s="107"/>
      <c r="R92" s="107"/>
      <c r="S92" s="107"/>
      <c r="T92" s="107"/>
      <c r="U92" s="107"/>
      <c r="V92" s="107"/>
      <c r="W92" s="107"/>
      <c r="X92" s="104"/>
      <c r="Y92" s="104"/>
      <c r="Z92" s="104"/>
      <c r="AA92" s="144"/>
      <c r="AB92" s="170"/>
      <c r="AC92" s="170"/>
      <c r="AD92" s="170"/>
      <c r="AE92" s="172"/>
      <c r="AF92" s="172"/>
      <c r="AG92" s="203"/>
      <c r="AH92" s="203"/>
      <c r="AI92" s="172"/>
      <c r="AJ92" s="148"/>
      <c r="AK92" s="144"/>
      <c r="AL92" s="144"/>
      <c r="AM92" s="144"/>
      <c r="AN92" s="144"/>
      <c r="AO92" s="144"/>
      <c r="AP92" s="166"/>
      <c r="AQ92" s="144"/>
      <c r="AR92" s="144"/>
      <c r="AS92" s="103"/>
      <c r="AT92" s="144"/>
      <c r="AU92" s="134"/>
      <c r="AV92" s="144"/>
      <c r="AW92" s="144"/>
      <c r="AX92" s="134"/>
      <c r="AY92" s="145"/>
      <c r="AZ92" s="173"/>
      <c r="BA92" s="144"/>
      <c r="BB92" s="167"/>
      <c r="BC92" s="178"/>
      <c r="BD92" s="103"/>
      <c r="BE92" s="103"/>
      <c r="BF92" s="168"/>
      <c r="BG92" s="168"/>
      <c r="BH92" s="168"/>
      <c r="BI92" s="168"/>
      <c r="BJ92" s="168"/>
      <c r="BK92" s="168"/>
      <c r="BL92" s="168"/>
      <c r="BM92" s="168"/>
    </row>
    <row r="93" spans="1:65" ht="30" customHeight="1">
      <c r="A93" s="144"/>
      <c r="B93" s="144"/>
      <c r="C93" s="144"/>
      <c r="D93" s="144"/>
      <c r="E93" s="144"/>
      <c r="F93" s="148"/>
      <c r="G93" s="144"/>
      <c r="H93" s="144"/>
      <c r="I93" s="147"/>
      <c r="J93" s="170"/>
      <c r="K93" s="148"/>
      <c r="L93" s="148"/>
      <c r="M93" s="144"/>
      <c r="N93" s="144"/>
      <c r="O93" s="134"/>
      <c r="P93" s="104"/>
      <c r="Q93" s="107"/>
      <c r="R93" s="107"/>
      <c r="S93" s="107"/>
      <c r="T93" s="107"/>
      <c r="U93" s="107"/>
      <c r="V93" s="107"/>
      <c r="W93" s="107"/>
      <c r="X93" s="104"/>
      <c r="Y93" s="104"/>
      <c r="Z93" s="104"/>
      <c r="AA93" s="144"/>
      <c r="AB93" s="170"/>
      <c r="AC93" s="170"/>
      <c r="AD93" s="170"/>
      <c r="AE93" s="172"/>
      <c r="AF93" s="172"/>
      <c r="AG93" s="203"/>
      <c r="AH93" s="203"/>
      <c r="AI93" s="172"/>
      <c r="AJ93" s="148"/>
      <c r="AK93" s="144"/>
      <c r="AL93" s="144"/>
      <c r="AM93" s="144"/>
      <c r="AN93" s="144"/>
      <c r="AO93" s="144"/>
      <c r="AP93" s="166"/>
      <c r="AQ93" s="144"/>
      <c r="AR93" s="144"/>
      <c r="AS93" s="103"/>
      <c r="AT93" s="144"/>
      <c r="AU93" s="134"/>
      <c r="AV93" s="144"/>
      <c r="AW93" s="144"/>
      <c r="AX93" s="134"/>
      <c r="AY93" s="145"/>
      <c r="AZ93" s="173"/>
      <c r="BA93" s="144"/>
      <c r="BB93" s="167"/>
      <c r="BC93" s="178"/>
      <c r="BD93" s="103"/>
      <c r="BE93" s="103"/>
      <c r="BF93" s="168"/>
      <c r="BG93" s="168"/>
      <c r="BH93" s="168"/>
      <c r="BI93" s="168"/>
      <c r="BJ93" s="168"/>
      <c r="BK93" s="168"/>
      <c r="BL93" s="168"/>
      <c r="BM93" s="168"/>
    </row>
    <row r="94" spans="1:65" ht="30" customHeight="1">
      <c r="A94" s="144"/>
      <c r="B94" s="144"/>
      <c r="C94" s="144"/>
      <c r="D94" s="144"/>
      <c r="E94" s="144"/>
      <c r="F94" s="148"/>
      <c r="G94" s="144"/>
      <c r="H94" s="144"/>
      <c r="I94" s="147"/>
      <c r="J94" s="170"/>
      <c r="K94" s="148"/>
      <c r="L94" s="148"/>
      <c r="M94" s="144"/>
      <c r="N94" s="144"/>
      <c r="O94" s="134"/>
      <c r="P94" s="104"/>
      <c r="Q94" s="107"/>
      <c r="R94" s="107"/>
      <c r="S94" s="107"/>
      <c r="T94" s="107"/>
      <c r="U94" s="107"/>
      <c r="V94" s="107"/>
      <c r="W94" s="107"/>
      <c r="X94" s="104"/>
      <c r="Y94" s="104"/>
      <c r="Z94" s="104"/>
      <c r="AA94" s="144"/>
      <c r="AB94" s="170"/>
      <c r="AC94" s="170"/>
      <c r="AD94" s="170"/>
      <c r="AE94" s="172"/>
      <c r="AF94" s="172"/>
      <c r="AG94" s="203"/>
      <c r="AH94" s="203"/>
      <c r="AI94" s="172"/>
      <c r="AJ94" s="148"/>
      <c r="AK94" s="144"/>
      <c r="AL94" s="144"/>
      <c r="AM94" s="144"/>
      <c r="AN94" s="144"/>
      <c r="AO94" s="144"/>
      <c r="AP94" s="166"/>
      <c r="AQ94" s="144"/>
      <c r="AR94" s="144"/>
      <c r="AS94" s="103"/>
      <c r="AT94" s="144"/>
      <c r="AU94" s="134"/>
      <c r="AV94" s="144"/>
      <c r="AW94" s="144"/>
      <c r="AX94" s="134"/>
      <c r="AY94" s="145"/>
      <c r="AZ94" s="173"/>
      <c r="BA94" s="144"/>
      <c r="BB94" s="167"/>
      <c r="BC94" s="178"/>
      <c r="BD94" s="103"/>
      <c r="BE94" s="103"/>
      <c r="BF94" s="168"/>
      <c r="BG94" s="168"/>
      <c r="BH94" s="168"/>
      <c r="BI94" s="168"/>
      <c r="BJ94" s="168"/>
      <c r="BK94" s="168"/>
      <c r="BL94" s="168"/>
      <c r="BM94" s="168"/>
    </row>
    <row r="95" spans="1:65" ht="30" customHeight="1">
      <c r="A95" s="144"/>
      <c r="B95" s="144"/>
      <c r="C95" s="144"/>
      <c r="D95" s="144"/>
      <c r="E95" s="144"/>
      <c r="F95" s="148"/>
      <c r="G95" s="144"/>
      <c r="H95" s="144"/>
      <c r="I95" s="147"/>
      <c r="J95" s="170"/>
      <c r="K95" s="148"/>
      <c r="L95" s="148"/>
      <c r="M95" s="144"/>
      <c r="N95" s="144"/>
      <c r="O95" s="134"/>
      <c r="P95" s="104"/>
      <c r="Q95" s="107"/>
      <c r="R95" s="107"/>
      <c r="S95" s="107"/>
      <c r="T95" s="107"/>
      <c r="U95" s="107"/>
      <c r="V95" s="107"/>
      <c r="W95" s="107"/>
      <c r="X95" s="104"/>
      <c r="Y95" s="104"/>
      <c r="Z95" s="104"/>
      <c r="AA95" s="144"/>
      <c r="AB95" s="170"/>
      <c r="AC95" s="170"/>
      <c r="AD95" s="170"/>
      <c r="AE95" s="172"/>
      <c r="AF95" s="172"/>
      <c r="AG95" s="203"/>
      <c r="AH95" s="203"/>
      <c r="AI95" s="172"/>
      <c r="AJ95" s="148"/>
      <c r="AK95" s="144"/>
      <c r="AL95" s="144"/>
      <c r="AM95" s="144"/>
      <c r="AN95" s="144"/>
      <c r="AO95" s="144"/>
      <c r="AP95" s="166"/>
      <c r="AQ95" s="144"/>
      <c r="AR95" s="144"/>
      <c r="AS95" s="103"/>
      <c r="AT95" s="144"/>
      <c r="AU95" s="134"/>
      <c r="AV95" s="144"/>
      <c r="AW95" s="144"/>
      <c r="AX95" s="134"/>
      <c r="AY95" s="145"/>
      <c r="AZ95" s="173"/>
      <c r="BA95" s="144"/>
      <c r="BB95" s="167"/>
      <c r="BC95" s="178"/>
      <c r="BD95" s="103"/>
      <c r="BE95" s="103"/>
      <c r="BF95" s="168"/>
      <c r="BG95" s="168"/>
      <c r="BH95" s="168"/>
      <c r="BI95" s="168"/>
      <c r="BJ95" s="168"/>
      <c r="BK95" s="168"/>
      <c r="BL95" s="168"/>
      <c r="BM95" s="168"/>
    </row>
    <row r="96" spans="1:65" ht="30" customHeight="1">
      <c r="A96" s="144"/>
      <c r="B96" s="144"/>
      <c r="C96" s="144"/>
      <c r="D96" s="144"/>
      <c r="E96" s="144"/>
      <c r="F96" s="148"/>
      <c r="G96" s="144"/>
      <c r="H96" s="144"/>
      <c r="I96" s="147"/>
      <c r="J96" s="170"/>
      <c r="K96" s="148"/>
      <c r="L96" s="148"/>
      <c r="M96" s="144"/>
      <c r="N96" s="144"/>
      <c r="O96" s="134"/>
      <c r="P96" s="104"/>
      <c r="Q96" s="107"/>
      <c r="R96" s="107"/>
      <c r="S96" s="107"/>
      <c r="T96" s="107"/>
      <c r="U96" s="107"/>
      <c r="V96" s="107"/>
      <c r="W96" s="107"/>
      <c r="X96" s="104"/>
      <c r="Y96" s="104"/>
      <c r="Z96" s="104"/>
      <c r="AA96" s="144"/>
      <c r="AB96" s="170"/>
      <c r="AC96" s="170"/>
      <c r="AD96" s="170"/>
      <c r="AE96" s="172"/>
      <c r="AF96" s="172"/>
      <c r="AG96" s="203"/>
      <c r="AH96" s="203"/>
      <c r="AI96" s="172"/>
      <c r="AJ96" s="148"/>
      <c r="AK96" s="144"/>
      <c r="AL96" s="144"/>
      <c r="AM96" s="144"/>
      <c r="AN96" s="144"/>
      <c r="AO96" s="144"/>
      <c r="AP96" s="166"/>
      <c r="AQ96" s="144"/>
      <c r="AR96" s="144"/>
      <c r="AS96" s="103"/>
      <c r="AT96" s="144"/>
      <c r="AU96" s="134"/>
      <c r="AV96" s="144"/>
      <c r="AW96" s="144"/>
      <c r="AX96" s="134"/>
      <c r="AY96" s="145"/>
      <c r="AZ96" s="173"/>
      <c r="BA96" s="144"/>
      <c r="BB96" s="167"/>
      <c r="BC96" s="178"/>
      <c r="BD96" s="103"/>
      <c r="BE96" s="103"/>
      <c r="BF96" s="168"/>
      <c r="BG96" s="168"/>
      <c r="BH96" s="168"/>
      <c r="BI96" s="168"/>
      <c r="BJ96" s="168"/>
      <c r="BK96" s="168"/>
      <c r="BL96" s="168"/>
      <c r="BM96" s="168"/>
    </row>
    <row r="97" spans="1:65" ht="30" customHeight="1">
      <c r="A97" s="144"/>
      <c r="B97" s="144"/>
      <c r="C97" s="144"/>
      <c r="D97" s="144"/>
      <c r="E97" s="144"/>
      <c r="F97" s="148"/>
      <c r="G97" s="144"/>
      <c r="H97" s="144"/>
      <c r="I97" s="147"/>
      <c r="J97" s="170"/>
      <c r="K97" s="148"/>
      <c r="L97" s="148"/>
      <c r="M97" s="144"/>
      <c r="N97" s="144"/>
      <c r="O97" s="134"/>
      <c r="P97" s="104"/>
      <c r="Q97" s="107"/>
      <c r="R97" s="107"/>
      <c r="S97" s="107"/>
      <c r="T97" s="107"/>
      <c r="U97" s="107"/>
      <c r="V97" s="107"/>
      <c r="W97" s="107"/>
      <c r="X97" s="104"/>
      <c r="Y97" s="104"/>
      <c r="Z97" s="104"/>
      <c r="AA97" s="144"/>
      <c r="AB97" s="170"/>
      <c r="AC97" s="170"/>
      <c r="AD97" s="170"/>
      <c r="AE97" s="172"/>
      <c r="AF97" s="172"/>
      <c r="AG97" s="203"/>
      <c r="AH97" s="203"/>
      <c r="AI97" s="172"/>
      <c r="AJ97" s="148"/>
      <c r="AK97" s="144"/>
      <c r="AL97" s="144"/>
      <c r="AM97" s="144"/>
      <c r="AN97" s="144"/>
      <c r="AO97" s="144"/>
      <c r="AP97" s="166"/>
      <c r="AQ97" s="144"/>
      <c r="AR97" s="144"/>
      <c r="AS97" s="103"/>
      <c r="AT97" s="144"/>
      <c r="AU97" s="134"/>
      <c r="AV97" s="144"/>
      <c r="AW97" s="144"/>
      <c r="AX97" s="134"/>
      <c r="AY97" s="145"/>
      <c r="AZ97" s="173"/>
      <c r="BA97" s="144"/>
      <c r="BB97" s="167"/>
      <c r="BC97" s="178"/>
      <c r="BD97" s="103"/>
      <c r="BE97" s="103"/>
      <c r="BF97" s="168"/>
      <c r="BG97" s="168"/>
      <c r="BH97" s="168"/>
      <c r="BI97" s="168"/>
      <c r="BJ97" s="168"/>
      <c r="BK97" s="168"/>
      <c r="BL97" s="168"/>
      <c r="BM97" s="168"/>
    </row>
    <row r="98" spans="1:65" ht="30" customHeight="1">
      <c r="A98" s="144"/>
      <c r="B98" s="144"/>
      <c r="C98" s="144"/>
      <c r="D98" s="144"/>
      <c r="E98" s="144"/>
      <c r="F98" s="148"/>
      <c r="G98" s="144"/>
      <c r="H98" s="144"/>
      <c r="I98" s="147"/>
      <c r="J98" s="170"/>
      <c r="K98" s="148"/>
      <c r="L98" s="148"/>
      <c r="M98" s="144"/>
      <c r="N98" s="144"/>
      <c r="O98" s="134"/>
      <c r="P98" s="104"/>
      <c r="Q98" s="107"/>
      <c r="R98" s="107"/>
      <c r="S98" s="107"/>
      <c r="T98" s="107"/>
      <c r="U98" s="107"/>
      <c r="V98" s="107"/>
      <c r="W98" s="107"/>
      <c r="X98" s="104"/>
      <c r="Y98" s="104"/>
      <c r="Z98" s="104"/>
      <c r="AA98" s="144"/>
      <c r="AB98" s="170"/>
      <c r="AC98" s="170"/>
      <c r="AD98" s="170"/>
      <c r="AE98" s="172"/>
      <c r="AF98" s="172"/>
      <c r="AG98" s="203"/>
      <c r="AH98" s="203"/>
      <c r="AI98" s="172"/>
      <c r="AJ98" s="148"/>
      <c r="AK98" s="144"/>
      <c r="AL98" s="144"/>
      <c r="AM98" s="144"/>
      <c r="AN98" s="144"/>
      <c r="AO98" s="144"/>
      <c r="AP98" s="166"/>
      <c r="AQ98" s="144"/>
      <c r="AR98" s="144"/>
      <c r="AS98" s="103"/>
      <c r="AT98" s="144"/>
      <c r="AU98" s="134"/>
      <c r="AV98" s="144"/>
      <c r="AW98" s="144"/>
      <c r="AX98" s="134"/>
      <c r="AY98" s="145"/>
      <c r="AZ98" s="173"/>
      <c r="BA98" s="144"/>
      <c r="BB98" s="167"/>
      <c r="BC98" s="178"/>
      <c r="BD98" s="103"/>
      <c r="BE98" s="103"/>
      <c r="BF98" s="168"/>
      <c r="BG98" s="168"/>
      <c r="BH98" s="168"/>
      <c r="BI98" s="168"/>
      <c r="BJ98" s="168"/>
      <c r="BK98" s="168"/>
      <c r="BL98" s="168"/>
      <c r="BM98" s="168"/>
    </row>
    <row r="99" spans="1:65" ht="30" customHeight="1">
      <c r="A99" s="144"/>
      <c r="B99" s="144"/>
      <c r="C99" s="144"/>
      <c r="D99" s="144"/>
      <c r="E99" s="144"/>
      <c r="F99" s="148"/>
      <c r="G99" s="144"/>
      <c r="H99" s="144"/>
      <c r="I99" s="147"/>
      <c r="J99" s="170"/>
      <c r="K99" s="148"/>
      <c r="L99" s="148"/>
      <c r="M99" s="144"/>
      <c r="N99" s="144"/>
      <c r="O99" s="134"/>
      <c r="P99" s="104"/>
      <c r="Q99" s="107"/>
      <c r="R99" s="107"/>
      <c r="S99" s="107"/>
      <c r="T99" s="107"/>
      <c r="U99" s="107"/>
      <c r="V99" s="107"/>
      <c r="W99" s="107"/>
      <c r="X99" s="104"/>
      <c r="Y99" s="104"/>
      <c r="Z99" s="104"/>
      <c r="AA99" s="144"/>
      <c r="AB99" s="170"/>
      <c r="AC99" s="170"/>
      <c r="AD99" s="170"/>
      <c r="AE99" s="172"/>
      <c r="AF99" s="172"/>
      <c r="AG99" s="203"/>
      <c r="AH99" s="203"/>
      <c r="AI99" s="172"/>
      <c r="AJ99" s="148"/>
      <c r="AK99" s="144"/>
      <c r="AL99" s="144"/>
      <c r="AM99" s="144"/>
      <c r="AN99" s="144"/>
      <c r="AO99" s="144"/>
      <c r="AP99" s="166"/>
      <c r="AQ99" s="144"/>
      <c r="AR99" s="144"/>
      <c r="AS99" s="103"/>
      <c r="AT99" s="144"/>
      <c r="AU99" s="134"/>
      <c r="AV99" s="144"/>
      <c r="AW99" s="144"/>
      <c r="AX99" s="134"/>
      <c r="AY99" s="145"/>
      <c r="AZ99" s="173"/>
      <c r="BA99" s="144"/>
      <c r="BB99" s="167"/>
      <c r="BC99" s="178"/>
      <c r="BD99" s="103"/>
      <c r="BE99" s="103"/>
      <c r="BF99" s="168"/>
      <c r="BG99" s="168"/>
      <c r="BH99" s="168"/>
      <c r="BI99" s="168"/>
      <c r="BJ99" s="168"/>
      <c r="BK99" s="168"/>
      <c r="BL99" s="168"/>
      <c r="BM99" s="168"/>
    </row>
    <row r="100" spans="1:65" ht="30" customHeight="1">
      <c r="A100" s="144"/>
      <c r="B100" s="144"/>
      <c r="C100" s="144"/>
      <c r="D100" s="144"/>
      <c r="E100" s="144"/>
      <c r="F100" s="148"/>
      <c r="G100" s="144"/>
      <c r="H100" s="144"/>
      <c r="I100" s="147"/>
      <c r="J100" s="170"/>
      <c r="K100" s="148"/>
      <c r="L100" s="148"/>
      <c r="M100" s="144"/>
      <c r="N100" s="144"/>
      <c r="O100" s="134"/>
      <c r="P100" s="104"/>
      <c r="Q100" s="107"/>
      <c r="R100" s="107"/>
      <c r="S100" s="107"/>
      <c r="T100" s="107"/>
      <c r="U100" s="107"/>
      <c r="V100" s="107"/>
      <c r="W100" s="107"/>
      <c r="X100" s="104"/>
      <c r="Y100" s="104"/>
      <c r="Z100" s="104"/>
      <c r="AA100" s="144"/>
      <c r="AB100" s="170"/>
      <c r="AC100" s="170"/>
      <c r="AD100" s="170"/>
      <c r="AE100" s="172"/>
      <c r="AF100" s="172"/>
      <c r="AG100" s="203"/>
      <c r="AH100" s="203"/>
      <c r="AI100" s="172"/>
      <c r="AJ100" s="148"/>
      <c r="AK100" s="144"/>
      <c r="AL100" s="144"/>
      <c r="AM100" s="144"/>
      <c r="AN100" s="144"/>
      <c r="AO100" s="144"/>
      <c r="AP100" s="166"/>
      <c r="AQ100" s="144"/>
      <c r="AR100" s="144"/>
      <c r="AS100" s="103"/>
      <c r="AT100" s="144"/>
      <c r="AU100" s="134"/>
      <c r="AV100" s="144"/>
      <c r="AW100" s="144"/>
      <c r="AX100" s="134"/>
      <c r="AY100" s="145"/>
      <c r="AZ100" s="173"/>
      <c r="BA100" s="144"/>
      <c r="BB100" s="167"/>
      <c r="BC100" s="178"/>
      <c r="BD100" s="103"/>
      <c r="BE100" s="103"/>
      <c r="BF100" s="168"/>
      <c r="BG100" s="168"/>
      <c r="BH100" s="168"/>
      <c r="BI100" s="168"/>
      <c r="BJ100" s="168"/>
      <c r="BK100" s="168"/>
      <c r="BL100" s="168"/>
      <c r="BM100" s="168"/>
    </row>
    <row r="101" spans="1:65" ht="30" customHeight="1">
      <c r="A101" s="144"/>
      <c r="B101" s="144"/>
      <c r="C101" s="144"/>
      <c r="D101" s="144"/>
      <c r="E101" s="144"/>
      <c r="F101" s="148"/>
      <c r="G101" s="144"/>
      <c r="H101" s="144"/>
      <c r="I101" s="147"/>
      <c r="J101" s="170"/>
      <c r="K101" s="148"/>
      <c r="L101" s="148"/>
      <c r="M101" s="144"/>
      <c r="N101" s="144"/>
      <c r="O101" s="134"/>
      <c r="P101" s="104"/>
      <c r="Q101" s="107"/>
      <c r="R101" s="107"/>
      <c r="S101" s="107"/>
      <c r="T101" s="107"/>
      <c r="U101" s="107"/>
      <c r="V101" s="107"/>
      <c r="W101" s="107"/>
      <c r="X101" s="104"/>
      <c r="Y101" s="104"/>
      <c r="Z101" s="104"/>
      <c r="AA101" s="144"/>
      <c r="AB101" s="170"/>
      <c r="AC101" s="170"/>
      <c r="AD101" s="170"/>
      <c r="AE101" s="172"/>
      <c r="AF101" s="172"/>
      <c r="AG101" s="203"/>
      <c r="AH101" s="203"/>
      <c r="AI101" s="172"/>
      <c r="AJ101" s="148"/>
      <c r="AK101" s="144"/>
      <c r="AL101" s="144"/>
      <c r="AM101" s="144"/>
      <c r="AN101" s="144"/>
      <c r="AO101" s="144"/>
      <c r="AP101" s="166"/>
      <c r="AQ101" s="144"/>
      <c r="AR101" s="144"/>
      <c r="AS101" s="103"/>
      <c r="AT101" s="144"/>
      <c r="AU101" s="134"/>
      <c r="AV101" s="144"/>
      <c r="AW101" s="144"/>
      <c r="AX101" s="134"/>
      <c r="AY101" s="145"/>
      <c r="AZ101" s="173"/>
      <c r="BA101" s="144"/>
      <c r="BB101" s="167"/>
      <c r="BC101" s="178"/>
      <c r="BD101" s="103"/>
      <c r="BE101" s="103"/>
      <c r="BF101" s="168"/>
      <c r="BG101" s="168"/>
      <c r="BH101" s="168"/>
      <c r="BI101" s="168"/>
      <c r="BJ101" s="168"/>
      <c r="BK101" s="168"/>
      <c r="BL101" s="168"/>
      <c r="BM101" s="168"/>
    </row>
    <row r="102" spans="1:65" ht="30" customHeight="1">
      <c r="A102" s="144"/>
      <c r="B102" s="144"/>
      <c r="C102" s="144"/>
      <c r="D102" s="144"/>
      <c r="E102" s="144"/>
      <c r="F102" s="148"/>
      <c r="G102" s="144"/>
      <c r="H102" s="144"/>
      <c r="I102" s="147"/>
      <c r="J102" s="170"/>
      <c r="K102" s="148"/>
      <c r="L102" s="148"/>
      <c r="M102" s="144"/>
      <c r="N102" s="144"/>
      <c r="O102" s="134"/>
      <c r="P102" s="104"/>
      <c r="Q102" s="107"/>
      <c r="R102" s="107"/>
      <c r="S102" s="107"/>
      <c r="T102" s="107"/>
      <c r="U102" s="107"/>
      <c r="V102" s="107"/>
      <c r="W102" s="107"/>
      <c r="X102" s="104"/>
      <c r="Y102" s="104"/>
      <c r="Z102" s="104"/>
      <c r="AA102" s="144"/>
      <c r="AB102" s="170"/>
      <c r="AC102" s="170"/>
      <c r="AD102" s="170"/>
      <c r="AE102" s="172"/>
      <c r="AF102" s="172"/>
      <c r="AG102" s="203"/>
      <c r="AH102" s="203"/>
      <c r="AI102" s="172"/>
      <c r="AJ102" s="148"/>
      <c r="AK102" s="144"/>
      <c r="AL102" s="144"/>
      <c r="AM102" s="144"/>
      <c r="AN102" s="144"/>
      <c r="AO102" s="144"/>
      <c r="AP102" s="166"/>
      <c r="AQ102" s="144"/>
      <c r="AR102" s="144"/>
      <c r="AS102" s="103"/>
      <c r="AT102" s="144"/>
      <c r="AU102" s="134"/>
      <c r="AV102" s="144"/>
      <c r="AW102" s="144"/>
      <c r="AX102" s="134"/>
      <c r="AY102" s="145"/>
      <c r="AZ102" s="173"/>
      <c r="BA102" s="144"/>
      <c r="BB102" s="167"/>
      <c r="BC102" s="178"/>
      <c r="BD102" s="103"/>
      <c r="BE102" s="103"/>
      <c r="BF102" s="168"/>
      <c r="BG102" s="168"/>
      <c r="BH102" s="168"/>
      <c r="BI102" s="168"/>
      <c r="BJ102" s="168"/>
      <c r="BK102" s="168"/>
      <c r="BL102" s="168"/>
      <c r="BM102" s="168"/>
    </row>
    <row r="103" spans="1:65" ht="30" customHeight="1">
      <c r="A103" s="144"/>
      <c r="B103" s="144"/>
      <c r="C103" s="144"/>
      <c r="D103" s="144"/>
      <c r="E103" s="144"/>
      <c r="F103" s="148"/>
      <c r="G103" s="144"/>
      <c r="H103" s="144"/>
      <c r="I103" s="147"/>
      <c r="J103" s="170"/>
      <c r="K103" s="148"/>
      <c r="L103" s="148"/>
      <c r="M103" s="144"/>
      <c r="N103" s="144"/>
      <c r="O103" s="134"/>
      <c r="P103" s="104"/>
      <c r="Q103" s="107"/>
      <c r="R103" s="107"/>
      <c r="S103" s="107"/>
      <c r="T103" s="107"/>
      <c r="U103" s="107"/>
      <c r="V103" s="107"/>
      <c r="W103" s="107"/>
      <c r="X103" s="104"/>
      <c r="Y103" s="104"/>
      <c r="Z103" s="104"/>
      <c r="AA103" s="144"/>
      <c r="AB103" s="170"/>
      <c r="AC103" s="170"/>
      <c r="AD103" s="170"/>
      <c r="AE103" s="172"/>
      <c r="AF103" s="172"/>
      <c r="AG103" s="203"/>
      <c r="AH103" s="203"/>
      <c r="AI103" s="172"/>
      <c r="AJ103" s="148"/>
      <c r="AK103" s="144"/>
      <c r="AL103" s="144"/>
      <c r="AM103" s="144"/>
      <c r="AN103" s="144"/>
      <c r="AO103" s="144"/>
      <c r="AP103" s="166"/>
      <c r="AQ103" s="144"/>
      <c r="AR103" s="144"/>
      <c r="AS103" s="103"/>
      <c r="AT103" s="144"/>
      <c r="AU103" s="134"/>
      <c r="AV103" s="144"/>
      <c r="AW103" s="144"/>
      <c r="AX103" s="134"/>
      <c r="AY103" s="145"/>
      <c r="AZ103" s="173"/>
      <c r="BA103" s="144"/>
      <c r="BB103" s="167"/>
      <c r="BC103" s="178"/>
      <c r="BD103" s="103"/>
      <c r="BE103" s="103"/>
      <c r="BF103" s="168"/>
      <c r="BG103" s="168"/>
      <c r="BH103" s="168"/>
      <c r="BI103" s="168"/>
      <c r="BJ103" s="168"/>
      <c r="BK103" s="168"/>
      <c r="BL103" s="168"/>
      <c r="BM103" s="168"/>
    </row>
    <row r="104" spans="1:65" ht="30" customHeight="1">
      <c r="A104" s="144"/>
      <c r="B104" s="144"/>
      <c r="C104" s="144"/>
      <c r="D104" s="144"/>
      <c r="E104" s="144"/>
      <c r="F104" s="148"/>
      <c r="G104" s="144"/>
      <c r="H104" s="144"/>
      <c r="I104" s="147"/>
      <c r="J104" s="170"/>
      <c r="K104" s="148"/>
      <c r="L104" s="148"/>
      <c r="M104" s="144"/>
      <c r="N104" s="144"/>
      <c r="O104" s="134"/>
      <c r="P104" s="104"/>
      <c r="Q104" s="107"/>
      <c r="R104" s="107"/>
      <c r="S104" s="107"/>
      <c r="T104" s="107"/>
      <c r="U104" s="107"/>
      <c r="V104" s="107"/>
      <c r="W104" s="107"/>
      <c r="X104" s="104"/>
      <c r="Y104" s="104"/>
      <c r="Z104" s="104"/>
      <c r="AA104" s="144"/>
      <c r="AB104" s="170"/>
      <c r="AC104" s="170"/>
      <c r="AD104" s="170"/>
      <c r="AE104" s="172"/>
      <c r="AF104" s="172"/>
      <c r="AG104" s="203"/>
      <c r="AH104" s="203"/>
      <c r="AI104" s="172"/>
      <c r="AJ104" s="148"/>
      <c r="AK104" s="144"/>
      <c r="AL104" s="144"/>
      <c r="AM104" s="144"/>
      <c r="AN104" s="144"/>
      <c r="AO104" s="144"/>
      <c r="AP104" s="166"/>
      <c r="AQ104" s="144"/>
      <c r="AR104" s="144"/>
      <c r="AS104" s="103"/>
      <c r="AT104" s="144"/>
      <c r="AU104" s="134"/>
      <c r="AV104" s="144"/>
      <c r="AW104" s="144"/>
      <c r="AX104" s="134"/>
      <c r="AY104" s="145"/>
      <c r="AZ104" s="173"/>
      <c r="BA104" s="144"/>
      <c r="BB104" s="167"/>
      <c r="BC104" s="178"/>
      <c r="BD104" s="103"/>
      <c r="BE104" s="103"/>
      <c r="BF104" s="168"/>
      <c r="BG104" s="168"/>
      <c r="BH104" s="168"/>
      <c r="BI104" s="168"/>
      <c r="BJ104" s="168"/>
      <c r="BK104" s="168"/>
      <c r="BL104" s="168"/>
      <c r="BM104" s="168"/>
    </row>
    <row r="105" spans="1:65" ht="30" customHeight="1">
      <c r="A105" s="144"/>
      <c r="B105" s="144"/>
      <c r="C105" s="144"/>
      <c r="D105" s="144"/>
      <c r="E105" s="144"/>
      <c r="F105" s="148"/>
      <c r="G105" s="144"/>
      <c r="H105" s="144"/>
      <c r="I105" s="147"/>
      <c r="J105" s="170"/>
      <c r="K105" s="148"/>
      <c r="L105" s="148"/>
      <c r="M105" s="144"/>
      <c r="N105" s="144"/>
      <c r="O105" s="134"/>
      <c r="P105" s="104"/>
      <c r="Q105" s="107"/>
      <c r="R105" s="107"/>
      <c r="S105" s="107"/>
      <c r="T105" s="107"/>
      <c r="U105" s="107"/>
      <c r="V105" s="107"/>
      <c r="W105" s="107"/>
      <c r="X105" s="104"/>
      <c r="Y105" s="104"/>
      <c r="Z105" s="104"/>
      <c r="AA105" s="144"/>
      <c r="AB105" s="170"/>
      <c r="AC105" s="170"/>
      <c r="AD105" s="170"/>
      <c r="AE105" s="172"/>
      <c r="AF105" s="172"/>
      <c r="AG105" s="203"/>
      <c r="AH105" s="203"/>
      <c r="AI105" s="172"/>
      <c r="AJ105" s="148"/>
      <c r="AK105" s="144"/>
      <c r="AL105" s="144"/>
      <c r="AM105" s="144"/>
      <c r="AN105" s="144"/>
      <c r="AO105" s="144"/>
      <c r="AP105" s="166"/>
      <c r="AQ105" s="144"/>
      <c r="AR105" s="144"/>
      <c r="AS105" s="103"/>
      <c r="AT105" s="144"/>
      <c r="AU105" s="134"/>
      <c r="AV105" s="144"/>
      <c r="AW105" s="144"/>
      <c r="AX105" s="134"/>
      <c r="AY105" s="145"/>
      <c r="AZ105" s="173"/>
      <c r="BA105" s="144"/>
      <c r="BB105" s="167"/>
      <c r="BC105" s="178"/>
      <c r="BD105" s="103"/>
      <c r="BE105" s="103"/>
      <c r="BF105" s="168"/>
      <c r="BG105" s="168"/>
      <c r="BH105" s="168"/>
      <c r="BI105" s="168"/>
      <c r="BJ105" s="168"/>
      <c r="BK105" s="168"/>
      <c r="BL105" s="168"/>
      <c r="BM105" s="168"/>
    </row>
    <row r="106" spans="1:65" ht="30" customHeight="1">
      <c r="A106" s="144"/>
      <c r="B106" s="144"/>
      <c r="C106" s="144"/>
      <c r="D106" s="144"/>
      <c r="E106" s="144"/>
      <c r="F106" s="148"/>
      <c r="G106" s="144"/>
      <c r="H106" s="144"/>
      <c r="I106" s="147"/>
      <c r="J106" s="170"/>
      <c r="K106" s="148"/>
      <c r="L106" s="148"/>
      <c r="M106" s="144"/>
      <c r="N106" s="144"/>
      <c r="O106" s="134"/>
      <c r="P106" s="104"/>
      <c r="Q106" s="107"/>
      <c r="R106" s="107"/>
      <c r="S106" s="107"/>
      <c r="T106" s="107"/>
      <c r="U106" s="107"/>
      <c r="V106" s="107"/>
      <c r="W106" s="107"/>
      <c r="X106" s="104"/>
      <c r="Y106" s="104"/>
      <c r="Z106" s="104"/>
      <c r="AA106" s="144"/>
      <c r="AB106" s="170"/>
      <c r="AC106" s="170"/>
      <c r="AD106" s="170"/>
      <c r="AE106" s="172"/>
      <c r="AF106" s="172"/>
      <c r="AG106" s="203"/>
      <c r="AH106" s="203"/>
      <c r="AI106" s="172"/>
      <c r="AJ106" s="148"/>
      <c r="AK106" s="144"/>
      <c r="AL106" s="144"/>
      <c r="AM106" s="144"/>
      <c r="AN106" s="144"/>
      <c r="AO106" s="144"/>
      <c r="AP106" s="166"/>
      <c r="AQ106" s="144"/>
      <c r="AR106" s="144"/>
      <c r="AS106" s="103"/>
      <c r="AT106" s="144"/>
      <c r="AU106" s="134"/>
      <c r="AV106" s="144"/>
      <c r="AW106" s="144"/>
      <c r="AX106" s="134"/>
      <c r="AY106" s="145"/>
      <c r="AZ106" s="173"/>
      <c r="BA106" s="144"/>
      <c r="BB106" s="167"/>
      <c r="BC106" s="178"/>
      <c r="BD106" s="103"/>
      <c r="BE106" s="103"/>
      <c r="BF106" s="168"/>
      <c r="BG106" s="168"/>
      <c r="BH106" s="168"/>
      <c r="BI106" s="168"/>
      <c r="BJ106" s="168"/>
      <c r="BK106" s="168"/>
      <c r="BL106" s="168"/>
      <c r="BM106" s="168"/>
    </row>
    <row r="107" spans="1:65" ht="30" customHeight="1">
      <c r="A107" s="144"/>
      <c r="B107" s="144"/>
      <c r="C107" s="144"/>
      <c r="D107" s="144"/>
      <c r="E107" s="144"/>
      <c r="F107" s="148"/>
      <c r="G107" s="144"/>
      <c r="H107" s="144"/>
      <c r="I107" s="147"/>
      <c r="J107" s="170"/>
      <c r="K107" s="148"/>
      <c r="L107" s="148"/>
      <c r="M107" s="144"/>
      <c r="N107" s="144"/>
      <c r="O107" s="134"/>
      <c r="P107" s="104"/>
      <c r="Q107" s="107"/>
      <c r="R107" s="107"/>
      <c r="S107" s="107"/>
      <c r="T107" s="107"/>
      <c r="U107" s="107"/>
      <c r="V107" s="107"/>
      <c r="W107" s="107"/>
      <c r="X107" s="104"/>
      <c r="Y107" s="104"/>
      <c r="Z107" s="104"/>
      <c r="AA107" s="144"/>
      <c r="AB107" s="170"/>
      <c r="AC107" s="170"/>
      <c r="AD107" s="170"/>
      <c r="AE107" s="172"/>
      <c r="AF107" s="172"/>
      <c r="AG107" s="203"/>
      <c r="AH107" s="203"/>
      <c r="AI107" s="172"/>
      <c r="AJ107" s="148"/>
      <c r="AK107" s="144"/>
      <c r="AL107" s="144"/>
      <c r="AM107" s="144"/>
      <c r="AN107" s="144"/>
      <c r="AO107" s="144"/>
      <c r="AP107" s="166"/>
      <c r="AQ107" s="144"/>
      <c r="AR107" s="144"/>
      <c r="AS107" s="103"/>
      <c r="AT107" s="144"/>
      <c r="AU107" s="134"/>
      <c r="AV107" s="144"/>
      <c r="AW107" s="144"/>
      <c r="AX107" s="134"/>
      <c r="AY107" s="145"/>
      <c r="AZ107" s="173"/>
      <c r="BA107" s="144"/>
      <c r="BB107" s="167"/>
      <c r="BC107" s="178"/>
      <c r="BD107" s="103"/>
      <c r="BE107" s="103"/>
      <c r="BF107" s="168"/>
      <c r="BG107" s="168"/>
      <c r="BH107" s="168"/>
      <c r="BI107" s="168"/>
      <c r="BJ107" s="168"/>
      <c r="BK107" s="168"/>
      <c r="BL107" s="168"/>
      <c r="BM107" s="168"/>
    </row>
    <row r="108" spans="1:65" ht="30" customHeight="1">
      <c r="A108" s="144"/>
      <c r="B108" s="144"/>
      <c r="C108" s="144"/>
      <c r="D108" s="144"/>
      <c r="E108" s="144"/>
      <c r="F108" s="148"/>
      <c r="G108" s="144"/>
      <c r="H108" s="144"/>
      <c r="I108" s="147"/>
      <c r="J108" s="170"/>
      <c r="K108" s="148"/>
      <c r="L108" s="148"/>
      <c r="M108" s="144"/>
      <c r="N108" s="144"/>
      <c r="O108" s="134"/>
      <c r="P108" s="104"/>
      <c r="Q108" s="107"/>
      <c r="R108" s="107"/>
      <c r="S108" s="107"/>
      <c r="T108" s="107"/>
      <c r="U108" s="107"/>
      <c r="V108" s="107"/>
      <c r="W108" s="107"/>
      <c r="X108" s="104"/>
      <c r="Y108" s="104"/>
      <c r="Z108" s="104"/>
      <c r="AA108" s="144"/>
      <c r="AB108" s="170"/>
      <c r="AC108" s="170"/>
      <c r="AD108" s="170"/>
      <c r="AE108" s="172"/>
      <c r="AF108" s="172"/>
      <c r="AG108" s="203"/>
      <c r="AH108" s="203"/>
      <c r="AI108" s="172"/>
      <c r="AJ108" s="148"/>
      <c r="AK108" s="144"/>
      <c r="AL108" s="144"/>
      <c r="AM108" s="144"/>
      <c r="AN108" s="144"/>
      <c r="AO108" s="144"/>
      <c r="AP108" s="166"/>
      <c r="AQ108" s="144"/>
      <c r="AR108" s="144"/>
      <c r="AS108" s="103"/>
      <c r="AT108" s="144"/>
      <c r="AU108" s="134"/>
      <c r="AV108" s="144"/>
      <c r="AW108" s="144"/>
      <c r="AX108" s="134"/>
      <c r="AY108" s="145"/>
      <c r="AZ108" s="173"/>
      <c r="BA108" s="144"/>
      <c r="BB108" s="167"/>
      <c r="BC108" s="178"/>
      <c r="BD108" s="103"/>
      <c r="BE108" s="103"/>
      <c r="BF108" s="168"/>
      <c r="BG108" s="168"/>
      <c r="BH108" s="168"/>
      <c r="BI108" s="168"/>
      <c r="BJ108" s="168"/>
      <c r="BK108" s="168"/>
      <c r="BL108" s="168"/>
      <c r="BM108" s="168"/>
    </row>
    <row r="109" spans="1:65" ht="30" customHeight="1">
      <c r="A109" s="144"/>
      <c r="B109" s="144"/>
      <c r="C109" s="144"/>
      <c r="D109" s="144"/>
      <c r="E109" s="144"/>
      <c r="F109" s="148"/>
      <c r="G109" s="144"/>
      <c r="H109" s="144"/>
      <c r="I109" s="147"/>
      <c r="J109" s="170"/>
      <c r="K109" s="148"/>
      <c r="L109" s="148"/>
      <c r="M109" s="144"/>
      <c r="N109" s="144"/>
      <c r="O109" s="134"/>
      <c r="P109" s="104"/>
      <c r="Q109" s="107"/>
      <c r="R109" s="107"/>
      <c r="S109" s="107"/>
      <c r="T109" s="107"/>
      <c r="U109" s="107"/>
      <c r="V109" s="107"/>
      <c r="W109" s="107"/>
      <c r="X109" s="104"/>
      <c r="Y109" s="104"/>
      <c r="Z109" s="104"/>
      <c r="AA109" s="144"/>
      <c r="AB109" s="170"/>
      <c r="AC109" s="170"/>
      <c r="AD109" s="170"/>
      <c r="AE109" s="172"/>
      <c r="AF109" s="172"/>
      <c r="AG109" s="203"/>
      <c r="AH109" s="203"/>
      <c r="AI109" s="172"/>
      <c r="AJ109" s="148"/>
      <c r="AK109" s="144"/>
      <c r="AL109" s="144"/>
      <c r="AM109" s="144"/>
      <c r="AN109" s="144"/>
      <c r="AO109" s="144"/>
      <c r="AP109" s="166"/>
      <c r="AQ109" s="144"/>
      <c r="AR109" s="144"/>
      <c r="AS109" s="103"/>
      <c r="AT109" s="144"/>
      <c r="AU109" s="134"/>
      <c r="AV109" s="144"/>
      <c r="AW109" s="144"/>
      <c r="AX109" s="134"/>
      <c r="AY109" s="145"/>
      <c r="AZ109" s="173"/>
      <c r="BA109" s="144"/>
      <c r="BB109" s="167"/>
      <c r="BC109" s="178"/>
      <c r="BD109" s="103"/>
      <c r="BE109" s="103"/>
      <c r="BF109" s="168"/>
      <c r="BG109" s="168"/>
      <c r="BH109" s="168"/>
      <c r="BI109" s="168"/>
      <c r="BJ109" s="168"/>
      <c r="BK109" s="168"/>
      <c r="BL109" s="168"/>
      <c r="BM109" s="168"/>
    </row>
    <row r="110" spans="1:65" ht="30" customHeight="1">
      <c r="A110" s="144"/>
      <c r="B110" s="144"/>
      <c r="C110" s="144"/>
      <c r="D110" s="144"/>
      <c r="E110" s="144"/>
      <c r="F110" s="148"/>
      <c r="G110" s="144"/>
      <c r="H110" s="144"/>
      <c r="I110" s="147"/>
      <c r="J110" s="170"/>
      <c r="K110" s="148"/>
      <c r="L110" s="148"/>
      <c r="M110" s="144"/>
      <c r="N110" s="144"/>
      <c r="O110" s="134"/>
      <c r="P110" s="104"/>
      <c r="Q110" s="107"/>
      <c r="R110" s="107"/>
      <c r="S110" s="107"/>
      <c r="T110" s="107"/>
      <c r="U110" s="107"/>
      <c r="V110" s="107"/>
      <c r="W110" s="107"/>
      <c r="X110" s="104"/>
      <c r="Y110" s="104"/>
      <c r="Z110" s="104"/>
      <c r="AA110" s="144"/>
      <c r="AB110" s="170"/>
      <c r="AC110" s="170"/>
      <c r="AD110" s="170"/>
      <c r="AE110" s="172"/>
      <c r="AF110" s="172"/>
      <c r="AG110" s="203"/>
      <c r="AH110" s="203"/>
      <c r="AI110" s="172"/>
      <c r="AJ110" s="148"/>
      <c r="AK110" s="144"/>
      <c r="AL110" s="144"/>
      <c r="AM110" s="144"/>
      <c r="AN110" s="144"/>
      <c r="AO110" s="144"/>
      <c r="AP110" s="166"/>
      <c r="AQ110" s="144"/>
      <c r="AR110" s="144"/>
      <c r="AS110" s="103"/>
      <c r="AT110" s="144"/>
      <c r="AU110" s="134"/>
      <c r="AV110" s="144"/>
      <c r="AW110" s="144"/>
      <c r="AX110" s="134"/>
      <c r="AY110" s="145"/>
      <c r="AZ110" s="173"/>
      <c r="BA110" s="144"/>
      <c r="BB110" s="167"/>
      <c r="BC110" s="178"/>
      <c r="BD110" s="103"/>
      <c r="BE110" s="103"/>
      <c r="BF110" s="168"/>
      <c r="BG110" s="168"/>
      <c r="BH110" s="168"/>
      <c r="BI110" s="168"/>
      <c r="BJ110" s="168"/>
      <c r="BK110" s="168"/>
      <c r="BL110" s="168"/>
      <c r="BM110" s="168"/>
    </row>
    <row r="111" spans="1:65" ht="30" customHeight="1">
      <c r="A111" s="144"/>
      <c r="B111" s="144"/>
      <c r="C111" s="144"/>
      <c r="D111" s="144"/>
      <c r="E111" s="144"/>
      <c r="F111" s="148"/>
      <c r="G111" s="144"/>
      <c r="H111" s="144"/>
      <c r="I111" s="147"/>
      <c r="J111" s="170"/>
      <c r="K111" s="148"/>
      <c r="L111" s="148"/>
      <c r="M111" s="144"/>
      <c r="N111" s="144"/>
      <c r="O111" s="134"/>
      <c r="P111" s="104"/>
      <c r="Q111" s="107"/>
      <c r="R111" s="107"/>
      <c r="S111" s="107"/>
      <c r="T111" s="107"/>
      <c r="U111" s="107"/>
      <c r="V111" s="107"/>
      <c r="W111" s="107"/>
      <c r="X111" s="104"/>
      <c r="Y111" s="104"/>
      <c r="Z111" s="104"/>
      <c r="AA111" s="144"/>
      <c r="AB111" s="170"/>
      <c r="AC111" s="170"/>
      <c r="AD111" s="170"/>
      <c r="AE111" s="172"/>
      <c r="AF111" s="172"/>
      <c r="AG111" s="203"/>
      <c r="AH111" s="203"/>
      <c r="AI111" s="172"/>
      <c r="AJ111" s="148"/>
      <c r="AK111" s="144"/>
      <c r="AL111" s="144"/>
      <c r="AM111" s="144"/>
      <c r="AN111" s="144"/>
      <c r="AO111" s="144"/>
      <c r="AP111" s="166"/>
      <c r="AQ111" s="144"/>
      <c r="AR111" s="144"/>
      <c r="AS111" s="103"/>
      <c r="AT111" s="144"/>
      <c r="AU111" s="134"/>
      <c r="AV111" s="144"/>
      <c r="AW111" s="144"/>
      <c r="AX111" s="134"/>
      <c r="AY111" s="145"/>
      <c r="AZ111" s="173"/>
      <c r="BA111" s="144"/>
      <c r="BB111" s="167"/>
      <c r="BC111" s="178"/>
      <c r="BD111" s="103"/>
      <c r="BE111" s="103"/>
      <c r="BF111" s="168"/>
      <c r="BG111" s="168"/>
      <c r="BH111" s="168"/>
      <c r="BI111" s="168"/>
      <c r="BJ111" s="168"/>
      <c r="BK111" s="168"/>
      <c r="BL111" s="168"/>
      <c r="BM111" s="168"/>
    </row>
    <row r="112" spans="1:65" ht="30" customHeight="1">
      <c r="A112" s="144"/>
      <c r="B112" s="144"/>
      <c r="C112" s="144"/>
      <c r="D112" s="144"/>
      <c r="E112" s="144"/>
      <c r="F112" s="148"/>
      <c r="G112" s="144"/>
      <c r="H112" s="144"/>
      <c r="I112" s="147"/>
      <c r="J112" s="170"/>
      <c r="K112" s="148"/>
      <c r="L112" s="148"/>
      <c r="M112" s="144"/>
      <c r="N112" s="144"/>
      <c r="O112" s="134"/>
      <c r="P112" s="104"/>
      <c r="Q112" s="107"/>
      <c r="R112" s="107"/>
      <c r="S112" s="107"/>
      <c r="T112" s="107"/>
      <c r="U112" s="107"/>
      <c r="V112" s="107"/>
      <c r="W112" s="107"/>
      <c r="X112" s="104"/>
      <c r="Y112" s="104"/>
      <c r="Z112" s="104"/>
      <c r="AA112" s="144"/>
      <c r="AB112" s="170"/>
      <c r="AC112" s="170"/>
      <c r="AD112" s="170"/>
      <c r="AE112" s="172"/>
      <c r="AF112" s="172"/>
      <c r="AG112" s="203"/>
      <c r="AH112" s="203"/>
      <c r="AI112" s="172"/>
      <c r="AJ112" s="148"/>
      <c r="AK112" s="144"/>
      <c r="AL112" s="144"/>
      <c r="AM112" s="144"/>
      <c r="AN112" s="144"/>
      <c r="AO112" s="144"/>
      <c r="AP112" s="166"/>
      <c r="AQ112" s="144"/>
      <c r="AR112" s="144"/>
      <c r="AS112" s="103"/>
      <c r="AT112" s="144"/>
      <c r="AU112" s="134"/>
      <c r="AV112" s="144"/>
      <c r="AW112" s="144"/>
      <c r="AX112" s="134"/>
      <c r="AY112" s="145"/>
      <c r="AZ112" s="173"/>
      <c r="BA112" s="144"/>
      <c r="BB112" s="167"/>
      <c r="BC112" s="178"/>
      <c r="BD112" s="103"/>
      <c r="BE112" s="103"/>
      <c r="BF112" s="168"/>
      <c r="BG112" s="168"/>
      <c r="BH112" s="168"/>
      <c r="BI112" s="168"/>
      <c r="BJ112" s="168"/>
      <c r="BK112" s="168"/>
      <c r="BL112" s="168"/>
      <c r="BM112" s="168"/>
    </row>
    <row r="113" spans="1:65" ht="30" customHeight="1">
      <c r="A113" s="144"/>
      <c r="B113" s="144"/>
      <c r="C113" s="144"/>
      <c r="D113" s="144"/>
      <c r="E113" s="144"/>
      <c r="F113" s="148"/>
      <c r="G113" s="144"/>
      <c r="H113" s="144"/>
      <c r="I113" s="147"/>
      <c r="J113" s="170"/>
      <c r="K113" s="148"/>
      <c r="L113" s="148"/>
      <c r="M113" s="144"/>
      <c r="N113" s="144"/>
      <c r="O113" s="134"/>
      <c r="P113" s="104"/>
      <c r="Q113" s="107"/>
      <c r="R113" s="107"/>
      <c r="S113" s="107"/>
      <c r="T113" s="107"/>
      <c r="U113" s="107"/>
      <c r="V113" s="107"/>
      <c r="W113" s="107"/>
      <c r="X113" s="104"/>
      <c r="Y113" s="104"/>
      <c r="Z113" s="104"/>
      <c r="AA113" s="144"/>
      <c r="AB113" s="170"/>
      <c r="AC113" s="170"/>
      <c r="AD113" s="170"/>
      <c r="AE113" s="172"/>
      <c r="AF113" s="172"/>
      <c r="AG113" s="203"/>
      <c r="AH113" s="203"/>
      <c r="AI113" s="172"/>
      <c r="AJ113" s="148"/>
      <c r="AK113" s="144"/>
      <c r="AL113" s="144"/>
      <c r="AM113" s="144"/>
      <c r="AN113" s="144"/>
      <c r="AO113" s="144"/>
      <c r="AP113" s="166"/>
      <c r="AQ113" s="144"/>
      <c r="AR113" s="144"/>
      <c r="AS113" s="103"/>
      <c r="AT113" s="144"/>
      <c r="AU113" s="134"/>
      <c r="AV113" s="144"/>
      <c r="AW113" s="144"/>
      <c r="AX113" s="134"/>
      <c r="AY113" s="145"/>
      <c r="AZ113" s="173"/>
      <c r="BA113" s="144"/>
      <c r="BB113" s="167"/>
      <c r="BC113" s="178"/>
      <c r="BD113" s="103"/>
      <c r="BE113" s="103"/>
      <c r="BF113" s="168"/>
      <c r="BG113" s="168"/>
      <c r="BH113" s="168"/>
      <c r="BI113" s="168"/>
      <c r="BJ113" s="168"/>
      <c r="BK113" s="168"/>
      <c r="BL113" s="168"/>
      <c r="BM113" s="168"/>
    </row>
    <row r="114" spans="1:65" ht="30" customHeight="1">
      <c r="A114" s="144"/>
      <c r="B114" s="144"/>
      <c r="C114" s="144"/>
      <c r="D114" s="144"/>
      <c r="E114" s="144"/>
      <c r="F114" s="148"/>
      <c r="G114" s="144"/>
      <c r="H114" s="144"/>
      <c r="I114" s="147"/>
      <c r="J114" s="170"/>
      <c r="K114" s="148"/>
      <c r="L114" s="148"/>
      <c r="M114" s="144"/>
      <c r="N114" s="144"/>
      <c r="O114" s="134"/>
      <c r="P114" s="104"/>
      <c r="Q114" s="107"/>
      <c r="R114" s="107"/>
      <c r="S114" s="107"/>
      <c r="T114" s="107"/>
      <c r="U114" s="107"/>
      <c r="V114" s="107"/>
      <c r="W114" s="107"/>
      <c r="X114" s="104"/>
      <c r="Y114" s="104"/>
      <c r="Z114" s="104"/>
      <c r="AA114" s="144"/>
      <c r="AB114" s="170"/>
      <c r="AC114" s="170"/>
      <c r="AD114" s="170"/>
      <c r="AE114" s="172"/>
      <c r="AF114" s="172"/>
      <c r="AG114" s="203"/>
      <c r="AH114" s="203"/>
      <c r="AI114" s="172"/>
      <c r="AJ114" s="148"/>
      <c r="AK114" s="144"/>
      <c r="AL114" s="144"/>
      <c r="AM114" s="144"/>
      <c r="AN114" s="144"/>
      <c r="AO114" s="144"/>
      <c r="AP114" s="166"/>
      <c r="AQ114" s="144"/>
      <c r="AR114" s="144"/>
      <c r="AS114" s="103"/>
      <c r="AT114" s="144"/>
      <c r="AU114" s="134"/>
      <c r="AV114" s="144"/>
      <c r="AW114" s="144"/>
      <c r="AX114" s="134"/>
      <c r="AY114" s="145"/>
      <c r="AZ114" s="173"/>
      <c r="BA114" s="144"/>
      <c r="BB114" s="167"/>
      <c r="BC114" s="178"/>
      <c r="BD114" s="103"/>
      <c r="BE114" s="103"/>
      <c r="BF114" s="168"/>
      <c r="BG114" s="168"/>
      <c r="BH114" s="168"/>
      <c r="BI114" s="168"/>
      <c r="BJ114" s="168"/>
      <c r="BK114" s="168"/>
      <c r="BL114" s="168"/>
      <c r="BM114" s="168"/>
    </row>
    <row r="115" spans="1:65" ht="30" customHeight="1">
      <c r="A115" s="144"/>
      <c r="B115" s="144"/>
      <c r="C115" s="144"/>
      <c r="D115" s="144"/>
      <c r="E115" s="144"/>
      <c r="F115" s="148"/>
      <c r="G115" s="144"/>
      <c r="H115" s="144"/>
      <c r="I115" s="147"/>
      <c r="J115" s="170"/>
      <c r="K115" s="148"/>
      <c r="L115" s="148"/>
      <c r="M115" s="144"/>
      <c r="N115" s="144"/>
      <c r="O115" s="134"/>
      <c r="P115" s="104"/>
      <c r="Q115" s="107"/>
      <c r="R115" s="107"/>
      <c r="S115" s="107"/>
      <c r="T115" s="107"/>
      <c r="U115" s="107"/>
      <c r="V115" s="107"/>
      <c r="W115" s="107"/>
      <c r="X115" s="104"/>
      <c r="Y115" s="104"/>
      <c r="Z115" s="104"/>
      <c r="AA115" s="144"/>
      <c r="AB115" s="170"/>
      <c r="AC115" s="170"/>
      <c r="AD115" s="170"/>
      <c r="AE115" s="172"/>
      <c r="AF115" s="172"/>
      <c r="AG115" s="203"/>
      <c r="AH115" s="203"/>
      <c r="AI115" s="172"/>
      <c r="AJ115" s="148"/>
      <c r="AK115" s="144"/>
      <c r="AL115" s="144"/>
      <c r="AM115" s="144"/>
      <c r="AN115" s="144"/>
      <c r="AO115" s="144"/>
      <c r="AP115" s="166"/>
      <c r="AQ115" s="144"/>
      <c r="AR115" s="144"/>
      <c r="AS115" s="103"/>
      <c r="AT115" s="144"/>
      <c r="AU115" s="134"/>
      <c r="AV115" s="144"/>
      <c r="AW115" s="144"/>
      <c r="AX115" s="134"/>
      <c r="AY115" s="145"/>
      <c r="AZ115" s="173"/>
      <c r="BA115" s="144"/>
      <c r="BB115" s="167"/>
      <c r="BC115" s="178"/>
      <c r="BD115" s="103"/>
      <c r="BE115" s="103"/>
      <c r="BF115" s="168"/>
      <c r="BG115" s="168"/>
      <c r="BH115" s="168"/>
      <c r="BI115" s="168"/>
      <c r="BJ115" s="168"/>
      <c r="BK115" s="168"/>
      <c r="BL115" s="168"/>
      <c r="BM115" s="168"/>
    </row>
  </sheetData>
  <autoFilter ref="B9:BM36" xr:uid="{00000000-0001-0000-0000-000000000000}"/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AE1:AF8 AE9">
    <cfRule type="containsText" dxfId="57" priority="1285" operator="containsText" text="NÃO RESIDENTE">
      <formula>NOT(ISERROR(SEARCH("NÃO RESIDENTE",AE1)))</formula>
    </cfRule>
  </conditionalFormatting>
  <conditionalFormatting sqref="AG8:AI8">
    <cfRule type="containsText" dxfId="56" priority="529" operator="containsText" text="NÃO RESIDENTE">
      <formula>NOT(ISERROR(SEARCH("NÃO RESIDENTE",AG8)))</formula>
    </cfRule>
  </conditionalFormatting>
  <conditionalFormatting sqref="AY1:AY115">
    <cfRule type="cellIs" dxfId="55" priority="19" operator="between">
      <formula>36526</formula>
      <formula>402133</formula>
    </cfRule>
  </conditionalFormatting>
  <conditionalFormatting sqref="BB1:BB115">
    <cfRule type="containsText" dxfId="54" priority="1367" operator="containsText" text="FINALIZADO">
      <formula>NOT(ISERROR(SEARCH("FINALIZADO",BB1)))</formula>
    </cfRule>
  </conditionalFormatting>
  <conditionalFormatting sqref="BD1:BD115">
    <cfRule type="cellIs" dxfId="53" priority="141" operator="equal">
      <formula>"INDENIZAÇÃO"</formula>
    </cfRule>
    <cfRule type="cellIs" dxfId="52" priority="142" operator="equal">
      <formula>"AA"</formula>
    </cfRule>
  </conditionalFormatting>
  <conditionalFormatting sqref="BD10:BD115">
    <cfRule type="cellIs" dxfId="51" priority="143" operator="equal">
      <formula>"FINALIZADO"</formula>
    </cfRule>
  </conditionalFormatting>
  <conditionalFormatting sqref="F1:F7 F9">
    <cfRule type="duplicateValues" dxfId="50" priority="3054"/>
    <cfRule type="duplicateValues" dxfId="49" priority="3055"/>
  </conditionalFormatting>
  <conditionalFormatting sqref="F1:F9">
    <cfRule type="duplicateValues" dxfId="48" priority="3058"/>
  </conditionalFormatting>
  <conditionalFormatting sqref="J1:J7 J9">
    <cfRule type="duplicateValues" dxfId="47" priority="3060"/>
  </conditionalFormatting>
  <conditionalFormatting sqref="AC1:AD9">
    <cfRule type="duplicateValues" dxfId="46" priority="3062"/>
  </conditionalFormatting>
  <conditionalFormatting sqref="AD1:AD9">
    <cfRule type="duplicateValues" dxfId="45" priority="3063"/>
  </conditionalFormatting>
  <conditionalFormatting sqref="AP1:AP9">
    <cfRule type="duplicateValues" dxfId="44" priority="3066"/>
  </conditionalFormatting>
  <conditionalFormatting sqref="L1:L13 L15:L1048576 AD14">
    <cfRule type="duplicateValues" dxfId="43" priority="7"/>
  </conditionalFormatting>
  <conditionalFormatting sqref="AD25">
    <cfRule type="duplicateValues" dxfId="42" priority="6"/>
  </conditionalFormatting>
  <conditionalFormatting sqref="AD15">
    <cfRule type="duplicateValues" dxfId="41" priority="3088"/>
  </conditionalFormatting>
  <conditionalFormatting sqref="AD17">
    <cfRule type="duplicateValues" dxfId="40" priority="3102"/>
  </conditionalFormatting>
  <conditionalFormatting sqref="AD18">
    <cfRule type="duplicateValues" dxfId="39" priority="3122"/>
  </conditionalFormatting>
  <conditionalFormatting sqref="AP10:AP115">
    <cfRule type="duplicateValues" dxfId="38" priority="3123"/>
  </conditionalFormatting>
  <conditionalFormatting sqref="F1:F115">
    <cfRule type="duplicateValues" dxfId="37" priority="3125"/>
  </conditionalFormatting>
  <conditionalFormatting sqref="AP1:AP115">
    <cfRule type="duplicateValues" dxfId="36" priority="3127"/>
    <cfRule type="duplicateValues" dxfId="35" priority="3128"/>
  </conditionalFormatting>
  <conditionalFormatting sqref="AD11">
    <cfRule type="duplicateValues" dxfId="34" priority="2"/>
  </conditionalFormatting>
  <conditionalFormatting sqref="AD16">
    <cfRule type="duplicateValues" dxfId="33" priority="1"/>
  </conditionalFormatting>
  <dataValidations count="10">
    <dataValidation allowBlank="1" showInputMessage="1" showErrorMessage="1" sqref="AK25 AQ10:AR115 E10:E115 AT10:AZ115 BC10:BC115 AJ10:AJ115" xr:uid="{42DBC0A4-72CF-48C5-9B14-5B05F91E4FAB}"/>
    <dataValidation type="list" allowBlank="1" showInputMessage="1" showErrorMessage="1" sqref="AM10:AM115" xr:uid="{D0DFD1A8-7E27-4525-88D7-D80EA2E2161F}">
      <formula1>$AM$1:$AM$2</formula1>
    </dataValidation>
    <dataValidation type="list" allowBlank="1" showInputMessage="1" showErrorMessage="1" sqref="AN10:AN115" xr:uid="{F152C8C0-68BC-4BA3-90C4-32F95453CD5C}">
      <formula1>$AN$1:$AN$5</formula1>
    </dataValidation>
    <dataValidation type="list" allowBlank="1" showInputMessage="1" showErrorMessage="1" sqref="AL10:AL115" xr:uid="{79E2497D-3A91-4234-A0FE-52A3EF25CA90}">
      <formula1>$AL$1:$AL$6</formula1>
    </dataValidation>
    <dataValidation type="list" allowBlank="1" showInputMessage="1" showErrorMessage="1" sqref="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pageMargins left="0.511811024" right="0.511811024" top="0.78740157499999996" bottom="0.78740157499999996" header="0.31496062000000002" footer="0.31496062000000002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9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40" t="s">
        <v>4424</v>
      </c>
    </row>
    <row r="2" spans="1:5" ht="20.25" customHeight="1">
      <c r="E2" s="140" t="s">
        <v>4390</v>
      </c>
    </row>
    <row r="3" spans="1:5" ht="20.25" customHeight="1">
      <c r="E3" s="140" t="s">
        <v>4510</v>
      </c>
    </row>
    <row r="5" spans="1:5" ht="20.25" customHeight="1">
      <c r="A5" s="138" t="s">
        <v>4370</v>
      </c>
      <c r="B5" s="138" t="s">
        <v>4371</v>
      </c>
      <c r="C5" s="138" t="s">
        <v>4374</v>
      </c>
      <c r="D5" s="139" t="s">
        <v>102</v>
      </c>
      <c r="E5" s="140" t="s">
        <v>4510</v>
      </c>
    </row>
    <row r="6" spans="1:5" ht="20.25" customHeight="1">
      <c r="A6" s="183" t="s">
        <v>4511</v>
      </c>
      <c r="B6" s="183" t="s">
        <v>4512</v>
      </c>
      <c r="C6" s="183" t="s">
        <v>4513</v>
      </c>
      <c r="D6" s="184" t="s">
        <v>4514</v>
      </c>
      <c r="E6" s="185">
        <v>46189</v>
      </c>
    </row>
    <row r="7" spans="1:5" ht="20.25" customHeight="1">
      <c r="A7" s="183" t="s">
        <v>4511</v>
      </c>
      <c r="B7" s="183" t="s">
        <v>4515</v>
      </c>
      <c r="C7" s="183" t="s">
        <v>4463</v>
      </c>
      <c r="D7" s="184" t="s">
        <v>4516</v>
      </c>
      <c r="E7" s="185">
        <v>46192</v>
      </c>
    </row>
    <row r="8" spans="1:5" ht="20.25" customHeight="1">
      <c r="A8" s="183" t="s">
        <v>4511</v>
      </c>
      <c r="B8" s="183" t="s">
        <v>4517</v>
      </c>
      <c r="C8" s="191" t="s">
        <v>4518</v>
      </c>
      <c r="D8" s="186" t="s">
        <v>4519</v>
      </c>
      <c r="E8" s="185">
        <v>46195</v>
      </c>
    </row>
    <row r="9" spans="1:5" ht="20.25" customHeight="1">
      <c r="A9" s="183" t="s">
        <v>4511</v>
      </c>
      <c r="B9" s="183" t="s">
        <v>4512</v>
      </c>
      <c r="C9" s="183" t="s">
        <v>4520</v>
      </c>
      <c r="D9" s="184" t="s">
        <v>4521</v>
      </c>
      <c r="E9" s="185">
        <v>46195</v>
      </c>
    </row>
    <row r="10" spans="1:5" ht="20.25" customHeight="1">
      <c r="A10" s="183"/>
      <c r="B10" s="183"/>
      <c r="C10" s="183"/>
      <c r="D10" s="184"/>
      <c r="E10" s="185"/>
    </row>
    <row r="11" spans="1:5" ht="20.25" customHeight="1">
      <c r="A11" s="183"/>
      <c r="B11" s="183"/>
      <c r="C11" s="183"/>
      <c r="D11" s="184"/>
      <c r="E11" s="185"/>
    </row>
    <row r="12" spans="1:5" ht="20.25" customHeight="1">
      <c r="A12" s="183"/>
      <c r="B12" s="183"/>
      <c r="C12" s="183"/>
      <c r="D12" s="184"/>
      <c r="E12" s="185"/>
    </row>
    <row r="13" spans="1:5" ht="20.25" customHeight="1">
      <c r="A13" s="183"/>
      <c r="B13" s="183"/>
      <c r="C13" s="183"/>
      <c r="D13" s="186"/>
      <c r="E13" s="185"/>
    </row>
    <row r="14" spans="1:5" ht="20.25" customHeight="1">
      <c r="A14" s="183"/>
      <c r="B14" s="183"/>
      <c r="C14" s="183"/>
      <c r="D14" s="184"/>
      <c r="E14" s="185"/>
    </row>
    <row r="15" spans="1:5" ht="20.25" customHeight="1">
      <c r="A15" s="183"/>
      <c r="B15" s="183"/>
      <c r="C15" s="183"/>
      <c r="D15" s="184"/>
      <c r="E15" s="185"/>
    </row>
    <row r="16" spans="1:5" ht="20.25" customHeight="1">
      <c r="A16" s="183"/>
      <c r="B16" s="183"/>
      <c r="C16" s="183"/>
      <c r="D16" s="184"/>
      <c r="E16" s="185"/>
    </row>
    <row r="17" spans="1:5" ht="20.25" customHeight="1">
      <c r="A17" s="183"/>
      <c r="B17" s="183"/>
      <c r="C17" s="183"/>
      <c r="D17" s="184"/>
      <c r="E17" s="185"/>
    </row>
    <row r="18" spans="1:5" ht="20.25" customHeight="1">
      <c r="A18" s="183"/>
      <c r="B18" s="183"/>
      <c r="C18" s="183"/>
      <c r="D18" s="184"/>
      <c r="E18" s="185"/>
    </row>
    <row r="19" spans="1:5" ht="20.25" customHeight="1">
      <c r="A19" s="126"/>
      <c r="B19" s="126"/>
      <c r="C19" s="126"/>
      <c r="D19" s="176"/>
      <c r="E19" s="177"/>
    </row>
    <row r="20" spans="1:5" ht="20.25" customHeight="1">
      <c r="A20" s="118"/>
      <c r="B20" s="118"/>
      <c r="C20" s="118"/>
      <c r="D20" s="119"/>
      <c r="E20" s="174"/>
    </row>
    <row r="21" spans="1:5" ht="20.25" customHeight="1">
      <c r="A21" s="118"/>
      <c r="B21" s="118"/>
      <c r="C21" s="118"/>
      <c r="D21" s="119"/>
      <c r="E21" s="174"/>
    </row>
    <row r="22" spans="1:5" ht="20.25" customHeight="1">
      <c r="A22" s="118"/>
      <c r="B22" s="118"/>
      <c r="C22" s="175"/>
      <c r="D22" s="119"/>
      <c r="E22" s="174"/>
    </row>
    <row r="23" spans="1:5" ht="20.25" customHeight="1">
      <c r="A23" s="118" t="s">
        <v>4511</v>
      </c>
      <c r="B23" s="118" t="s">
        <v>4517</v>
      </c>
      <c r="C23" s="175" t="s">
        <v>4522</v>
      </c>
      <c r="D23" s="119" t="s">
        <v>4523</v>
      </c>
      <c r="E23" s="174">
        <v>46139</v>
      </c>
    </row>
    <row r="24" spans="1:5" ht="20.25" customHeight="1">
      <c r="A24" s="118" t="s">
        <v>4511</v>
      </c>
      <c r="B24" s="118" t="s">
        <v>4517</v>
      </c>
      <c r="C24" s="118" t="s">
        <v>4524</v>
      </c>
      <c r="D24" s="119" t="s">
        <v>4525</v>
      </c>
      <c r="E24" s="174">
        <v>46139</v>
      </c>
    </row>
    <row r="25" spans="1:5" ht="20.25" customHeight="1">
      <c r="A25" s="118" t="s">
        <v>4511</v>
      </c>
      <c r="B25" s="118" t="s">
        <v>4517</v>
      </c>
      <c r="C25" s="118" t="s">
        <v>4526</v>
      </c>
      <c r="D25" s="119" t="s">
        <v>4527</v>
      </c>
      <c r="E25" s="174">
        <v>46139</v>
      </c>
    </row>
    <row r="26" spans="1:5" ht="20.25" customHeight="1">
      <c r="A26" s="118" t="s">
        <v>4511</v>
      </c>
      <c r="B26" s="118" t="s">
        <v>4517</v>
      </c>
      <c r="C26" s="118" t="s">
        <v>4528</v>
      </c>
      <c r="D26" s="119" t="s">
        <v>4529</v>
      </c>
      <c r="E26" s="174">
        <v>46139</v>
      </c>
    </row>
    <row r="27" spans="1:5" ht="20.25" customHeight="1">
      <c r="A27" s="118" t="s">
        <v>4511</v>
      </c>
      <c r="B27" s="118" t="s">
        <v>4517</v>
      </c>
      <c r="C27" s="118" t="s">
        <v>4530</v>
      </c>
      <c r="D27" s="119" t="s">
        <v>4531</v>
      </c>
      <c r="E27" s="174">
        <v>46139</v>
      </c>
    </row>
    <row r="28" spans="1:5" ht="20.25" customHeight="1">
      <c r="A28" s="118" t="s">
        <v>4511</v>
      </c>
      <c r="B28" s="118" t="s">
        <v>4517</v>
      </c>
      <c r="C28" s="118" t="s">
        <v>4532</v>
      </c>
      <c r="D28" s="121" t="s">
        <v>4533</v>
      </c>
      <c r="E28" s="174">
        <v>46140</v>
      </c>
    </row>
    <row r="29" spans="1:5" ht="20.25" customHeight="1">
      <c r="A29" s="118" t="s">
        <v>4511</v>
      </c>
      <c r="B29" s="118" t="s">
        <v>4517</v>
      </c>
      <c r="C29" s="118" t="s">
        <v>4534</v>
      </c>
      <c r="D29" s="121" t="s">
        <v>4535</v>
      </c>
      <c r="E29" s="174">
        <v>46140</v>
      </c>
    </row>
    <row r="30" spans="1:5" ht="20.25" customHeight="1">
      <c r="A30" s="118" t="s">
        <v>4511</v>
      </c>
      <c r="B30" s="118" t="s">
        <v>4517</v>
      </c>
      <c r="C30" s="118" t="s">
        <v>4536</v>
      </c>
      <c r="D30" s="119" t="s">
        <v>4537</v>
      </c>
      <c r="E30" s="174">
        <v>46140</v>
      </c>
    </row>
    <row r="31" spans="1:5" ht="20.25" customHeight="1">
      <c r="A31" s="118" t="s">
        <v>4511</v>
      </c>
      <c r="B31" s="118" t="s">
        <v>4517</v>
      </c>
      <c r="C31" s="118" t="s">
        <v>4538</v>
      </c>
      <c r="D31" s="119" t="s">
        <v>4539</v>
      </c>
      <c r="E31" s="174">
        <v>46140</v>
      </c>
    </row>
    <row r="32" spans="1:5" ht="20.25" customHeight="1">
      <c r="A32" s="118" t="s">
        <v>4511</v>
      </c>
      <c r="B32" s="118" t="s">
        <v>4512</v>
      </c>
      <c r="C32" s="118" t="s">
        <v>4518</v>
      </c>
      <c r="D32" s="119" t="s">
        <v>4540</v>
      </c>
      <c r="E32" s="174">
        <v>46142</v>
      </c>
    </row>
    <row r="33" spans="1:5" ht="20.25" customHeight="1">
      <c r="A33" s="118" t="s">
        <v>4511</v>
      </c>
      <c r="B33" s="118" t="s">
        <v>4512</v>
      </c>
      <c r="C33" s="118" t="s">
        <v>4541</v>
      </c>
      <c r="D33" s="119" t="s">
        <v>4542</v>
      </c>
      <c r="E33" s="174">
        <v>46142</v>
      </c>
    </row>
    <row r="34" spans="1:5" ht="20.25" customHeight="1">
      <c r="A34" s="118" t="s">
        <v>4511</v>
      </c>
      <c r="B34" s="118" t="s">
        <v>4512</v>
      </c>
      <c r="C34" s="118" t="s">
        <v>4543</v>
      </c>
      <c r="D34" s="119" t="s">
        <v>4544</v>
      </c>
      <c r="E34" s="174">
        <v>46146</v>
      </c>
    </row>
    <row r="35" spans="1:5" ht="20.25" customHeight="1">
      <c r="A35" s="126"/>
      <c r="B35" s="126"/>
      <c r="C35" s="126"/>
      <c r="D35" s="126"/>
      <c r="E35" s="134"/>
    </row>
    <row r="36" spans="1:5" ht="20.25" customHeight="1">
      <c r="A36" s="118"/>
      <c r="B36" s="118"/>
      <c r="C36" s="118"/>
      <c r="D36" s="118"/>
      <c r="E36" s="104"/>
    </row>
    <row r="37" spans="1:5" ht="20.25" customHeight="1">
      <c r="A37" s="118"/>
      <c r="B37" s="118"/>
      <c r="C37" s="118"/>
      <c r="D37" s="118"/>
      <c r="E37" s="104"/>
    </row>
    <row r="38" spans="1:5" ht="20.25" customHeight="1">
      <c r="A38" s="118"/>
      <c r="B38" s="118"/>
      <c r="C38" s="118"/>
      <c r="D38" s="118"/>
      <c r="E38" s="104"/>
    </row>
    <row r="39" spans="1:5" ht="20.25" customHeight="1">
      <c r="A39" s="118"/>
      <c r="B39" s="118"/>
      <c r="C39" s="118"/>
      <c r="D39" s="118"/>
      <c r="E39" s="104"/>
    </row>
    <row r="40" spans="1:5" ht="20.25" customHeight="1">
      <c r="A40" s="118"/>
      <c r="B40" s="118"/>
      <c r="C40" s="118"/>
      <c r="D40" s="118"/>
      <c r="E40" s="104"/>
    </row>
    <row r="41" spans="1:5" ht="20.25" customHeight="1">
      <c r="A41" s="118"/>
      <c r="B41" s="118"/>
      <c r="C41" s="118"/>
      <c r="D41" s="118"/>
      <c r="E41" s="103"/>
    </row>
    <row r="42" spans="1:5" ht="20.25" customHeight="1">
      <c r="A42" s="118"/>
      <c r="B42" s="118"/>
      <c r="C42" s="118"/>
      <c r="D42" s="118"/>
      <c r="E42" s="104"/>
    </row>
    <row r="43" spans="1:5" ht="20.25" customHeight="1">
      <c r="A43" s="118"/>
      <c r="B43" s="118"/>
      <c r="C43" s="118"/>
      <c r="D43" s="118"/>
      <c r="E43" s="107"/>
    </row>
    <row r="44" spans="1:5" ht="20.25" customHeight="1">
      <c r="A44" s="118"/>
      <c r="B44" s="118"/>
      <c r="C44" s="118"/>
      <c r="D44" s="119"/>
      <c r="E44" s="103"/>
    </row>
    <row r="45" spans="1:5" ht="20.25" customHeight="1">
      <c r="A45" s="118"/>
      <c r="B45" s="118"/>
      <c r="C45" s="118"/>
      <c r="D45" s="118"/>
      <c r="E45" s="117"/>
    </row>
    <row r="46" spans="1:5" ht="20.25" customHeight="1">
      <c r="A46" s="118" t="s">
        <v>4545</v>
      </c>
      <c r="B46" s="118"/>
      <c r="C46" s="118" t="s">
        <v>4546</v>
      </c>
      <c r="D46" s="118" t="s">
        <v>4547</v>
      </c>
      <c r="E46" s="104">
        <v>44961</v>
      </c>
    </row>
    <row r="47" spans="1:5" ht="20.25" customHeight="1">
      <c r="A47" s="118" t="s">
        <v>4545</v>
      </c>
      <c r="B47" s="118"/>
      <c r="C47" s="118" t="s">
        <v>4548</v>
      </c>
      <c r="D47" s="118" t="s">
        <v>4549</v>
      </c>
      <c r="E47" s="104">
        <v>44923</v>
      </c>
    </row>
    <row r="48" spans="1:5" ht="20.25" customHeight="1">
      <c r="A48" s="118" t="s">
        <v>4545</v>
      </c>
      <c r="B48" s="118"/>
      <c r="C48" s="118" t="s">
        <v>4550</v>
      </c>
      <c r="D48" s="118" t="s">
        <v>4551</v>
      </c>
      <c r="E48" s="117">
        <v>45013</v>
      </c>
    </row>
    <row r="49" spans="1:5" ht="20.25" customHeight="1">
      <c r="A49" s="118" t="s">
        <v>4545</v>
      </c>
      <c r="B49" s="118"/>
      <c r="C49" s="118" t="s">
        <v>4552</v>
      </c>
      <c r="D49" s="118" t="s">
        <v>4553</v>
      </c>
      <c r="E49" s="107">
        <v>45148</v>
      </c>
    </row>
    <row r="50" spans="1:5" ht="20.25" customHeight="1">
      <c r="A50" s="118" t="s">
        <v>4545</v>
      </c>
      <c r="B50" s="118"/>
      <c r="C50" s="118" t="s">
        <v>4554</v>
      </c>
      <c r="D50" s="118" t="s">
        <v>4555</v>
      </c>
      <c r="E50" s="106"/>
    </row>
    <row r="51" spans="1:5" ht="20.25" customHeight="1">
      <c r="A51" s="118" t="s">
        <v>4545</v>
      </c>
      <c r="B51" s="118"/>
      <c r="C51" s="118" t="s">
        <v>4556</v>
      </c>
      <c r="D51" s="118" t="s">
        <v>4557</v>
      </c>
      <c r="E51" s="103"/>
    </row>
    <row r="52" spans="1:5" ht="20.25" customHeight="1">
      <c r="A52" s="118" t="s">
        <v>4545</v>
      </c>
      <c r="B52" s="118"/>
      <c r="C52" s="118" t="s">
        <v>4558</v>
      </c>
      <c r="D52" s="118" t="s">
        <v>4559</v>
      </c>
      <c r="E52" s="106"/>
    </row>
    <row r="53" spans="1:5" ht="20.25" customHeight="1">
      <c r="A53" s="118" t="s">
        <v>4545</v>
      </c>
      <c r="B53" s="118"/>
      <c r="C53" s="118" t="s">
        <v>4560</v>
      </c>
      <c r="D53" s="118" t="s">
        <v>4561</v>
      </c>
      <c r="E53" s="106"/>
    </row>
    <row r="54" spans="1:5" ht="20.25" customHeight="1">
      <c r="A54" s="118" t="s">
        <v>4545</v>
      </c>
      <c r="B54" s="118"/>
      <c r="C54" s="118" t="s">
        <v>4562</v>
      </c>
      <c r="D54" s="118" t="s">
        <v>4563</v>
      </c>
      <c r="E54" s="103"/>
    </row>
    <row r="55" spans="1:5" ht="20.25" customHeight="1">
      <c r="A55" s="118" t="s">
        <v>4545</v>
      </c>
      <c r="B55" s="118"/>
      <c r="C55" s="118" t="s">
        <v>4564</v>
      </c>
      <c r="D55" s="118" t="s">
        <v>4565</v>
      </c>
      <c r="E55" s="103"/>
    </row>
    <row r="56" spans="1:5" ht="20.25" customHeight="1">
      <c r="A56" s="118" t="s">
        <v>4545</v>
      </c>
      <c r="B56" s="118"/>
      <c r="C56" s="118" t="s">
        <v>4566</v>
      </c>
      <c r="D56" s="118" t="s">
        <v>4567</v>
      </c>
      <c r="E56" s="108"/>
    </row>
    <row r="57" spans="1:5" ht="20.25" customHeight="1">
      <c r="A57" s="118" t="s">
        <v>4545</v>
      </c>
      <c r="B57" s="118"/>
      <c r="C57" s="118" t="s">
        <v>4568</v>
      </c>
      <c r="D57" s="118" t="s">
        <v>4569</v>
      </c>
      <c r="E57" s="104">
        <v>45056</v>
      </c>
    </row>
    <row r="58" spans="1:5" ht="20.25" customHeight="1">
      <c r="A58" s="118" t="s">
        <v>4545</v>
      </c>
      <c r="B58" s="118"/>
      <c r="C58" s="118" t="s">
        <v>4570</v>
      </c>
      <c r="D58" s="118" t="s">
        <v>4571</v>
      </c>
      <c r="E58" s="117">
        <v>45013</v>
      </c>
    </row>
    <row r="59" spans="1:5" ht="20.25" customHeight="1">
      <c r="A59" s="118" t="s">
        <v>4545</v>
      </c>
      <c r="B59" s="118"/>
      <c r="C59" s="118" t="s">
        <v>4572</v>
      </c>
      <c r="D59" s="118" t="s">
        <v>4573</v>
      </c>
      <c r="E59" s="104">
        <v>45097</v>
      </c>
    </row>
    <row r="60" spans="1:5" ht="20.25" customHeight="1">
      <c r="A60" s="118" t="s">
        <v>4545</v>
      </c>
      <c r="B60" s="118"/>
      <c r="C60" s="118" t="s">
        <v>4574</v>
      </c>
      <c r="D60" s="118" t="s">
        <v>4575</v>
      </c>
      <c r="E60" s="104">
        <v>44816</v>
      </c>
    </row>
    <row r="61" spans="1:5" ht="20.25" customHeight="1">
      <c r="A61" s="118" t="s">
        <v>4545</v>
      </c>
      <c r="B61" s="118"/>
      <c r="C61" s="118" t="s">
        <v>4576</v>
      </c>
      <c r="D61" s="118" t="s">
        <v>4577</v>
      </c>
      <c r="E61" s="103"/>
    </row>
    <row r="62" spans="1:5" ht="20.25" customHeight="1">
      <c r="A62" s="118" t="s">
        <v>4545</v>
      </c>
      <c r="B62" s="118"/>
      <c r="C62" s="118" t="s">
        <v>4578</v>
      </c>
      <c r="D62" s="118" t="s">
        <v>4579</v>
      </c>
      <c r="E62" s="103" t="s">
        <v>4355</v>
      </c>
    </row>
    <row r="63" spans="1:5" ht="20.25" customHeight="1">
      <c r="A63" s="118" t="s">
        <v>4545</v>
      </c>
      <c r="B63" s="118"/>
      <c r="C63" s="118" t="s">
        <v>4580</v>
      </c>
      <c r="D63" s="118" t="s">
        <v>4581</v>
      </c>
      <c r="E63" s="103"/>
    </row>
    <row r="64" spans="1:5" ht="20.25" customHeight="1">
      <c r="A64" s="118" t="s">
        <v>4545</v>
      </c>
      <c r="B64" s="118"/>
      <c r="C64" s="118" t="s">
        <v>4582</v>
      </c>
      <c r="D64" s="118" t="s">
        <v>4583</v>
      </c>
      <c r="E64" s="103"/>
    </row>
    <row r="65" spans="1:5" ht="20.25" customHeight="1">
      <c r="A65" s="118" t="s">
        <v>4545</v>
      </c>
      <c r="B65" s="118"/>
      <c r="C65" s="118" t="s">
        <v>4584</v>
      </c>
      <c r="D65" s="118" t="s">
        <v>4585</v>
      </c>
      <c r="E65" s="104">
        <v>44877</v>
      </c>
    </row>
    <row r="66" spans="1:5" ht="20.25" customHeight="1">
      <c r="A66" s="118" t="s">
        <v>4545</v>
      </c>
      <c r="B66" s="118"/>
      <c r="C66" s="118" t="s">
        <v>4586</v>
      </c>
      <c r="D66" s="118" t="s">
        <v>4587</v>
      </c>
      <c r="E66" s="104">
        <v>44876</v>
      </c>
    </row>
    <row r="67" spans="1:5" ht="20.25" customHeight="1">
      <c r="A67" s="118" t="s">
        <v>4545</v>
      </c>
      <c r="B67" s="118"/>
      <c r="C67" s="118" t="s">
        <v>4588</v>
      </c>
      <c r="D67" s="118" t="s">
        <v>4589</v>
      </c>
      <c r="E67" s="104">
        <v>44910</v>
      </c>
    </row>
    <row r="68" spans="1:5" ht="20.25" customHeight="1">
      <c r="A68" s="118" t="s">
        <v>4545</v>
      </c>
      <c r="B68" s="118"/>
      <c r="C68" s="118" t="s">
        <v>4590</v>
      </c>
      <c r="D68" s="118" t="s">
        <v>4591</v>
      </c>
      <c r="E68" s="107">
        <v>45148</v>
      </c>
    </row>
    <row r="69" spans="1:5" ht="20.25" customHeight="1">
      <c r="A69" s="118" t="s">
        <v>4545</v>
      </c>
      <c r="B69" s="118"/>
      <c r="C69" s="118" t="s">
        <v>4592</v>
      </c>
      <c r="D69" s="118" t="s">
        <v>4593</v>
      </c>
      <c r="E69" s="107">
        <v>45065</v>
      </c>
    </row>
    <row r="70" spans="1:5" ht="20.25" customHeight="1">
      <c r="A70" s="118" t="s">
        <v>4545</v>
      </c>
      <c r="B70" s="118"/>
      <c r="C70" s="118" t="s">
        <v>4594</v>
      </c>
      <c r="D70" s="118" t="s">
        <v>4595</v>
      </c>
      <c r="E70" s="107">
        <v>45049</v>
      </c>
    </row>
    <row r="71" spans="1:5" ht="20.25" customHeight="1">
      <c r="A71" s="118" t="s">
        <v>4545</v>
      </c>
      <c r="B71" s="118"/>
      <c r="C71" s="118" t="s">
        <v>4596</v>
      </c>
      <c r="D71" s="118" t="s">
        <v>4597</v>
      </c>
      <c r="E71" s="107">
        <v>45065</v>
      </c>
    </row>
    <row r="72" spans="1:5" ht="20.25" customHeight="1">
      <c r="A72" s="118" t="s">
        <v>4545</v>
      </c>
      <c r="B72" s="118"/>
      <c r="C72" s="118" t="s">
        <v>4598</v>
      </c>
      <c r="D72" s="118" t="s">
        <v>4599</v>
      </c>
      <c r="E72" s="104">
        <v>44922</v>
      </c>
    </row>
    <row r="73" spans="1:5" ht="20.25" customHeight="1">
      <c r="A73" s="118" t="s">
        <v>4545</v>
      </c>
      <c r="B73" s="118"/>
      <c r="C73" s="118" t="s">
        <v>4600</v>
      </c>
      <c r="D73" s="118" t="s">
        <v>4601</v>
      </c>
      <c r="E73" s="104">
        <v>44961</v>
      </c>
    </row>
    <row r="74" spans="1:5" ht="20.25" customHeight="1">
      <c r="A74" s="118" t="s">
        <v>4545</v>
      </c>
      <c r="B74" s="118"/>
      <c r="C74" s="118" t="s">
        <v>4602</v>
      </c>
      <c r="D74" s="118" t="s">
        <v>4603</v>
      </c>
      <c r="E74" s="103" t="s">
        <v>4355</v>
      </c>
    </row>
    <row r="75" spans="1:5" ht="20.25" customHeight="1">
      <c r="A75" s="118" t="s">
        <v>4545</v>
      </c>
      <c r="B75" s="118"/>
      <c r="C75" s="118" t="s">
        <v>4604</v>
      </c>
      <c r="D75" s="118" t="s">
        <v>4605</v>
      </c>
      <c r="E75" s="107">
        <v>45049</v>
      </c>
    </row>
    <row r="76" spans="1:5" ht="20.25" customHeight="1">
      <c r="A76" s="118" t="s">
        <v>4545</v>
      </c>
      <c r="B76" s="118"/>
      <c r="C76" s="120" t="s">
        <v>4606</v>
      </c>
      <c r="D76" s="121" t="s">
        <v>4607</v>
      </c>
      <c r="E76" s="103" t="s">
        <v>4355</v>
      </c>
    </row>
    <row r="77" spans="1:5" ht="20.25" customHeight="1">
      <c r="A77" s="118" t="s">
        <v>4545</v>
      </c>
      <c r="B77" s="118"/>
      <c r="C77" s="120" t="s">
        <v>4608</v>
      </c>
      <c r="D77" s="122" t="s">
        <v>4609</v>
      </c>
      <c r="E77" s="103" t="s">
        <v>4355</v>
      </c>
    </row>
    <row r="78" spans="1:5" ht="20.25" customHeight="1">
      <c r="C78" s="123"/>
      <c r="D78" s="124"/>
      <c r="E78" s="103" t="s">
        <v>4355</v>
      </c>
    </row>
    <row r="79" spans="1:5" ht="20.25" customHeight="1">
      <c r="C79" s="91"/>
      <c r="D79" s="125"/>
      <c r="E79" s="104">
        <v>44910</v>
      </c>
    </row>
    <row r="80" spans="1:5" ht="20.25" customHeight="1">
      <c r="C80" s="91"/>
      <c r="D80" s="125"/>
      <c r="E80" s="104">
        <v>44840</v>
      </c>
    </row>
    <row r="81" spans="3:5" ht="20.25" customHeight="1">
      <c r="C81" s="91"/>
      <c r="D81" s="125"/>
      <c r="E81" s="103" t="s">
        <v>4355</v>
      </c>
    </row>
    <row r="82" spans="3:5" ht="20.25" customHeight="1">
      <c r="C82" s="91"/>
      <c r="D82" s="125"/>
      <c r="E82" s="103" t="s">
        <v>4355</v>
      </c>
    </row>
    <row r="83" spans="3:5" ht="20.25" customHeight="1">
      <c r="C83" s="91"/>
      <c r="D83" s="125"/>
      <c r="E83" s="104">
        <v>44877</v>
      </c>
    </row>
    <row r="84" spans="3:5" ht="20.25" customHeight="1">
      <c r="C84" s="91"/>
      <c r="D84" s="125"/>
      <c r="E84" s="103" t="s">
        <v>4355</v>
      </c>
    </row>
    <row r="85" spans="3:5" ht="20.25" customHeight="1">
      <c r="C85" s="91"/>
      <c r="E85" s="103" t="s">
        <v>4355</v>
      </c>
    </row>
    <row r="86" spans="3:5" ht="20.25" customHeight="1">
      <c r="C86" s="91"/>
      <c r="E86" s="104">
        <v>44840</v>
      </c>
    </row>
    <row r="87" spans="3:5" ht="20.25" customHeight="1">
      <c r="C87" s="91"/>
      <c r="E87" s="103" t="s">
        <v>4355</v>
      </c>
    </row>
    <row r="88" spans="3:5" ht="20.25" customHeight="1">
      <c r="C88" s="91"/>
      <c r="E88" s="103" t="s">
        <v>4355</v>
      </c>
    </row>
    <row r="89" spans="3:5" ht="20.25" customHeight="1">
      <c r="C89" s="91"/>
      <c r="E89" s="103" t="s">
        <v>4355</v>
      </c>
    </row>
    <row r="90" spans="3:5" ht="20.25" customHeight="1">
      <c r="C90" s="91"/>
      <c r="E90" s="103" t="s">
        <v>4355</v>
      </c>
    </row>
    <row r="91" spans="3:5" ht="20.25" customHeight="1">
      <c r="C91" s="97" t="s">
        <v>4610</v>
      </c>
      <c r="E91" s="103" t="s">
        <v>4355</v>
      </c>
    </row>
    <row r="92" spans="3:5" ht="20.25" customHeight="1">
      <c r="C92" s="97" t="s">
        <v>4611</v>
      </c>
      <c r="E92" s="103" t="s">
        <v>4355</v>
      </c>
    </row>
    <row r="93" spans="3:5" ht="20.25" customHeight="1">
      <c r="C93" s="91" t="s">
        <v>4612</v>
      </c>
      <c r="E93" s="103" t="s">
        <v>4355</v>
      </c>
    </row>
    <row r="94" spans="3:5" ht="20.25" customHeight="1">
      <c r="C94" s="91" t="s">
        <v>4613</v>
      </c>
      <c r="E94" s="103" t="s">
        <v>4355</v>
      </c>
    </row>
    <row r="95" spans="3:5" ht="20.25" customHeight="1">
      <c r="C95" s="91" t="s">
        <v>4614</v>
      </c>
      <c r="E95" s="103" t="s">
        <v>4355</v>
      </c>
    </row>
    <row r="96" spans="3:5" ht="20.25" customHeight="1">
      <c r="C96" s="91" t="s">
        <v>4615</v>
      </c>
      <c r="E96" s="103"/>
    </row>
    <row r="97" spans="3:5" ht="20.25" customHeight="1">
      <c r="C97" s="91" t="s">
        <v>4616</v>
      </c>
      <c r="E97" s="103"/>
    </row>
    <row r="98" spans="3:5" ht="20.25" customHeight="1">
      <c r="C98" s="91" t="s">
        <v>4617</v>
      </c>
      <c r="E98" s="117">
        <v>45013</v>
      </c>
    </row>
    <row r="99" spans="3:5" ht="20.25" customHeight="1">
      <c r="C99" s="91" t="s">
        <v>4618</v>
      </c>
      <c r="E99" s="117">
        <v>45013</v>
      </c>
    </row>
    <row r="100" spans="3:5" ht="20.25" customHeight="1">
      <c r="C100" s="91" t="s">
        <v>4619</v>
      </c>
      <c r="E100" s="103" t="s">
        <v>4355</v>
      </c>
    </row>
    <row r="101" spans="3:5" ht="20.25" customHeight="1">
      <c r="C101" s="97" t="s">
        <v>4620</v>
      </c>
      <c r="E101" s="103" t="s">
        <v>4355</v>
      </c>
    </row>
    <row r="102" spans="3:5" ht="20.25" customHeight="1">
      <c r="C102" s="91" t="s">
        <v>4621</v>
      </c>
      <c r="E102" s="104">
        <v>44853</v>
      </c>
    </row>
    <row r="103" spans="3:5" ht="20.25" customHeight="1">
      <c r="C103" s="91" t="s">
        <v>4622</v>
      </c>
      <c r="E103" s="104">
        <v>44840</v>
      </c>
    </row>
    <row r="104" spans="3:5" ht="20.25" customHeight="1">
      <c r="C104" s="91" t="s">
        <v>4623</v>
      </c>
      <c r="E104" s="104">
        <v>44840</v>
      </c>
    </row>
    <row r="105" spans="3:5" ht="20.25" customHeight="1">
      <c r="C105" s="91" t="s">
        <v>4624</v>
      </c>
      <c r="E105" s="105"/>
    </row>
    <row r="106" spans="3:5" ht="20.25" customHeight="1">
      <c r="C106" s="97" t="s">
        <v>4625</v>
      </c>
      <c r="E106" s="104">
        <v>44910</v>
      </c>
    </row>
    <row r="107" spans="3:5" ht="20.25" customHeight="1">
      <c r="C107" s="91" t="s">
        <v>4626</v>
      </c>
      <c r="E107" s="104">
        <v>44961</v>
      </c>
    </row>
    <row r="108" spans="3:5" ht="20.25" customHeight="1">
      <c r="C108" s="91" t="s">
        <v>4627</v>
      </c>
      <c r="E108" s="103" t="s">
        <v>4355</v>
      </c>
    </row>
    <row r="109" spans="3:5" ht="20.25" customHeight="1">
      <c r="C109" s="91" t="s">
        <v>4628</v>
      </c>
      <c r="E109" s="103" t="s">
        <v>4355</v>
      </c>
    </row>
    <row r="110" spans="3:5" ht="20.25" customHeight="1">
      <c r="C110" s="97" t="s">
        <v>4629</v>
      </c>
      <c r="E110" s="104">
        <v>44862</v>
      </c>
    </row>
    <row r="111" spans="3:5" ht="20.25" customHeight="1">
      <c r="C111" s="91" t="s">
        <v>4630</v>
      </c>
      <c r="E111" s="104">
        <v>44877</v>
      </c>
    </row>
    <row r="112" spans="3:5" ht="20.25" customHeight="1">
      <c r="C112" s="91" t="s">
        <v>4631</v>
      </c>
      <c r="E112" s="104">
        <v>44840</v>
      </c>
    </row>
    <row r="113" spans="3:5" ht="20.25" customHeight="1">
      <c r="C113" s="97" t="s">
        <v>4632</v>
      </c>
      <c r="E113" s="103" t="s">
        <v>4355</v>
      </c>
    </row>
    <row r="114" spans="3:5" ht="20.25" customHeight="1">
      <c r="C114" s="91" t="s">
        <v>4633</v>
      </c>
      <c r="E114" s="104">
        <v>44840</v>
      </c>
    </row>
    <row r="115" spans="3:5" ht="20.25" customHeight="1">
      <c r="C115" s="91" t="s">
        <v>4634</v>
      </c>
      <c r="E115" s="103" t="s">
        <v>4355</v>
      </c>
    </row>
    <row r="116" spans="3:5" ht="20.25" customHeight="1">
      <c r="C116" s="91" t="s">
        <v>4635</v>
      </c>
      <c r="E116" s="103" t="s">
        <v>4355</v>
      </c>
    </row>
    <row r="117" spans="3:5" ht="20.25" customHeight="1">
      <c r="C117" s="91" t="s">
        <v>4636</v>
      </c>
      <c r="E117" s="104">
        <v>44840</v>
      </c>
    </row>
    <row r="118" spans="3:5" ht="20.25" customHeight="1">
      <c r="C118" s="91" t="s">
        <v>4637</v>
      </c>
      <c r="E118" s="104">
        <v>44877</v>
      </c>
    </row>
    <row r="119" spans="3:5" ht="20.25" customHeight="1">
      <c r="C119" s="91" t="s">
        <v>4638</v>
      </c>
      <c r="E119" s="104">
        <v>44890</v>
      </c>
    </row>
    <row r="120" spans="3:5" ht="20.25" customHeight="1">
      <c r="C120" s="91" t="s">
        <v>4639</v>
      </c>
      <c r="E120" s="104">
        <v>45013</v>
      </c>
    </row>
    <row r="121" spans="3:5" ht="20.25" customHeight="1">
      <c r="C121" s="91" t="s">
        <v>4640</v>
      </c>
      <c r="E121" s="104">
        <v>45013</v>
      </c>
    </row>
    <row r="122" spans="3:5" ht="20.25" customHeight="1">
      <c r="C122" s="91" t="s">
        <v>4641</v>
      </c>
      <c r="E122" s="104"/>
    </row>
    <row r="123" spans="3:5" ht="20.25" customHeight="1">
      <c r="C123" s="91" t="s">
        <v>4642</v>
      </c>
      <c r="E123" s="104"/>
    </row>
    <row r="124" spans="3:5" ht="20.25" customHeight="1">
      <c r="C124" s="91" t="s">
        <v>4643</v>
      </c>
      <c r="E124" s="111"/>
    </row>
    <row r="125" spans="3:5" ht="20.25" customHeight="1">
      <c r="C125" s="91" t="s">
        <v>4644</v>
      </c>
      <c r="E125" s="111"/>
    </row>
    <row r="126" spans="3:5" ht="20.25" customHeight="1">
      <c r="C126" s="91" t="s">
        <v>4645</v>
      </c>
      <c r="E126" s="111"/>
    </row>
    <row r="127" spans="3:5" ht="20.25" customHeight="1">
      <c r="C127" s="97" t="s">
        <v>4646</v>
      </c>
      <c r="E127" s="111"/>
    </row>
    <row r="128" spans="3:5" ht="20.25" customHeight="1">
      <c r="C128" s="91" t="s">
        <v>4647</v>
      </c>
      <c r="E128" s="111"/>
    </row>
    <row r="129" spans="3:5" ht="20.25" customHeight="1">
      <c r="C129" s="97" t="s">
        <v>4648</v>
      </c>
      <c r="E129" s="111"/>
    </row>
    <row r="130" spans="3:5" ht="20.25" customHeight="1">
      <c r="C130" s="91" t="s">
        <v>4649</v>
      </c>
      <c r="E130" s="107">
        <v>45105</v>
      </c>
    </row>
    <row r="131" spans="3:5" ht="20.25" customHeight="1">
      <c r="C131" s="91" t="s">
        <v>4650</v>
      </c>
      <c r="E131" s="108"/>
    </row>
    <row r="132" spans="3:5" ht="20.25" customHeight="1">
      <c r="C132" s="91" t="s">
        <v>4651</v>
      </c>
      <c r="E132" s="111"/>
    </row>
    <row r="133" spans="3:5" ht="20.25" customHeight="1">
      <c r="C133" s="91" t="s">
        <v>4652</v>
      </c>
      <c r="E133" s="111"/>
    </row>
    <row r="134" spans="3:5" ht="20.25" customHeight="1">
      <c r="C134" s="91" t="s">
        <v>4653</v>
      </c>
      <c r="E134" s="111"/>
    </row>
    <row r="135" spans="3:5" ht="20.25" customHeight="1">
      <c r="C135" s="91" t="s">
        <v>4654</v>
      </c>
      <c r="E135" s="107">
        <v>45105</v>
      </c>
    </row>
    <row r="136" spans="3:5" ht="20.25" customHeight="1">
      <c r="C136" s="91" t="s">
        <v>4655</v>
      </c>
      <c r="E136" s="111"/>
    </row>
    <row r="137" spans="3:5" ht="20.25" customHeight="1">
      <c r="C137" s="91" t="s">
        <v>4656</v>
      </c>
      <c r="E137" s="111"/>
    </row>
    <row r="138" spans="3:5" ht="20.25" customHeight="1">
      <c r="C138" s="91" t="s">
        <v>4657</v>
      </c>
      <c r="E138" s="107">
        <v>45049</v>
      </c>
    </row>
    <row r="139" spans="3:5" ht="20.25" customHeight="1">
      <c r="C139" s="91" t="s">
        <v>4658</v>
      </c>
      <c r="E139" s="111"/>
    </row>
    <row r="140" spans="3:5" ht="20.25" customHeight="1">
      <c r="C140" s="91" t="s">
        <v>4659</v>
      </c>
      <c r="E140" s="111"/>
    </row>
    <row r="141" spans="3:5" ht="20.25" customHeight="1">
      <c r="C141" s="91" t="s">
        <v>4660</v>
      </c>
      <c r="E141" s="111"/>
    </row>
    <row r="142" spans="3:5" ht="20.25" customHeight="1">
      <c r="C142" s="91" t="s">
        <v>4661</v>
      </c>
      <c r="E142" s="111"/>
    </row>
    <row r="143" spans="3:5" ht="20.25" customHeight="1">
      <c r="C143" s="91" t="s">
        <v>4662</v>
      </c>
      <c r="E143" s="111"/>
    </row>
    <row r="144" spans="3:5" ht="20.25" customHeight="1">
      <c r="C144" s="91" t="s">
        <v>4663</v>
      </c>
      <c r="E144" s="104">
        <v>45056</v>
      </c>
    </row>
    <row r="145" spans="3:5" ht="20.25" customHeight="1">
      <c r="C145" s="91" t="s">
        <v>4664</v>
      </c>
      <c r="E145" s="104">
        <v>45056</v>
      </c>
    </row>
    <row r="146" spans="3:5" ht="20.25" customHeight="1">
      <c r="C146" s="90" t="s">
        <v>4665</v>
      </c>
      <c r="E146" s="104">
        <v>45056</v>
      </c>
    </row>
    <row r="147" spans="3:5" ht="20.25" customHeight="1">
      <c r="C147" s="91" t="s">
        <v>4666</v>
      </c>
      <c r="E147" s="111"/>
    </row>
    <row r="148" spans="3:5" ht="20.25" customHeight="1">
      <c r="C148" s="91" t="s">
        <v>4667</v>
      </c>
      <c r="E148" s="111"/>
    </row>
    <row r="149" spans="3:5" ht="20.25" customHeight="1">
      <c r="C149" s="91" t="s">
        <v>4668</v>
      </c>
      <c r="E149" s="111"/>
    </row>
    <row r="150" spans="3:5" ht="20.25" customHeight="1">
      <c r="C150" s="91" t="s">
        <v>4669</v>
      </c>
      <c r="E150" s="111"/>
    </row>
    <row r="151" spans="3:5" ht="20.25" customHeight="1">
      <c r="C151" s="91" t="s">
        <v>4670</v>
      </c>
      <c r="E151" s="111"/>
    </row>
    <row r="152" spans="3:5" ht="20.25" customHeight="1">
      <c r="C152" s="91" t="s">
        <v>4671</v>
      </c>
      <c r="E152" s="111"/>
    </row>
    <row r="153" spans="3:5" ht="20.25" customHeight="1">
      <c r="C153" s="97" t="s">
        <v>4672</v>
      </c>
      <c r="E153" s="111"/>
    </row>
    <row r="154" spans="3:5" ht="20.25" customHeight="1">
      <c r="C154" s="91" t="s">
        <v>4673</v>
      </c>
      <c r="E154" s="111"/>
    </row>
    <row r="155" spans="3:5" ht="20.25" customHeight="1">
      <c r="C155" s="91" t="s">
        <v>4674</v>
      </c>
      <c r="E155" s="111"/>
    </row>
    <row r="156" spans="3:5" ht="20.25" customHeight="1">
      <c r="C156" s="91" t="s">
        <v>4675</v>
      </c>
      <c r="E156" s="108"/>
    </row>
    <row r="157" spans="3:5" ht="20.25" customHeight="1">
      <c r="C157" s="91" t="s">
        <v>4676</v>
      </c>
      <c r="E157" s="104">
        <v>45056</v>
      </c>
    </row>
    <row r="158" spans="3:5" ht="20.25" customHeight="1">
      <c r="C158" s="91" t="s">
        <v>4677</v>
      </c>
      <c r="E158" s="107">
        <v>45148</v>
      </c>
    </row>
    <row r="159" spans="3:5" ht="20.25" customHeight="1">
      <c r="C159" s="91" t="s">
        <v>4678</v>
      </c>
      <c r="E159" s="106"/>
    </row>
    <row r="160" spans="3:5" ht="20.25" customHeight="1">
      <c r="C160" s="91" t="s">
        <v>4679</v>
      </c>
      <c r="E160" s="106"/>
    </row>
    <row r="161" spans="3:5" ht="20.25" customHeight="1">
      <c r="C161" s="91" t="s">
        <v>4680</v>
      </c>
      <c r="E161" s="106"/>
    </row>
    <row r="162" spans="3:5" ht="20.25" customHeight="1">
      <c r="C162" s="91" t="s">
        <v>4681</v>
      </c>
      <c r="E162" s="106"/>
    </row>
    <row r="163" spans="3:5" ht="20.25" customHeight="1">
      <c r="C163" s="91" t="s">
        <v>4682</v>
      </c>
      <c r="E163" s="106"/>
    </row>
    <row r="164" spans="3:5" ht="20.25" customHeight="1">
      <c r="C164" s="91" t="s">
        <v>4683</v>
      </c>
      <c r="E164" s="106"/>
    </row>
    <row r="165" spans="3:5" ht="20.25" customHeight="1">
      <c r="C165" s="91" t="s">
        <v>4684</v>
      </c>
      <c r="E165" s="106"/>
    </row>
    <row r="166" spans="3:5" ht="20.25" customHeight="1">
      <c r="C166" s="91" t="s">
        <v>4685</v>
      </c>
      <c r="E166" s="106"/>
    </row>
    <row r="167" spans="3:5" ht="20.25" customHeight="1">
      <c r="C167" s="91" t="s">
        <v>4686</v>
      </c>
      <c r="E167" s="106"/>
    </row>
    <row r="168" spans="3:5" ht="20.25" customHeight="1">
      <c r="C168" s="91" t="s">
        <v>4687</v>
      </c>
      <c r="E168" s="106"/>
    </row>
    <row r="169" spans="3:5" ht="20.25" customHeight="1">
      <c r="C169" s="91" t="s">
        <v>4688</v>
      </c>
      <c r="E169" s="106"/>
    </row>
    <row r="170" spans="3:5" ht="20.25" customHeight="1">
      <c r="C170" s="91" t="s">
        <v>4689</v>
      </c>
      <c r="E170" s="106"/>
    </row>
    <row r="171" spans="3:5" ht="20.25" customHeight="1">
      <c r="C171" s="91" t="s">
        <v>4690</v>
      </c>
      <c r="E171" s="106"/>
    </row>
    <row r="172" spans="3:5" ht="20.25" customHeight="1">
      <c r="C172" s="97" t="s">
        <v>4691</v>
      </c>
      <c r="E172" s="106"/>
    </row>
    <row r="173" spans="3:5" ht="20.25" customHeight="1">
      <c r="C173" s="91" t="s">
        <v>4692</v>
      </c>
      <c r="E173" s="106"/>
    </row>
    <row r="174" spans="3:5" ht="20.25" customHeight="1">
      <c r="C174" s="91" t="s">
        <v>4693</v>
      </c>
      <c r="E174" s="106"/>
    </row>
    <row r="175" spans="3:5" ht="20.25" customHeight="1">
      <c r="C175" s="91" t="s">
        <v>4694</v>
      </c>
      <c r="E175" s="106"/>
    </row>
    <row r="176" spans="3:5" ht="20.25" customHeight="1">
      <c r="C176" s="91" t="s">
        <v>4695</v>
      </c>
      <c r="E176" s="106"/>
    </row>
    <row r="177" spans="3:5" ht="20.25" customHeight="1">
      <c r="C177" s="91" t="s">
        <v>4696</v>
      </c>
      <c r="E177" s="106"/>
    </row>
    <row r="178" spans="3:5" ht="20.25" customHeight="1">
      <c r="C178" s="91" t="s">
        <v>4697</v>
      </c>
      <c r="E178" s="107">
        <v>45105</v>
      </c>
    </row>
    <row r="179" spans="3:5" ht="20.25" customHeight="1">
      <c r="C179" s="91" t="s">
        <v>4698</v>
      </c>
      <c r="E179" s="104">
        <v>44992</v>
      </c>
    </row>
    <row r="180" spans="3:5" ht="20.25" customHeight="1">
      <c r="C180" s="97" t="s">
        <v>4699</v>
      </c>
      <c r="E180" s="104">
        <v>45056</v>
      </c>
    </row>
    <row r="181" spans="3:5" ht="20.25" customHeight="1">
      <c r="C181" s="91" t="s">
        <v>4700</v>
      </c>
      <c r="E181" s="104">
        <v>44992</v>
      </c>
    </row>
    <row r="182" spans="3:5" ht="20.25" customHeight="1">
      <c r="C182" s="91" t="s">
        <v>4701</v>
      </c>
      <c r="E182" s="104">
        <v>45056</v>
      </c>
    </row>
    <row r="183" spans="3:5" ht="20.25" customHeight="1">
      <c r="C183" s="91" t="s">
        <v>4702</v>
      </c>
      <c r="E183" s="110">
        <v>45111</v>
      </c>
    </row>
    <row r="184" spans="3:5" ht="20.25" customHeight="1">
      <c r="C184" s="91" t="s">
        <v>4703</v>
      </c>
      <c r="E184" s="104">
        <v>45056</v>
      </c>
    </row>
    <row r="185" spans="3:5" ht="20.25" customHeight="1">
      <c r="C185" s="97" t="s">
        <v>4704</v>
      </c>
      <c r="E185" s="106"/>
    </row>
    <row r="186" spans="3:5" ht="20.25" customHeight="1">
      <c r="C186" s="91" t="s">
        <v>4705</v>
      </c>
      <c r="E186" s="106"/>
    </row>
    <row r="187" spans="3:5" ht="20.25" customHeight="1">
      <c r="C187" s="91" t="s">
        <v>4706</v>
      </c>
      <c r="E187" s="104">
        <v>45056</v>
      </c>
    </row>
    <row r="188" spans="3:5" ht="20.25" customHeight="1">
      <c r="C188" s="91" t="s">
        <v>4707</v>
      </c>
      <c r="E188" s="104">
        <v>45056</v>
      </c>
    </row>
    <row r="189" spans="3:5" ht="20.25" customHeight="1">
      <c r="C189" s="91" t="s">
        <v>4708</v>
      </c>
      <c r="E189" s="104">
        <v>45056</v>
      </c>
    </row>
    <row r="190" spans="3:5" ht="20.25" customHeight="1">
      <c r="C190" s="91" t="s">
        <v>4709</v>
      </c>
      <c r="E190" s="104">
        <v>45097</v>
      </c>
    </row>
    <row r="191" spans="3:5" ht="20.25" customHeight="1">
      <c r="C191" s="91" t="s">
        <v>4710</v>
      </c>
      <c r="E191" s="110">
        <v>45111</v>
      </c>
    </row>
    <row r="192" spans="3:5" ht="20.25" customHeight="1">
      <c r="C192" s="91" t="s">
        <v>4711</v>
      </c>
      <c r="E192" s="110">
        <v>45111</v>
      </c>
    </row>
    <row r="193" spans="3:5" ht="20.25" customHeight="1">
      <c r="C193" s="91" t="s">
        <v>4712</v>
      </c>
      <c r="E193" s="110">
        <v>45111</v>
      </c>
    </row>
    <row r="194" spans="3:5" ht="20.25" customHeight="1">
      <c r="C194" s="91" t="s">
        <v>4713</v>
      </c>
      <c r="E194" s="104">
        <v>45097</v>
      </c>
    </row>
    <row r="195" spans="3:5" ht="20.25" customHeight="1">
      <c r="C195" s="91" t="s">
        <v>4714</v>
      </c>
      <c r="E195" s="110">
        <v>45111</v>
      </c>
    </row>
    <row r="196" spans="3:5" ht="20.25" customHeight="1">
      <c r="C196" s="91" t="s">
        <v>4715</v>
      </c>
      <c r="E196" s="110">
        <v>45111</v>
      </c>
    </row>
    <row r="197" spans="3:5" ht="20.25" customHeight="1">
      <c r="C197" s="91" t="s">
        <v>4716</v>
      </c>
      <c r="E197" s="104">
        <v>45097</v>
      </c>
    </row>
    <row r="198" spans="3:5" ht="20.25" customHeight="1">
      <c r="C198" s="91" t="s">
        <v>4717</v>
      </c>
      <c r="E198" s="104">
        <v>45097</v>
      </c>
    </row>
    <row r="199" spans="3:5" ht="20.25" customHeight="1">
      <c r="C199" s="91" t="s">
        <v>4718</v>
      </c>
      <c r="E199" s="104">
        <v>45097</v>
      </c>
    </row>
    <row r="200" spans="3:5" ht="20.25" customHeight="1">
      <c r="C200" s="91" t="s">
        <v>4719</v>
      </c>
      <c r="E200" s="108"/>
    </row>
    <row r="201" spans="3:5" ht="20.25" customHeight="1">
      <c r="C201" s="91" t="s">
        <v>4720</v>
      </c>
      <c r="E201" s="110">
        <v>45111</v>
      </c>
    </row>
    <row r="202" spans="3:5" ht="20.25" customHeight="1">
      <c r="C202" s="91" t="s">
        <v>4721</v>
      </c>
      <c r="E202" s="104">
        <v>45097</v>
      </c>
    </row>
    <row r="203" spans="3:5" ht="20.25" customHeight="1">
      <c r="C203" s="91" t="s">
        <v>4722</v>
      </c>
      <c r="E203" s="107">
        <v>45148</v>
      </c>
    </row>
    <row r="204" spans="3:5" ht="20.25" customHeight="1">
      <c r="C204" s="91" t="s">
        <v>4723</v>
      </c>
      <c r="E204" s="110">
        <v>45111</v>
      </c>
    </row>
    <row r="205" spans="3:5" ht="20.25" customHeight="1">
      <c r="C205" s="91" t="s">
        <v>4724</v>
      </c>
      <c r="E205" s="111"/>
    </row>
    <row r="206" spans="3:5" ht="20.25" customHeight="1">
      <c r="C206" s="91" t="s">
        <v>4725</v>
      </c>
      <c r="E206" s="104">
        <v>44992</v>
      </c>
    </row>
    <row r="207" spans="3:5" ht="20.25" customHeight="1">
      <c r="C207" s="91" t="s">
        <v>4726</v>
      </c>
      <c r="E207" s="104">
        <v>45097</v>
      </c>
    </row>
    <row r="208" spans="3:5" ht="20.25" customHeight="1">
      <c r="C208" s="91" t="s">
        <v>4727</v>
      </c>
      <c r="E208" s="104">
        <v>45097</v>
      </c>
    </row>
    <row r="209" spans="3:5" ht="20.25" customHeight="1">
      <c r="C209" s="91" t="s">
        <v>4728</v>
      </c>
      <c r="E209" s="104">
        <v>45097</v>
      </c>
    </row>
    <row r="210" spans="3:5" ht="20.25" customHeight="1">
      <c r="C210" s="91" t="s">
        <v>4729</v>
      </c>
      <c r="E210" s="111"/>
    </row>
    <row r="211" spans="3:5" ht="20.25" customHeight="1">
      <c r="C211" s="91" t="s">
        <v>4730</v>
      </c>
      <c r="E211" s="111"/>
    </row>
    <row r="212" spans="3:5" ht="20.25" customHeight="1">
      <c r="C212" s="91" t="s">
        <v>4731</v>
      </c>
      <c r="E212" s="104">
        <v>45097</v>
      </c>
    </row>
    <row r="213" spans="3:5" ht="20.25" customHeight="1">
      <c r="C213" s="91" t="s">
        <v>4732</v>
      </c>
      <c r="E213" s="104">
        <v>45097</v>
      </c>
    </row>
    <row r="214" spans="3:5" ht="20.25" customHeight="1">
      <c r="C214" s="91" t="s">
        <v>4733</v>
      </c>
      <c r="E214" s="110">
        <v>45111</v>
      </c>
    </row>
    <row r="215" spans="3:5" ht="20.25" customHeight="1">
      <c r="C215" s="91" t="s">
        <v>4734</v>
      </c>
      <c r="E215" s="104">
        <v>44961</v>
      </c>
    </row>
    <row r="216" spans="3:5" ht="20.25" customHeight="1">
      <c r="C216" s="91" t="s">
        <v>4735</v>
      </c>
      <c r="E216" s="104">
        <v>45097</v>
      </c>
    </row>
    <row r="217" spans="3:5" ht="20.25" customHeight="1">
      <c r="C217" s="91" t="s">
        <v>4736</v>
      </c>
      <c r="E217" s="107">
        <v>45148</v>
      </c>
    </row>
    <row r="218" spans="3:5" ht="20.25" customHeight="1">
      <c r="C218" s="91" t="s">
        <v>4737</v>
      </c>
      <c r="E218" s="110">
        <v>45111</v>
      </c>
    </row>
    <row r="219" spans="3:5" ht="20.25" customHeight="1">
      <c r="C219" s="91" t="s">
        <v>4738</v>
      </c>
      <c r="E219" s="111"/>
    </row>
    <row r="220" spans="3:5" ht="20.25" customHeight="1">
      <c r="C220" s="91" t="s">
        <v>4739</v>
      </c>
      <c r="E220" s="111"/>
    </row>
    <row r="221" spans="3:5" ht="20.25" customHeight="1">
      <c r="C221" s="91" t="s">
        <v>4740</v>
      </c>
      <c r="E221" s="111"/>
    </row>
    <row r="222" spans="3:5" ht="20.25" customHeight="1">
      <c r="C222" s="91" t="s">
        <v>4741</v>
      </c>
      <c r="E222" s="104">
        <v>45097</v>
      </c>
    </row>
    <row r="223" spans="3:5" ht="20.25" customHeight="1">
      <c r="C223" s="91" t="s">
        <v>4742</v>
      </c>
      <c r="E223" s="107">
        <v>45148</v>
      </c>
    </row>
    <row r="224" spans="3:5" ht="20.25" customHeight="1">
      <c r="C224" s="91" t="s">
        <v>4743</v>
      </c>
      <c r="E224" s="110">
        <v>45111</v>
      </c>
    </row>
    <row r="225" spans="3:5" ht="20.25" customHeight="1">
      <c r="C225" s="91" t="s">
        <v>4744</v>
      </c>
      <c r="E225" s="107">
        <v>45148</v>
      </c>
    </row>
    <row r="226" spans="3:5" ht="20.25" customHeight="1">
      <c r="C226" s="91" t="s">
        <v>4745</v>
      </c>
      <c r="E226" s="107">
        <v>45148</v>
      </c>
    </row>
    <row r="227" spans="3:5" ht="20.25" customHeight="1">
      <c r="C227" s="91" t="s">
        <v>4746</v>
      </c>
      <c r="E227" s="104">
        <v>45097</v>
      </c>
    </row>
    <row r="228" spans="3:5" ht="20.25" customHeight="1">
      <c r="C228" s="91" t="s">
        <v>4747</v>
      </c>
      <c r="E228" s="111"/>
    </row>
    <row r="229" spans="3:5" ht="20.25" customHeight="1">
      <c r="C229" s="91" t="s">
        <v>4748</v>
      </c>
      <c r="E229" s="110">
        <v>45111</v>
      </c>
    </row>
    <row r="230" spans="3:5" ht="20.25" customHeight="1">
      <c r="C230" s="91" t="s">
        <v>4749</v>
      </c>
      <c r="E230" s="110">
        <v>45111</v>
      </c>
    </row>
    <row r="231" spans="3:5" ht="20.25" customHeight="1">
      <c r="C231" s="91" t="s">
        <v>4750</v>
      </c>
      <c r="E231" s="104">
        <v>45097</v>
      </c>
    </row>
    <row r="232" spans="3:5" ht="20.25" customHeight="1">
      <c r="C232" s="91" t="s">
        <v>4751</v>
      </c>
      <c r="E232" s="110">
        <v>45111</v>
      </c>
    </row>
    <row r="233" spans="3:5" ht="20.25" customHeight="1">
      <c r="C233" s="91" t="s">
        <v>4752</v>
      </c>
      <c r="E233" s="110">
        <v>45111</v>
      </c>
    </row>
    <row r="234" spans="3:5" ht="20.25" customHeight="1">
      <c r="C234" s="91" t="s">
        <v>4753</v>
      </c>
      <c r="E234" s="104">
        <v>45097</v>
      </c>
    </row>
    <row r="235" spans="3:5" ht="20.25" customHeight="1">
      <c r="C235" s="91" t="s">
        <v>4754</v>
      </c>
      <c r="E235" s="104">
        <v>44992</v>
      </c>
    </row>
    <row r="236" spans="3:5" ht="20.25" customHeight="1">
      <c r="C236" s="91" t="s">
        <v>4755</v>
      </c>
      <c r="E236" s="127"/>
    </row>
    <row r="237" spans="3:5" ht="20.25" customHeight="1">
      <c r="C237" s="91" t="s">
        <v>4756</v>
      </c>
      <c r="E237" s="111"/>
    </row>
    <row r="238" spans="3:5" ht="20.25" customHeight="1">
      <c r="C238" s="91" t="s">
        <v>4757</v>
      </c>
      <c r="E238" s="110">
        <v>45111</v>
      </c>
    </row>
    <row r="239" spans="3:5" ht="20.25" customHeight="1">
      <c r="C239" s="91" t="s">
        <v>4758</v>
      </c>
      <c r="E239" s="111"/>
    </row>
    <row r="240" spans="3:5" ht="20.25" customHeight="1">
      <c r="C240" s="91" t="s">
        <v>4759</v>
      </c>
      <c r="E240" s="108"/>
    </row>
    <row r="241" spans="3:5" ht="20.25" customHeight="1">
      <c r="C241" s="91" t="s">
        <v>4760</v>
      </c>
      <c r="E241" s="111"/>
    </row>
    <row r="242" spans="3:5" ht="20.25" customHeight="1">
      <c r="C242" s="91" t="s">
        <v>4761</v>
      </c>
      <c r="E242" s="111"/>
    </row>
    <row r="243" spans="3:5" ht="20.25" customHeight="1">
      <c r="C243" s="91" t="s">
        <v>4762</v>
      </c>
      <c r="E243" s="107">
        <v>45105</v>
      </c>
    </row>
    <row r="244" spans="3:5" ht="20.25" customHeight="1">
      <c r="C244" s="91" t="s">
        <v>4763</v>
      </c>
      <c r="E244" s="104">
        <v>44992</v>
      </c>
    </row>
    <row r="245" spans="3:5" ht="20.25" customHeight="1">
      <c r="C245" s="91" t="s">
        <v>4764</v>
      </c>
      <c r="E245" s="107">
        <v>45148</v>
      </c>
    </row>
    <row r="246" spans="3:5" ht="20.25" customHeight="1">
      <c r="C246" s="91" t="s">
        <v>4765</v>
      </c>
      <c r="E246" s="103"/>
    </row>
    <row r="247" spans="3:5" ht="20.25" customHeight="1">
      <c r="C247" s="91" t="s">
        <v>4766</v>
      </c>
      <c r="E247" s="127"/>
    </row>
    <row r="248" spans="3:5" ht="20.25" customHeight="1">
      <c r="C248" s="91" t="s">
        <v>4767</v>
      </c>
      <c r="E248" s="127"/>
    </row>
    <row r="249" spans="3:5" ht="20.25" customHeight="1">
      <c r="C249" s="91" t="s">
        <v>4768</v>
      </c>
      <c r="E249" s="104">
        <v>45097</v>
      </c>
    </row>
    <row r="250" spans="3:5" ht="20.25" customHeight="1">
      <c r="C250" s="91" t="s">
        <v>4769</v>
      </c>
      <c r="E250" s="107">
        <v>45105</v>
      </c>
    </row>
    <row r="251" spans="3:5" ht="20.25" customHeight="1">
      <c r="C251" s="91" t="s">
        <v>4770</v>
      </c>
      <c r="E251" s="104">
        <v>45097</v>
      </c>
    </row>
    <row r="252" spans="3:5" ht="20.25" customHeight="1">
      <c r="C252" s="91" t="s">
        <v>4771</v>
      </c>
      <c r="E252" s="104">
        <v>44992</v>
      </c>
    </row>
    <row r="253" spans="3:5" ht="20.25" customHeight="1">
      <c r="C253" s="91" t="s">
        <v>4772</v>
      </c>
      <c r="E253" s="111"/>
    </row>
    <row r="254" spans="3:5" ht="20.25" customHeight="1">
      <c r="C254" s="91" t="s">
        <v>4773</v>
      </c>
      <c r="E254" s="111"/>
    </row>
    <row r="255" spans="3:5" ht="20.25" customHeight="1">
      <c r="C255" s="91" t="s">
        <v>4774</v>
      </c>
      <c r="E255" s="111"/>
    </row>
    <row r="256" spans="3:5" ht="20.25" customHeight="1">
      <c r="C256" s="91" t="s">
        <v>4775</v>
      </c>
      <c r="E256" s="107">
        <v>45105</v>
      </c>
    </row>
    <row r="257" spans="3:5" ht="20.25" customHeight="1">
      <c r="C257" s="91" t="s">
        <v>4776</v>
      </c>
      <c r="E257" s="107">
        <v>45105</v>
      </c>
    </row>
    <row r="258" spans="3:5" ht="20.25" customHeight="1">
      <c r="C258" s="91" t="s">
        <v>4777</v>
      </c>
      <c r="E258" s="107">
        <v>45148</v>
      </c>
    </row>
    <row r="259" spans="3:5" ht="20.25" customHeight="1">
      <c r="C259" s="91" t="s">
        <v>4778</v>
      </c>
      <c r="E259" s="107">
        <v>45148</v>
      </c>
    </row>
    <row r="260" spans="3:5" ht="20.25" customHeight="1">
      <c r="C260" s="91" t="s">
        <v>4779</v>
      </c>
      <c r="E260" s="107">
        <v>45148</v>
      </c>
    </row>
    <row r="261" spans="3:5" ht="20.25" customHeight="1">
      <c r="C261" s="91" t="s">
        <v>4780</v>
      </c>
      <c r="E261" s="127"/>
    </row>
    <row r="262" spans="3:5" ht="20.25" customHeight="1">
      <c r="C262" s="91" t="s">
        <v>4781</v>
      </c>
      <c r="E262" s="111"/>
    </row>
    <row r="263" spans="3:5" ht="20.25" customHeight="1">
      <c r="C263" s="91" t="s">
        <v>4782</v>
      </c>
      <c r="E263" s="111"/>
    </row>
    <row r="264" spans="3:5" ht="20.25" customHeight="1">
      <c r="C264" s="91" t="s">
        <v>4783</v>
      </c>
      <c r="E264" s="111"/>
    </row>
    <row r="265" spans="3:5" ht="20.25" customHeight="1">
      <c r="C265" s="91" t="s">
        <v>4784</v>
      </c>
      <c r="E265" s="111"/>
    </row>
    <row r="266" spans="3:5" ht="20.25" customHeight="1">
      <c r="C266" s="91" t="s">
        <v>4785</v>
      </c>
      <c r="E266" s="111"/>
    </row>
    <row r="267" spans="3:5" ht="20.25" customHeight="1">
      <c r="C267" s="91" t="s">
        <v>4786</v>
      </c>
      <c r="E267" s="111"/>
    </row>
    <row r="268" spans="3:5" ht="20.25" customHeight="1">
      <c r="C268" s="91" t="s">
        <v>4787</v>
      </c>
      <c r="E268" s="111"/>
    </row>
    <row r="269" spans="3:5" ht="20.25" customHeight="1">
      <c r="C269" s="91" t="s">
        <v>4788</v>
      </c>
      <c r="E269" s="103" t="s">
        <v>4355</v>
      </c>
    </row>
    <row r="270" spans="3:5" ht="20.25" customHeight="1">
      <c r="C270" s="91" t="s">
        <v>4789</v>
      </c>
      <c r="E270" s="111"/>
    </row>
    <row r="271" spans="3:5" ht="20.25" customHeight="1">
      <c r="C271" s="90" t="s">
        <v>4790</v>
      </c>
      <c r="E271" s="110">
        <v>45111</v>
      </c>
    </row>
    <row r="272" spans="3:5" ht="20.25" customHeight="1">
      <c r="C272" s="91" t="s">
        <v>4791</v>
      </c>
      <c r="E272" s="110">
        <v>45111</v>
      </c>
    </row>
    <row r="273" spans="3:5" ht="20.25" customHeight="1">
      <c r="C273" s="91" t="s">
        <v>4792</v>
      </c>
      <c r="E273" s="110">
        <v>45111</v>
      </c>
    </row>
    <row r="274" spans="3:5" ht="20.25" customHeight="1">
      <c r="C274" s="91" t="s">
        <v>4793</v>
      </c>
      <c r="E274" s="111"/>
    </row>
    <row r="275" spans="3:5" ht="20.25" customHeight="1">
      <c r="C275" s="91" t="s">
        <v>4794</v>
      </c>
      <c r="E275" s="104">
        <v>45097</v>
      </c>
    </row>
    <row r="276" spans="3:5" ht="20.25" customHeight="1">
      <c r="C276" s="91" t="s">
        <v>4795</v>
      </c>
      <c r="E276" s="111"/>
    </row>
    <row r="277" spans="3:5" ht="20.25" customHeight="1">
      <c r="C277" s="91" t="s">
        <v>4796</v>
      </c>
      <c r="E277" s="111"/>
    </row>
    <row r="278" spans="3:5" ht="20.25" customHeight="1">
      <c r="C278" s="91" t="s">
        <v>4797</v>
      </c>
      <c r="E278" s="111"/>
    </row>
    <row r="279" spans="3:5" ht="20.25" customHeight="1">
      <c r="C279" s="91" t="s">
        <v>4798</v>
      </c>
      <c r="E279" s="110">
        <v>45111</v>
      </c>
    </row>
    <row r="280" spans="3:5" ht="20.25" customHeight="1">
      <c r="C280" s="91" t="s">
        <v>4799</v>
      </c>
      <c r="E280" s="110">
        <v>45111</v>
      </c>
    </row>
    <row r="281" spans="3:5" ht="20.25" customHeight="1">
      <c r="C281" s="91" t="s">
        <v>4800</v>
      </c>
      <c r="E281" s="108"/>
    </row>
    <row r="282" spans="3:5" ht="20.25" customHeight="1">
      <c r="C282" s="91" t="s">
        <v>4801</v>
      </c>
      <c r="E282" s="107" t="s">
        <v>4355</v>
      </c>
    </row>
    <row r="283" spans="3:5" ht="20.25" customHeight="1">
      <c r="C283" s="91" t="s">
        <v>4802</v>
      </c>
      <c r="E283" s="111"/>
    </row>
    <row r="284" spans="3:5" ht="20.25" customHeight="1">
      <c r="C284" s="91" t="s">
        <v>4803</v>
      </c>
      <c r="E284" s="110">
        <v>45111</v>
      </c>
    </row>
    <row r="285" spans="3:5" ht="20.25" customHeight="1">
      <c r="C285" s="91" t="s">
        <v>4804</v>
      </c>
      <c r="E285" s="111"/>
    </row>
    <row r="286" spans="3:5" ht="20.25" customHeight="1">
      <c r="C286" s="91" t="s">
        <v>4805</v>
      </c>
      <c r="E286" s="110">
        <v>45111</v>
      </c>
    </row>
    <row r="287" spans="3:5" ht="20.25" customHeight="1">
      <c r="C287" s="91" t="s">
        <v>4806</v>
      </c>
      <c r="E287" s="111"/>
    </row>
    <row r="288" spans="3:5" ht="20.25" customHeight="1">
      <c r="C288" s="91" t="s">
        <v>4807</v>
      </c>
      <c r="E288" s="111"/>
    </row>
    <row r="289" spans="3:5" ht="20.25" customHeight="1">
      <c r="C289" s="91" t="s">
        <v>4808</v>
      </c>
      <c r="E289" s="107" t="s">
        <v>4355</v>
      </c>
    </row>
    <row r="290" spans="3:5" ht="20.25" customHeight="1">
      <c r="C290" s="91" t="s">
        <v>4809</v>
      </c>
      <c r="E290" s="107" t="s">
        <v>4355</v>
      </c>
    </row>
    <row r="291" spans="3:5" ht="20.25" customHeight="1">
      <c r="C291" s="91" t="s">
        <v>4810</v>
      </c>
      <c r="E291" s="107">
        <v>45105</v>
      </c>
    </row>
    <row r="292" spans="3:5" ht="20.25" customHeight="1">
      <c r="C292" s="91" t="s">
        <v>4811</v>
      </c>
      <c r="E292" s="111"/>
    </row>
    <row r="293" spans="3:5" ht="20.25" customHeight="1">
      <c r="C293" s="91" t="s">
        <v>4812</v>
      </c>
      <c r="E293" s="111"/>
    </row>
    <row r="294" spans="3:5" ht="20.25" customHeight="1">
      <c r="C294" s="91" t="s">
        <v>4813</v>
      </c>
      <c r="E294" s="108"/>
    </row>
    <row r="295" spans="3:5" ht="20.25" customHeight="1">
      <c r="C295" s="91" t="s">
        <v>4814</v>
      </c>
      <c r="E295" s="111"/>
    </row>
    <row r="296" spans="3:5" ht="20.25" customHeight="1">
      <c r="C296" s="91" t="s">
        <v>4815</v>
      </c>
      <c r="E296" s="104">
        <v>44961</v>
      </c>
    </row>
    <row r="297" spans="3:5" ht="20.25" customHeight="1">
      <c r="C297" s="91" t="s">
        <v>4816</v>
      </c>
      <c r="E297" s="111"/>
    </row>
    <row r="298" spans="3:5" ht="20.25" customHeight="1">
      <c r="C298" s="91" t="s">
        <v>4817</v>
      </c>
      <c r="E298" s="111"/>
    </row>
    <row r="299" spans="3:5" ht="20.25" customHeight="1">
      <c r="C299" s="91" t="s">
        <v>4818</v>
      </c>
      <c r="E299" s="111"/>
    </row>
    <row r="300" spans="3:5" ht="20.25" customHeight="1">
      <c r="C300" s="91" t="s">
        <v>4819</v>
      </c>
      <c r="E300" s="107">
        <v>45148</v>
      </c>
    </row>
    <row r="301" spans="3:5" ht="20.25" customHeight="1">
      <c r="C301" s="97" t="s">
        <v>4820</v>
      </c>
      <c r="E301" s="111"/>
    </row>
    <row r="302" spans="3:5" ht="20.25" customHeight="1">
      <c r="C302" s="97" t="s">
        <v>4821</v>
      </c>
      <c r="E302" s="104">
        <v>45097</v>
      </c>
    </row>
    <row r="303" spans="3:5" ht="20.25" customHeight="1">
      <c r="C303" s="91" t="s">
        <v>4822</v>
      </c>
      <c r="E303" s="107">
        <v>45105</v>
      </c>
    </row>
    <row r="304" spans="3:5" ht="20.25" customHeight="1">
      <c r="C304" s="91" t="s">
        <v>4823</v>
      </c>
      <c r="E304" s="111"/>
    </row>
    <row r="305" spans="3:5" ht="20.25" customHeight="1">
      <c r="C305" s="91" t="s">
        <v>4824</v>
      </c>
      <c r="E305" s="111"/>
    </row>
    <row r="306" spans="3:5" ht="20.25" customHeight="1">
      <c r="C306" s="91" t="s">
        <v>4825</v>
      </c>
      <c r="E306" s="111"/>
    </row>
    <row r="307" spans="3:5" ht="20.25" customHeight="1">
      <c r="C307" s="91" t="s">
        <v>4826</v>
      </c>
      <c r="E307" s="104">
        <v>45097</v>
      </c>
    </row>
    <row r="308" spans="3:5" ht="20.25" customHeight="1">
      <c r="C308" s="91" t="s">
        <v>4827</v>
      </c>
      <c r="E308" s="111"/>
    </row>
    <row r="309" spans="3:5" ht="20.25" customHeight="1">
      <c r="C309" s="91" t="s">
        <v>4828</v>
      </c>
      <c r="E309" s="111"/>
    </row>
    <row r="310" spans="3:5" ht="20.25" customHeight="1">
      <c r="C310" s="91" t="s">
        <v>4829</v>
      </c>
      <c r="E310" s="111"/>
    </row>
    <row r="311" spans="3:5" ht="20.25" customHeight="1">
      <c r="C311" s="91" t="s">
        <v>4830</v>
      </c>
      <c r="E311" s="111"/>
    </row>
    <row r="312" spans="3:5" ht="20.25" customHeight="1">
      <c r="C312" s="97" t="s">
        <v>4831</v>
      </c>
      <c r="E312" s="111"/>
    </row>
    <row r="313" spans="3:5" ht="20.25" customHeight="1">
      <c r="C313" s="91" t="s">
        <v>4832</v>
      </c>
      <c r="E313" s="111"/>
    </row>
    <row r="314" spans="3:5" ht="20.25" customHeight="1">
      <c r="C314" s="91" t="s">
        <v>4833</v>
      </c>
      <c r="E314" s="111"/>
    </row>
    <row r="315" spans="3:5" ht="20.25" customHeight="1">
      <c r="C315" s="97" t="s">
        <v>4834</v>
      </c>
      <c r="E315" s="111"/>
    </row>
    <row r="316" spans="3:5" ht="20.25" customHeight="1">
      <c r="C316" s="91" t="s">
        <v>4835</v>
      </c>
      <c r="E316" s="111"/>
    </row>
    <row r="317" spans="3:5" ht="20.25" customHeight="1">
      <c r="C317" s="91" t="s">
        <v>4836</v>
      </c>
      <c r="E317" s="111"/>
    </row>
    <row r="318" spans="3:5" ht="20.25" customHeight="1">
      <c r="C318" s="91" t="s">
        <v>4837</v>
      </c>
      <c r="E318" s="110">
        <v>45111</v>
      </c>
    </row>
    <row r="319" spans="3:5" ht="20.25" customHeight="1">
      <c r="C319" s="91" t="s">
        <v>4838</v>
      </c>
      <c r="E319" s="111"/>
    </row>
    <row r="320" spans="3:5" ht="20.25" customHeight="1">
      <c r="C320" s="91" t="s">
        <v>4839</v>
      </c>
      <c r="E320" s="103" t="s">
        <v>4355</v>
      </c>
    </row>
    <row r="321" spans="3:5" ht="20.25" customHeight="1">
      <c r="C321" s="91" t="s">
        <v>4840</v>
      </c>
      <c r="E321" s="111"/>
    </row>
    <row r="322" spans="3:5" ht="20.25" customHeight="1">
      <c r="C322" s="91" t="s">
        <v>4841</v>
      </c>
      <c r="E322" s="111"/>
    </row>
    <row r="323" spans="3:5" ht="20.25" customHeight="1">
      <c r="C323" s="91" t="s">
        <v>4842</v>
      </c>
      <c r="E323" s="111"/>
    </row>
    <row r="324" spans="3:5" ht="20.25" customHeight="1">
      <c r="C324" s="91" t="s">
        <v>4843</v>
      </c>
      <c r="E324" s="111"/>
    </row>
    <row r="325" spans="3:5" ht="20.25" customHeight="1">
      <c r="C325" s="91" t="s">
        <v>4844</v>
      </c>
      <c r="E325" s="111"/>
    </row>
    <row r="326" spans="3:5" ht="20.25" customHeight="1">
      <c r="C326" s="91" t="s">
        <v>4845</v>
      </c>
      <c r="E326" s="111"/>
    </row>
    <row r="327" spans="3:5" ht="20.25" customHeight="1">
      <c r="C327" s="91" t="s">
        <v>4846</v>
      </c>
      <c r="E327" s="111"/>
    </row>
    <row r="328" spans="3:5" ht="20.25" customHeight="1">
      <c r="C328" s="97" t="s">
        <v>4847</v>
      </c>
      <c r="E328" s="111"/>
    </row>
    <row r="329" spans="3:5" ht="20.25" customHeight="1">
      <c r="C329" s="91" t="s">
        <v>4848</v>
      </c>
      <c r="E329" s="111"/>
    </row>
    <row r="330" spans="3:5" ht="20.25" customHeight="1">
      <c r="C330" s="91" t="s">
        <v>4849</v>
      </c>
      <c r="E330" s="111"/>
    </row>
    <row r="331" spans="3:5" ht="20.25" customHeight="1">
      <c r="C331" s="91" t="s">
        <v>4850</v>
      </c>
      <c r="E331" s="111"/>
    </row>
    <row r="332" spans="3:5" ht="20.25" customHeight="1">
      <c r="C332" s="91" t="s">
        <v>4851</v>
      </c>
      <c r="E332" s="111"/>
    </row>
    <row r="333" spans="3:5" ht="20.25" customHeight="1">
      <c r="C333" s="91" t="s">
        <v>4852</v>
      </c>
      <c r="E333" s="111"/>
    </row>
    <row r="334" spans="3:5" ht="20.25" customHeight="1">
      <c r="C334" s="91" t="s">
        <v>4853</v>
      </c>
      <c r="E334" s="111"/>
    </row>
    <row r="335" spans="3:5" ht="20.25" customHeight="1">
      <c r="C335" s="97" t="s">
        <v>4854</v>
      </c>
      <c r="E335" s="111"/>
    </row>
    <row r="336" spans="3:5" ht="20.25" customHeight="1">
      <c r="C336" s="97" t="s">
        <v>4855</v>
      </c>
      <c r="E336" s="111"/>
    </row>
    <row r="337" spans="3:5" ht="20.25" customHeight="1">
      <c r="C337" s="91" t="s">
        <v>4856</v>
      </c>
      <c r="E337" s="111"/>
    </row>
    <row r="338" spans="3:5" ht="20.25" customHeight="1">
      <c r="C338" s="91" t="s">
        <v>4857</v>
      </c>
      <c r="E338" s="111"/>
    </row>
    <row r="339" spans="3:5" ht="20.25" customHeight="1">
      <c r="C339" s="91" t="s">
        <v>4858</v>
      </c>
      <c r="E339" s="111"/>
    </row>
    <row r="340" spans="3:5" ht="20.25" customHeight="1">
      <c r="C340" s="91" t="s">
        <v>4859</v>
      </c>
      <c r="E340" s="111"/>
    </row>
    <row r="341" spans="3:5" ht="20.25" customHeight="1">
      <c r="C341" s="91" t="s">
        <v>4860</v>
      </c>
      <c r="E341" s="111"/>
    </row>
    <row r="342" spans="3:5" ht="20.25" customHeight="1">
      <c r="C342" s="91" t="s">
        <v>4861</v>
      </c>
      <c r="E342" s="111"/>
    </row>
    <row r="343" spans="3:5" ht="20.25" customHeight="1">
      <c r="C343" s="91" t="s">
        <v>4862</v>
      </c>
      <c r="E343" s="111"/>
    </row>
    <row r="344" spans="3:5" ht="20.25" customHeight="1">
      <c r="C344" s="91" t="s">
        <v>4863</v>
      </c>
      <c r="E344" s="111"/>
    </row>
    <row r="345" spans="3:5" ht="20.25" customHeight="1">
      <c r="C345" s="97" t="s">
        <v>4864</v>
      </c>
      <c r="E345" s="111"/>
    </row>
    <row r="346" spans="3:5" ht="20.25" customHeight="1">
      <c r="C346" s="97" t="s">
        <v>4865</v>
      </c>
      <c r="E346" s="111"/>
    </row>
    <row r="347" spans="3:5" ht="20.25" customHeight="1">
      <c r="C347" s="91" t="s">
        <v>4866</v>
      </c>
      <c r="E347" s="111"/>
    </row>
    <row r="348" spans="3:5" ht="20.25" customHeight="1">
      <c r="C348" s="91" t="s">
        <v>4867</v>
      </c>
      <c r="E348" s="107">
        <v>45148</v>
      </c>
    </row>
    <row r="349" spans="3:5" ht="20.25" customHeight="1">
      <c r="C349" s="97" t="s">
        <v>4868</v>
      </c>
      <c r="E349" s="112"/>
    </row>
    <row r="350" spans="3:5" ht="20.25" customHeight="1">
      <c r="C350" s="91" t="s">
        <v>4869</v>
      </c>
      <c r="E350" s="106"/>
    </row>
    <row r="351" spans="3:5" ht="20.25" customHeight="1">
      <c r="C351" s="91" t="s">
        <v>4870</v>
      </c>
      <c r="E351" s="127"/>
    </row>
    <row r="352" spans="3:5" ht="20.25" customHeight="1">
      <c r="C352" s="91" t="s">
        <v>4871</v>
      </c>
      <c r="E352" s="104">
        <v>44961</v>
      </c>
    </row>
    <row r="353" spans="3:5" ht="20.25" customHeight="1">
      <c r="C353" s="91" t="s">
        <v>4872</v>
      </c>
      <c r="E353" s="104">
        <v>44992</v>
      </c>
    </row>
    <row r="354" spans="3:5" ht="20.25" customHeight="1">
      <c r="C354" s="91" t="s">
        <v>4873</v>
      </c>
      <c r="E354" s="107">
        <v>45105</v>
      </c>
    </row>
    <row r="355" spans="3:5" ht="20.25" customHeight="1">
      <c r="C355" s="91" t="s">
        <v>4874</v>
      </c>
      <c r="E355" s="104">
        <v>44961</v>
      </c>
    </row>
    <row r="356" spans="3:5" ht="20.25" customHeight="1">
      <c r="C356" s="91" t="s">
        <v>4875</v>
      </c>
      <c r="E356" s="104">
        <v>44961</v>
      </c>
    </row>
    <row r="357" spans="3:5" ht="20.25" customHeight="1">
      <c r="C357" s="91" t="s">
        <v>4876</v>
      </c>
      <c r="E357" s="111"/>
    </row>
    <row r="358" spans="3:5" ht="20.25" customHeight="1">
      <c r="C358" s="91" t="s">
        <v>4877</v>
      </c>
      <c r="E358" s="104">
        <v>44992</v>
      </c>
    </row>
    <row r="359" spans="3:5" ht="20.25" customHeight="1">
      <c r="C359" s="91" t="s">
        <v>4878</v>
      </c>
      <c r="E359" s="104">
        <v>44961</v>
      </c>
    </row>
    <row r="360" spans="3:5" ht="20.25" customHeight="1">
      <c r="C360" s="91" t="s">
        <v>4879</v>
      </c>
      <c r="E360" s="104">
        <v>44961</v>
      </c>
    </row>
    <row r="361" spans="3:5" ht="20.25" customHeight="1">
      <c r="C361" s="91" t="s">
        <v>4880</v>
      </c>
      <c r="E361" s="104">
        <v>44961</v>
      </c>
    </row>
    <row r="362" spans="3:5" ht="20.25" customHeight="1">
      <c r="C362" s="91" t="s">
        <v>4546</v>
      </c>
      <c r="E362" s="104">
        <v>44961</v>
      </c>
    </row>
    <row r="363" spans="3:5" ht="20.25" customHeight="1">
      <c r="C363" s="91" t="s">
        <v>4548</v>
      </c>
      <c r="E363" s="111"/>
    </row>
    <row r="364" spans="3:5" ht="20.25" customHeight="1">
      <c r="C364" s="91" t="s">
        <v>4550</v>
      </c>
      <c r="E364" s="104">
        <v>44961</v>
      </c>
    </row>
    <row r="365" spans="3:5" ht="20.25" customHeight="1">
      <c r="C365" s="91" t="s">
        <v>4881</v>
      </c>
      <c r="E365" s="111"/>
    </row>
    <row r="366" spans="3:5" ht="20.25" customHeight="1">
      <c r="C366" s="91" t="s">
        <v>4882</v>
      </c>
      <c r="E366" s="111"/>
    </row>
    <row r="367" spans="3:5" ht="20.25" customHeight="1">
      <c r="C367" s="91" t="s">
        <v>4883</v>
      </c>
      <c r="E367" s="107">
        <v>45106</v>
      </c>
    </row>
    <row r="368" spans="3:5" ht="20.25" customHeight="1">
      <c r="C368" s="91" t="s">
        <v>4884</v>
      </c>
      <c r="E368" s="111"/>
    </row>
    <row r="369" spans="3:5" ht="20.25" customHeight="1">
      <c r="C369" s="91" t="s">
        <v>4885</v>
      </c>
      <c r="E369" s="107">
        <v>45105</v>
      </c>
    </row>
    <row r="370" spans="3:5" ht="20.25" customHeight="1">
      <c r="C370" s="91" t="s">
        <v>4886</v>
      </c>
      <c r="E370" s="107">
        <v>45148</v>
      </c>
    </row>
    <row r="371" spans="3:5" ht="20.25" customHeight="1">
      <c r="C371" s="91" t="s">
        <v>4887</v>
      </c>
      <c r="E371" s="111"/>
    </row>
    <row r="372" spans="3:5" ht="20.25" customHeight="1">
      <c r="C372" s="91" t="s">
        <v>4888</v>
      </c>
      <c r="E372" s="111"/>
    </row>
    <row r="373" spans="3:5" ht="20.25" customHeight="1">
      <c r="C373" s="91" t="s">
        <v>4889</v>
      </c>
      <c r="E373" s="107">
        <v>45105</v>
      </c>
    </row>
    <row r="374" spans="3:5" ht="20.25" customHeight="1">
      <c r="C374" s="91" t="s">
        <v>4890</v>
      </c>
      <c r="E374" s="103" t="s">
        <v>4355</v>
      </c>
    </row>
    <row r="375" spans="3:5" ht="20.25" customHeight="1">
      <c r="C375" s="91" t="s">
        <v>4891</v>
      </c>
      <c r="E375" s="107">
        <v>45148</v>
      </c>
    </row>
    <row r="376" spans="3:5" ht="20.25" customHeight="1">
      <c r="C376" s="91" t="s">
        <v>4892</v>
      </c>
      <c r="E376" s="111"/>
    </row>
    <row r="377" spans="3:5" ht="20.25" customHeight="1">
      <c r="C377" s="97" t="s">
        <v>4552</v>
      </c>
      <c r="E377" s="127"/>
    </row>
    <row r="378" spans="3:5" ht="20.25" customHeight="1">
      <c r="C378" s="91" t="s">
        <v>4554</v>
      </c>
      <c r="E378" s="107">
        <v>45148</v>
      </c>
    </row>
    <row r="379" spans="3:5" ht="20.25" customHeight="1">
      <c r="C379" s="91" t="s">
        <v>4893</v>
      </c>
      <c r="E379" s="107">
        <v>45148</v>
      </c>
    </row>
    <row r="380" spans="3:5" ht="20.25" customHeight="1">
      <c r="C380" s="91" t="s">
        <v>4894</v>
      </c>
      <c r="E380" s="107">
        <v>45148</v>
      </c>
    </row>
    <row r="381" spans="3:5" ht="20.25" customHeight="1">
      <c r="C381" s="91" t="s">
        <v>4895</v>
      </c>
      <c r="E381" s="108"/>
    </row>
    <row r="382" spans="3:5" ht="20.25" customHeight="1">
      <c r="C382" s="91" t="s">
        <v>4896</v>
      </c>
      <c r="E382" s="107">
        <v>45148</v>
      </c>
    </row>
    <row r="383" spans="3:5" ht="20.25" customHeight="1">
      <c r="C383" s="91" t="s">
        <v>4897</v>
      </c>
      <c r="E383" s="107">
        <v>45148</v>
      </c>
    </row>
    <row r="384" spans="3:5" ht="20.25" customHeight="1">
      <c r="C384" s="91" t="s">
        <v>4898</v>
      </c>
      <c r="E384" s="107">
        <v>45148</v>
      </c>
    </row>
    <row r="385" spans="3:5" ht="20.25" customHeight="1">
      <c r="C385" s="91" t="s">
        <v>4899</v>
      </c>
      <c r="E385" s="107">
        <v>45105</v>
      </c>
    </row>
    <row r="386" spans="3:5" ht="20.25" customHeight="1">
      <c r="C386" s="91" t="s">
        <v>4900</v>
      </c>
      <c r="E386" s="104">
        <v>44961</v>
      </c>
    </row>
    <row r="387" spans="3:5" ht="20.25" customHeight="1">
      <c r="C387" s="91" t="s">
        <v>4901</v>
      </c>
      <c r="E387" s="104">
        <v>44961</v>
      </c>
    </row>
    <row r="388" spans="3:5" ht="20.25" customHeight="1">
      <c r="C388" s="91" t="s">
        <v>4902</v>
      </c>
      <c r="E388" s="104">
        <v>44992</v>
      </c>
    </row>
    <row r="389" spans="3:5" ht="20.25" customHeight="1">
      <c r="C389" s="91" t="s">
        <v>4903</v>
      </c>
      <c r="E389" s="104">
        <v>44992</v>
      </c>
    </row>
    <row r="390" spans="3:5" ht="20.25" customHeight="1">
      <c r="C390" s="91" t="s">
        <v>4904</v>
      </c>
      <c r="E390" s="111"/>
    </row>
    <row r="391" spans="3:5" ht="20.25" customHeight="1">
      <c r="C391" s="91" t="s">
        <v>4905</v>
      </c>
      <c r="E391" s="111"/>
    </row>
    <row r="392" spans="3:5" ht="20.25" customHeight="1">
      <c r="C392" s="97" t="s">
        <v>4906</v>
      </c>
      <c r="E392" s="111"/>
    </row>
    <row r="393" spans="3:5" ht="20.25" customHeight="1">
      <c r="C393" s="97" t="s">
        <v>4907</v>
      </c>
      <c r="E393" s="107">
        <v>45105</v>
      </c>
    </row>
    <row r="394" spans="3:5" ht="20.25" customHeight="1">
      <c r="C394" s="91" t="s">
        <v>4908</v>
      </c>
      <c r="E394" s="104">
        <v>44961</v>
      </c>
    </row>
    <row r="395" spans="3:5" ht="20.25" customHeight="1">
      <c r="C395" s="91" t="s">
        <v>4909</v>
      </c>
      <c r="E395" s="104">
        <v>44961</v>
      </c>
    </row>
    <row r="396" spans="3:5" ht="20.25" customHeight="1">
      <c r="C396" s="91" t="s">
        <v>4910</v>
      </c>
      <c r="E396" s="107">
        <v>45105</v>
      </c>
    </row>
    <row r="397" spans="3:5" ht="20.25" customHeight="1">
      <c r="C397" s="91" t="s">
        <v>4911</v>
      </c>
      <c r="E397" s="104">
        <v>44961</v>
      </c>
    </row>
    <row r="398" spans="3:5" ht="20.25" customHeight="1">
      <c r="C398" s="91" t="s">
        <v>4912</v>
      </c>
      <c r="E398" s="107">
        <v>45105</v>
      </c>
    </row>
    <row r="399" spans="3:5" ht="20.25" customHeight="1">
      <c r="C399" s="91" t="s">
        <v>4913</v>
      </c>
      <c r="E399" s="104">
        <v>44961</v>
      </c>
    </row>
    <row r="400" spans="3:5" ht="20.25" customHeight="1">
      <c r="C400" s="91" t="s">
        <v>4914</v>
      </c>
      <c r="E400" s="111"/>
    </row>
    <row r="401" spans="3:5" ht="20.25" customHeight="1">
      <c r="C401" s="91" t="s">
        <v>4915</v>
      </c>
      <c r="E401" s="111"/>
    </row>
    <row r="402" spans="3:5" ht="20.25" customHeight="1">
      <c r="C402" s="91" t="s">
        <v>4556</v>
      </c>
      <c r="E402" s="104">
        <v>44992</v>
      </c>
    </row>
    <row r="403" spans="3:5" ht="20.25" customHeight="1">
      <c r="C403" s="91" t="s">
        <v>4916</v>
      </c>
      <c r="E403" s="111"/>
    </row>
    <row r="404" spans="3:5" ht="20.25" customHeight="1">
      <c r="C404" s="91" t="s">
        <v>4917</v>
      </c>
      <c r="E404" s="111"/>
    </row>
    <row r="405" spans="3:5" ht="20.25" customHeight="1">
      <c r="C405" s="91" t="s">
        <v>4918</v>
      </c>
      <c r="E405" s="107">
        <v>45148</v>
      </c>
    </row>
    <row r="406" spans="3:5" ht="20.25" customHeight="1">
      <c r="C406" s="91" t="s">
        <v>4919</v>
      </c>
      <c r="E406" s="104">
        <v>44889</v>
      </c>
    </row>
    <row r="407" spans="3:5" ht="20.25" customHeight="1">
      <c r="C407" s="91" t="s">
        <v>4920</v>
      </c>
      <c r="E407" s="104">
        <v>44889</v>
      </c>
    </row>
    <row r="408" spans="3:5" ht="20.25" customHeight="1">
      <c r="C408" s="91" t="s">
        <v>4921</v>
      </c>
      <c r="E408" s="104">
        <v>44992</v>
      </c>
    </row>
    <row r="409" spans="3:5" ht="20.25" customHeight="1">
      <c r="C409" s="91" t="s">
        <v>4922</v>
      </c>
      <c r="E409" s="110">
        <v>45111</v>
      </c>
    </row>
    <row r="410" spans="3:5" ht="20.25" customHeight="1">
      <c r="C410" s="91" t="s">
        <v>4923</v>
      </c>
      <c r="E410" s="103" t="s">
        <v>4355</v>
      </c>
    </row>
    <row r="411" spans="3:5" ht="20.25" customHeight="1">
      <c r="C411" s="91" t="s">
        <v>4924</v>
      </c>
      <c r="E411" s="103" t="s">
        <v>4355</v>
      </c>
    </row>
    <row r="412" spans="3:5" ht="20.25" customHeight="1">
      <c r="C412" s="91" t="s">
        <v>4925</v>
      </c>
      <c r="E412" s="103" t="s">
        <v>4355</v>
      </c>
    </row>
    <row r="413" spans="3:5" ht="20.25" customHeight="1">
      <c r="C413" s="91" t="s">
        <v>4926</v>
      </c>
      <c r="E413" s="111"/>
    </row>
    <row r="414" spans="3:5" ht="20.25" customHeight="1">
      <c r="C414" s="91" t="s">
        <v>4927</v>
      </c>
      <c r="E414" s="111"/>
    </row>
    <row r="415" spans="3:5" ht="20.25" customHeight="1">
      <c r="C415" s="91" t="s">
        <v>4928</v>
      </c>
      <c r="E415" s="111"/>
    </row>
    <row r="416" spans="3:5" ht="20.25" customHeight="1">
      <c r="C416" s="91" t="s">
        <v>4929</v>
      </c>
      <c r="E416" s="111"/>
    </row>
    <row r="417" spans="3:5" ht="20.25" customHeight="1">
      <c r="C417" s="91" t="s">
        <v>4930</v>
      </c>
      <c r="E417" s="104">
        <v>44816</v>
      </c>
    </row>
    <row r="418" spans="3:5" ht="20.25" customHeight="1">
      <c r="C418" s="91" t="s">
        <v>4931</v>
      </c>
      <c r="E418" s="104">
        <v>44910</v>
      </c>
    </row>
    <row r="419" spans="3:5" ht="20.25" customHeight="1">
      <c r="C419" s="91" t="s">
        <v>4932</v>
      </c>
      <c r="E419" s="104">
        <v>44816</v>
      </c>
    </row>
    <row r="420" spans="3:5" ht="20.25" customHeight="1">
      <c r="C420" s="91" t="s">
        <v>4933</v>
      </c>
      <c r="E420" s="103" t="s">
        <v>4355</v>
      </c>
    </row>
    <row r="421" spans="3:5" ht="20.25" customHeight="1">
      <c r="C421" s="91" t="s">
        <v>4934</v>
      </c>
      <c r="E421" s="104">
        <v>44923</v>
      </c>
    </row>
    <row r="422" spans="3:5" ht="20.25" customHeight="1">
      <c r="C422" s="91" t="s">
        <v>4935</v>
      </c>
      <c r="E422" s="103"/>
    </row>
    <row r="423" spans="3:5" ht="20.25" customHeight="1">
      <c r="C423" s="91" t="s">
        <v>4936</v>
      </c>
      <c r="E423" s="104">
        <v>45013</v>
      </c>
    </row>
    <row r="424" spans="3:5" ht="20.25" customHeight="1">
      <c r="C424" s="91" t="s">
        <v>4937</v>
      </c>
      <c r="E424" s="104">
        <v>44923</v>
      </c>
    </row>
    <row r="425" spans="3:5" ht="20.25" customHeight="1">
      <c r="C425" s="91" t="s">
        <v>4938</v>
      </c>
      <c r="E425" s="104">
        <v>44923</v>
      </c>
    </row>
    <row r="426" spans="3:5" ht="20.25" customHeight="1">
      <c r="C426" s="91" t="s">
        <v>4939</v>
      </c>
      <c r="E426" s="104">
        <v>44816</v>
      </c>
    </row>
    <row r="427" spans="3:5" ht="20.25" customHeight="1">
      <c r="C427" s="91" t="s">
        <v>4558</v>
      </c>
      <c r="E427" s="103" t="s">
        <v>4355</v>
      </c>
    </row>
    <row r="428" spans="3:5" ht="20.25" customHeight="1">
      <c r="C428" s="91" t="s">
        <v>4940</v>
      </c>
      <c r="E428" s="103" t="s">
        <v>4355</v>
      </c>
    </row>
    <row r="429" spans="3:5" ht="20.25" customHeight="1">
      <c r="C429" s="91" t="s">
        <v>4941</v>
      </c>
      <c r="E429" s="104">
        <v>44816</v>
      </c>
    </row>
    <row r="430" spans="3:5" ht="20.25" customHeight="1">
      <c r="C430" s="91" t="s">
        <v>4942</v>
      </c>
      <c r="E430" s="104">
        <v>44816</v>
      </c>
    </row>
    <row r="431" spans="3:5" ht="20.25" customHeight="1">
      <c r="C431" s="91" t="s">
        <v>4943</v>
      </c>
      <c r="E431" s="104">
        <v>44816</v>
      </c>
    </row>
    <row r="432" spans="3:5" ht="20.25" customHeight="1">
      <c r="C432" s="91" t="s">
        <v>4944</v>
      </c>
      <c r="E432" s="103" t="s">
        <v>4355</v>
      </c>
    </row>
    <row r="433" spans="3:5" ht="20.25" customHeight="1">
      <c r="C433" s="91" t="s">
        <v>4945</v>
      </c>
      <c r="E433" s="117">
        <v>45034</v>
      </c>
    </row>
    <row r="434" spans="3:5" ht="20.25" customHeight="1">
      <c r="C434" s="91" t="s">
        <v>4946</v>
      </c>
      <c r="E434" s="104">
        <v>44992</v>
      </c>
    </row>
    <row r="435" spans="3:5" ht="20.25" customHeight="1">
      <c r="C435" s="91" t="s">
        <v>4947</v>
      </c>
      <c r="E435" s="104">
        <v>44992</v>
      </c>
    </row>
    <row r="436" spans="3:5" ht="20.25" customHeight="1">
      <c r="C436" s="91" t="s">
        <v>4948</v>
      </c>
      <c r="E436" s="117">
        <v>45034</v>
      </c>
    </row>
    <row r="437" spans="3:5" ht="20.25" customHeight="1">
      <c r="C437" s="91" t="s">
        <v>4949</v>
      </c>
      <c r="E437" s="103" t="s">
        <v>4355</v>
      </c>
    </row>
    <row r="438" spans="3:5" ht="20.25" customHeight="1">
      <c r="C438" s="91" t="s">
        <v>4950</v>
      </c>
      <c r="E438" s="103" t="s">
        <v>4355</v>
      </c>
    </row>
    <row r="439" spans="3:5" ht="20.25" customHeight="1">
      <c r="C439" s="91" t="s">
        <v>4951</v>
      </c>
      <c r="E439" s="103" t="s">
        <v>4355</v>
      </c>
    </row>
    <row r="440" spans="3:5" ht="20.25" customHeight="1">
      <c r="C440" s="91" t="s">
        <v>4952</v>
      </c>
      <c r="E440" s="104">
        <v>44862</v>
      </c>
    </row>
    <row r="441" spans="3:5" ht="20.25" customHeight="1">
      <c r="C441" s="97" t="s">
        <v>4953</v>
      </c>
      <c r="E441" s="103" t="s">
        <v>4355</v>
      </c>
    </row>
    <row r="442" spans="3:5" ht="20.25" customHeight="1">
      <c r="C442" s="91" t="s">
        <v>4954</v>
      </c>
      <c r="E442" s="104">
        <v>44862</v>
      </c>
    </row>
    <row r="443" spans="3:5" ht="20.25" customHeight="1">
      <c r="C443" s="91" t="s">
        <v>4955</v>
      </c>
      <c r="E443" s="117">
        <v>45040</v>
      </c>
    </row>
    <row r="444" spans="3:5" ht="20.25" customHeight="1">
      <c r="C444" s="91" t="s">
        <v>4956</v>
      </c>
      <c r="E444" s="103" t="s">
        <v>4355</v>
      </c>
    </row>
    <row r="445" spans="3:5" ht="20.25" customHeight="1">
      <c r="C445" s="91" t="s">
        <v>4957</v>
      </c>
      <c r="E445" s="103" t="s">
        <v>4355</v>
      </c>
    </row>
    <row r="446" spans="3:5" ht="20.25" customHeight="1">
      <c r="C446" s="91" t="s">
        <v>4958</v>
      </c>
      <c r="E446" s="103" t="s">
        <v>4355</v>
      </c>
    </row>
    <row r="447" spans="3:5" ht="20.25" customHeight="1">
      <c r="C447" s="91" t="s">
        <v>4959</v>
      </c>
      <c r="E447" s="103" t="s">
        <v>4355</v>
      </c>
    </row>
    <row r="448" spans="3:5" ht="20.25" customHeight="1">
      <c r="C448" s="91" t="s">
        <v>4960</v>
      </c>
      <c r="E448" s="104">
        <v>44910</v>
      </c>
    </row>
    <row r="449" spans="3:5" ht="20.25" customHeight="1">
      <c r="C449" s="91" t="s">
        <v>4961</v>
      </c>
      <c r="E449" s="117">
        <v>45034</v>
      </c>
    </row>
    <row r="450" spans="3:5" ht="20.25" customHeight="1">
      <c r="C450" s="91" t="s">
        <v>4962</v>
      </c>
      <c r="E450" s="104">
        <v>44923</v>
      </c>
    </row>
    <row r="451" spans="3:5" ht="20.25" customHeight="1">
      <c r="C451" s="91" t="s">
        <v>4963</v>
      </c>
      <c r="E451" s="104">
        <v>44816</v>
      </c>
    </row>
    <row r="452" spans="3:5" ht="20.25" customHeight="1">
      <c r="C452" s="91" t="s">
        <v>4964</v>
      </c>
      <c r="E452" s="104">
        <v>44925</v>
      </c>
    </row>
    <row r="453" spans="3:5" ht="20.25" customHeight="1">
      <c r="C453" s="91" t="s">
        <v>4965</v>
      </c>
      <c r="E453" s="104">
        <v>44816</v>
      </c>
    </row>
    <row r="454" spans="3:5" ht="20.25" customHeight="1">
      <c r="C454" s="91" t="s">
        <v>4966</v>
      </c>
      <c r="E454" s="104">
        <v>44816</v>
      </c>
    </row>
    <row r="455" spans="3:5" ht="20.25" customHeight="1">
      <c r="C455" s="91" t="s">
        <v>4967</v>
      </c>
      <c r="E455" s="104">
        <v>44816</v>
      </c>
    </row>
    <row r="456" spans="3:5" ht="20.25" customHeight="1">
      <c r="C456" s="91" t="s">
        <v>4968</v>
      </c>
      <c r="E456" s="107">
        <v>45065</v>
      </c>
    </row>
    <row r="457" spans="3:5" ht="20.25" customHeight="1">
      <c r="C457" s="91" t="s">
        <v>4969</v>
      </c>
      <c r="E457" s="107">
        <v>45148</v>
      </c>
    </row>
    <row r="458" spans="3:5" ht="20.25" customHeight="1">
      <c r="C458" s="91" t="s">
        <v>4970</v>
      </c>
      <c r="E458" s="104">
        <v>44922</v>
      </c>
    </row>
    <row r="459" spans="3:5" ht="20.25" customHeight="1">
      <c r="C459" s="91" t="s">
        <v>4971</v>
      </c>
      <c r="E459" s="104">
        <v>44910</v>
      </c>
    </row>
    <row r="460" spans="3:5" ht="20.25" customHeight="1">
      <c r="C460" s="91" t="s">
        <v>4972</v>
      </c>
      <c r="E460" s="104">
        <v>44816</v>
      </c>
    </row>
    <row r="461" spans="3:5" ht="20.25" customHeight="1">
      <c r="C461" s="91" t="s">
        <v>4973</v>
      </c>
      <c r="E461" s="104">
        <v>44816</v>
      </c>
    </row>
    <row r="462" spans="3:5" ht="20.25" customHeight="1">
      <c r="C462" s="91" t="s">
        <v>4974</v>
      </c>
      <c r="E462" s="104">
        <v>44816</v>
      </c>
    </row>
    <row r="463" spans="3:5" ht="20.25" customHeight="1">
      <c r="C463" s="91" t="s">
        <v>4975</v>
      </c>
      <c r="E463" s="104">
        <v>44816</v>
      </c>
    </row>
    <row r="464" spans="3:5" ht="20.25" customHeight="1">
      <c r="C464" s="91" t="s">
        <v>4976</v>
      </c>
      <c r="E464" s="104">
        <v>44923</v>
      </c>
    </row>
    <row r="465" spans="3:5" ht="20.25" customHeight="1">
      <c r="C465" s="91" t="s">
        <v>4977</v>
      </c>
      <c r="E465" s="111"/>
    </row>
    <row r="466" spans="3:5" ht="20.25" customHeight="1">
      <c r="C466" s="91" t="s">
        <v>4978</v>
      </c>
      <c r="E466" s="128" t="s">
        <v>4355</v>
      </c>
    </row>
    <row r="467" spans="3:5" ht="20.25" customHeight="1">
      <c r="C467" s="91" t="s">
        <v>4979</v>
      </c>
      <c r="E467" s="128" t="s">
        <v>4355</v>
      </c>
    </row>
    <row r="468" spans="3:5" ht="20.25" customHeight="1">
      <c r="C468" s="91" t="s">
        <v>4980</v>
      </c>
      <c r="E468" s="117">
        <v>45013</v>
      </c>
    </row>
    <row r="469" spans="3:5" ht="20.25" customHeight="1">
      <c r="C469" s="91" t="s">
        <v>4981</v>
      </c>
      <c r="E469" s="104">
        <v>44889</v>
      </c>
    </row>
    <row r="470" spans="3:5" ht="20.25" customHeight="1">
      <c r="C470" s="91" t="s">
        <v>4982</v>
      </c>
      <c r="E470" s="105"/>
    </row>
    <row r="471" spans="3:5" ht="20.25" customHeight="1">
      <c r="C471" s="91" t="s">
        <v>4983</v>
      </c>
      <c r="E471" s="104">
        <v>44877</v>
      </c>
    </row>
    <row r="472" spans="3:5" ht="20.25" customHeight="1">
      <c r="C472" s="91" t="s">
        <v>4984</v>
      </c>
      <c r="E472" s="103" t="s">
        <v>4355</v>
      </c>
    </row>
    <row r="473" spans="3:5" ht="20.25" customHeight="1">
      <c r="C473" s="91" t="s">
        <v>4985</v>
      </c>
      <c r="E473" s="103" t="s">
        <v>4355</v>
      </c>
    </row>
    <row r="474" spans="3:5" ht="20.25" customHeight="1">
      <c r="C474" s="91" t="s">
        <v>4986</v>
      </c>
      <c r="E474" s="103" t="s">
        <v>4355</v>
      </c>
    </row>
    <row r="475" spans="3:5" ht="20.25" customHeight="1">
      <c r="C475" s="91" t="s">
        <v>4987</v>
      </c>
      <c r="E475" s="103" t="s">
        <v>4355</v>
      </c>
    </row>
    <row r="476" spans="3:5" ht="20.25" customHeight="1">
      <c r="C476" s="91" t="s">
        <v>4988</v>
      </c>
      <c r="E476" s="104">
        <v>44889</v>
      </c>
    </row>
    <row r="477" spans="3:5" ht="20.25" customHeight="1">
      <c r="C477" s="91" t="s">
        <v>4989</v>
      </c>
      <c r="E477" s="104">
        <v>44862</v>
      </c>
    </row>
    <row r="478" spans="3:5" ht="20.25" customHeight="1">
      <c r="C478" s="91" t="s">
        <v>4990</v>
      </c>
      <c r="E478" s="104">
        <v>44869</v>
      </c>
    </row>
    <row r="479" spans="3:5" ht="20.25" customHeight="1">
      <c r="C479" s="91" t="s">
        <v>4991</v>
      </c>
      <c r="E479" s="103" t="s">
        <v>4355</v>
      </c>
    </row>
    <row r="480" spans="3:5" ht="20.25" customHeight="1">
      <c r="C480" s="91" t="s">
        <v>4992</v>
      </c>
      <c r="E480" s="103" t="s">
        <v>4355</v>
      </c>
    </row>
    <row r="481" spans="3:5" ht="20.25" customHeight="1">
      <c r="C481" s="91" t="s">
        <v>4993</v>
      </c>
      <c r="E481" s="103" t="s">
        <v>4355</v>
      </c>
    </row>
    <row r="482" spans="3:5" ht="20.25" customHeight="1">
      <c r="C482" s="91" t="s">
        <v>4994</v>
      </c>
      <c r="E482" s="117">
        <v>45014</v>
      </c>
    </row>
    <row r="483" spans="3:5" ht="20.25" customHeight="1">
      <c r="C483" s="91" t="s">
        <v>4995</v>
      </c>
      <c r="E483" s="107">
        <v>45065</v>
      </c>
    </row>
    <row r="484" spans="3:5" ht="20.25" customHeight="1">
      <c r="C484" s="91" t="s">
        <v>4996</v>
      </c>
      <c r="E484" s="104">
        <v>45056</v>
      </c>
    </row>
    <row r="485" spans="3:5" ht="20.25" customHeight="1">
      <c r="C485" s="91" t="s">
        <v>4997</v>
      </c>
      <c r="E485" s="107">
        <v>45049</v>
      </c>
    </row>
    <row r="486" spans="3:5" ht="20.25" customHeight="1">
      <c r="C486" s="91" t="s">
        <v>4998</v>
      </c>
      <c r="E486" s="104">
        <v>45056</v>
      </c>
    </row>
    <row r="487" spans="3:5" ht="20.25" customHeight="1">
      <c r="C487" s="91" t="s">
        <v>4999</v>
      </c>
      <c r="E487" s="103" t="s">
        <v>4355</v>
      </c>
    </row>
    <row r="488" spans="3:5" ht="20.25" customHeight="1">
      <c r="C488" s="91" t="s">
        <v>5000</v>
      </c>
      <c r="E488" s="104">
        <v>44862</v>
      </c>
    </row>
    <row r="489" spans="3:5" ht="20.25" customHeight="1">
      <c r="C489" s="91" t="s">
        <v>5001</v>
      </c>
      <c r="E489" s="104">
        <v>44910</v>
      </c>
    </row>
    <row r="490" spans="3:5" ht="20.25" customHeight="1">
      <c r="C490" s="91" t="s">
        <v>5002</v>
      </c>
      <c r="E490" s="103" t="s">
        <v>4355</v>
      </c>
    </row>
    <row r="491" spans="3:5" ht="20.25" customHeight="1">
      <c r="C491" s="91" t="s">
        <v>5003</v>
      </c>
      <c r="E491" s="103" t="s">
        <v>4355</v>
      </c>
    </row>
    <row r="492" spans="3:5" ht="20.25" customHeight="1">
      <c r="C492" s="91" t="s">
        <v>5004</v>
      </c>
      <c r="E492" s="104">
        <v>44890</v>
      </c>
    </row>
    <row r="493" spans="3:5" ht="20.25" customHeight="1">
      <c r="C493" s="91" t="s">
        <v>4560</v>
      </c>
      <c r="E493" s="104">
        <v>44869</v>
      </c>
    </row>
    <row r="494" spans="3:5" ht="20.25" customHeight="1">
      <c r="C494" s="91" t="s">
        <v>5005</v>
      </c>
      <c r="E494" s="104">
        <v>44867</v>
      </c>
    </row>
    <row r="495" spans="3:5" ht="20.25" customHeight="1">
      <c r="C495" s="91" t="s">
        <v>5006</v>
      </c>
      <c r="E495" s="103" t="s">
        <v>4355</v>
      </c>
    </row>
    <row r="496" spans="3:5" ht="20.25" customHeight="1">
      <c r="C496" s="91" t="s">
        <v>5007</v>
      </c>
      <c r="E496" s="103" t="s">
        <v>4355</v>
      </c>
    </row>
    <row r="497" spans="3:5" ht="20.25" customHeight="1">
      <c r="C497" s="97" t="s">
        <v>5008</v>
      </c>
      <c r="E497" s="103" t="s">
        <v>4355</v>
      </c>
    </row>
    <row r="498" spans="3:5" ht="20.25" customHeight="1">
      <c r="C498" s="91" t="s">
        <v>5009</v>
      </c>
      <c r="E498" s="107">
        <v>45049</v>
      </c>
    </row>
    <row r="499" spans="3:5" ht="20.25" customHeight="1">
      <c r="C499" s="91" t="s">
        <v>5010</v>
      </c>
      <c r="E499" s="104">
        <v>44923</v>
      </c>
    </row>
    <row r="500" spans="3:5" ht="20.25" customHeight="1">
      <c r="C500" s="91" t="s">
        <v>5011</v>
      </c>
      <c r="E500" s="103" t="s">
        <v>4355</v>
      </c>
    </row>
    <row r="501" spans="3:5" ht="20.25" customHeight="1">
      <c r="C501" s="91" t="s">
        <v>5012</v>
      </c>
      <c r="E501" s="104">
        <v>44877</v>
      </c>
    </row>
    <row r="502" spans="3:5" ht="20.25" customHeight="1">
      <c r="C502" s="91" t="s">
        <v>5013</v>
      </c>
      <c r="E502" s="104">
        <v>44862</v>
      </c>
    </row>
    <row r="503" spans="3:5" ht="20.25" customHeight="1">
      <c r="C503" s="97" t="s">
        <v>5014</v>
      </c>
      <c r="E503" s="104">
        <v>44862</v>
      </c>
    </row>
    <row r="504" spans="3:5" ht="20.25" customHeight="1">
      <c r="C504" s="91" t="s">
        <v>5015</v>
      </c>
      <c r="E504" s="103" t="s">
        <v>4355</v>
      </c>
    </row>
    <row r="505" spans="3:5" ht="20.25" customHeight="1">
      <c r="C505" s="91" t="s">
        <v>5016</v>
      </c>
      <c r="E505" s="104">
        <v>44889</v>
      </c>
    </row>
    <row r="506" spans="3:5" ht="20.25" customHeight="1">
      <c r="C506" s="91" t="s">
        <v>5017</v>
      </c>
      <c r="E506" s="103" t="s">
        <v>4355</v>
      </c>
    </row>
    <row r="507" spans="3:5" ht="20.25" customHeight="1">
      <c r="C507" s="91" t="s">
        <v>5018</v>
      </c>
      <c r="E507" s="103" t="s">
        <v>4355</v>
      </c>
    </row>
    <row r="508" spans="3:5" ht="20.25" customHeight="1">
      <c r="C508" s="91" t="s">
        <v>5019</v>
      </c>
      <c r="E508" s="103" t="s">
        <v>4355</v>
      </c>
    </row>
    <row r="509" spans="3:5" ht="20.25" customHeight="1">
      <c r="C509" s="91" t="s">
        <v>5020</v>
      </c>
      <c r="E509" s="104">
        <v>44862</v>
      </c>
    </row>
    <row r="510" spans="3:5" ht="20.25" customHeight="1">
      <c r="C510" s="91" t="s">
        <v>5021</v>
      </c>
      <c r="E510" s="104">
        <v>44862</v>
      </c>
    </row>
    <row r="511" spans="3:5" ht="20.25" customHeight="1">
      <c r="C511" s="91" t="s">
        <v>5022</v>
      </c>
      <c r="E511" s="104">
        <v>44889</v>
      </c>
    </row>
    <row r="512" spans="3:5" ht="20.25" customHeight="1">
      <c r="C512" s="91" t="s">
        <v>4562</v>
      </c>
      <c r="E512" s="104">
        <v>44869</v>
      </c>
    </row>
    <row r="513" spans="3:5" ht="20.25" customHeight="1">
      <c r="C513" s="91" t="s">
        <v>5023</v>
      </c>
      <c r="E513" s="109">
        <v>45013</v>
      </c>
    </row>
    <row r="514" spans="3:5" ht="20.25" customHeight="1">
      <c r="C514" s="91" t="s">
        <v>5024</v>
      </c>
      <c r="E514" s="109">
        <v>45013</v>
      </c>
    </row>
    <row r="515" spans="3:5" ht="20.25" customHeight="1">
      <c r="C515" s="91" t="s">
        <v>5025</v>
      </c>
      <c r="E515" s="104">
        <v>44816</v>
      </c>
    </row>
    <row r="516" spans="3:5" ht="20.25" customHeight="1">
      <c r="C516" s="91" t="s">
        <v>5026</v>
      </c>
      <c r="E516" s="103" t="s">
        <v>4355</v>
      </c>
    </row>
    <row r="517" spans="3:5" ht="20.25" customHeight="1">
      <c r="C517" s="91" t="s">
        <v>5027</v>
      </c>
      <c r="E517" s="103" t="s">
        <v>4355</v>
      </c>
    </row>
    <row r="518" spans="3:5" ht="20.25" customHeight="1">
      <c r="C518" s="91" t="s">
        <v>5028</v>
      </c>
      <c r="E518" s="103" t="s">
        <v>4355</v>
      </c>
    </row>
    <row r="519" spans="3:5" ht="20.25" customHeight="1">
      <c r="C519" s="91" t="s">
        <v>5029</v>
      </c>
      <c r="E519" s="103" t="s">
        <v>4355</v>
      </c>
    </row>
    <row r="520" spans="3:5" ht="20.25" customHeight="1">
      <c r="C520" s="91" t="s">
        <v>4564</v>
      </c>
      <c r="E520" s="103" t="s">
        <v>4355</v>
      </c>
    </row>
    <row r="521" spans="3:5" ht="20.25" customHeight="1">
      <c r="C521" s="91" t="s">
        <v>4566</v>
      </c>
      <c r="E521" s="103" t="s">
        <v>4355</v>
      </c>
    </row>
    <row r="522" spans="3:5" ht="20.25" customHeight="1">
      <c r="C522" s="91" t="s">
        <v>5030</v>
      </c>
      <c r="E522" s="103" t="s">
        <v>4355</v>
      </c>
    </row>
    <row r="523" spans="3:5" ht="20.25" customHeight="1">
      <c r="C523" s="91" t="s">
        <v>5031</v>
      </c>
      <c r="E523" s="103" t="s">
        <v>4355</v>
      </c>
    </row>
    <row r="524" spans="3:5" ht="20.25" customHeight="1">
      <c r="C524" s="91" t="s">
        <v>5032</v>
      </c>
      <c r="E524" s="104">
        <v>44869</v>
      </c>
    </row>
    <row r="525" spans="3:5" ht="20.25" customHeight="1">
      <c r="C525" s="91" t="s">
        <v>5033</v>
      </c>
      <c r="E525" s="104">
        <v>44862</v>
      </c>
    </row>
    <row r="526" spans="3:5" ht="20.25" customHeight="1">
      <c r="C526" s="91" t="s">
        <v>4568</v>
      </c>
      <c r="E526" s="104">
        <v>44869</v>
      </c>
    </row>
    <row r="527" spans="3:5" ht="20.25" customHeight="1">
      <c r="C527" s="91" t="s">
        <v>5034</v>
      </c>
      <c r="E527" s="103" t="s">
        <v>4355</v>
      </c>
    </row>
    <row r="528" spans="3:5" ht="20.25" customHeight="1">
      <c r="C528" s="91" t="s">
        <v>5035</v>
      </c>
      <c r="E528" s="103" t="s">
        <v>4355</v>
      </c>
    </row>
    <row r="529" spans="3:5" ht="20.25" customHeight="1">
      <c r="C529" s="91" t="s">
        <v>5036</v>
      </c>
      <c r="E529" s="103" t="s">
        <v>4355</v>
      </c>
    </row>
    <row r="530" spans="3:5" ht="20.25" customHeight="1">
      <c r="C530" s="91" t="s">
        <v>5037</v>
      </c>
      <c r="E530" s="104">
        <v>44889</v>
      </c>
    </row>
    <row r="531" spans="3:5" ht="20.25" customHeight="1">
      <c r="C531" s="91" t="s">
        <v>5038</v>
      </c>
      <c r="E531" s="104">
        <v>44910</v>
      </c>
    </row>
    <row r="532" spans="3:5" ht="20.25" customHeight="1">
      <c r="C532" s="91" t="s">
        <v>5039</v>
      </c>
      <c r="E532" s="104">
        <v>44869</v>
      </c>
    </row>
    <row r="533" spans="3:5" ht="20.25" customHeight="1">
      <c r="C533" s="91" t="s">
        <v>5040</v>
      </c>
      <c r="E533" s="104">
        <v>44889</v>
      </c>
    </row>
    <row r="534" spans="3:5" ht="20.25" customHeight="1">
      <c r="C534" s="91" t="s">
        <v>5041</v>
      </c>
      <c r="E534" s="104">
        <v>44910</v>
      </c>
    </row>
    <row r="535" spans="3:5" ht="20.25" customHeight="1">
      <c r="C535" s="91" t="s">
        <v>5042</v>
      </c>
      <c r="E535" s="104">
        <v>44889</v>
      </c>
    </row>
    <row r="536" spans="3:5" ht="20.25" customHeight="1">
      <c r="C536" s="91" t="s">
        <v>5043</v>
      </c>
      <c r="E536" s="104">
        <v>44910</v>
      </c>
    </row>
    <row r="537" spans="3:5" ht="20.25" customHeight="1">
      <c r="C537" s="91" t="s">
        <v>5044</v>
      </c>
      <c r="E537" s="104">
        <v>44877</v>
      </c>
    </row>
    <row r="538" spans="3:5" ht="20.25" customHeight="1">
      <c r="C538" s="91" t="s">
        <v>5045</v>
      </c>
      <c r="E538" s="104">
        <v>44862</v>
      </c>
    </row>
    <row r="539" spans="3:5" ht="20.25" customHeight="1">
      <c r="C539" s="91" t="s">
        <v>5046</v>
      </c>
      <c r="E539" s="103" t="s">
        <v>4355</v>
      </c>
    </row>
    <row r="540" spans="3:5" ht="20.25" customHeight="1">
      <c r="C540" s="91" t="s">
        <v>5047</v>
      </c>
      <c r="E540" s="103" t="s">
        <v>4355</v>
      </c>
    </row>
    <row r="541" spans="3:5" ht="20.25" customHeight="1">
      <c r="C541" s="91" t="s">
        <v>5048</v>
      </c>
      <c r="E541" s="103" t="s">
        <v>4355</v>
      </c>
    </row>
    <row r="542" spans="3:5" ht="20.25" customHeight="1">
      <c r="C542" s="91" t="s">
        <v>5049</v>
      </c>
      <c r="E542" s="103" t="s">
        <v>4355</v>
      </c>
    </row>
    <row r="543" spans="3:5" ht="20.25" customHeight="1">
      <c r="C543" s="91" t="s">
        <v>5050</v>
      </c>
      <c r="E543" s="104">
        <v>44816</v>
      </c>
    </row>
    <row r="544" spans="3:5" ht="20.25" customHeight="1">
      <c r="C544" s="91" t="s">
        <v>5051</v>
      </c>
      <c r="E544" s="104">
        <v>44961</v>
      </c>
    </row>
    <row r="545" spans="3:5" ht="20.25" customHeight="1">
      <c r="C545" s="91" t="s">
        <v>5052</v>
      </c>
      <c r="E545" s="103" t="s">
        <v>4355</v>
      </c>
    </row>
    <row r="546" spans="3:5" ht="20.25" customHeight="1">
      <c r="C546" s="91" t="s">
        <v>5053</v>
      </c>
      <c r="E546" s="104">
        <v>44889</v>
      </c>
    </row>
    <row r="547" spans="3:5" ht="20.25" customHeight="1">
      <c r="C547" s="91" t="s">
        <v>5054</v>
      </c>
      <c r="E547" s="104">
        <v>44816</v>
      </c>
    </row>
    <row r="548" spans="3:5" ht="20.25" customHeight="1">
      <c r="C548" s="91" t="s">
        <v>5055</v>
      </c>
      <c r="E548" s="104">
        <v>44961</v>
      </c>
    </row>
    <row r="549" spans="3:5" ht="20.25" customHeight="1">
      <c r="C549" s="91" t="s">
        <v>5056</v>
      </c>
      <c r="E549" s="104">
        <v>44910</v>
      </c>
    </row>
    <row r="550" spans="3:5" ht="20.25" customHeight="1">
      <c r="C550" s="91" t="s">
        <v>5057</v>
      </c>
      <c r="E550" s="104">
        <v>44889</v>
      </c>
    </row>
    <row r="551" spans="3:5" ht="20.25" customHeight="1">
      <c r="C551" s="95" t="s">
        <v>5058</v>
      </c>
      <c r="E551" s="104">
        <v>44816</v>
      </c>
    </row>
    <row r="552" spans="3:5" ht="20.25" customHeight="1">
      <c r="C552" s="91" t="s">
        <v>5059</v>
      </c>
      <c r="E552" s="104">
        <v>44889</v>
      </c>
    </row>
    <row r="553" spans="3:5" ht="20.25" customHeight="1">
      <c r="C553" s="91" t="s">
        <v>5060</v>
      </c>
      <c r="E553" s="104">
        <v>44816</v>
      </c>
    </row>
    <row r="554" spans="3:5" ht="20.25" customHeight="1">
      <c r="C554" s="91" t="s">
        <v>5061</v>
      </c>
      <c r="E554" s="103" t="s">
        <v>4355</v>
      </c>
    </row>
    <row r="555" spans="3:5" ht="20.25" customHeight="1">
      <c r="C555" s="91" t="s">
        <v>5062</v>
      </c>
      <c r="E555" s="103" t="s">
        <v>4355</v>
      </c>
    </row>
    <row r="556" spans="3:5" ht="20.25" customHeight="1">
      <c r="C556" s="91" t="s">
        <v>4570</v>
      </c>
      <c r="E556" s="103" t="s">
        <v>4355</v>
      </c>
    </row>
    <row r="557" spans="3:5" ht="20.25" customHeight="1">
      <c r="C557" s="91" t="s">
        <v>4572</v>
      </c>
      <c r="E557" s="104">
        <v>44889</v>
      </c>
    </row>
    <row r="558" spans="3:5" ht="20.25" customHeight="1">
      <c r="C558" s="91" t="s">
        <v>5063</v>
      </c>
      <c r="E558" s="103" t="s">
        <v>4355</v>
      </c>
    </row>
    <row r="559" spans="3:5" ht="20.25" customHeight="1">
      <c r="C559" s="91" t="s">
        <v>4574</v>
      </c>
      <c r="E559" s="103" t="s">
        <v>4355</v>
      </c>
    </row>
    <row r="560" spans="3:5" ht="20.25" customHeight="1">
      <c r="C560" s="91" t="s">
        <v>5064</v>
      </c>
      <c r="E560" s="104">
        <v>44889</v>
      </c>
    </row>
    <row r="561" spans="3:5" ht="20.25" customHeight="1">
      <c r="C561" s="91" t="s">
        <v>5065</v>
      </c>
      <c r="E561" s="104">
        <v>44889</v>
      </c>
    </row>
    <row r="562" spans="3:5" ht="20.25" customHeight="1">
      <c r="C562" s="91" t="s">
        <v>5066</v>
      </c>
      <c r="E562" s="104"/>
    </row>
    <row r="563" spans="3:5" ht="20.25" customHeight="1">
      <c r="C563" s="91" t="s">
        <v>5067</v>
      </c>
      <c r="E563" s="104">
        <v>45097</v>
      </c>
    </row>
    <row r="564" spans="3:5" ht="20.25" customHeight="1">
      <c r="C564" s="91" t="s">
        <v>5068</v>
      </c>
      <c r="E564" s="104">
        <v>44910</v>
      </c>
    </row>
    <row r="565" spans="3:5" ht="20.25" customHeight="1">
      <c r="C565" s="90" t="s">
        <v>5069</v>
      </c>
      <c r="E565" s="104">
        <v>44923</v>
      </c>
    </row>
    <row r="566" spans="3:5" ht="20.25" customHeight="1">
      <c r="C566" s="91" t="s">
        <v>5070</v>
      </c>
      <c r="E566" s="104">
        <v>44923</v>
      </c>
    </row>
    <row r="567" spans="3:5" ht="20.25" customHeight="1">
      <c r="C567" s="91" t="s">
        <v>5071</v>
      </c>
      <c r="E567" s="104">
        <v>44910</v>
      </c>
    </row>
    <row r="568" spans="3:5" ht="20.25" customHeight="1">
      <c r="C568" s="91" t="s">
        <v>5072</v>
      </c>
      <c r="E568" s="104">
        <v>44910</v>
      </c>
    </row>
    <row r="569" spans="3:5" ht="20.25" customHeight="1">
      <c r="C569" s="91" t="s">
        <v>5073</v>
      </c>
      <c r="E569" s="103" t="s">
        <v>4355</v>
      </c>
    </row>
    <row r="570" spans="3:5" ht="20.25" customHeight="1">
      <c r="C570" s="91" t="s">
        <v>5074</v>
      </c>
      <c r="E570" s="104">
        <v>44923</v>
      </c>
    </row>
    <row r="571" spans="3:5" ht="20.25" customHeight="1">
      <c r="C571" s="91" t="s">
        <v>5075</v>
      </c>
      <c r="E571" s="104">
        <v>44910</v>
      </c>
    </row>
    <row r="572" spans="3:5" ht="20.25" customHeight="1">
      <c r="C572" s="91" t="s">
        <v>5076</v>
      </c>
      <c r="E572" s="104">
        <v>44923</v>
      </c>
    </row>
    <row r="573" spans="3:5" ht="20.25" customHeight="1">
      <c r="C573" s="91" t="s">
        <v>5077</v>
      </c>
      <c r="E573" s="104">
        <v>44910</v>
      </c>
    </row>
    <row r="574" spans="3:5" ht="20.25" customHeight="1">
      <c r="C574" s="91" t="s">
        <v>4576</v>
      </c>
      <c r="E574" s="104">
        <v>44910</v>
      </c>
    </row>
    <row r="575" spans="3:5" ht="20.25" customHeight="1">
      <c r="C575" s="91" t="s">
        <v>4578</v>
      </c>
      <c r="E575" s="104">
        <v>44869</v>
      </c>
    </row>
    <row r="576" spans="3:5" ht="20.25" customHeight="1">
      <c r="C576" s="91" t="s">
        <v>5078</v>
      </c>
      <c r="E576" s="104">
        <v>44869</v>
      </c>
    </row>
    <row r="577" spans="3:5" ht="20.25" customHeight="1">
      <c r="C577" s="91" t="s">
        <v>5079</v>
      </c>
      <c r="E577" s="104">
        <v>44876</v>
      </c>
    </row>
    <row r="578" spans="3:5" ht="20.25" customHeight="1">
      <c r="C578" s="90" t="s">
        <v>5080</v>
      </c>
      <c r="E578" s="103" t="s">
        <v>4355</v>
      </c>
    </row>
    <row r="579" spans="3:5" ht="20.25" customHeight="1">
      <c r="C579" s="91" t="s">
        <v>5081</v>
      </c>
      <c r="E579" s="104">
        <v>44869</v>
      </c>
    </row>
    <row r="580" spans="3:5" ht="20.25" customHeight="1">
      <c r="C580" s="91" t="s">
        <v>5082</v>
      </c>
      <c r="E580" s="103" t="s">
        <v>4355</v>
      </c>
    </row>
    <row r="581" spans="3:5" ht="20.25" customHeight="1">
      <c r="C581" s="91" t="s">
        <v>5083</v>
      </c>
      <c r="E581" s="103" t="s">
        <v>4355</v>
      </c>
    </row>
    <row r="582" spans="3:5" ht="20.25" customHeight="1">
      <c r="C582" s="91" t="s">
        <v>5084</v>
      </c>
      <c r="E582" s="103" t="s">
        <v>4355</v>
      </c>
    </row>
    <row r="583" spans="3:5" ht="20.25" customHeight="1">
      <c r="C583" s="91" t="s">
        <v>4580</v>
      </c>
      <c r="E583" s="103" t="s">
        <v>4355</v>
      </c>
    </row>
    <row r="584" spans="3:5" ht="20.25" customHeight="1">
      <c r="C584" s="91" t="s">
        <v>5085</v>
      </c>
      <c r="E584" s="103" t="s">
        <v>4355</v>
      </c>
    </row>
    <row r="585" spans="3:5" ht="20.25" customHeight="1">
      <c r="C585" s="91" t="s">
        <v>5086</v>
      </c>
      <c r="E585" s="103" t="s">
        <v>4355</v>
      </c>
    </row>
    <row r="586" spans="3:5" ht="20.25" customHeight="1">
      <c r="C586" s="91" t="s">
        <v>5087</v>
      </c>
      <c r="E586" s="103" t="s">
        <v>4355</v>
      </c>
    </row>
    <row r="587" spans="3:5" ht="20.25" customHeight="1">
      <c r="C587" s="91" t="s">
        <v>5088</v>
      </c>
      <c r="E587" s="103" t="s">
        <v>4355</v>
      </c>
    </row>
    <row r="588" spans="3:5" ht="20.25" customHeight="1">
      <c r="C588" s="91" t="s">
        <v>5089</v>
      </c>
      <c r="E588" s="103" t="s">
        <v>4355</v>
      </c>
    </row>
    <row r="589" spans="3:5" ht="20.25" customHeight="1">
      <c r="C589" s="91" t="s">
        <v>5090</v>
      </c>
      <c r="E589" s="103" t="s">
        <v>4355</v>
      </c>
    </row>
    <row r="590" spans="3:5" ht="20.25" customHeight="1">
      <c r="C590" s="91" t="s">
        <v>5091</v>
      </c>
      <c r="E590" s="103" t="s">
        <v>4355</v>
      </c>
    </row>
    <row r="591" spans="3:5" ht="20.25" customHeight="1">
      <c r="C591" s="91" t="s">
        <v>5092</v>
      </c>
      <c r="E591" s="103" t="s">
        <v>4355</v>
      </c>
    </row>
    <row r="592" spans="3:5" ht="20.25" customHeight="1">
      <c r="C592" s="91" t="s">
        <v>5093</v>
      </c>
      <c r="E592" s="103" t="s">
        <v>4355</v>
      </c>
    </row>
    <row r="593" spans="3:5" ht="20.25" customHeight="1">
      <c r="C593" s="91" t="s">
        <v>5094</v>
      </c>
      <c r="E593" s="104">
        <v>44910</v>
      </c>
    </row>
    <row r="594" spans="3:5" ht="20.25" customHeight="1">
      <c r="C594" s="91" t="s">
        <v>5095</v>
      </c>
      <c r="E594" s="103" t="s">
        <v>4355</v>
      </c>
    </row>
    <row r="595" spans="3:5" ht="20.25" customHeight="1">
      <c r="C595" s="91" t="s">
        <v>5096</v>
      </c>
      <c r="E595" s="104">
        <v>44910</v>
      </c>
    </row>
    <row r="596" spans="3:5" ht="20.25" customHeight="1">
      <c r="C596" s="91" t="s">
        <v>5097</v>
      </c>
      <c r="E596" s="103" t="s">
        <v>4355</v>
      </c>
    </row>
    <row r="597" spans="3:5" ht="20.25" customHeight="1">
      <c r="C597" s="91" t="s">
        <v>5098</v>
      </c>
      <c r="E597" s="104">
        <v>44910</v>
      </c>
    </row>
    <row r="598" spans="3:5" ht="20.25" customHeight="1">
      <c r="C598" s="91" t="s">
        <v>5099</v>
      </c>
      <c r="E598" s="103" t="s">
        <v>4355</v>
      </c>
    </row>
    <row r="599" spans="3:5" ht="20.25" customHeight="1">
      <c r="C599" s="95" t="s">
        <v>5100</v>
      </c>
      <c r="E599" s="103" t="s">
        <v>4355</v>
      </c>
    </row>
    <row r="600" spans="3:5" ht="20.25" customHeight="1">
      <c r="C600" s="91" t="s">
        <v>5101</v>
      </c>
      <c r="E600" s="103" t="s">
        <v>4355</v>
      </c>
    </row>
    <row r="601" spans="3:5" ht="20.25" customHeight="1">
      <c r="C601" s="91" t="s">
        <v>5102</v>
      </c>
      <c r="E601" s="103" t="s">
        <v>4355</v>
      </c>
    </row>
    <row r="602" spans="3:5" ht="20.25" customHeight="1">
      <c r="C602" s="91" t="s">
        <v>5103</v>
      </c>
      <c r="E602" s="107">
        <v>45065</v>
      </c>
    </row>
    <row r="603" spans="3:5" ht="20.25" customHeight="1">
      <c r="C603" s="91" t="s">
        <v>5104</v>
      </c>
      <c r="E603" s="107">
        <v>45148</v>
      </c>
    </row>
    <row r="604" spans="3:5" ht="20.25" customHeight="1">
      <c r="C604" s="91" t="s">
        <v>5105</v>
      </c>
      <c r="E604" s="104">
        <v>44910</v>
      </c>
    </row>
    <row r="605" spans="3:5" ht="20.25" customHeight="1">
      <c r="C605" s="91" t="s">
        <v>5106</v>
      </c>
      <c r="E605" s="117">
        <v>45040</v>
      </c>
    </row>
    <row r="606" spans="3:5" ht="20.25" customHeight="1">
      <c r="C606" s="91" t="s">
        <v>5107</v>
      </c>
      <c r="E606" s="103" t="s">
        <v>4355</v>
      </c>
    </row>
    <row r="607" spans="3:5" ht="20.25" customHeight="1">
      <c r="C607" s="91" t="s">
        <v>5108</v>
      </c>
      <c r="E607" s="107">
        <v>45065</v>
      </c>
    </row>
    <row r="608" spans="3:5" ht="20.25" customHeight="1">
      <c r="C608" s="91" t="s">
        <v>5109</v>
      </c>
      <c r="E608" s="103" t="s">
        <v>4355</v>
      </c>
    </row>
    <row r="609" spans="3:5" ht="20.25" customHeight="1">
      <c r="C609" s="91" t="s">
        <v>5110</v>
      </c>
      <c r="E609" s="117">
        <v>45040</v>
      </c>
    </row>
    <row r="610" spans="3:5" ht="20.25" customHeight="1">
      <c r="C610" s="91" t="s">
        <v>5111</v>
      </c>
      <c r="E610" s="104">
        <v>44923</v>
      </c>
    </row>
    <row r="611" spans="3:5" ht="20.25" customHeight="1">
      <c r="C611" s="91" t="s">
        <v>5112</v>
      </c>
      <c r="E611" s="107">
        <v>45065</v>
      </c>
    </row>
    <row r="612" spans="3:5" ht="20.25" customHeight="1">
      <c r="C612" s="91" t="s">
        <v>5113</v>
      </c>
      <c r="E612" s="103" t="s">
        <v>4355</v>
      </c>
    </row>
    <row r="613" spans="3:5" ht="20.25" customHeight="1">
      <c r="C613" s="91" t="s">
        <v>5114</v>
      </c>
      <c r="E613" s="103" t="s">
        <v>4355</v>
      </c>
    </row>
    <row r="614" spans="3:5" ht="20.25" customHeight="1">
      <c r="C614" s="91" t="s">
        <v>5115</v>
      </c>
      <c r="E614" s="104">
        <v>44910</v>
      </c>
    </row>
    <row r="615" spans="3:5" ht="20.25" customHeight="1">
      <c r="C615" s="91" t="s">
        <v>5116</v>
      </c>
      <c r="E615" s="104">
        <v>44923</v>
      </c>
    </row>
    <row r="616" spans="3:5" ht="20.25" customHeight="1">
      <c r="C616" s="91" t="s">
        <v>5117</v>
      </c>
      <c r="E616" s="104">
        <v>44910</v>
      </c>
    </row>
    <row r="617" spans="3:5" ht="20.25" customHeight="1">
      <c r="C617" s="90" t="s">
        <v>5118</v>
      </c>
      <c r="E617" s="104">
        <v>44869</v>
      </c>
    </row>
    <row r="618" spans="3:5" ht="20.25" customHeight="1">
      <c r="C618" s="91" t="s">
        <v>5119</v>
      </c>
      <c r="E618" s="104">
        <v>44910</v>
      </c>
    </row>
    <row r="619" spans="3:5" ht="20.25" customHeight="1">
      <c r="C619" s="91" t="s">
        <v>5120</v>
      </c>
      <c r="E619" s="103"/>
    </row>
    <row r="620" spans="3:5" ht="20.25" customHeight="1">
      <c r="C620" s="91" t="s">
        <v>5121</v>
      </c>
      <c r="E620" s="104">
        <v>44910</v>
      </c>
    </row>
    <row r="621" spans="3:5" ht="20.25" customHeight="1">
      <c r="C621" s="91" t="s">
        <v>4582</v>
      </c>
      <c r="E621" s="103" t="s">
        <v>4355</v>
      </c>
    </row>
    <row r="622" spans="3:5" ht="20.25" customHeight="1">
      <c r="C622" s="91" t="s">
        <v>5122</v>
      </c>
      <c r="E622" s="104">
        <v>44923</v>
      </c>
    </row>
    <row r="623" spans="3:5" ht="20.25" customHeight="1">
      <c r="C623" s="91" t="s">
        <v>5123</v>
      </c>
      <c r="E623" s="104">
        <v>44910</v>
      </c>
    </row>
    <row r="624" spans="3:5" ht="20.25" customHeight="1">
      <c r="C624" s="91" t="s">
        <v>5124</v>
      </c>
      <c r="E624" s="104">
        <v>44910</v>
      </c>
    </row>
    <row r="625" spans="3:5" ht="20.25" customHeight="1">
      <c r="C625" s="91" t="s">
        <v>5125</v>
      </c>
      <c r="E625" s="103"/>
    </row>
    <row r="626" spans="3:5" ht="20.25" customHeight="1">
      <c r="C626" s="91" t="s">
        <v>5126</v>
      </c>
      <c r="E626" s="111"/>
    </row>
    <row r="627" spans="3:5" ht="20.25" customHeight="1">
      <c r="C627" s="91" t="s">
        <v>5127</v>
      </c>
      <c r="E627" s="111"/>
    </row>
    <row r="628" spans="3:5" ht="20.25" customHeight="1">
      <c r="C628" s="91" t="s">
        <v>5128</v>
      </c>
      <c r="E628" s="111"/>
    </row>
    <row r="629" spans="3:5" ht="20.25" customHeight="1">
      <c r="C629" s="91" t="s">
        <v>5129</v>
      </c>
      <c r="E629" s="111"/>
    </row>
    <row r="630" spans="3:5" ht="20.25" customHeight="1">
      <c r="C630" s="91" t="s">
        <v>5130</v>
      </c>
      <c r="E630" s="111"/>
    </row>
    <row r="631" spans="3:5" ht="20.25" customHeight="1">
      <c r="C631" s="91" t="s">
        <v>5131</v>
      </c>
      <c r="E631" s="111"/>
    </row>
    <row r="632" spans="3:5" ht="20.25" customHeight="1">
      <c r="C632" s="91" t="s">
        <v>5132</v>
      </c>
      <c r="E632" s="111"/>
    </row>
    <row r="633" spans="3:5" ht="20.25" customHeight="1">
      <c r="C633" s="91" t="s">
        <v>5133</v>
      </c>
      <c r="E633" s="111"/>
    </row>
    <row r="634" spans="3:5" ht="20.25" customHeight="1">
      <c r="C634" s="91" t="s">
        <v>5134</v>
      </c>
      <c r="E634" s="111"/>
    </row>
    <row r="635" spans="3:5" ht="20.25" customHeight="1">
      <c r="C635" s="91" t="s">
        <v>5135</v>
      </c>
      <c r="E635" s="111"/>
    </row>
    <row r="636" spans="3:5" ht="20.25" customHeight="1">
      <c r="C636" s="95" t="s">
        <v>5136</v>
      </c>
      <c r="E636" s="111"/>
    </row>
    <row r="637" spans="3:5" ht="20.25" customHeight="1">
      <c r="C637" s="91" t="s">
        <v>5137</v>
      </c>
      <c r="E637" s="111"/>
    </row>
    <row r="638" spans="3:5" ht="20.25" customHeight="1">
      <c r="C638" s="91" t="s">
        <v>5138</v>
      </c>
      <c r="E638" s="111"/>
    </row>
    <row r="639" spans="3:5" ht="20.25" customHeight="1">
      <c r="C639" s="95" t="s">
        <v>5139</v>
      </c>
      <c r="E639" s="111"/>
    </row>
    <row r="640" spans="3:5" ht="20.25" customHeight="1">
      <c r="C640" s="91" t="s">
        <v>5140</v>
      </c>
      <c r="E640" s="111"/>
    </row>
    <row r="641" spans="3:5" ht="20.25" customHeight="1">
      <c r="C641" s="91" t="s">
        <v>5141</v>
      </c>
      <c r="E641" s="111"/>
    </row>
    <row r="642" spans="3:5" ht="20.25" customHeight="1">
      <c r="C642" s="91" t="s">
        <v>5142</v>
      </c>
      <c r="E642" s="111"/>
    </row>
    <row r="643" spans="3:5" ht="20.25" customHeight="1">
      <c r="C643" s="91" t="s">
        <v>5143</v>
      </c>
      <c r="E643" s="111"/>
    </row>
    <row r="644" spans="3:5" ht="20.25" customHeight="1">
      <c r="C644" s="95" t="s">
        <v>5144</v>
      </c>
      <c r="E644" s="111"/>
    </row>
    <row r="645" spans="3:5" ht="20.25" customHeight="1">
      <c r="C645" s="91" t="s">
        <v>5145</v>
      </c>
      <c r="E645" s="111"/>
    </row>
    <row r="646" spans="3:5" ht="20.25" customHeight="1">
      <c r="C646" s="91" t="s">
        <v>5146</v>
      </c>
      <c r="E646" s="111"/>
    </row>
    <row r="647" spans="3:5" ht="20.25" customHeight="1">
      <c r="C647" s="97" t="s">
        <v>4584</v>
      </c>
      <c r="E647" s="111"/>
    </row>
    <row r="648" spans="3:5" ht="20.25" customHeight="1">
      <c r="C648" s="95" t="s">
        <v>5147</v>
      </c>
      <c r="E648" s="103" t="s">
        <v>4355</v>
      </c>
    </row>
    <row r="649" spans="3:5" ht="20.25" customHeight="1">
      <c r="C649" s="91" t="s">
        <v>5148</v>
      </c>
      <c r="E649" s="103" t="s">
        <v>4355</v>
      </c>
    </row>
    <row r="650" spans="3:5" ht="20.25" customHeight="1">
      <c r="C650" s="91" t="s">
        <v>4586</v>
      </c>
      <c r="E650" s="103" t="s">
        <v>4355</v>
      </c>
    </row>
    <row r="651" spans="3:5" ht="20.25" customHeight="1">
      <c r="C651" s="91" t="s">
        <v>4588</v>
      </c>
      <c r="E651" s="111" t="s">
        <v>4355</v>
      </c>
    </row>
    <row r="652" spans="3:5" ht="20.25" customHeight="1">
      <c r="C652" s="91" t="s">
        <v>5149</v>
      </c>
      <c r="E652" s="111"/>
    </row>
    <row r="653" spans="3:5" ht="20.25" customHeight="1">
      <c r="C653" s="91" t="s">
        <v>4590</v>
      </c>
      <c r="E653" s="111"/>
    </row>
    <row r="654" spans="3:5" ht="20.25" customHeight="1">
      <c r="C654" s="91" t="s">
        <v>5150</v>
      </c>
      <c r="E654" s="111"/>
    </row>
    <row r="655" spans="3:5" ht="20.25" customHeight="1">
      <c r="C655" s="91" t="s">
        <v>5151</v>
      </c>
      <c r="E655" s="111"/>
    </row>
    <row r="656" spans="3:5" ht="20.25" customHeight="1">
      <c r="C656" s="91" t="s">
        <v>5152</v>
      </c>
      <c r="E656" s="111"/>
    </row>
    <row r="657" spans="3:5" ht="20.25" customHeight="1">
      <c r="C657" s="91" t="s">
        <v>5153</v>
      </c>
      <c r="E657" s="111"/>
    </row>
    <row r="658" spans="3:5" ht="20.25" customHeight="1">
      <c r="C658" s="91" t="s">
        <v>5154</v>
      </c>
      <c r="E658" s="111"/>
    </row>
    <row r="659" spans="3:5" ht="20.25" customHeight="1">
      <c r="C659" s="91" t="s">
        <v>5155</v>
      </c>
      <c r="E659" s="111"/>
    </row>
    <row r="660" spans="3:5" ht="20.25" customHeight="1">
      <c r="C660" s="91" t="s">
        <v>5156</v>
      </c>
      <c r="E660" s="111"/>
    </row>
    <row r="661" spans="3:5" ht="20.25" customHeight="1">
      <c r="C661" s="91" t="s">
        <v>5157</v>
      </c>
      <c r="E661" s="111"/>
    </row>
    <row r="662" spans="3:5" ht="20.25" customHeight="1">
      <c r="C662" s="91" t="s">
        <v>5158</v>
      </c>
      <c r="E662" s="111"/>
    </row>
    <row r="663" spans="3:5" ht="20.25" customHeight="1">
      <c r="C663" s="91" t="s">
        <v>5159</v>
      </c>
      <c r="E663" s="111"/>
    </row>
    <row r="664" spans="3:5" ht="20.25" customHeight="1">
      <c r="C664" s="91" t="s">
        <v>5160</v>
      </c>
      <c r="E664" s="111"/>
    </row>
    <row r="665" spans="3:5" ht="20.25" customHeight="1">
      <c r="C665" s="91" t="s">
        <v>4592</v>
      </c>
      <c r="E665" s="111"/>
    </row>
    <row r="666" spans="3:5" ht="20.25" customHeight="1">
      <c r="C666" s="91" t="s">
        <v>5161</v>
      </c>
      <c r="E666" s="111"/>
    </row>
    <row r="667" spans="3:5" ht="20.25" customHeight="1">
      <c r="C667" s="91" t="s">
        <v>5162</v>
      </c>
      <c r="E667" s="117">
        <v>45040</v>
      </c>
    </row>
    <row r="668" spans="3:5" ht="20.25" customHeight="1">
      <c r="C668" s="91" t="s">
        <v>5163</v>
      </c>
      <c r="E668" s="111"/>
    </row>
    <row r="669" spans="3:5" ht="20.25" customHeight="1">
      <c r="C669" s="91" t="s">
        <v>5164</v>
      </c>
      <c r="E669" s="111"/>
    </row>
    <row r="670" spans="3:5" ht="20.25" customHeight="1">
      <c r="C670" s="91" t="s">
        <v>5165</v>
      </c>
      <c r="E670" s="103"/>
    </row>
    <row r="671" spans="3:5" ht="20.25" customHeight="1">
      <c r="C671" s="91" t="s">
        <v>5166</v>
      </c>
      <c r="E671" s="111"/>
    </row>
    <row r="672" spans="3:5" ht="20.25" customHeight="1">
      <c r="C672" s="91" t="s">
        <v>5167</v>
      </c>
      <c r="E672" s="111"/>
    </row>
    <row r="673" spans="3:5" ht="20.25" customHeight="1">
      <c r="C673" s="91" t="s">
        <v>5168</v>
      </c>
      <c r="E673" s="104">
        <v>44922</v>
      </c>
    </row>
    <row r="674" spans="3:5" ht="20.25" customHeight="1">
      <c r="C674" s="91" t="s">
        <v>5169</v>
      </c>
      <c r="E674" s="111"/>
    </row>
    <row r="675" spans="3:5" ht="20.25" customHeight="1">
      <c r="C675" s="91" t="s">
        <v>5170</v>
      </c>
      <c r="E675" s="111"/>
    </row>
    <row r="676" spans="3:5" ht="20.25" customHeight="1">
      <c r="C676" s="91" t="s">
        <v>5171</v>
      </c>
      <c r="E676" s="111"/>
    </row>
    <row r="677" spans="3:5" ht="20.25" customHeight="1">
      <c r="C677" s="91" t="s">
        <v>5172</v>
      </c>
      <c r="E677" s="111"/>
    </row>
    <row r="678" spans="3:5" ht="20.25" customHeight="1">
      <c r="C678" s="91" t="s">
        <v>5173</v>
      </c>
      <c r="E678" s="111" t="s">
        <v>4355</v>
      </c>
    </row>
    <row r="679" spans="3:5" ht="20.25" customHeight="1">
      <c r="C679" s="91" t="s">
        <v>5174</v>
      </c>
      <c r="E679" s="111" t="s">
        <v>4355</v>
      </c>
    </row>
    <row r="680" spans="3:5" ht="20.25" customHeight="1">
      <c r="C680" s="91" t="s">
        <v>5175</v>
      </c>
      <c r="E680" s="111"/>
    </row>
    <row r="681" spans="3:5" ht="20.25" customHeight="1">
      <c r="C681" s="91" t="s">
        <v>5176</v>
      </c>
      <c r="E681" s="111" t="s">
        <v>4355</v>
      </c>
    </row>
    <row r="682" spans="3:5" ht="20.25" customHeight="1">
      <c r="C682" s="91" t="s">
        <v>5177</v>
      </c>
      <c r="E682" s="111"/>
    </row>
    <row r="683" spans="3:5" ht="20.25" customHeight="1">
      <c r="C683" s="91" t="s">
        <v>5178</v>
      </c>
      <c r="E683" s="111"/>
    </row>
    <row r="684" spans="3:5" ht="20.25" customHeight="1">
      <c r="C684" s="91" t="s">
        <v>5179</v>
      </c>
      <c r="E684" s="111"/>
    </row>
    <row r="685" spans="3:5" ht="20.25" customHeight="1">
      <c r="C685" s="91" t="s">
        <v>5180</v>
      </c>
      <c r="E685" s="103" t="s">
        <v>4355</v>
      </c>
    </row>
    <row r="686" spans="3:5" ht="20.25" customHeight="1">
      <c r="C686" s="91" t="s">
        <v>5181</v>
      </c>
      <c r="E686" s="117">
        <v>45040</v>
      </c>
    </row>
    <row r="687" spans="3:5" ht="20.25" customHeight="1">
      <c r="C687" s="91" t="s">
        <v>5182</v>
      </c>
      <c r="E687" s="111"/>
    </row>
    <row r="688" spans="3:5" ht="20.25" customHeight="1">
      <c r="C688" s="91" t="s">
        <v>5183</v>
      </c>
      <c r="E688" s="103" t="s">
        <v>4355</v>
      </c>
    </row>
    <row r="689" spans="3:5" ht="20.25" customHeight="1">
      <c r="C689" s="91" t="s">
        <v>5184</v>
      </c>
      <c r="E689" s="107">
        <v>45148</v>
      </c>
    </row>
    <row r="690" spans="3:5" ht="20.25" customHeight="1">
      <c r="C690" s="91" t="s">
        <v>5185</v>
      </c>
      <c r="E690" s="111"/>
    </row>
    <row r="691" spans="3:5" ht="20.25" customHeight="1">
      <c r="C691" s="91" t="s">
        <v>5186</v>
      </c>
      <c r="E691" s="107">
        <v>45049</v>
      </c>
    </row>
    <row r="692" spans="3:5" ht="20.25" customHeight="1">
      <c r="C692" s="91" t="s">
        <v>5187</v>
      </c>
      <c r="E692" s="103" t="s">
        <v>4355</v>
      </c>
    </row>
    <row r="693" spans="3:5" ht="20.25" customHeight="1">
      <c r="C693" s="91" t="s">
        <v>5188</v>
      </c>
      <c r="E693" s="111" t="s">
        <v>4355</v>
      </c>
    </row>
    <row r="694" spans="3:5" ht="20.25" customHeight="1">
      <c r="C694" s="91" t="s">
        <v>5189</v>
      </c>
      <c r="E694" s="111"/>
    </row>
    <row r="695" spans="3:5" ht="20.25" customHeight="1">
      <c r="C695" s="91" t="s">
        <v>5190</v>
      </c>
      <c r="E695" s="111"/>
    </row>
    <row r="696" spans="3:5" ht="20.25" customHeight="1">
      <c r="C696" s="91" t="s">
        <v>5191</v>
      </c>
      <c r="E696" s="107">
        <v>45049</v>
      </c>
    </row>
    <row r="697" spans="3:5" ht="20.25" customHeight="1">
      <c r="C697" s="91" t="s">
        <v>5192</v>
      </c>
      <c r="E697" s="104">
        <v>45058</v>
      </c>
    </row>
    <row r="698" spans="3:5" ht="20.25" customHeight="1">
      <c r="C698" s="91" t="s">
        <v>5193</v>
      </c>
      <c r="E698" s="111"/>
    </row>
    <row r="699" spans="3:5" ht="20.25" customHeight="1">
      <c r="C699" s="91" t="s">
        <v>5194</v>
      </c>
      <c r="E699" s="117">
        <v>45040</v>
      </c>
    </row>
    <row r="700" spans="3:5" ht="20.25" customHeight="1">
      <c r="C700" s="91" t="s">
        <v>5195</v>
      </c>
      <c r="E700" s="111"/>
    </row>
    <row r="701" spans="3:5" ht="20.25" customHeight="1">
      <c r="C701" s="91" t="s">
        <v>5196</v>
      </c>
      <c r="E701" s="103" t="s">
        <v>4355</v>
      </c>
    </row>
    <row r="702" spans="3:5" ht="20.25" customHeight="1">
      <c r="C702" s="91" t="s">
        <v>5197</v>
      </c>
      <c r="E702" s="111"/>
    </row>
    <row r="703" spans="3:5" ht="20.25" customHeight="1">
      <c r="C703" s="91" t="s">
        <v>5198</v>
      </c>
      <c r="E703" s="111"/>
    </row>
    <row r="704" spans="3:5" ht="20.25" customHeight="1">
      <c r="C704" s="91" t="s">
        <v>5199</v>
      </c>
      <c r="E704" s="111"/>
    </row>
    <row r="705" spans="3:5" ht="20.25" customHeight="1">
      <c r="C705" s="91" t="s">
        <v>5200</v>
      </c>
      <c r="E705" s="103" t="s">
        <v>4355</v>
      </c>
    </row>
    <row r="706" spans="3:5" ht="20.25" customHeight="1">
      <c r="C706" s="91" t="s">
        <v>5201</v>
      </c>
      <c r="E706" s="111"/>
    </row>
    <row r="707" spans="3:5" ht="20.25" customHeight="1">
      <c r="C707" s="91" t="s">
        <v>5202</v>
      </c>
      <c r="E707" s="111"/>
    </row>
    <row r="708" spans="3:5" ht="20.25" customHeight="1">
      <c r="C708" s="91" t="s">
        <v>5203</v>
      </c>
      <c r="E708" s="111"/>
    </row>
    <row r="709" spans="3:5" ht="20.25" customHeight="1">
      <c r="C709" s="91" t="s">
        <v>5204</v>
      </c>
      <c r="E709" s="103" t="s">
        <v>4355</v>
      </c>
    </row>
    <row r="710" spans="3:5" ht="20.25" customHeight="1">
      <c r="C710" s="91" t="s">
        <v>5205</v>
      </c>
      <c r="E710" s="103" t="s">
        <v>4355</v>
      </c>
    </row>
    <row r="711" spans="3:5" ht="20.25" customHeight="1">
      <c r="C711" s="91" t="s">
        <v>5206</v>
      </c>
      <c r="E711" s="111"/>
    </row>
    <row r="712" spans="3:5" ht="20.25" customHeight="1">
      <c r="C712" s="91" t="s">
        <v>5207</v>
      </c>
      <c r="E712" s="103" t="s">
        <v>4355</v>
      </c>
    </row>
    <row r="713" spans="3:5" ht="20.25" customHeight="1">
      <c r="C713" s="91" t="s">
        <v>5208</v>
      </c>
      <c r="E713" s="111"/>
    </row>
    <row r="714" spans="3:5" ht="20.25" customHeight="1">
      <c r="C714" s="91" t="s">
        <v>5209</v>
      </c>
      <c r="E714" s="111"/>
    </row>
    <row r="715" spans="3:5" ht="20.25" customHeight="1">
      <c r="C715" s="91" t="s">
        <v>5210</v>
      </c>
      <c r="E715" s="103" t="s">
        <v>4355</v>
      </c>
    </row>
    <row r="716" spans="3:5" ht="20.25" customHeight="1">
      <c r="C716" s="91" t="s">
        <v>5211</v>
      </c>
      <c r="E716" s="117">
        <v>45040</v>
      </c>
    </row>
    <row r="717" spans="3:5" ht="20.25" customHeight="1">
      <c r="C717" s="91" t="s">
        <v>5212</v>
      </c>
      <c r="E717" s="111"/>
    </row>
    <row r="718" spans="3:5" ht="20.25" customHeight="1">
      <c r="C718" s="91" t="s">
        <v>4594</v>
      </c>
      <c r="E718" s="103" t="s">
        <v>4355</v>
      </c>
    </row>
    <row r="719" spans="3:5" ht="20.25" customHeight="1">
      <c r="C719" s="91" t="s">
        <v>5213</v>
      </c>
      <c r="E719" s="104">
        <v>44923</v>
      </c>
    </row>
    <row r="720" spans="3:5" ht="20.25" customHeight="1">
      <c r="C720" s="91" t="s">
        <v>5214</v>
      </c>
      <c r="E720" s="111"/>
    </row>
    <row r="721" spans="3:5" ht="20.25" customHeight="1">
      <c r="C721" s="91" t="s">
        <v>5215</v>
      </c>
      <c r="E721" s="104">
        <v>44877</v>
      </c>
    </row>
    <row r="722" spans="3:5" ht="20.25" customHeight="1">
      <c r="C722" s="91" t="s">
        <v>5216</v>
      </c>
      <c r="E722" s="111"/>
    </row>
    <row r="723" spans="3:5" ht="20.25" customHeight="1">
      <c r="C723" s="91" t="s">
        <v>5217</v>
      </c>
      <c r="E723" s="111"/>
    </row>
    <row r="724" spans="3:5" ht="20.25" customHeight="1">
      <c r="C724" s="91" t="s">
        <v>5218</v>
      </c>
      <c r="E724" s="117">
        <v>45040</v>
      </c>
    </row>
    <row r="725" spans="3:5" ht="20.25" customHeight="1">
      <c r="C725" s="91" t="s">
        <v>5219</v>
      </c>
      <c r="E725" s="103" t="s">
        <v>4355</v>
      </c>
    </row>
    <row r="726" spans="3:5" ht="20.25" customHeight="1">
      <c r="C726" s="93" t="s">
        <v>5220</v>
      </c>
      <c r="E726" s="111"/>
    </row>
    <row r="727" spans="3:5" ht="20.25" customHeight="1">
      <c r="C727" s="91" t="s">
        <v>4596</v>
      </c>
      <c r="E727" s="111"/>
    </row>
    <row r="728" spans="3:5" ht="20.25" customHeight="1">
      <c r="C728" s="91" t="s">
        <v>5221</v>
      </c>
      <c r="E728" s="111"/>
    </row>
    <row r="729" spans="3:5" ht="20.25" customHeight="1">
      <c r="C729" s="91" t="s">
        <v>5222</v>
      </c>
      <c r="E729" s="111"/>
    </row>
    <row r="730" spans="3:5" ht="20.25" customHeight="1">
      <c r="C730" s="91" t="s">
        <v>4598</v>
      </c>
      <c r="E730" s="111"/>
    </row>
    <row r="731" spans="3:5" ht="20.25" customHeight="1">
      <c r="C731" s="91" t="s">
        <v>5223</v>
      </c>
      <c r="E731" s="111"/>
    </row>
    <row r="732" spans="3:5" ht="20.25" customHeight="1">
      <c r="C732" s="91" t="s">
        <v>5224</v>
      </c>
      <c r="E732" s="111"/>
    </row>
    <row r="733" spans="3:5" ht="20.25" customHeight="1">
      <c r="C733" s="97" t="s">
        <v>4600</v>
      </c>
      <c r="E733" s="111"/>
    </row>
    <row r="734" spans="3:5" ht="20.25" customHeight="1">
      <c r="C734" s="91" t="s">
        <v>5225</v>
      </c>
      <c r="E734" s="111"/>
    </row>
    <row r="735" spans="3:5" ht="20.25" customHeight="1">
      <c r="C735" s="91" t="s">
        <v>5226</v>
      </c>
      <c r="E735" s="111"/>
    </row>
    <row r="736" spans="3:5" ht="20.25" customHeight="1">
      <c r="C736" s="91" t="s">
        <v>5227</v>
      </c>
      <c r="E736" s="107">
        <v>45049</v>
      </c>
    </row>
    <row r="737" spans="3:5" ht="20.25" customHeight="1">
      <c r="C737" s="91" t="s">
        <v>5228</v>
      </c>
      <c r="E737" s="117">
        <v>45040</v>
      </c>
    </row>
    <row r="738" spans="3:5" ht="20.25" customHeight="1">
      <c r="C738" s="91" t="s">
        <v>5229</v>
      </c>
      <c r="E738" s="111"/>
    </row>
    <row r="739" spans="3:5" ht="20.25" customHeight="1">
      <c r="C739" s="91" t="s">
        <v>5230</v>
      </c>
      <c r="E739" s="111"/>
    </row>
    <row r="740" spans="3:5" ht="20.25" customHeight="1">
      <c r="C740" s="94" t="s">
        <v>5231</v>
      </c>
      <c r="E740" s="103" t="s">
        <v>4355</v>
      </c>
    </row>
    <row r="741" spans="3:5" ht="20.25" customHeight="1">
      <c r="C741" s="91" t="s">
        <v>5232</v>
      </c>
      <c r="E741" s="111"/>
    </row>
    <row r="742" spans="3:5" ht="20.25" customHeight="1">
      <c r="C742" s="91" t="s">
        <v>5233</v>
      </c>
      <c r="E742" s="111"/>
    </row>
    <row r="743" spans="3:5" ht="20.25" customHeight="1">
      <c r="C743" s="91" t="s">
        <v>5234</v>
      </c>
      <c r="E743" s="111"/>
    </row>
    <row r="744" spans="3:5" ht="20.25" customHeight="1">
      <c r="C744" s="91" t="s">
        <v>5235</v>
      </c>
      <c r="E744" s="111"/>
    </row>
    <row r="745" spans="3:5" ht="20.25" customHeight="1">
      <c r="C745" s="91" t="s">
        <v>5236</v>
      </c>
      <c r="E745" s="111"/>
    </row>
    <row r="746" spans="3:5" ht="20.25" customHeight="1">
      <c r="C746" s="91" t="s">
        <v>5237</v>
      </c>
      <c r="E746" s="111"/>
    </row>
    <row r="747" spans="3:5" ht="20.25" customHeight="1">
      <c r="C747" s="91" t="s">
        <v>5238</v>
      </c>
      <c r="E747" s="103" t="s">
        <v>4355</v>
      </c>
    </row>
    <row r="748" spans="3:5" ht="20.25" customHeight="1">
      <c r="C748" s="91" t="s">
        <v>5239</v>
      </c>
      <c r="E748" s="107">
        <v>45105</v>
      </c>
    </row>
    <row r="749" spans="3:5" ht="20.25" customHeight="1">
      <c r="C749" s="91" t="s">
        <v>5240</v>
      </c>
      <c r="E749" s="117">
        <v>45040</v>
      </c>
    </row>
    <row r="750" spans="3:5" ht="20.25" customHeight="1">
      <c r="C750" s="91" t="s">
        <v>5241</v>
      </c>
      <c r="E750" s="111"/>
    </row>
    <row r="751" spans="3:5" ht="20.25" customHeight="1">
      <c r="C751" s="91" t="s">
        <v>5242</v>
      </c>
      <c r="E751" s="103" t="s">
        <v>4355</v>
      </c>
    </row>
    <row r="752" spans="3:5" ht="20.25" customHeight="1">
      <c r="C752" s="91" t="s">
        <v>5243</v>
      </c>
      <c r="E752" s="103" t="s">
        <v>4355</v>
      </c>
    </row>
    <row r="753" spans="3:5" ht="20.25" customHeight="1">
      <c r="C753" s="91" t="s">
        <v>5244</v>
      </c>
      <c r="E753" s="111"/>
    </row>
    <row r="754" spans="3:5" ht="20.25" customHeight="1">
      <c r="C754" s="91" t="s">
        <v>5245</v>
      </c>
      <c r="E754" s="111"/>
    </row>
    <row r="755" spans="3:5" ht="20.25" customHeight="1">
      <c r="C755" s="91" t="s">
        <v>5246</v>
      </c>
      <c r="E755" s="111"/>
    </row>
    <row r="756" spans="3:5" ht="20.25" customHeight="1">
      <c r="C756" s="91" t="s">
        <v>5247</v>
      </c>
      <c r="E756" s="103" t="s">
        <v>4355</v>
      </c>
    </row>
    <row r="757" spans="3:5" ht="20.25" customHeight="1">
      <c r="C757" s="91" t="s">
        <v>5248</v>
      </c>
      <c r="E757" s="111"/>
    </row>
    <row r="758" spans="3:5" ht="20.25" customHeight="1">
      <c r="C758" s="91" t="s">
        <v>5249</v>
      </c>
      <c r="E758" s="104">
        <v>44910</v>
      </c>
    </row>
    <row r="759" spans="3:5" ht="20.25" customHeight="1">
      <c r="C759" s="91" t="s">
        <v>5250</v>
      </c>
      <c r="E759" s="111"/>
    </row>
    <row r="760" spans="3:5" ht="20.25" customHeight="1">
      <c r="C760" s="91" t="s">
        <v>5251</v>
      </c>
      <c r="E760" s="103" t="s">
        <v>4355</v>
      </c>
    </row>
    <row r="761" spans="3:5" ht="20.25" customHeight="1">
      <c r="C761" s="91" t="s">
        <v>5252</v>
      </c>
      <c r="E761" s="111"/>
    </row>
    <row r="762" spans="3:5" ht="20.25" customHeight="1">
      <c r="C762" s="91" t="s">
        <v>5253</v>
      </c>
      <c r="E762" s="111"/>
    </row>
    <row r="763" spans="3:5" ht="20.25" customHeight="1">
      <c r="C763" s="91" t="s">
        <v>5254</v>
      </c>
      <c r="E763" s="111"/>
    </row>
    <row r="764" spans="3:5" ht="20.25" customHeight="1">
      <c r="C764" s="91" t="s">
        <v>5255</v>
      </c>
      <c r="E764" s="111"/>
    </row>
    <row r="765" spans="3:5" ht="20.25" customHeight="1">
      <c r="C765" s="91" t="s">
        <v>5256</v>
      </c>
      <c r="E765" s="117">
        <v>45040</v>
      </c>
    </row>
    <row r="766" spans="3:5" ht="20.25" customHeight="1">
      <c r="C766" s="91" t="s">
        <v>5257</v>
      </c>
      <c r="E766" s="117">
        <v>45040</v>
      </c>
    </row>
    <row r="767" spans="3:5" ht="20.25" customHeight="1">
      <c r="C767" s="91" t="s">
        <v>5258</v>
      </c>
      <c r="E767" s="111"/>
    </row>
    <row r="768" spans="3:5" ht="20.25" customHeight="1">
      <c r="C768" s="91" t="s">
        <v>5259</v>
      </c>
      <c r="E768" s="111"/>
    </row>
    <row r="769" spans="3:5" ht="20.25" customHeight="1">
      <c r="C769" s="91" t="s">
        <v>5260</v>
      </c>
      <c r="E769" s="117">
        <v>45040</v>
      </c>
    </row>
    <row r="770" spans="3:5" ht="20.25" customHeight="1">
      <c r="C770" s="91" t="s">
        <v>5261</v>
      </c>
      <c r="E770" s="104">
        <v>44890</v>
      </c>
    </row>
    <row r="771" spans="3:5" ht="20.25" customHeight="1">
      <c r="C771" s="91" t="s">
        <v>5262</v>
      </c>
      <c r="E771" s="111"/>
    </row>
    <row r="772" spans="3:5" ht="20.25" customHeight="1">
      <c r="C772" s="91" t="s">
        <v>5263</v>
      </c>
      <c r="E772" s="117">
        <v>45040</v>
      </c>
    </row>
    <row r="773" spans="3:5" ht="20.25" customHeight="1">
      <c r="C773" s="91" t="s">
        <v>5264</v>
      </c>
      <c r="E773" s="108"/>
    </row>
    <row r="774" spans="3:5" ht="20.25" customHeight="1">
      <c r="C774" s="91" t="s">
        <v>5265</v>
      </c>
      <c r="E774" s="111"/>
    </row>
    <row r="775" spans="3:5" ht="20.25" customHeight="1">
      <c r="C775" s="91" t="s">
        <v>5266</v>
      </c>
      <c r="E775" s="117">
        <v>45040</v>
      </c>
    </row>
    <row r="776" spans="3:5" ht="20.25" customHeight="1">
      <c r="C776" s="91" t="s">
        <v>5267</v>
      </c>
      <c r="E776" s="111"/>
    </row>
    <row r="777" spans="3:5" ht="20.25" customHeight="1">
      <c r="C777" s="91" t="s">
        <v>5268</v>
      </c>
      <c r="E777" s="111"/>
    </row>
    <row r="778" spans="3:5" ht="20.25" customHeight="1">
      <c r="C778" s="91" t="s">
        <v>5269</v>
      </c>
      <c r="E778" s="117">
        <v>45040</v>
      </c>
    </row>
    <row r="779" spans="3:5" ht="20.25" customHeight="1">
      <c r="C779" s="91" t="s">
        <v>5270</v>
      </c>
      <c r="E779" s="104">
        <v>44922</v>
      </c>
    </row>
    <row r="780" spans="3:5" ht="20.25" customHeight="1">
      <c r="C780" s="91" t="s">
        <v>5271</v>
      </c>
      <c r="E780" s="111"/>
    </row>
    <row r="781" spans="3:5" ht="20.25" customHeight="1">
      <c r="C781" s="91" t="s">
        <v>5272</v>
      </c>
      <c r="E781" s="111"/>
    </row>
    <row r="782" spans="3:5" ht="20.25" customHeight="1">
      <c r="C782" s="91" t="s">
        <v>5273</v>
      </c>
      <c r="E782" s="103" t="s">
        <v>4355</v>
      </c>
    </row>
    <row r="783" spans="3:5" ht="20.25" customHeight="1">
      <c r="C783" s="91" t="s">
        <v>5274</v>
      </c>
      <c r="E783" s="104">
        <v>45056</v>
      </c>
    </row>
    <row r="784" spans="3:5" ht="20.25" customHeight="1">
      <c r="C784" s="91" t="s">
        <v>4602</v>
      </c>
      <c r="E784" s="111"/>
    </row>
    <row r="785" spans="3:5" ht="20.25" customHeight="1">
      <c r="C785" s="91" t="s">
        <v>4604</v>
      </c>
      <c r="E785" s="103" t="s">
        <v>4355</v>
      </c>
    </row>
    <row r="786" spans="3:5" ht="20.25" customHeight="1">
      <c r="C786" s="91" t="s">
        <v>5275</v>
      </c>
      <c r="E786" s="111" t="s">
        <v>4355</v>
      </c>
    </row>
    <row r="787" spans="3:5" ht="20.25" customHeight="1">
      <c r="C787" s="91" t="s">
        <v>5276</v>
      </c>
      <c r="E787" s="103" t="s">
        <v>4355</v>
      </c>
    </row>
    <row r="788" spans="3:5" ht="20.25" customHeight="1">
      <c r="C788" s="91" t="s">
        <v>5277</v>
      </c>
      <c r="E788" s="111"/>
    </row>
    <row r="789" spans="3:5" ht="20.25" customHeight="1">
      <c r="C789" s="91" t="s">
        <v>5278</v>
      </c>
      <c r="E789" s="111"/>
    </row>
    <row r="790" spans="3:5" ht="20.25" customHeight="1">
      <c r="C790" s="91" t="s">
        <v>5279</v>
      </c>
      <c r="E790" s="111"/>
    </row>
    <row r="791" spans="3:5" ht="20.25" customHeight="1">
      <c r="C791" s="91" t="s">
        <v>5280</v>
      </c>
      <c r="E791" s="111"/>
    </row>
    <row r="792" spans="3:5" ht="20.25" customHeight="1">
      <c r="C792" s="91" t="s">
        <v>5281</v>
      </c>
      <c r="E792" s="111"/>
    </row>
    <row r="793" spans="3:5" ht="20.25" customHeight="1">
      <c r="C793" s="91" t="s">
        <v>5282</v>
      </c>
      <c r="E793" s="111"/>
    </row>
    <row r="794" spans="3:5" ht="20.25" customHeight="1">
      <c r="C794" s="91" t="s">
        <v>5283</v>
      </c>
      <c r="E794" s="111"/>
    </row>
    <row r="795" spans="3:5" ht="20.25" customHeight="1">
      <c r="C795" s="91" t="s">
        <v>5284</v>
      </c>
      <c r="E795" s="111"/>
    </row>
    <row r="796" spans="3:5" ht="20.25" customHeight="1">
      <c r="C796" s="91" t="s">
        <v>5285</v>
      </c>
      <c r="E796" s="111"/>
    </row>
    <row r="797" spans="3:5" ht="20.25" customHeight="1">
      <c r="C797" s="91" t="s">
        <v>5286</v>
      </c>
      <c r="E797" s="111"/>
    </row>
    <row r="798" spans="3:5" ht="20.25" customHeight="1">
      <c r="C798" s="91" t="s">
        <v>5287</v>
      </c>
      <c r="E798" s="103" t="s">
        <v>4355</v>
      </c>
    </row>
    <row r="799" spans="3:5" ht="20.25" customHeight="1">
      <c r="C799" s="91" t="s">
        <v>5288</v>
      </c>
      <c r="E799" s="103" t="s">
        <v>4355</v>
      </c>
    </row>
    <row r="800" spans="3:5" ht="20.25" customHeight="1">
      <c r="C800" s="91" t="s">
        <v>5289</v>
      </c>
      <c r="E800" s="103" t="s">
        <v>4355</v>
      </c>
    </row>
    <row r="801" spans="3:5" ht="20.25" customHeight="1">
      <c r="C801" s="91" t="s">
        <v>5290</v>
      </c>
      <c r="E801" s="112"/>
    </row>
    <row r="802" spans="3:5" ht="20.25" customHeight="1">
      <c r="C802" s="91" t="s">
        <v>5291</v>
      </c>
      <c r="E802" s="111"/>
    </row>
    <row r="803" spans="3:5" ht="20.25" customHeight="1">
      <c r="C803" s="91" t="s">
        <v>5292</v>
      </c>
      <c r="E803" s="111"/>
    </row>
    <row r="804" spans="3:5" ht="20.25" customHeight="1">
      <c r="C804" s="91" t="s">
        <v>5293</v>
      </c>
      <c r="E804" s="111"/>
    </row>
    <row r="805" spans="3:5" ht="20.25" customHeight="1">
      <c r="C805" s="91" t="s">
        <v>5294</v>
      </c>
      <c r="E805" s="111"/>
    </row>
    <row r="806" spans="3:5" ht="20.25" customHeight="1">
      <c r="C806" s="92" t="s">
        <v>5295</v>
      </c>
      <c r="E806" s="111"/>
    </row>
    <row r="807" spans="3:5" ht="20.25" customHeight="1">
      <c r="C807" s="92" t="s">
        <v>5296</v>
      </c>
      <c r="E807" s="111"/>
    </row>
    <row r="808" spans="3:5" ht="20.25" customHeight="1">
      <c r="C808" s="91" t="s">
        <v>5297</v>
      </c>
      <c r="E808" s="111"/>
    </row>
    <row r="809" spans="3:5" ht="20.25" customHeight="1">
      <c r="C809" s="92" t="s">
        <v>5298</v>
      </c>
      <c r="E809" s="111"/>
    </row>
    <row r="810" spans="3:5" ht="20.25" customHeight="1">
      <c r="C810" s="92" t="s">
        <v>5299</v>
      </c>
      <c r="E810" s="111"/>
    </row>
    <row r="811" spans="3:5" ht="20.25" customHeight="1">
      <c r="C811" s="92" t="s">
        <v>5300</v>
      </c>
      <c r="E811" s="111"/>
    </row>
    <row r="812" spans="3:5" ht="20.25" customHeight="1">
      <c r="C812" s="92" t="s">
        <v>5301</v>
      </c>
      <c r="E812" s="111"/>
    </row>
    <row r="813" spans="3:5" ht="20.25" customHeight="1">
      <c r="C813" s="92" t="s">
        <v>5302</v>
      </c>
      <c r="E813" s="111"/>
    </row>
    <row r="814" spans="3:5" ht="20.25" customHeight="1">
      <c r="C814" s="92" t="s">
        <v>5303</v>
      </c>
      <c r="E814" s="111"/>
    </row>
    <row r="815" spans="3:5" ht="20.25" customHeight="1">
      <c r="C815" s="92" t="s">
        <v>5304</v>
      </c>
      <c r="E815" s="111"/>
    </row>
    <row r="816" spans="3:5" ht="20.25" customHeight="1">
      <c r="C816" s="92" t="s">
        <v>5305</v>
      </c>
      <c r="E816" s="111"/>
    </row>
    <row r="817" spans="3:5" ht="20.25" customHeight="1">
      <c r="C817" s="92" t="s">
        <v>5306</v>
      </c>
      <c r="E817" s="111"/>
    </row>
    <row r="818" spans="3:5" ht="20.25" customHeight="1">
      <c r="C818" s="92" t="s">
        <v>5307</v>
      </c>
      <c r="E818" s="111"/>
    </row>
    <row r="819" spans="3:5" ht="20.25" customHeight="1">
      <c r="C819" s="92" t="s">
        <v>5308</v>
      </c>
      <c r="E819" s="111"/>
    </row>
    <row r="820" spans="3:5" ht="20.25" customHeight="1">
      <c r="C820" s="92" t="s">
        <v>5309</v>
      </c>
      <c r="E820" s="111"/>
    </row>
    <row r="821" spans="3:5" ht="20.25" customHeight="1">
      <c r="C821" s="92" t="s">
        <v>5310</v>
      </c>
      <c r="E821" s="111"/>
    </row>
    <row r="822" spans="3:5" ht="20.25" customHeight="1">
      <c r="C822" s="92" t="s">
        <v>5311</v>
      </c>
      <c r="E822" s="111"/>
    </row>
    <row r="823" spans="3:5" ht="20.25" customHeight="1">
      <c r="C823" s="92" t="s">
        <v>5312</v>
      </c>
      <c r="E823" s="111"/>
    </row>
    <row r="824" spans="3:5" ht="20.25" customHeight="1">
      <c r="C824" s="92" t="s">
        <v>5313</v>
      </c>
      <c r="E824" s="111"/>
    </row>
    <row r="825" spans="3:5" ht="20.25" customHeight="1">
      <c r="C825" s="92" t="s">
        <v>5314</v>
      </c>
      <c r="E825" s="111"/>
    </row>
    <row r="826" spans="3:5" ht="20.25" customHeight="1">
      <c r="C826" s="92" t="s">
        <v>5315</v>
      </c>
      <c r="E826" s="111"/>
    </row>
    <row r="827" spans="3:5" ht="20.25" customHeight="1">
      <c r="C827" s="92" t="s">
        <v>5316</v>
      </c>
      <c r="E827" s="111"/>
    </row>
    <row r="828" spans="3:5" ht="20.25" customHeight="1">
      <c r="C828" s="92" t="s">
        <v>5317</v>
      </c>
      <c r="E828" s="111"/>
    </row>
    <row r="829" spans="3:5" ht="20.25" customHeight="1">
      <c r="C829" s="92" t="s">
        <v>5318</v>
      </c>
      <c r="E829" s="111"/>
    </row>
    <row r="830" spans="3:5" ht="20.25" customHeight="1">
      <c r="C830" s="92" t="s">
        <v>5319</v>
      </c>
      <c r="E830" s="111"/>
    </row>
    <row r="831" spans="3:5" ht="20.25" customHeight="1">
      <c r="C831" s="92" t="s">
        <v>5320</v>
      </c>
      <c r="E831" s="111"/>
    </row>
    <row r="832" spans="3:5" ht="20.25" customHeight="1">
      <c r="C832" s="92" t="s">
        <v>5321</v>
      </c>
      <c r="E832" s="111"/>
    </row>
    <row r="833" spans="3:5" ht="20.25" customHeight="1">
      <c r="C833" s="92" t="s">
        <v>5322</v>
      </c>
      <c r="E833" s="111"/>
    </row>
    <row r="834" spans="3:5" ht="20.25" customHeight="1">
      <c r="C834" s="92" t="s">
        <v>5323</v>
      </c>
      <c r="E834" s="111"/>
    </row>
    <row r="835" spans="3:5" ht="20.25" customHeight="1">
      <c r="C835" s="92" t="s">
        <v>5324</v>
      </c>
      <c r="E835" s="103" t="s">
        <v>4355</v>
      </c>
    </row>
    <row r="836" spans="3:5" ht="20.25" customHeight="1">
      <c r="C836" s="92" t="s">
        <v>5325</v>
      </c>
      <c r="E836" s="111"/>
    </row>
    <row r="837" spans="3:5" ht="20.25" customHeight="1">
      <c r="C837" s="92" t="s">
        <v>5326</v>
      </c>
      <c r="E837" s="111"/>
    </row>
    <row r="838" spans="3:5" ht="20.25" customHeight="1">
      <c r="C838" s="92" t="s">
        <v>4606</v>
      </c>
      <c r="E838" s="111"/>
    </row>
    <row r="839" spans="3:5" ht="20.25" customHeight="1">
      <c r="C839" s="92" t="s">
        <v>5327</v>
      </c>
      <c r="E839" s="111"/>
    </row>
    <row r="840" spans="3:5" ht="20.25" customHeight="1">
      <c r="C840" s="92" t="s">
        <v>5328</v>
      </c>
      <c r="E840" s="107">
        <v>45065</v>
      </c>
    </row>
    <row r="841" spans="3:5" ht="20.25" customHeight="1">
      <c r="C841" s="92" t="s">
        <v>5329</v>
      </c>
      <c r="E841" s="103" t="s">
        <v>4355</v>
      </c>
    </row>
    <row r="842" spans="3:5" ht="20.25" customHeight="1">
      <c r="C842" s="92" t="s">
        <v>5330</v>
      </c>
      <c r="E842" s="107">
        <v>45148</v>
      </c>
    </row>
    <row r="843" spans="3:5" ht="20.25" customHeight="1">
      <c r="C843" s="92" t="s">
        <v>5331</v>
      </c>
      <c r="E843" s="103" t="s">
        <v>4355</v>
      </c>
    </row>
    <row r="844" spans="3:5" ht="20.25" customHeight="1">
      <c r="C844" s="92" t="s">
        <v>4608</v>
      </c>
      <c r="E844" s="103" t="s">
        <v>4355</v>
      </c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11"/>
    </row>
    <row r="848" spans="3:5" ht="20.25" customHeight="1">
      <c r="C848" s="93"/>
      <c r="E848" s="104">
        <v>44910</v>
      </c>
    </row>
    <row r="849" spans="3:5" ht="20.25" customHeight="1">
      <c r="C849" s="93"/>
      <c r="E849" s="107">
        <v>45065</v>
      </c>
    </row>
    <row r="850" spans="3:5" ht="20.25" customHeight="1">
      <c r="C850" s="93"/>
      <c r="E850" s="103" t="s">
        <v>4355</v>
      </c>
    </row>
    <row r="851" spans="3:5" ht="20.25" customHeight="1">
      <c r="C851" s="93"/>
      <c r="E851" s="103" t="s">
        <v>4355</v>
      </c>
    </row>
    <row r="852" spans="3:5" ht="20.25" customHeight="1">
      <c r="C852" s="93"/>
      <c r="E852" s="107">
        <v>45049</v>
      </c>
    </row>
    <row r="854" spans="3:5" ht="20.25" customHeight="1">
      <c r="E854" s="103" t="s">
        <v>4355</v>
      </c>
    </row>
    <row r="855" spans="3:5" ht="20.25" customHeight="1">
      <c r="E855" s="117">
        <v>45040</v>
      </c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11"/>
    </row>
    <row r="868" spans="5:5" ht="20.25" customHeight="1">
      <c r="E868" s="103" t="s">
        <v>4355</v>
      </c>
    </row>
    <row r="905" spans="5:5" ht="20.25" customHeight="1">
      <c r="E905" s="103" t="s">
        <v>4355</v>
      </c>
    </row>
    <row r="906" spans="5:5" ht="20.25" customHeight="1">
      <c r="E906" s="103" t="s">
        <v>4355</v>
      </c>
    </row>
    <row r="917" spans="5:5" ht="20.25" customHeight="1">
      <c r="E917" s="103" t="s">
        <v>4355</v>
      </c>
    </row>
    <row r="918" spans="5:5" ht="20.25" customHeight="1">
      <c r="E918" s="103" t="s">
        <v>4355</v>
      </c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11"/>
    </row>
    <row r="923" spans="5:5" ht="20.25" customHeight="1">
      <c r="E923" s="107">
        <v>45049</v>
      </c>
    </row>
    <row r="941" spans="5:5" ht="20.25" customHeight="1">
      <c r="E941" s="104">
        <v>44961</v>
      </c>
    </row>
    <row r="969" spans="5:5" ht="20.25" customHeight="1">
      <c r="E969" s="104">
        <v>44961</v>
      </c>
    </row>
    <row r="970" spans="5:5" ht="20.25" customHeight="1">
      <c r="E970" s="107">
        <v>45105</v>
      </c>
    </row>
    <row r="971" spans="5:5" ht="20.25" customHeight="1">
      <c r="E971" s="107">
        <v>45105</v>
      </c>
    </row>
    <row r="972" spans="5:5" ht="20.25" customHeight="1">
      <c r="E972" s="111"/>
    </row>
    <row r="973" spans="5:5" ht="20.25" customHeight="1">
      <c r="E973" s="103" t="s">
        <v>4355</v>
      </c>
    </row>
    <row r="974" spans="5:5" ht="20.25" customHeight="1">
      <c r="E974" s="104">
        <v>44961</v>
      </c>
    </row>
    <row r="975" spans="5:5" ht="20.25" customHeight="1">
      <c r="E975" s="111"/>
    </row>
    <row r="976" spans="5:5" ht="20.25" customHeight="1">
      <c r="E976" s="103" t="s">
        <v>4355</v>
      </c>
    </row>
  </sheetData>
  <conditionalFormatting sqref="C6:C9">
    <cfRule type="duplicateValues" dxfId="32" priority="1"/>
  </conditionalFormatting>
  <conditionalFormatting sqref="C10">
    <cfRule type="duplicateValues" dxfId="31" priority="9"/>
  </conditionalFormatting>
  <conditionalFormatting sqref="C11:C13">
    <cfRule type="duplicateValues" dxfId="30" priority="14"/>
  </conditionalFormatting>
  <conditionalFormatting sqref="C14:C18">
    <cfRule type="duplicateValues" dxfId="29" priority="20"/>
  </conditionalFormatting>
  <conditionalFormatting sqref="C19:C34">
    <cfRule type="duplicateValues" dxfId="28" priority="3039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18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187" t="s">
        <v>4370</v>
      </c>
      <c r="G4" s="187" t="s">
        <v>4374</v>
      </c>
      <c r="H4" s="188" t="s">
        <v>4394</v>
      </c>
      <c r="I4" s="188" t="s">
        <v>103</v>
      </c>
      <c r="J4" s="189" t="s">
        <v>4406</v>
      </c>
    </row>
    <row r="5" spans="6:10" ht="24.75" customHeight="1">
      <c r="F5" s="183" t="s">
        <v>4511</v>
      </c>
      <c r="G5" s="183" t="s">
        <v>5332</v>
      </c>
      <c r="H5" s="184" t="s">
        <v>5333</v>
      </c>
      <c r="I5" s="184" t="s">
        <v>5334</v>
      </c>
      <c r="J5" s="190" t="s">
        <v>5335</v>
      </c>
    </row>
    <row r="6" spans="6:10" ht="24.75" customHeight="1">
      <c r="F6" s="183" t="s">
        <v>4511</v>
      </c>
      <c r="G6" s="183" t="s">
        <v>5336</v>
      </c>
      <c r="H6" s="184" t="s">
        <v>5337</v>
      </c>
      <c r="I6" s="183" t="s">
        <v>5338</v>
      </c>
      <c r="J6" s="190" t="s">
        <v>5339</v>
      </c>
    </row>
    <row r="7" spans="6:10" ht="24.75" customHeight="1">
      <c r="F7" s="183" t="s">
        <v>4511</v>
      </c>
      <c r="G7" s="183" t="s">
        <v>5340</v>
      </c>
      <c r="H7" s="184" t="s">
        <v>5341</v>
      </c>
      <c r="I7" s="183" t="s">
        <v>5342</v>
      </c>
      <c r="J7" s="190" t="s">
        <v>5343</v>
      </c>
    </row>
    <row r="8" spans="6:10" ht="24.75" customHeight="1">
      <c r="F8" s="183" t="s">
        <v>4511</v>
      </c>
      <c r="G8" s="183" t="s">
        <v>4428</v>
      </c>
      <c r="H8" s="184" t="s">
        <v>5344</v>
      </c>
      <c r="I8" s="184" t="s">
        <v>5345</v>
      </c>
      <c r="J8" s="193" t="s">
        <v>5346</v>
      </c>
    </row>
    <row r="9" spans="6:10" ht="24.75" customHeight="1">
      <c r="F9" s="183" t="s">
        <v>4511</v>
      </c>
      <c r="G9" s="183" t="s">
        <v>5347</v>
      </c>
      <c r="H9" s="184" t="s">
        <v>5348</v>
      </c>
      <c r="I9" s="184" t="s">
        <v>5349</v>
      </c>
      <c r="J9" s="193" t="s">
        <v>5350</v>
      </c>
    </row>
    <row r="10" spans="6:10" ht="24.75" customHeight="1">
      <c r="F10" s="183" t="s">
        <v>4511</v>
      </c>
      <c r="G10" s="183" t="s">
        <v>5351</v>
      </c>
      <c r="H10" s="184" t="s">
        <v>5352</v>
      </c>
      <c r="I10" s="184" t="s">
        <v>5353</v>
      </c>
      <c r="J10" s="193" t="s">
        <v>5354</v>
      </c>
    </row>
    <row r="11" spans="6:10" ht="24.75" customHeight="1">
      <c r="F11" s="183" t="s">
        <v>4511</v>
      </c>
      <c r="G11" s="183" t="s">
        <v>5355</v>
      </c>
      <c r="H11" s="184" t="s">
        <v>5356</v>
      </c>
      <c r="I11" s="184" t="s">
        <v>5357</v>
      </c>
      <c r="J11" s="193" t="s">
        <v>5358</v>
      </c>
    </row>
    <row r="12" spans="6:10" ht="24.75" customHeight="1">
      <c r="F12" s="183" t="s">
        <v>4511</v>
      </c>
      <c r="G12" s="183" t="s">
        <v>5359</v>
      </c>
      <c r="H12" s="184" t="s">
        <v>5360</v>
      </c>
      <c r="I12" s="184" t="s">
        <v>5361</v>
      </c>
      <c r="J12" s="193" t="s">
        <v>5362</v>
      </c>
    </row>
    <row r="13" spans="6:10" ht="24.75" customHeight="1">
      <c r="F13" s="183" t="s">
        <v>4511</v>
      </c>
      <c r="G13" s="183" t="s">
        <v>5363</v>
      </c>
      <c r="H13" s="184" t="s">
        <v>5364</v>
      </c>
      <c r="I13" s="184" t="s">
        <v>5365</v>
      </c>
      <c r="J13" s="193" t="s">
        <v>5366</v>
      </c>
    </row>
    <row r="14" spans="6:10" ht="24.75" customHeight="1">
      <c r="F14" s="183" t="s">
        <v>4511</v>
      </c>
      <c r="G14" s="183" t="s">
        <v>4532</v>
      </c>
      <c r="H14" s="186" t="s">
        <v>4533</v>
      </c>
      <c r="I14" s="192" t="s">
        <v>5367</v>
      </c>
      <c r="J14" s="193" t="s">
        <v>5368</v>
      </c>
    </row>
    <row r="15" spans="6:10" ht="24.75" customHeight="1">
      <c r="F15" s="183" t="s">
        <v>4511</v>
      </c>
      <c r="G15" s="183" t="s">
        <v>4534</v>
      </c>
      <c r="H15" s="186" t="s">
        <v>4535</v>
      </c>
      <c r="I15" s="184" t="s">
        <v>5369</v>
      </c>
      <c r="J15" s="193" t="s">
        <v>5370</v>
      </c>
    </row>
    <row r="16" spans="6:10" ht="24.75" customHeight="1">
      <c r="F16" s="183" t="s">
        <v>4511</v>
      </c>
      <c r="G16" s="183" t="s">
        <v>4541</v>
      </c>
      <c r="H16" s="184" t="s">
        <v>4542</v>
      </c>
      <c r="I16" s="184" t="s">
        <v>5371</v>
      </c>
      <c r="J16" s="190" t="s">
        <v>5372</v>
      </c>
    </row>
    <row r="17" spans="6:10" ht="24.75" customHeight="1">
      <c r="F17" s="183" t="s">
        <v>4511</v>
      </c>
      <c r="G17" s="183" t="s">
        <v>4543</v>
      </c>
      <c r="H17" s="184" t="s">
        <v>4544</v>
      </c>
      <c r="I17" s="184" t="s">
        <v>5373</v>
      </c>
      <c r="J17" s="190" t="s">
        <v>5374</v>
      </c>
    </row>
    <row r="18" spans="6:10" ht="24.75" customHeight="1">
      <c r="F18" s="183" t="s">
        <v>4511</v>
      </c>
      <c r="G18" s="183" t="s">
        <v>5375</v>
      </c>
      <c r="H18" s="184" t="s">
        <v>5376</v>
      </c>
      <c r="I18" s="184" t="s">
        <v>5377</v>
      </c>
      <c r="J18" s="190" t="s">
        <v>5378</v>
      </c>
    </row>
    <row r="19" spans="6:10" ht="24.75" customHeight="1">
      <c r="F19" s="183" t="s">
        <v>4511</v>
      </c>
      <c r="G19" s="183" t="s">
        <v>5379</v>
      </c>
      <c r="H19" s="184" t="s">
        <v>5380</v>
      </c>
      <c r="I19" s="183" t="s">
        <v>5381</v>
      </c>
      <c r="J19" s="183" t="s">
        <v>5382</v>
      </c>
    </row>
    <row r="20" spans="6:10" ht="24.75" customHeight="1">
      <c r="F20" s="183" t="s">
        <v>4511</v>
      </c>
      <c r="G20" s="183" t="s">
        <v>5332</v>
      </c>
      <c r="H20" s="184" t="s">
        <v>5383</v>
      </c>
      <c r="I20" s="183" t="s">
        <v>5384</v>
      </c>
      <c r="J20" s="183" t="s">
        <v>5385</v>
      </c>
    </row>
    <row r="21" spans="6:10" ht="24.75" customHeight="1">
      <c r="F21" s="183" t="s">
        <v>4511</v>
      </c>
      <c r="G21" s="183" t="s">
        <v>5386</v>
      </c>
      <c r="H21" s="184" t="s">
        <v>5387</v>
      </c>
      <c r="I21" s="184" t="s">
        <v>5388</v>
      </c>
      <c r="J21" s="183" t="s">
        <v>5389</v>
      </c>
    </row>
    <row r="22" spans="6:10" ht="24.75" customHeight="1">
      <c r="F22" s="183" t="s">
        <v>4511</v>
      </c>
      <c r="G22" s="183" t="s">
        <v>5363</v>
      </c>
      <c r="H22" s="184" t="s">
        <v>5390</v>
      </c>
      <c r="I22" s="184" t="s">
        <v>5391</v>
      </c>
      <c r="J22" s="190" t="s">
        <v>5392</v>
      </c>
    </row>
    <row r="23" spans="6:10" ht="24.75" customHeight="1">
      <c r="F23" s="183" t="s">
        <v>4511</v>
      </c>
      <c r="G23" s="183" t="s">
        <v>5393</v>
      </c>
      <c r="H23" s="184" t="s">
        <v>5394</v>
      </c>
      <c r="I23" s="184" t="s">
        <v>5395</v>
      </c>
      <c r="J23" s="190" t="s">
        <v>5396</v>
      </c>
    </row>
    <row r="24" spans="6:10" ht="24.75" customHeight="1">
      <c r="F24" s="183" t="s">
        <v>4511</v>
      </c>
      <c r="G24" s="191" t="s">
        <v>5397</v>
      </c>
      <c r="H24" s="186" t="s">
        <v>5398</v>
      </c>
      <c r="I24" s="192" t="s">
        <v>5399</v>
      </c>
      <c r="J24" s="193" t="s">
        <v>5400</v>
      </c>
    </row>
    <row r="25" spans="6:10" ht="24.75" customHeight="1">
      <c r="F25" s="183" t="s">
        <v>4511</v>
      </c>
      <c r="G25" s="183" t="s">
        <v>4534</v>
      </c>
      <c r="H25" s="184" t="s">
        <v>5401</v>
      </c>
      <c r="I25" s="184" t="s">
        <v>5402</v>
      </c>
      <c r="J25" s="193" t="s">
        <v>5403</v>
      </c>
    </row>
    <row r="26" spans="6:10" ht="24.75" customHeight="1">
      <c r="F26" s="183" t="s">
        <v>4511</v>
      </c>
      <c r="G26" s="183" t="s">
        <v>5404</v>
      </c>
      <c r="H26" s="184" t="s">
        <v>5405</v>
      </c>
      <c r="I26" s="184" t="s">
        <v>5406</v>
      </c>
      <c r="J26" s="193" t="s">
        <v>5407</v>
      </c>
    </row>
    <row r="27" spans="6:10" ht="24.75" customHeight="1">
      <c r="F27" s="183" t="s">
        <v>4511</v>
      </c>
      <c r="G27" s="183" t="s">
        <v>5408</v>
      </c>
      <c r="H27" s="184" t="s">
        <v>5409</v>
      </c>
      <c r="I27" s="184" t="s">
        <v>5410</v>
      </c>
      <c r="J27" s="190" t="s">
        <v>5411</v>
      </c>
    </row>
    <row r="28" spans="6:10" ht="24.75" customHeight="1">
      <c r="F28" s="183" t="s">
        <v>4511</v>
      </c>
      <c r="G28" s="183" t="s">
        <v>5412</v>
      </c>
      <c r="H28" s="184" t="s">
        <v>5413</v>
      </c>
      <c r="I28" s="184" t="s">
        <v>5414</v>
      </c>
      <c r="J28" s="190" t="s">
        <v>5415</v>
      </c>
    </row>
    <row r="29" spans="6:10" ht="24.75" customHeight="1">
      <c r="F29" s="183" t="s">
        <v>4511</v>
      </c>
      <c r="G29" s="183" t="s">
        <v>5416</v>
      </c>
      <c r="H29" s="184" t="s">
        <v>5417</v>
      </c>
      <c r="I29" s="184" t="s">
        <v>5418</v>
      </c>
      <c r="J29" s="190" t="s">
        <v>5419</v>
      </c>
    </row>
    <row r="30" spans="6:10" ht="24.75" customHeight="1">
      <c r="F30" s="183" t="s">
        <v>4511</v>
      </c>
      <c r="G30" s="183" t="s">
        <v>5420</v>
      </c>
      <c r="H30" s="184" t="s">
        <v>5421</v>
      </c>
      <c r="I30" s="184" t="s">
        <v>5422</v>
      </c>
      <c r="J30" s="190" t="s">
        <v>5423</v>
      </c>
    </row>
    <row r="31" spans="6:10" ht="24.75" customHeight="1">
      <c r="F31" s="183" t="s">
        <v>4511</v>
      </c>
      <c r="G31" s="183" t="s">
        <v>5424</v>
      </c>
      <c r="H31" s="184" t="s">
        <v>5425</v>
      </c>
      <c r="I31" s="184" t="s">
        <v>5426</v>
      </c>
      <c r="J31" s="190" t="s">
        <v>5427</v>
      </c>
    </row>
    <row r="32" spans="6:10" ht="24.75" customHeight="1">
      <c r="F32" s="183" t="s">
        <v>4511</v>
      </c>
      <c r="G32" s="183" t="s">
        <v>5428</v>
      </c>
      <c r="H32" s="184" t="s">
        <v>5429</v>
      </c>
      <c r="I32" s="184" t="s">
        <v>5430</v>
      </c>
      <c r="J32" s="193" t="s">
        <v>5431</v>
      </c>
    </row>
    <row r="33" spans="6:10" ht="24.75" customHeight="1">
      <c r="F33" s="183" t="s">
        <v>4511</v>
      </c>
      <c r="G33" s="183" t="s">
        <v>5432</v>
      </c>
      <c r="H33" s="184" t="s">
        <v>5433</v>
      </c>
      <c r="I33" s="184" t="s">
        <v>5434</v>
      </c>
      <c r="J33" s="190" t="s">
        <v>5435</v>
      </c>
    </row>
    <row r="34" spans="6:10" ht="24.75" customHeight="1">
      <c r="F34" s="183" t="s">
        <v>4511</v>
      </c>
      <c r="G34" s="183" t="s">
        <v>5436</v>
      </c>
      <c r="H34" s="184" t="s">
        <v>5437</v>
      </c>
      <c r="I34" s="184" t="s">
        <v>5438</v>
      </c>
      <c r="J34" s="193" t="s">
        <v>5439</v>
      </c>
    </row>
    <row r="35" spans="6:10" ht="24.75" customHeight="1">
      <c r="F35" s="133"/>
      <c r="G35" s="171"/>
      <c r="H35" s="171"/>
      <c r="I35" s="171"/>
      <c r="J35" s="171"/>
    </row>
    <row r="36" spans="6:10" ht="24.75" customHeight="1">
      <c r="F36" s="129"/>
      <c r="G36" s="132"/>
      <c r="H36" s="132"/>
      <c r="I36" s="132"/>
      <c r="J36" s="132"/>
    </row>
    <row r="37" spans="6:10" ht="24.75" customHeight="1">
      <c r="F37" s="129"/>
      <c r="G37" s="132"/>
      <c r="H37" s="132"/>
      <c r="I37" s="132"/>
      <c r="J37" s="96"/>
    </row>
    <row r="38" spans="6:10" ht="24.75" customHeight="1">
      <c r="F38" s="133"/>
    </row>
    <row r="39" spans="6:10" ht="24.75" customHeight="1">
      <c r="F39" s="129"/>
    </row>
    <row r="40" spans="6:10" ht="24.75" customHeight="1">
      <c r="F40" s="129"/>
    </row>
    <row r="41" spans="6:10" ht="24.75" customHeight="1">
      <c r="F41" s="129"/>
    </row>
    <row r="42" spans="6:10" ht="24.75" customHeight="1">
      <c r="F42" s="129"/>
    </row>
    <row r="43" spans="6:10" ht="24.75" customHeight="1">
      <c r="F43" s="129"/>
    </row>
    <row r="44" spans="6:10" ht="24.75" customHeight="1">
      <c r="F44" s="129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2026-08-19T17:54:11Z</dcterms:modified>
  <cp:category/>
  <cp:contentStatus/>
</cp:coreProperties>
</file>