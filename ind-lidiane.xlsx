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CENTRO/Lidiane/Planilha Controle/"/>
    </mc:Choice>
  </mc:AlternateContent>
  <xr:revisionPtr revIDLastSave="136" documentId="11_9137C1472DA8B9F64FF077150BA255A2C9989F9B" xr6:coauthVersionLast="47" xr6:coauthVersionMax="47" xr10:uidLastSave="{BC4CBC85-FCE1-4D4F-9F99-A3502AD2419C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1" r:id="rId2"/>
    <sheet name="Quantitativo Fora da Demanda" sheetId="19" state="hidden" r:id="rId3"/>
    <sheet name="Listas (não utilizar)" sheetId="4" state="hidden" r:id="rId4"/>
    <sheet name="QUANT COND" sheetId="16" state="hidden" r:id="rId5"/>
    <sheet name="OFÍCIOS" sheetId="5" state="hidden" r:id="rId6"/>
  </sheets>
  <externalReferences>
    <externalReference r:id="rId7"/>
  </externalReferences>
  <definedNames>
    <definedName name="_xlnm._FilterDatabase" localSheetId="3" hidden="1">'Listas (não utilizar)'!$A$1:$J$1</definedName>
    <definedName name="_xlnm._FilterDatabase" localSheetId="5" hidden="1">OFÍCIOS!$A$2:$U$3059</definedName>
    <definedName name="_xlnm._FilterDatabase" localSheetId="0" hidden="1">PRIORIDADES!$B$13:$BL$13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3" hidden="1">'Listas (não utilizar)'!$F$2:$F$5</definedName>
    <definedName name="Z_39E29B6F_0D66_48AE_A716_BFBE8B532288_.wvu.FilterData" localSheetId="3" hidden="1">'Listas (não utilizar)'!$F$2:$F$5</definedName>
    <definedName name="Z_3C855A2D_2F8A_450A_853C_257A0FC222AF_.wvu.FilterData" localSheetId="3" hidden="1">'Listas (não utilizar)'!$F$2:$F$5</definedName>
    <definedName name="Z_8296C81D_E0C9_43D9_ADA1_0E4705448C59_.wvu.FilterData" localSheetId="3" hidden="1">'Listas (não utilizar)'!$A$1:$F$17</definedName>
    <definedName name="Z_A598ACE7_C3E8_4400_B80E_E7BA9453B8A3_.wvu.FilterData" localSheetId="3" hidden="1">'Listas (não utilizar)'!$F$2:$F$5</definedName>
    <definedName name="Z_AD69B6D1_19BC_4940_B666_EDC66A6E168F_.wvu.FilterData" localSheetId="3" hidden="1">'Listas (não utilizar)'!$A$1:$F$17</definedName>
    <definedName name="Z_C81C67C3_BEE5_43B5_A898_4FF9A711A2FF_.wvu.FilterData" localSheetId="3" hidden="1">'Listas (não utilizar)'!$F$2:$F$5</definedName>
    <definedName name="Z_D4268A78_2B91_4AE5_BC6A_318CAE2503F1_.wvu.FilterData" localSheetId="3" hidden="1">'Listas (não utilizar)'!$F$2:$F$5</definedName>
    <definedName name="Z_D8EF893F_7CCC_418F_8546_BBB4DB0B16B5_.wvu.FilterData" localSheetId="3" hidden="1">'Listas (não utilizar)'!$A$1:$F$17</definedName>
  </definedNames>
  <calcPr calcId="191028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9" i="20" l="1"/>
  <c r="BD19" i="20"/>
  <c r="BC20" i="20"/>
  <c r="BD20" i="20"/>
  <c r="BC21" i="20"/>
  <c r="BD21" i="20"/>
  <c r="BC22" i="20"/>
  <c r="BD22" i="20"/>
  <c r="BC23" i="20"/>
  <c r="BD23" i="20"/>
  <c r="BC24" i="20"/>
  <c r="BD24" i="20"/>
  <c r="BC25" i="20"/>
  <c r="BD25" i="20"/>
  <c r="BC26" i="20"/>
  <c r="BD26" i="20"/>
  <c r="BC27" i="20"/>
  <c r="BD27" i="20"/>
  <c r="BC28" i="20"/>
  <c r="BD28" i="20"/>
  <c r="BC29" i="20"/>
  <c r="BD29" i="20"/>
  <c r="BC30" i="20"/>
  <c r="BD30" i="20"/>
  <c r="BC31" i="20"/>
  <c r="BD31" i="20"/>
  <c r="BC32" i="20"/>
  <c r="BD32" i="20"/>
  <c r="BC33" i="20"/>
  <c r="BD33" i="20"/>
  <c r="BC34" i="20"/>
  <c r="BD34" i="20"/>
  <c r="BC35" i="20"/>
  <c r="BD35" i="20"/>
  <c r="BC36" i="20"/>
  <c r="BD36" i="20"/>
  <c r="BC37" i="20"/>
  <c r="BD37" i="20"/>
  <c r="BC38" i="20"/>
  <c r="BD38" i="20"/>
  <c r="BC39" i="20"/>
  <c r="BD39" i="20"/>
  <c r="BC40" i="20"/>
  <c r="BD40" i="20"/>
  <c r="BC41" i="20"/>
  <c r="BD41" i="20"/>
  <c r="BC42" i="20"/>
  <c r="BD42" i="20"/>
  <c r="BC43" i="20"/>
  <c r="BD43" i="20"/>
  <c r="BC44" i="20"/>
  <c r="BD44" i="20"/>
  <c r="BC45" i="20"/>
  <c r="BD45" i="20"/>
  <c r="BC46" i="20"/>
  <c r="BD46" i="20"/>
  <c r="BC47" i="20"/>
  <c r="BD47" i="20"/>
  <c r="BC48" i="20"/>
  <c r="BD48" i="20"/>
  <c r="BC49" i="20"/>
  <c r="BD49" i="20"/>
  <c r="BC50" i="20"/>
  <c r="BD50" i="20"/>
  <c r="BC51" i="20"/>
  <c r="BD51" i="20"/>
  <c r="BC52" i="20"/>
  <c r="BD52" i="20"/>
  <c r="BC53" i="20"/>
  <c r="BD53" i="20"/>
  <c r="BC54" i="20"/>
  <c r="BD54" i="20"/>
  <c r="BC55" i="20"/>
  <c r="BD55" i="20"/>
  <c r="BC56" i="20"/>
  <c r="BD56" i="20"/>
  <c r="BC57" i="20"/>
  <c r="BD57" i="20"/>
  <c r="BC58" i="20"/>
  <c r="BD58" i="20"/>
  <c r="BC59" i="20"/>
  <c r="BD59" i="20"/>
  <c r="BC60" i="20"/>
  <c r="BD60" i="20"/>
  <c r="BC61" i="20"/>
  <c r="BD61" i="20"/>
  <c r="BC62" i="20"/>
  <c r="BD62" i="20"/>
  <c r="BC63" i="20"/>
  <c r="BD63" i="20"/>
  <c r="BC64" i="20"/>
  <c r="BD64" i="20"/>
  <c r="BC65" i="20"/>
  <c r="BD65" i="20"/>
  <c r="BC66" i="20"/>
  <c r="BD66" i="20"/>
  <c r="BC67" i="20"/>
  <c r="BD67" i="20"/>
  <c r="BC68" i="20"/>
  <c r="BD68" i="20"/>
  <c r="BC69" i="20"/>
  <c r="BD69" i="20"/>
  <c r="BC70" i="20"/>
  <c r="BD70" i="20"/>
  <c r="BC71" i="20"/>
  <c r="BD71" i="20"/>
  <c r="BC72" i="20"/>
  <c r="BD72" i="20"/>
  <c r="BC73" i="20"/>
  <c r="BD73" i="20"/>
  <c r="BC74" i="20"/>
  <c r="BD74" i="20"/>
  <c r="BC75" i="20"/>
  <c r="BD75" i="20"/>
  <c r="BC76" i="20"/>
  <c r="BD76" i="20"/>
  <c r="BC77" i="20"/>
  <c r="BD77" i="20"/>
  <c r="BC78" i="20"/>
  <c r="BD78" i="20"/>
  <c r="BC79" i="20"/>
  <c r="BD79" i="20"/>
  <c r="BC80" i="20"/>
  <c r="BD80" i="20"/>
  <c r="BC81" i="20"/>
  <c r="BD81" i="20"/>
  <c r="BC82" i="20"/>
  <c r="BD82" i="20"/>
  <c r="BC83" i="20"/>
  <c r="BD83" i="20"/>
  <c r="BC84" i="20"/>
  <c r="BD84" i="20"/>
  <c r="BC85" i="20"/>
  <c r="BD85" i="20"/>
  <c r="BC86" i="20"/>
  <c r="BD86" i="20"/>
  <c r="BC87" i="20"/>
  <c r="BD87" i="20"/>
  <c r="BC88" i="20"/>
  <c r="BD88" i="20"/>
  <c r="BC89" i="20"/>
  <c r="BD89" i="20"/>
  <c r="BC90" i="20"/>
  <c r="BD90" i="20"/>
  <c r="BC91" i="20"/>
  <c r="BD91" i="20"/>
  <c r="BC92" i="20"/>
  <c r="BD92" i="20"/>
  <c r="BC93" i="20"/>
  <c r="BD93" i="20"/>
  <c r="BC94" i="20"/>
  <c r="BD94" i="20"/>
  <c r="BC95" i="20"/>
  <c r="BD95" i="20"/>
  <c r="BC96" i="20"/>
  <c r="BD96" i="20"/>
  <c r="BC97" i="20"/>
  <c r="BD97" i="20"/>
  <c r="BC98" i="20"/>
  <c r="BD98" i="20"/>
  <c r="BC99" i="20"/>
  <c r="BD99" i="20"/>
  <c r="BC100" i="20"/>
  <c r="BD100" i="20"/>
  <c r="BC101" i="20"/>
  <c r="BD101" i="20"/>
  <c r="BC102" i="20"/>
  <c r="BD102" i="20"/>
  <c r="BC103" i="20"/>
  <c r="BD103" i="20"/>
  <c r="BC104" i="20"/>
  <c r="BD104" i="20"/>
  <c r="BC105" i="20"/>
  <c r="BD105" i="20"/>
  <c r="BC106" i="20"/>
  <c r="BD106" i="20"/>
  <c r="BC107" i="20"/>
  <c r="BD107" i="20"/>
  <c r="BC108" i="20"/>
  <c r="BD108" i="20"/>
  <c r="BC109" i="20"/>
  <c r="BD109" i="20"/>
  <c r="BC110" i="20"/>
  <c r="BD110" i="20"/>
  <c r="BC111" i="20"/>
  <c r="BD111" i="20"/>
  <c r="BC112" i="20"/>
  <c r="BD112" i="20"/>
  <c r="BC113" i="20"/>
  <c r="BD113" i="20"/>
  <c r="BC114" i="20"/>
  <c r="BD114" i="20"/>
  <c r="BC115" i="20"/>
  <c r="BD115" i="20"/>
  <c r="BC116" i="20"/>
  <c r="BD116" i="20"/>
  <c r="BC117" i="20"/>
  <c r="BD117" i="20"/>
  <c r="BC118" i="20"/>
  <c r="BD118" i="20"/>
  <c r="BC119" i="20"/>
  <c r="BD119" i="20"/>
  <c r="BC120" i="20"/>
  <c r="BD120" i="20"/>
  <c r="BC121" i="20"/>
  <c r="BD121" i="20"/>
  <c r="BC122" i="20"/>
  <c r="BD122" i="20"/>
  <c r="BC123" i="20"/>
  <c r="BD123" i="20"/>
  <c r="BC124" i="20"/>
  <c r="BD124" i="20"/>
  <c r="BC125" i="20"/>
  <c r="BD125" i="20"/>
  <c r="BC126" i="20"/>
  <c r="BD126" i="20"/>
  <c r="BC127" i="20"/>
  <c r="BD127" i="20"/>
  <c r="BC128" i="20"/>
  <c r="BD128" i="20"/>
  <c r="BC129" i="20"/>
  <c r="BD129" i="20"/>
  <c r="BC130" i="20"/>
  <c r="BD130" i="20"/>
  <c r="BC131" i="20"/>
  <c r="BD131" i="20"/>
  <c r="BC132" i="20"/>
  <c r="BD132" i="20"/>
  <c r="BC133" i="20"/>
  <c r="BD133" i="20"/>
  <c r="BC134" i="20"/>
  <c r="BD134" i="20"/>
  <c r="BC135" i="20"/>
  <c r="BD135" i="20"/>
  <c r="BC136" i="20"/>
  <c r="BD136" i="20"/>
  <c r="BC137" i="20"/>
  <c r="BD137" i="20"/>
  <c r="BC138" i="20"/>
  <c r="BD138" i="20"/>
  <c r="BC139" i="20"/>
  <c r="BD139" i="20"/>
  <c r="BC140" i="20"/>
  <c r="BD140" i="20"/>
  <c r="BC141" i="20"/>
  <c r="BD141" i="20"/>
  <c r="BC142" i="20"/>
  <c r="BD142" i="20"/>
  <c r="BC143" i="20"/>
  <c r="BD143" i="20"/>
  <c r="BC144" i="20"/>
  <c r="BD144" i="20"/>
  <c r="BD18" i="20"/>
  <c r="BC18" i="20"/>
  <c r="BD17" i="20"/>
  <c r="BC17" i="20"/>
  <c r="BD16" i="20"/>
  <c r="BC16" i="20"/>
  <c r="BD15" i="20"/>
  <c r="BC15" i="20"/>
  <c r="BD14" i="20"/>
  <c r="BC14" i="20"/>
  <c r="BB15" i="20"/>
  <c r="BB16" i="20"/>
  <c r="BB17" i="20"/>
  <c r="BB18" i="20"/>
  <c r="BB19" i="20"/>
  <c r="BB20" i="20"/>
  <c r="BB21" i="20"/>
  <c r="BB22" i="20"/>
  <c r="BB23" i="20"/>
  <c r="BB24" i="20"/>
  <c r="BB25" i="20"/>
  <c r="BB26" i="20"/>
  <c r="BB27" i="20"/>
  <c r="BB28" i="20"/>
  <c r="BB29" i="20"/>
  <c r="BB30" i="20"/>
  <c r="BB31" i="20"/>
  <c r="BB32" i="20"/>
  <c r="BB33" i="20"/>
  <c r="BB34" i="20"/>
  <c r="BB35" i="20"/>
  <c r="BB36" i="20"/>
  <c r="BB37" i="20"/>
  <c r="BB38" i="20"/>
  <c r="BB39" i="20"/>
  <c r="BB40" i="20"/>
  <c r="BB41" i="20"/>
  <c r="BB42" i="20"/>
  <c r="BB43" i="20"/>
  <c r="BB44" i="20"/>
  <c r="BB45" i="20"/>
  <c r="BB46" i="20"/>
  <c r="BB47" i="20"/>
  <c r="BB48" i="20"/>
  <c r="BB49" i="20"/>
  <c r="BB50" i="20"/>
  <c r="BB51" i="20"/>
  <c r="BB52" i="20"/>
  <c r="BB53" i="20"/>
  <c r="BB54" i="20"/>
  <c r="BB55" i="20"/>
  <c r="BB56" i="20"/>
  <c r="BB57" i="20"/>
  <c r="BB58" i="20"/>
  <c r="BB59" i="20"/>
  <c r="BB60" i="20"/>
  <c r="BB61" i="20"/>
  <c r="BB62" i="20"/>
  <c r="BB63" i="20"/>
  <c r="BB64" i="20"/>
  <c r="BB65" i="20"/>
  <c r="BB66" i="20"/>
  <c r="BB67" i="20"/>
  <c r="BB68" i="20"/>
  <c r="BB69" i="20"/>
  <c r="BB70" i="20"/>
  <c r="BB71" i="20"/>
  <c r="BB72" i="20"/>
  <c r="BB73" i="20"/>
  <c r="BB74" i="20"/>
  <c r="BB75" i="20"/>
  <c r="BB76" i="20"/>
  <c r="BB77" i="20"/>
  <c r="BB78" i="20"/>
  <c r="BB79" i="20"/>
  <c r="BB80" i="20"/>
  <c r="BB81" i="20"/>
  <c r="BB82" i="20"/>
  <c r="BB83" i="20"/>
  <c r="BB84" i="20"/>
  <c r="BB85" i="20"/>
  <c r="BB86" i="20"/>
  <c r="BB87" i="20"/>
  <c r="BB88" i="20"/>
  <c r="BB89" i="20"/>
  <c r="BB90" i="20"/>
  <c r="BB91" i="20"/>
  <c r="BB92" i="20"/>
  <c r="BB93" i="20"/>
  <c r="BB94" i="20"/>
  <c r="BB95" i="20"/>
  <c r="BB96" i="20"/>
  <c r="BB97" i="20"/>
  <c r="BB98" i="20"/>
  <c r="BB99" i="20"/>
  <c r="BB100" i="20"/>
  <c r="BB101" i="20"/>
  <c r="BB102" i="20"/>
  <c r="BB103" i="20"/>
  <c r="BB104" i="20"/>
  <c r="BB105" i="20"/>
  <c r="BB106" i="20"/>
  <c r="BB107" i="20"/>
  <c r="BB108" i="20"/>
  <c r="BB109" i="20"/>
  <c r="BB110" i="20"/>
  <c r="BB111" i="20"/>
  <c r="BB112" i="20"/>
  <c r="BB113" i="20"/>
  <c r="BB114" i="20"/>
  <c r="BB115" i="20"/>
  <c r="BB116" i="20"/>
  <c r="BB117" i="20"/>
  <c r="BB118" i="20"/>
  <c r="BB119" i="20"/>
  <c r="BB120" i="20"/>
  <c r="BB121" i="20"/>
  <c r="BB122" i="20"/>
  <c r="BB123" i="20"/>
  <c r="BB124" i="20"/>
  <c r="BB125" i="20"/>
  <c r="BB126" i="20"/>
  <c r="BB127" i="20"/>
  <c r="BB128" i="20"/>
  <c r="BB129" i="20"/>
  <c r="BB130" i="20"/>
  <c r="BB131" i="20"/>
  <c r="BB132" i="20"/>
  <c r="BB133" i="20"/>
  <c r="BB134" i="20"/>
  <c r="BB135" i="20"/>
  <c r="BB136" i="20"/>
  <c r="BB137" i="20"/>
  <c r="BB138" i="20"/>
  <c r="BB139" i="20"/>
  <c r="BB140" i="20"/>
  <c r="BB141" i="20"/>
  <c r="BB142" i="20"/>
  <c r="BB143" i="20"/>
  <c r="BB144" i="20"/>
  <c r="BB14" i="20"/>
  <c r="J27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5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5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5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5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5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5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5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5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5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5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5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5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5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5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5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5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5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5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5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5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5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5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5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5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5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5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5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5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5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5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5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5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5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5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5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5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<sst xmlns="http://schemas.openxmlformats.org/spreadsheetml/2006/main" count="7108" uniqueCount="4469">
  <si>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</si>
  <si>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</si>
  <si>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</si>
  <si>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</si>
  <si>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</si>
  <si>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</si>
  <si>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</si>
  <si>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</si>
  <si>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</si>
  <si>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</si>
  <si>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</si>
  <si>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</si>
  <si>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</si>
  <si>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</si>
  <si>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</si>
  <si>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</si>
  <si>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</si>
  <si>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</si>
  <si>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</si>
  <si>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</si>
  <si>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</si>
  <si>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</si>
  <si>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</si>
  <si>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</si>
  <si>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</si>
  <si>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</si>
  <si>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</si>
  <si>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</si>
  <si>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</si>
  <si>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</si>
  <si>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</si>
  <si>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</si>
  <si>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</si>
  <si>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</si>
  <si>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</si>
  <si>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</si>
  <si>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</t>
  </si>
  <si>
    <t>ORDEM</t>
  </si>
  <si>
    <t>ÁREA</t>
  </si>
  <si>
    <t>FASE</t>
  </si>
  <si>
    <t>TRECHO</t>
  </si>
  <si>
    <t>PRIORIDADE</t>
  </si>
  <si>
    <t>SELO</t>
  </si>
  <si>
    <t>SITUAÇÃO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</si>
  <si>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</si>
  <si>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</si>
  <si>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</si>
  <si>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</si>
  <si>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</si>
  <si>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</si>
  <si>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</si>
  <si>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PLANILHA DADOS</t>
  </si>
  <si>
    <t>SOLICITAÇÃO AUXÍLIO ALUGUEL                             ÁREA</t>
  </si>
  <si>
    <t>No PROCESSO SEI                                (AUXÍLIO ALUGUEL)</t>
  </si>
  <si>
    <t>ANÁLISE DTS                                              CADASTRO + CHECAGEM DUPLO</t>
  </si>
  <si>
    <t>INSTRUÇÃO PROCESSO SEI                                                     DTS</t>
  </si>
  <si>
    <t>ANÁLISE CTS                                       ASSINATURA GABINETE</t>
  </si>
  <si>
    <t>DATA PUBLICAÇÃO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</si>
  <si>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</si>
  <si>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</si>
  <si>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</si>
  <si>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</si>
  <si>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</si>
  <si>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</si>
  <si>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</si>
  <si>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</si>
  <si>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VALOR INDENIZAÇÃO</t>
  </si>
  <si>
    <t>VALOR COM BONIFICAÇÃO</t>
  </si>
  <si>
    <t>ACEITA VALOR                                                         INDENIZAÇÃO</t>
  </si>
  <si>
    <t>LAUDO VALOR  INDENIZAÇÃO</t>
  </si>
  <si>
    <t>CADASTRO HABITASAMPA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</si>
  <si>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</si>
  <si>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</si>
  <si>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</si>
  <si>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</si>
  <si>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</si>
  <si>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</si>
  <si>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DIRETOR DTS</t>
  </si>
  <si>
    <t>ELABORAÇÃO DESPACHO CTS</t>
  </si>
  <si>
    <t>ASSINATURA DESPACHO GABINETE</t>
  </si>
  <si>
    <t>PUBLICAÇÃO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</si>
  <si>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</si>
  <si>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</si>
  <si>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</si>
  <si>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</si>
  <si>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</si>
  <si>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</si>
  <si>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</si>
  <si>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</si>
  <si>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BLOQUEIO AA</t>
  </si>
  <si>
    <t>SOLICITAÇÃO               BLOQUEIO AA  DTS</t>
  </si>
  <si>
    <t>SOLICITAÇÃO                BLOQUEIO AA</t>
  </si>
  <si>
    <t>DATA BLOQUEIO AA</t>
  </si>
  <si>
    <t>DESPACHO EXCLUSÃO GABINETE</t>
  </si>
  <si>
    <t>PUBLICAÇÃO DOC</t>
  </si>
  <si>
    <t>ENCAMINHAMENTO SOLICITAÇÃO EXCLUSÃO DEPLAN</t>
  </si>
  <si>
    <t>ENCERRAMENTO PROCESSO DTS</t>
  </si>
  <si>
    <t>LIDIANE</t>
  </si>
  <si>
    <t>--</t>
  </si>
  <si>
    <t>SETOR 008</t>
  </si>
  <si>
    <t>008/0022/A</t>
  </si>
  <si>
    <t>JOSEFA MARIA DA SILVA</t>
  </si>
  <si>
    <t>14.015.231-3</t>
  </si>
  <si>
    <t>129.873.888-10</t>
  </si>
  <si>
    <t>AUXÍLIO ALUGUEL ATÉ INDENIZAÇÃO</t>
  </si>
  <si>
    <t>6014.2022/0003434-2</t>
  </si>
  <si>
    <t>FINALIZADO</t>
  </si>
  <si>
    <t>ATUALIZAR</t>
  </si>
  <si>
    <t>R$ 22.500,00</t>
  </si>
  <si>
    <t>SEM PENDÊNCIA</t>
  </si>
  <si>
    <t>6014.2023/0002826-3</t>
  </si>
  <si>
    <t>008/0022/B</t>
  </si>
  <si>
    <t>DORALICE MARIA DA SILVA</t>
  </si>
  <si>
    <t>22.923.329-6</t>
  </si>
  <si>
    <t>117.110.058-27</t>
  </si>
  <si>
    <t>R$ 22.000,00</t>
  </si>
  <si>
    <t>6014.2023/0002831-0</t>
  </si>
  <si>
    <t>008/0022/C</t>
  </si>
  <si>
    <t>CLAUDIA MARIA CARDOSO DOS SANTOS</t>
  </si>
  <si>
    <t>21.187.721-9</t>
  </si>
  <si>
    <t>104.402.578-67</t>
  </si>
  <si>
    <t>R$ 15.500,00</t>
  </si>
  <si>
    <t>6014.2023/0002382-2</t>
  </si>
  <si>
    <t>008/0023/A</t>
  </si>
  <si>
    <t>GABRIEL ESTRELA FERREIRA</t>
  </si>
  <si>
    <t>39.709.732-3</t>
  </si>
  <si>
    <t>393.185.268-73</t>
  </si>
  <si>
    <t>R$ 17.900,00</t>
  </si>
  <si>
    <t>6014.2023/0002848-4</t>
  </si>
  <si>
    <t>008/0023/B</t>
  </si>
  <si>
    <t>EDIANGELA ELVIRA RIBEIRO</t>
  </si>
  <si>
    <t>36.534.519-2</t>
  </si>
  <si>
    <t>265.358.628-28</t>
  </si>
  <si>
    <t>R$ 40.200,00</t>
  </si>
  <si>
    <t>6014.2023/0002853-0</t>
  </si>
  <si>
    <t>NOME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</si>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</sst>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&quot;$&quot;#,##0.00"/>
  </numFmts>
  <fonts count="4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b/>
      <sz val="14"/>
      <color theme="0"/>
      <name val="Arial"/>
    </font>
    <font>
      <b/>
      <sz val="10"/>
      <name val="Arial"/>
    </font>
    <font>
      <sz val="10"/>
      <color theme="1"/>
      <name val="Arial"/>
    </font>
    <font>
      <sz val="10"/>
      <color rgb="FF000000"/>
      <name val="Arial"/>
    </font>
    <font>
      <sz val="9"/>
      <color rgb="FF000000"/>
      <name val="Arial"/>
    </font>
  </fonts>
  <fills count="2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808080"/>
      </left>
      <right style="dotted">
        <color rgb="FF808080"/>
      </right>
      <top/>
      <bottom style="dotted">
        <color rgb="FF808080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2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11" borderId="10" xfId="1" applyNumberFormat="1" applyFont="1" applyFill="1" applyBorder="1" applyAlignment="1">
      <alignment horizontal="center" vertical="center" wrapText="1"/>
    </xf>
    <xf numFmtId="0" fontId="33" fillId="11" borderId="10" xfId="1" applyFont="1" applyFill="1" applyBorder="1" applyAlignment="1">
      <alignment horizontal="center" vertical="center" wrapText="1"/>
    </xf>
    <xf numFmtId="0" fontId="33" fillId="11" borderId="10" xfId="0" applyFont="1" applyFill="1" applyBorder="1" applyAlignment="1">
      <alignment horizontal="center" vertical="center" wrapText="1"/>
    </xf>
    <xf numFmtId="166" fontId="33" fillId="11" borderId="10" xfId="0" applyNumberFormat="1" applyFont="1" applyFill="1" applyBorder="1" applyAlignment="1">
      <alignment horizontal="center" vertical="center" wrapText="1"/>
    </xf>
    <xf numFmtId="166" fontId="33" fillId="15" borderId="10" xfId="0" applyNumberFormat="1" applyFont="1" applyFill="1" applyBorder="1" applyAlignment="1">
      <alignment horizontal="center" vertical="center" wrapText="1"/>
    </xf>
    <xf numFmtId="0" fontId="33" fillId="15" borderId="10" xfId="0" applyFont="1" applyFill="1" applyBorder="1" applyAlignment="1">
      <alignment horizontal="center" vertical="center" wrapText="1"/>
    </xf>
    <xf numFmtId="0" fontId="33" fillId="16" borderId="10" xfId="0" applyFont="1" applyFill="1" applyBorder="1" applyAlignment="1">
      <alignment horizontal="center" vertical="center" wrapText="1"/>
    </xf>
    <xf numFmtId="0" fontId="33" fillId="16" borderId="10" xfId="1" applyFont="1" applyFill="1" applyBorder="1" applyAlignment="1">
      <alignment horizontal="center" vertical="center" wrapText="1"/>
    </xf>
    <xf numFmtId="0" fontId="33" fillId="16" borderId="13" xfId="0" applyFont="1" applyFill="1" applyBorder="1" applyAlignment="1">
      <alignment horizontal="center" vertical="center" wrapText="1"/>
    </xf>
    <xf numFmtId="0" fontId="33" fillId="17" borderId="11" xfId="0" applyFont="1" applyFill="1" applyBorder="1" applyAlignment="1">
      <alignment horizontal="center" vertical="center"/>
    </xf>
    <xf numFmtId="0" fontId="33" fillId="17" borderId="13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49" fontId="28" fillId="0" borderId="15" xfId="0" applyNumberFormat="1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66" fontId="29" fillId="0" borderId="8" xfId="0" applyNumberFormat="1" applyFont="1" applyBorder="1" applyAlignment="1">
      <alignment horizontal="center" vertical="center"/>
    </xf>
    <xf numFmtId="166" fontId="29" fillId="0" borderId="7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33" fillId="20" borderId="13" xfId="0" applyFont="1" applyFill="1" applyBorder="1" applyAlignment="1">
      <alignment horizontal="center" vertical="center"/>
    </xf>
    <xf numFmtId="166" fontId="28" fillId="0" borderId="15" xfId="0" applyNumberFormat="1" applyFont="1" applyBorder="1" applyAlignment="1">
      <alignment horizontal="center" vertical="center"/>
    </xf>
    <xf numFmtId="165" fontId="32" fillId="0" borderId="15" xfId="0" applyNumberFormat="1" applyFont="1" applyBorder="1" applyAlignment="1">
      <alignment horizontal="center" vertical="center"/>
    </xf>
    <xf numFmtId="1" fontId="28" fillId="0" borderId="15" xfId="0" applyNumberFormat="1" applyFont="1" applyBorder="1" applyAlignment="1">
      <alignment horizontal="center" vertical="center"/>
    </xf>
    <xf numFmtId="0" fontId="34" fillId="21" borderId="15" xfId="0" applyFont="1" applyFill="1" applyBorder="1" applyAlignment="1">
      <alignment horizontal="center" vertical="center" wrapText="1"/>
    </xf>
    <xf numFmtId="0" fontId="33" fillId="20" borderId="13" xfId="0" applyFont="1" applyFill="1" applyBorder="1" applyAlignment="1">
      <alignment horizontal="center" vertical="center" wrapText="1"/>
    </xf>
    <xf numFmtId="167" fontId="33" fillId="20" borderId="13" xfId="0" applyNumberFormat="1" applyFont="1" applyFill="1" applyBorder="1" applyAlignment="1">
      <alignment horizontal="center" vertical="center" wrapText="1"/>
    </xf>
    <xf numFmtId="167" fontId="33" fillId="20" borderId="13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66" fontId="28" fillId="22" borderId="15" xfId="0" applyNumberFormat="1" applyFont="1" applyFill="1" applyBorder="1" applyAlignment="1">
      <alignment horizontal="center" vertical="center"/>
    </xf>
    <xf numFmtId="0" fontId="37" fillId="0" borderId="0" xfId="0" applyFont="1"/>
    <xf numFmtId="0" fontId="38" fillId="0" borderId="18" xfId="0" applyFont="1" applyBorder="1" applyAlignment="1">
      <alignment horizontal="center" vertical="center"/>
    </xf>
    <xf numFmtId="166" fontId="38" fillId="0" borderId="18" xfId="0" applyNumberFormat="1" applyFont="1" applyBorder="1" applyAlignment="1">
      <alignment horizontal="center" vertical="center"/>
    </xf>
    <xf numFmtId="0" fontId="36" fillId="11" borderId="10" xfId="1" applyFont="1" applyFill="1" applyBorder="1" applyAlignment="1">
      <alignment horizontal="center" vertical="center" wrapText="1"/>
    </xf>
    <xf numFmtId="0" fontId="36" fillId="16" borderId="10" xfId="0" applyFont="1" applyFill="1" applyBorder="1" applyAlignment="1">
      <alignment horizontal="center" vertical="center" wrapText="1"/>
    </xf>
    <xf numFmtId="0" fontId="36" fillId="16" borderId="13" xfId="0" applyFont="1" applyFill="1" applyBorder="1" applyAlignment="1">
      <alignment horizontal="center" vertical="center" wrapText="1"/>
    </xf>
    <xf numFmtId="166" fontId="28" fillId="11" borderId="15" xfId="0" applyNumberFormat="1" applyFont="1" applyFill="1" applyBorder="1" applyAlignment="1">
      <alignment horizontal="center" vertical="center"/>
    </xf>
    <xf numFmtId="168" fontId="32" fillId="0" borderId="15" xfId="0" applyNumberFormat="1" applyFont="1" applyBorder="1" applyAlignment="1">
      <alignment horizontal="center" vertical="center"/>
    </xf>
    <xf numFmtId="166" fontId="28" fillId="23" borderId="15" xfId="0" applyNumberFormat="1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28" fillId="24" borderId="15" xfId="0" applyFont="1" applyFill="1" applyBorder="1" applyAlignment="1">
      <alignment horizontal="center" vertical="center"/>
    </xf>
    <xf numFmtId="0" fontId="35" fillId="19" borderId="16" xfId="0" applyFont="1" applyFill="1" applyBorder="1" applyAlignment="1">
      <alignment horizontal="center" vertical="center" wrapText="1"/>
    </xf>
    <xf numFmtId="0" fontId="35" fillId="19" borderId="17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5" fillId="14" borderId="11" xfId="47" applyNumberFormat="1" applyFont="1" applyFill="1" applyBorder="1" applyAlignment="1">
      <alignment horizontal="center" vertical="center" wrapText="1"/>
    </xf>
    <xf numFmtId="166" fontId="35" fillId="14" borderId="11" xfId="47" applyNumberFormat="1" applyFont="1" applyFill="1" applyBorder="1" applyAlignment="1">
      <alignment horizontal="center" vertical="center" wrapText="1"/>
    </xf>
    <xf numFmtId="0" fontId="35" fillId="14" borderId="12" xfId="47" applyNumberFormat="1" applyFont="1" applyFill="1" applyBorder="1" applyAlignment="1">
      <alignment horizontal="center" vertical="center" wrapText="1"/>
    </xf>
    <xf numFmtId="0" fontId="35" fillId="13" borderId="10" xfId="47" applyNumberFormat="1" applyFont="1" applyFill="1" applyBorder="1" applyAlignment="1">
      <alignment horizontal="center" vertical="center" wrapText="1"/>
    </xf>
    <xf numFmtId="0" fontId="35" fillId="13" borderId="11" xfId="47" applyNumberFormat="1" applyFont="1" applyFill="1" applyBorder="1" applyAlignment="1">
      <alignment horizontal="center" vertical="center" wrapText="1"/>
    </xf>
    <xf numFmtId="166" fontId="35" fillId="13" borderId="12" xfId="47" applyNumberFormat="1" applyFont="1" applyFill="1" applyBorder="1" applyAlignment="1">
      <alignment horizontal="center" vertical="center" wrapText="1"/>
    </xf>
    <xf numFmtId="0" fontId="35" fillId="12" borderId="11" xfId="47" applyNumberFormat="1" applyFont="1" applyFill="1" applyBorder="1" applyAlignment="1">
      <alignment horizontal="center" vertical="center" wrapText="1"/>
    </xf>
    <xf numFmtId="0" fontId="35" fillId="18" borderId="10" xfId="0" applyFont="1" applyFill="1" applyBorder="1" applyAlignment="1">
      <alignment horizontal="center" vertical="center" wrapText="1"/>
    </xf>
    <xf numFmtId="0" fontId="35" fillId="18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1000000}"/>
    <cellStyle name="Hiperlink 2" xfId="3" xr:uid="{00000000-0005-0000-0000-000002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18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FA69"/>
      <color rgb="FFDC85FF"/>
      <color rgb="FFFF9999"/>
      <color rgb="FF96FF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44"/>
  <sheetViews>
    <sheetView showGridLines="0" tabSelected="1" topLeftCell="A10" zoomScale="85" zoomScaleNormal="85" workbookViewId="0">
      <pane xSplit="6" ySplit="4" topLeftCell="AE14" activePane="bottomRight" state="frozen"/>
      <selection pane="topRight"/>
      <selection pane="bottomLeft"/>
      <selection pane="bottomRight" activeCell="AG18" sqref="AG14:AG18"/>
    </sheetView>
  </sheetViews>
  <sheetFormatPr defaultColWidth="9.140625" defaultRowHeight="30" customHeight="1" x14ac:dyDescent="0.25"/>
  <cols>
    <col min="1" max="1" width="10" style="99" bestFit="1" customWidth="1"/>
    <col min="2" max="2" width="10.28515625" style="100" bestFit="1" customWidth="1"/>
    <col min="3" max="3" width="9.85546875" style="100" bestFit="1" customWidth="1"/>
    <col min="4" max="4" width="16.28515625" style="100" bestFit="1" customWidth="1"/>
    <col min="5" max="5" width="18" style="100" bestFit="1" customWidth="1"/>
    <col min="6" max="6" width="13.28515625" style="101" bestFit="1" customWidth="1"/>
    <col min="7" max="7" width="44.7109375" style="100" bestFit="1" customWidth="1"/>
    <col min="8" max="8" width="18" style="100" bestFit="1" customWidth="1"/>
    <col min="9" max="9" width="38.7109375" style="100" bestFit="1" customWidth="1"/>
    <col min="10" max="10" width="48.85546875" style="101" bestFit="1" customWidth="1"/>
    <col min="11" max="11" width="14.85546875" style="101" bestFit="1" customWidth="1"/>
    <col min="12" max="12" width="17.5703125" style="101" bestFit="1" customWidth="1"/>
    <col min="13" max="13" width="35.42578125" style="100" bestFit="1" customWidth="1"/>
    <col min="14" max="14" width="51.85546875" style="100" bestFit="1" customWidth="1"/>
    <col min="15" max="15" width="32.28515625" style="120" bestFit="1" customWidth="1"/>
    <col min="16" max="16" width="60.42578125" style="102" bestFit="1" customWidth="1"/>
    <col min="17" max="17" width="50.42578125" style="102" bestFit="1" customWidth="1"/>
    <col min="18" max="18" width="56.5703125" style="102" bestFit="1" customWidth="1"/>
    <col min="19" max="19" width="49.28515625" style="102" bestFit="1" customWidth="1"/>
    <col min="20" max="20" width="53.5703125" style="102" bestFit="1" customWidth="1"/>
    <col min="21" max="21" width="49.28515625" style="102" bestFit="1" customWidth="1"/>
    <col min="22" max="22" width="27.5703125" style="102" bestFit="1" customWidth="1"/>
    <col min="23" max="23" width="30.5703125" style="102" bestFit="1" customWidth="1"/>
    <col min="24" max="24" width="31.28515625" style="102" bestFit="1" customWidth="1"/>
    <col min="25" max="25" width="18.85546875" style="102" bestFit="1" customWidth="1"/>
    <col min="26" max="26" width="22.28515625" style="121" bestFit="1" customWidth="1"/>
    <col min="27" max="27" width="25.42578125" style="100" bestFit="1" customWidth="1"/>
    <col min="28" max="28" width="48.85546875" style="101" bestFit="1" customWidth="1"/>
    <col min="29" max="29" width="14.85546875" style="101" bestFit="1" customWidth="1"/>
    <col min="30" max="30" width="17.5703125" style="101" bestFit="1" customWidth="1"/>
    <col min="31" max="31" width="38.7109375" style="100" bestFit="1" customWidth="1"/>
    <col min="32" max="32" width="28.28515625" style="101" bestFit="1" customWidth="1"/>
    <col min="33" max="33" width="34.7109375" style="101" bestFit="1" customWidth="1"/>
    <col min="34" max="34" width="57.42578125" style="100" bestFit="1" customWidth="1"/>
    <col min="35" max="35" width="38" style="100" bestFit="1" customWidth="1"/>
    <col min="36" max="36" width="34.5703125" style="100" bestFit="1" customWidth="1"/>
    <col min="37" max="37" width="28.7109375" style="100" bestFit="1" customWidth="1"/>
    <col min="38" max="38" width="14.85546875" style="100" bestFit="1" customWidth="1"/>
    <col min="39" max="39" width="27.140625" style="100" bestFit="1" customWidth="1"/>
    <col min="40" max="40" width="38.42578125" style="100" bestFit="1" customWidth="1"/>
    <col min="41" max="41" width="43.42578125" style="101" bestFit="1" customWidth="1"/>
    <col min="42" max="42" width="41.140625" style="100" bestFit="1" customWidth="1"/>
    <col min="43" max="43" width="35.42578125" style="100" bestFit="1" customWidth="1"/>
    <col min="44" max="44" width="39.28515625" style="100" bestFit="1" customWidth="1"/>
    <col min="45" max="45" width="45.42578125" style="100" bestFit="1" customWidth="1"/>
    <col min="46" max="46" width="41.85546875" style="100" bestFit="1" customWidth="1"/>
    <col min="47" max="47" width="41.5703125" style="100" bestFit="1" customWidth="1"/>
    <col min="48" max="48" width="43" style="100" bestFit="1" customWidth="1"/>
    <col min="49" max="49" width="31.28515625" style="100" bestFit="1" customWidth="1"/>
    <col min="50" max="50" width="25.85546875" style="100" bestFit="1" customWidth="1"/>
    <col min="51" max="51" width="31.140625" style="122" bestFit="1" customWidth="1"/>
    <col min="52" max="52" width="34.140625" style="122" bestFit="1" customWidth="1"/>
    <col min="53" max="53" width="36.7109375" style="122" bestFit="1" customWidth="1"/>
    <col min="54" max="54" width="18.140625" style="122" bestFit="1" customWidth="1"/>
    <col min="55" max="55" width="27.28515625" style="100" bestFit="1" customWidth="1"/>
    <col min="56" max="56" width="25.28515625" style="100" bestFit="1" customWidth="1"/>
    <col min="57" max="57" width="27.85546875" style="100" bestFit="1" customWidth="1"/>
    <col min="58" max="58" width="31.7109375" style="100" bestFit="1" customWidth="1"/>
    <col min="59" max="59" width="27.140625" style="100" bestFit="1" customWidth="1"/>
    <col min="60" max="60" width="43" style="100" bestFit="1" customWidth="1"/>
    <col min="61" max="61" width="45.42578125" style="100" bestFit="1" customWidth="1"/>
    <col min="62" max="62" width="25" style="100" bestFit="1" customWidth="1"/>
    <col min="63" max="63" width="49.28515625" style="100" bestFit="1" customWidth="1"/>
    <col min="64" max="64" width="42.7109375" style="100" bestFit="1" customWidth="1"/>
    <col min="65" max="147" width="9.140625" style="100" bestFit="1" customWidth="1"/>
    <col min="148" max="16384" width="9.140625" style="100"/>
  </cols>
  <sheetData>
    <row r="1" spans="1:64" ht="30" customHeight="1" x14ac:dyDescent="0.25">
      <c r="O1" s="102"/>
      <c r="Z1" s="102"/>
      <c r="AY1" s="100"/>
      <c r="AZ1" s="100"/>
      <c r="BA1" s="100"/>
      <c r="BB1" s="100"/>
    </row>
    <row r="2" spans="1:64" ht="30" customHeight="1" x14ac:dyDescent="0.25">
      <c r="O2" s="102"/>
      <c r="Z2" s="102"/>
      <c r="AY2" s="100"/>
      <c r="AZ2" s="100"/>
      <c r="BA2" s="100"/>
      <c r="BB2" s="100"/>
    </row>
    <row r="3" spans="1:64" ht="30" customHeight="1" x14ac:dyDescent="0.25">
      <c r="C3" s="100">
        <v>2</v>
      </c>
      <c r="D3" s="100" t="s">
        <v>0</v>
      </c>
      <c r="G3" s="100" t="s">
        <v>1</v>
      </c>
      <c r="H3" s="100" t="s">
        <v>2</v>
      </c>
      <c r="I3" s="100" t="s">
        <v>3</v>
      </c>
      <c r="M3" s="100" t="s">
        <v>4</v>
      </c>
      <c r="N3" s="100" t="s">
        <v>5</v>
      </c>
      <c r="O3" s="102"/>
      <c r="P3" s="102" t="s">
        <v>6</v>
      </c>
      <c r="R3" s="102" t="s">
        <v>6</v>
      </c>
      <c r="X3" s="102" t="s">
        <v>7</v>
      </c>
      <c r="Z3" s="102"/>
      <c r="AE3" s="100" t="s">
        <v>3</v>
      </c>
      <c r="AH3" s="100" t="s">
        <v>6</v>
      </c>
      <c r="AI3" s="100" t="s">
        <v>6</v>
      </c>
      <c r="AJ3" s="100" t="s">
        <v>4</v>
      </c>
      <c r="AL3" s="100" t="s">
        <v>8</v>
      </c>
      <c r="AM3" s="100" t="s">
        <v>9</v>
      </c>
      <c r="AY3" s="100"/>
      <c r="AZ3" s="100"/>
      <c r="BA3" s="100"/>
      <c r="BB3" s="100"/>
    </row>
    <row r="4" spans="1:64" ht="30" customHeight="1" x14ac:dyDescent="0.25">
      <c r="C4" s="100">
        <v>4</v>
      </c>
      <c r="G4" s="100" t="s">
        <v>10</v>
      </c>
      <c r="H4" s="100" t="s">
        <v>11</v>
      </c>
      <c r="I4" s="100" t="s">
        <v>12</v>
      </c>
      <c r="M4" s="100" t="s">
        <v>13</v>
      </c>
      <c r="N4" s="100" t="s">
        <v>14</v>
      </c>
      <c r="O4" s="102"/>
      <c r="P4" s="102" t="s">
        <v>15</v>
      </c>
      <c r="R4" s="102" t="s">
        <v>15</v>
      </c>
      <c r="Z4" s="102"/>
      <c r="AE4" s="100" t="s">
        <v>12</v>
      </c>
      <c r="AH4" s="100" t="s">
        <v>16</v>
      </c>
      <c r="AI4" s="100" t="s">
        <v>15</v>
      </c>
      <c r="AJ4" s="100" t="s">
        <v>13</v>
      </c>
      <c r="AL4" s="100" t="s">
        <v>17</v>
      </c>
      <c r="AM4" s="100" t="s">
        <v>18</v>
      </c>
      <c r="AY4" s="100"/>
      <c r="AZ4" s="100"/>
      <c r="BA4" s="100"/>
      <c r="BB4" s="100"/>
    </row>
    <row r="5" spans="1:64" ht="30" customHeight="1" x14ac:dyDescent="0.25">
      <c r="G5" s="100" t="s">
        <v>19</v>
      </c>
      <c r="H5" s="103" t="s">
        <v>20</v>
      </c>
      <c r="I5" s="100" t="s">
        <v>21</v>
      </c>
      <c r="N5" s="100" t="s">
        <v>22</v>
      </c>
      <c r="O5" s="102"/>
      <c r="Z5" s="102"/>
      <c r="AH5" s="100" t="s">
        <v>23</v>
      </c>
      <c r="AI5" s="100" t="s">
        <v>24</v>
      </c>
      <c r="AM5" s="100" t="s">
        <v>25</v>
      </c>
      <c r="AY5" s="100"/>
      <c r="AZ5" s="100"/>
      <c r="BA5" s="100"/>
      <c r="BB5" s="100"/>
    </row>
    <row r="6" spans="1:64" ht="30" customHeight="1" x14ac:dyDescent="0.25">
      <c r="G6" s="100" t="s">
        <v>26</v>
      </c>
      <c r="N6" s="100" t="s">
        <v>27</v>
      </c>
      <c r="O6" s="102"/>
      <c r="Z6" s="102"/>
      <c r="AH6" s="100" t="s">
        <v>28</v>
      </c>
      <c r="AI6" s="100" t="s">
        <v>17</v>
      </c>
      <c r="AM6" s="100" t="s">
        <v>29</v>
      </c>
      <c r="AY6" s="100"/>
      <c r="AZ6" s="100"/>
      <c r="BA6" s="100"/>
      <c r="BB6" s="100"/>
    </row>
    <row r="7" spans="1:64" ht="30" customHeight="1" x14ac:dyDescent="0.25">
      <c r="G7" s="100" t="s">
        <v>30</v>
      </c>
      <c r="O7" s="102"/>
      <c r="Z7" s="102"/>
      <c r="AY7" s="100"/>
      <c r="AZ7" s="100"/>
      <c r="BA7" s="100"/>
      <c r="BB7" s="100"/>
    </row>
    <row r="8" spans="1:64" ht="30" customHeight="1" x14ac:dyDescent="0.25">
      <c r="G8" s="100" t="s">
        <v>31</v>
      </c>
      <c r="O8" s="102"/>
      <c r="Z8" s="102"/>
      <c r="AY8" s="100"/>
      <c r="AZ8" s="100"/>
      <c r="BA8" s="100"/>
      <c r="BB8" s="100"/>
    </row>
    <row r="9" spans="1:64" ht="30" customHeight="1" x14ac:dyDescent="0.25">
      <c r="G9" s="100" t="s">
        <v>32</v>
      </c>
      <c r="O9" s="102"/>
      <c r="Z9" s="102"/>
      <c r="AY9" s="100"/>
      <c r="AZ9" s="100"/>
      <c r="BA9" s="100"/>
      <c r="BB9" s="100"/>
    </row>
    <row r="10" spans="1:64" ht="30" customHeight="1" x14ac:dyDescent="0.25">
      <c r="O10" s="102"/>
      <c r="Z10" s="102"/>
      <c r="AP10" s="147"/>
      <c r="AQ10" s="147"/>
      <c r="AR10" s="147"/>
      <c r="AS10" s="147"/>
      <c r="AT10" s="147"/>
      <c r="AU10" s="101"/>
      <c r="AV10" s="101"/>
      <c r="AY10" s="100"/>
      <c r="AZ10" s="100"/>
      <c r="BA10" s="100"/>
      <c r="BB10" s="100"/>
    </row>
    <row r="11" spans="1:64" ht="30" customHeight="1" x14ac:dyDescent="0.25">
      <c r="O11" s="102"/>
      <c r="Z11" s="102"/>
      <c r="AP11" s="101"/>
      <c r="AQ11" s="101"/>
      <c r="AR11" s="101"/>
      <c r="AS11" s="101"/>
      <c r="AT11" s="101"/>
      <c r="AU11" s="101"/>
      <c r="AV11" s="101"/>
      <c r="AY11" s="100"/>
      <c r="AZ11" s="100"/>
      <c r="BA11" s="100"/>
      <c r="BB11" s="100"/>
    </row>
    <row r="12" spans="1:64" s="131" customFormat="1" ht="30" customHeight="1" x14ac:dyDescent="0.25">
      <c r="A12" s="151" t="s">
        <v>33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3"/>
      <c r="P12" s="148" t="s">
        <v>34</v>
      </c>
      <c r="Q12" s="148"/>
      <c r="R12" s="148"/>
      <c r="S12" s="148"/>
      <c r="T12" s="148"/>
      <c r="U12" s="149"/>
      <c r="V12" s="148"/>
      <c r="W12" s="148"/>
      <c r="X12" s="148"/>
      <c r="Y12" s="149"/>
      <c r="Z12" s="148"/>
      <c r="AA12" s="150"/>
      <c r="AB12" s="154" t="s">
        <v>35</v>
      </c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5" t="s">
        <v>36</v>
      </c>
      <c r="BB12" s="156"/>
      <c r="BC12" s="145"/>
      <c r="BD12" s="146"/>
      <c r="BE12" s="146"/>
      <c r="BF12" s="146"/>
      <c r="BG12" s="146"/>
      <c r="BH12" s="146"/>
      <c r="BI12" s="146"/>
      <c r="BJ12" s="146"/>
      <c r="BK12" s="146"/>
      <c r="BL12" s="146"/>
    </row>
    <row r="13" spans="1:64" s="101" customFormat="1" ht="39" customHeight="1" x14ac:dyDescent="0.25">
      <c r="A13" s="104" t="s">
        <v>37</v>
      </c>
      <c r="B13" s="105" t="s">
        <v>38</v>
      </c>
      <c r="C13" s="105" t="s">
        <v>39</v>
      </c>
      <c r="D13" s="105" t="s">
        <v>40</v>
      </c>
      <c r="E13" s="105" t="s">
        <v>41</v>
      </c>
      <c r="F13" s="105" t="s">
        <v>42</v>
      </c>
      <c r="G13" s="105" t="s">
        <v>43</v>
      </c>
      <c r="H13" s="105" t="s">
        <v>44</v>
      </c>
      <c r="I13" s="105" t="s">
        <v>45</v>
      </c>
      <c r="J13" s="106" t="s">
        <v>46</v>
      </c>
      <c r="K13" s="106" t="s">
        <v>47</v>
      </c>
      <c r="L13" s="106" t="s">
        <v>48</v>
      </c>
      <c r="M13" s="106" t="s">
        <v>49</v>
      </c>
      <c r="N13" s="106" t="s">
        <v>50</v>
      </c>
      <c r="O13" s="107" t="s">
        <v>51</v>
      </c>
      <c r="P13" s="108" t="s">
        <v>52</v>
      </c>
      <c r="Q13" s="108" t="s">
        <v>53</v>
      </c>
      <c r="R13" s="108" t="s">
        <v>54</v>
      </c>
      <c r="S13" s="108" t="s">
        <v>55</v>
      </c>
      <c r="T13" s="108" t="s">
        <v>56</v>
      </c>
      <c r="U13" s="108" t="s">
        <v>57</v>
      </c>
      <c r="V13" s="108" t="s">
        <v>58</v>
      </c>
      <c r="W13" s="108" t="s">
        <v>59</v>
      </c>
      <c r="X13" s="108" t="s">
        <v>60</v>
      </c>
      <c r="Y13" s="108" t="s">
        <v>61</v>
      </c>
      <c r="Z13" s="108" t="s">
        <v>62</v>
      </c>
      <c r="AA13" s="109" t="s">
        <v>63</v>
      </c>
      <c r="AB13" s="110" t="s">
        <v>64</v>
      </c>
      <c r="AC13" s="110" t="s">
        <v>47</v>
      </c>
      <c r="AD13" s="110" t="s">
        <v>48</v>
      </c>
      <c r="AE13" s="111" t="s">
        <v>65</v>
      </c>
      <c r="AF13" s="110" t="s">
        <v>66</v>
      </c>
      <c r="AG13" s="110" t="s">
        <v>67</v>
      </c>
      <c r="AH13" s="110" t="s">
        <v>68</v>
      </c>
      <c r="AI13" s="111" t="s">
        <v>69</v>
      </c>
      <c r="AJ13" s="110" t="s">
        <v>70</v>
      </c>
      <c r="AK13" s="110" t="s">
        <v>71</v>
      </c>
      <c r="AL13" s="110" t="s">
        <v>72</v>
      </c>
      <c r="AM13" s="110" t="s">
        <v>73</v>
      </c>
      <c r="AN13" s="110" t="s">
        <v>74</v>
      </c>
      <c r="AO13" s="110" t="s">
        <v>75</v>
      </c>
      <c r="AP13" s="110" t="s">
        <v>76</v>
      </c>
      <c r="AQ13" s="110" t="s">
        <v>77</v>
      </c>
      <c r="AR13" s="110" t="s">
        <v>78</v>
      </c>
      <c r="AS13" s="110" t="s">
        <v>79</v>
      </c>
      <c r="AT13" s="110" t="s">
        <v>80</v>
      </c>
      <c r="AU13" s="110" t="s">
        <v>81</v>
      </c>
      <c r="AV13" s="110" t="s">
        <v>82</v>
      </c>
      <c r="AW13" s="110" t="s">
        <v>60</v>
      </c>
      <c r="AX13" s="110" t="s">
        <v>83</v>
      </c>
      <c r="AY13" s="110" t="s">
        <v>84</v>
      </c>
      <c r="AZ13" s="112" t="s">
        <v>85</v>
      </c>
      <c r="BA13" s="113" t="s">
        <v>86</v>
      </c>
      <c r="BB13" s="114" t="s">
        <v>87</v>
      </c>
      <c r="BC13" s="128" t="s">
        <v>88</v>
      </c>
      <c r="BD13" s="128" t="s">
        <v>89</v>
      </c>
      <c r="BE13" s="128" t="s">
        <v>90</v>
      </c>
      <c r="BF13" s="129" t="s">
        <v>91</v>
      </c>
      <c r="BG13" s="130" t="s">
        <v>92</v>
      </c>
      <c r="BH13" s="128" t="s">
        <v>93</v>
      </c>
      <c r="BI13" s="123" t="s">
        <v>79</v>
      </c>
      <c r="BJ13" s="123" t="s">
        <v>94</v>
      </c>
      <c r="BK13" s="128" t="s">
        <v>95</v>
      </c>
      <c r="BL13" s="123" t="s">
        <v>96</v>
      </c>
    </row>
    <row r="14" spans="1:64" ht="30" customHeight="1" x14ac:dyDescent="0.25">
      <c r="A14" s="115">
        <v>1</v>
      </c>
      <c r="B14" s="115" t="s">
        <v>97</v>
      </c>
      <c r="C14" s="115" t="s">
        <v>98</v>
      </c>
      <c r="D14" s="116" t="s">
        <v>98</v>
      </c>
      <c r="E14" s="115" t="s">
        <v>99</v>
      </c>
      <c r="F14" s="117" t="s">
        <v>100</v>
      </c>
      <c r="G14" s="115" t="s">
        <v>1</v>
      </c>
      <c r="H14" s="115" t="s">
        <v>2</v>
      </c>
      <c r="I14" s="115" t="s">
        <v>12</v>
      </c>
      <c r="J14" s="117" t="s">
        <v>101</v>
      </c>
      <c r="K14" s="117" t="s">
        <v>102</v>
      </c>
      <c r="L14" s="117" t="s">
        <v>103</v>
      </c>
      <c r="M14" s="115" t="s">
        <v>4</v>
      </c>
      <c r="N14" s="127" t="s">
        <v>104</v>
      </c>
      <c r="O14" s="124">
        <v>45104</v>
      </c>
      <c r="P14" s="124">
        <v>44873</v>
      </c>
      <c r="Q14" s="124" t="s">
        <v>105</v>
      </c>
      <c r="R14" s="124" t="s">
        <v>106</v>
      </c>
      <c r="S14" s="124">
        <v>44873</v>
      </c>
      <c r="T14" s="124">
        <v>45040</v>
      </c>
      <c r="U14" s="124">
        <v>45235</v>
      </c>
      <c r="V14" s="124" t="s">
        <v>106</v>
      </c>
      <c r="W14" s="124" t="s">
        <v>106</v>
      </c>
      <c r="X14" s="141">
        <v>45210</v>
      </c>
      <c r="Y14" s="132" t="s">
        <v>107</v>
      </c>
      <c r="Z14" s="124">
        <v>45097</v>
      </c>
      <c r="AA14" s="115"/>
      <c r="AB14" s="117" t="s">
        <v>101</v>
      </c>
      <c r="AC14" s="117" t="s">
        <v>102</v>
      </c>
      <c r="AD14" s="117" t="s">
        <v>103</v>
      </c>
      <c r="AE14" s="115" t="s">
        <v>12</v>
      </c>
      <c r="AF14" s="140" t="s">
        <v>108</v>
      </c>
      <c r="AG14" s="125">
        <v>52500</v>
      </c>
      <c r="AH14" s="115" t="s">
        <v>6</v>
      </c>
      <c r="AI14" s="115" t="s">
        <v>106</v>
      </c>
      <c r="AJ14" s="115" t="s">
        <v>4</v>
      </c>
      <c r="AK14" s="115" t="s">
        <v>106</v>
      </c>
      <c r="AL14" s="115" t="s">
        <v>106</v>
      </c>
      <c r="AM14" s="115" t="s">
        <v>109</v>
      </c>
      <c r="AN14" s="115"/>
      <c r="AO14" s="117" t="s">
        <v>110</v>
      </c>
      <c r="AP14" s="115" t="s">
        <v>106</v>
      </c>
      <c r="AQ14" s="115" t="s">
        <v>106</v>
      </c>
      <c r="AR14" s="115" t="s">
        <v>106</v>
      </c>
      <c r="AS14" s="115" t="s">
        <v>106</v>
      </c>
      <c r="AT14" s="124">
        <v>45188</v>
      </c>
      <c r="AU14" s="115" t="s">
        <v>106</v>
      </c>
      <c r="AV14" s="115" t="s">
        <v>106</v>
      </c>
      <c r="AW14" s="124">
        <v>45203</v>
      </c>
      <c r="AX14" s="139">
        <v>45210</v>
      </c>
      <c r="AY14" s="124">
        <v>45097</v>
      </c>
      <c r="AZ14" s="115" t="s">
        <v>30</v>
      </c>
      <c r="BA14" s="115" t="s">
        <v>106</v>
      </c>
      <c r="BB14" s="126">
        <f t="shared" ref="BB14:BB45" si="0">IF(AX14-KE14=0,"",AX14-O14)</f>
        <v>106</v>
      </c>
      <c r="BC14" s="115" t="str">
        <f t="shared" ref="BC14:BC45" si="1">IF(AND(AH14&lt;&gt;"SIM",AH14="UH"),"AA","INDENIZAÇÃO")</f>
        <v>INDENIZAÇÃO</v>
      </c>
      <c r="BD14" s="115" t="str">
        <f t="shared" ref="BD14:BD45" si="2">IF(AND(AX14&lt;&gt;"AGUARDANDO",AX14&lt;&gt;"",N14="AUXÍLIO ALUGUEL ATÉ INDENIZAÇÃO"),"SIM","NÃO")</f>
        <v>SIM</v>
      </c>
      <c r="BE14" s="124" t="s">
        <v>106</v>
      </c>
      <c r="BF14" s="124">
        <v>45229</v>
      </c>
      <c r="BG14" s="124">
        <v>45229</v>
      </c>
      <c r="BH14" s="115" t="s">
        <v>106</v>
      </c>
      <c r="BI14" s="115" t="s">
        <v>106</v>
      </c>
      <c r="BJ14" s="124">
        <v>45483</v>
      </c>
      <c r="BK14" s="115" t="s">
        <v>106</v>
      </c>
      <c r="BL14" s="144" t="s">
        <v>106</v>
      </c>
    </row>
    <row r="15" spans="1:64" ht="30" customHeight="1" x14ac:dyDescent="0.25">
      <c r="A15" s="115">
        <v>2</v>
      </c>
      <c r="B15" s="115" t="s">
        <v>97</v>
      </c>
      <c r="C15" s="115" t="s">
        <v>98</v>
      </c>
      <c r="D15" s="116" t="s">
        <v>98</v>
      </c>
      <c r="E15" s="115" t="s">
        <v>99</v>
      </c>
      <c r="F15" s="117" t="s">
        <v>111</v>
      </c>
      <c r="G15" s="115" t="s">
        <v>1</v>
      </c>
      <c r="H15" s="115" t="s">
        <v>2</v>
      </c>
      <c r="I15" s="115" t="s">
        <v>12</v>
      </c>
      <c r="J15" s="117" t="s">
        <v>112</v>
      </c>
      <c r="K15" s="117" t="s">
        <v>113</v>
      </c>
      <c r="L15" s="117" t="s">
        <v>114</v>
      </c>
      <c r="M15" s="115" t="s">
        <v>4</v>
      </c>
      <c r="N15" s="127" t="s">
        <v>104</v>
      </c>
      <c r="O15" s="124">
        <v>45104</v>
      </c>
      <c r="P15" s="124">
        <v>44873</v>
      </c>
      <c r="Q15" s="124" t="s">
        <v>105</v>
      </c>
      <c r="R15" s="124" t="s">
        <v>106</v>
      </c>
      <c r="S15" s="124">
        <v>44873</v>
      </c>
      <c r="T15" s="124">
        <v>45040</v>
      </c>
      <c r="U15" s="124">
        <v>45235</v>
      </c>
      <c r="V15" s="124" t="s">
        <v>106</v>
      </c>
      <c r="W15" s="124" t="s">
        <v>106</v>
      </c>
      <c r="X15" s="141">
        <v>45204</v>
      </c>
      <c r="Y15" s="132" t="s">
        <v>107</v>
      </c>
      <c r="Z15" s="124">
        <v>45097</v>
      </c>
      <c r="AA15" s="115"/>
      <c r="AB15" s="117" t="s">
        <v>112</v>
      </c>
      <c r="AC15" s="117" t="s">
        <v>113</v>
      </c>
      <c r="AD15" s="117" t="s">
        <v>114</v>
      </c>
      <c r="AE15" s="115" t="s">
        <v>12</v>
      </c>
      <c r="AF15" s="140" t="s">
        <v>115</v>
      </c>
      <c r="AG15" s="125">
        <v>52000</v>
      </c>
      <c r="AH15" s="115" t="s">
        <v>6</v>
      </c>
      <c r="AI15" s="115" t="s">
        <v>106</v>
      </c>
      <c r="AJ15" s="115" t="s">
        <v>4</v>
      </c>
      <c r="AK15" s="115" t="s">
        <v>106</v>
      </c>
      <c r="AL15" s="115" t="s">
        <v>106</v>
      </c>
      <c r="AM15" s="115" t="s">
        <v>109</v>
      </c>
      <c r="AN15" s="115"/>
      <c r="AO15" s="117" t="s">
        <v>116</v>
      </c>
      <c r="AP15" s="115" t="s">
        <v>106</v>
      </c>
      <c r="AQ15" s="115" t="s">
        <v>106</v>
      </c>
      <c r="AR15" s="115" t="s">
        <v>106</v>
      </c>
      <c r="AS15" s="115" t="s">
        <v>106</v>
      </c>
      <c r="AT15" s="124">
        <v>45188</v>
      </c>
      <c r="AU15" s="115" t="s">
        <v>106</v>
      </c>
      <c r="AV15" s="115" t="s">
        <v>106</v>
      </c>
      <c r="AW15" s="124">
        <v>45204</v>
      </c>
      <c r="AX15" s="139">
        <v>45204</v>
      </c>
      <c r="AY15" s="124">
        <v>45097</v>
      </c>
      <c r="AZ15" s="115" t="s">
        <v>30</v>
      </c>
      <c r="BA15" s="115" t="s">
        <v>106</v>
      </c>
      <c r="BB15" s="126">
        <f t="shared" si="0"/>
        <v>100</v>
      </c>
      <c r="BC15" s="115" t="str">
        <f t="shared" si="1"/>
        <v>INDENIZAÇÃO</v>
      </c>
      <c r="BD15" s="115" t="str">
        <f t="shared" si="2"/>
        <v>SIM</v>
      </c>
      <c r="BE15" s="124" t="s">
        <v>106</v>
      </c>
      <c r="BF15" s="124">
        <v>45229</v>
      </c>
      <c r="BG15" s="124">
        <v>45229</v>
      </c>
      <c r="BH15" s="115" t="s">
        <v>106</v>
      </c>
      <c r="BI15" s="115" t="s">
        <v>106</v>
      </c>
      <c r="BJ15" s="124">
        <v>45483</v>
      </c>
      <c r="BK15" s="115" t="s">
        <v>106</v>
      </c>
      <c r="BL15" s="144" t="s">
        <v>106</v>
      </c>
    </row>
    <row r="16" spans="1:64" ht="30" customHeight="1" x14ac:dyDescent="0.25">
      <c r="A16" s="115">
        <v>3</v>
      </c>
      <c r="B16" s="115" t="s">
        <v>97</v>
      </c>
      <c r="C16" s="115" t="s">
        <v>98</v>
      </c>
      <c r="D16" s="116" t="s">
        <v>98</v>
      </c>
      <c r="E16" s="115" t="s">
        <v>99</v>
      </c>
      <c r="F16" s="117" t="s">
        <v>117</v>
      </c>
      <c r="G16" s="115" t="s">
        <v>1</v>
      </c>
      <c r="H16" s="115" t="s">
        <v>2</v>
      </c>
      <c r="I16" s="115" t="s">
        <v>12</v>
      </c>
      <c r="J16" s="117" t="s">
        <v>118</v>
      </c>
      <c r="K16" s="117" t="s">
        <v>119</v>
      </c>
      <c r="L16" s="117" t="s">
        <v>120</v>
      </c>
      <c r="M16" s="115" t="s">
        <v>4</v>
      </c>
      <c r="N16" s="127" t="s">
        <v>104</v>
      </c>
      <c r="O16" s="124">
        <v>45104</v>
      </c>
      <c r="P16" s="124">
        <v>44873</v>
      </c>
      <c r="Q16" s="124" t="s">
        <v>105</v>
      </c>
      <c r="R16" s="124" t="s">
        <v>106</v>
      </c>
      <c r="S16" s="124">
        <v>44873</v>
      </c>
      <c r="T16" s="124">
        <v>45040</v>
      </c>
      <c r="U16" s="124">
        <v>45235</v>
      </c>
      <c r="V16" s="124" t="s">
        <v>106</v>
      </c>
      <c r="W16" s="124" t="s">
        <v>106</v>
      </c>
      <c r="X16" s="141">
        <v>45210</v>
      </c>
      <c r="Y16" s="132" t="s">
        <v>107</v>
      </c>
      <c r="Z16" s="124">
        <v>45097</v>
      </c>
      <c r="AA16" s="115"/>
      <c r="AB16" s="117" t="s">
        <v>118</v>
      </c>
      <c r="AC16" s="117" t="s">
        <v>119</v>
      </c>
      <c r="AD16" s="117" t="s">
        <v>120</v>
      </c>
      <c r="AE16" s="115" t="s">
        <v>12</v>
      </c>
      <c r="AF16" s="140" t="s">
        <v>121</v>
      </c>
      <c r="AG16" s="125">
        <v>45500</v>
      </c>
      <c r="AH16" s="115" t="s">
        <v>6</v>
      </c>
      <c r="AI16" s="115" t="s">
        <v>106</v>
      </c>
      <c r="AJ16" s="115" t="s">
        <v>4</v>
      </c>
      <c r="AK16" s="115" t="s">
        <v>106</v>
      </c>
      <c r="AL16" s="115" t="s">
        <v>106</v>
      </c>
      <c r="AM16" s="115" t="s">
        <v>109</v>
      </c>
      <c r="AN16" s="115"/>
      <c r="AO16" s="117" t="s">
        <v>122</v>
      </c>
      <c r="AP16" s="115" t="s">
        <v>106</v>
      </c>
      <c r="AQ16" s="115" t="s">
        <v>106</v>
      </c>
      <c r="AR16" s="115" t="s">
        <v>106</v>
      </c>
      <c r="AS16" s="115" t="s">
        <v>106</v>
      </c>
      <c r="AT16" s="124">
        <v>45188</v>
      </c>
      <c r="AU16" s="115" t="s">
        <v>106</v>
      </c>
      <c r="AV16" s="115" t="s">
        <v>106</v>
      </c>
      <c r="AW16" s="124">
        <v>45202</v>
      </c>
      <c r="AX16" s="139">
        <v>45210</v>
      </c>
      <c r="AY16" s="124">
        <v>45097</v>
      </c>
      <c r="AZ16" s="115" t="s">
        <v>30</v>
      </c>
      <c r="BA16" s="115" t="s">
        <v>106</v>
      </c>
      <c r="BB16" s="126">
        <f t="shared" si="0"/>
        <v>106</v>
      </c>
      <c r="BC16" s="115" t="str">
        <f t="shared" si="1"/>
        <v>INDENIZAÇÃO</v>
      </c>
      <c r="BD16" s="115" t="str">
        <f t="shared" si="2"/>
        <v>SIM</v>
      </c>
      <c r="BE16" s="124" t="s">
        <v>106</v>
      </c>
      <c r="BF16" s="124">
        <v>45229</v>
      </c>
      <c r="BG16" s="124">
        <v>45229</v>
      </c>
      <c r="BH16" s="115" t="s">
        <v>106</v>
      </c>
      <c r="BI16" s="115" t="s">
        <v>106</v>
      </c>
      <c r="BJ16" s="124">
        <v>45483</v>
      </c>
      <c r="BK16" s="115" t="s">
        <v>106</v>
      </c>
      <c r="BL16" s="144" t="s">
        <v>106</v>
      </c>
    </row>
    <row r="17" spans="1:64" ht="30" customHeight="1" x14ac:dyDescent="0.25">
      <c r="A17" s="115">
        <v>4</v>
      </c>
      <c r="B17" s="115" t="s">
        <v>97</v>
      </c>
      <c r="C17" s="115" t="s">
        <v>98</v>
      </c>
      <c r="D17" s="116" t="s">
        <v>98</v>
      </c>
      <c r="E17" s="115" t="s">
        <v>99</v>
      </c>
      <c r="F17" s="117" t="s">
        <v>123</v>
      </c>
      <c r="G17" s="115" t="s">
        <v>1</v>
      </c>
      <c r="H17" s="115" t="s">
        <v>2</v>
      </c>
      <c r="I17" s="115" t="s">
        <v>12</v>
      </c>
      <c r="J17" s="117" t="s">
        <v>124</v>
      </c>
      <c r="K17" s="117" t="s">
        <v>125</v>
      </c>
      <c r="L17" s="117" t="s">
        <v>126</v>
      </c>
      <c r="M17" s="115" t="s">
        <v>4</v>
      </c>
      <c r="N17" s="127" t="s">
        <v>104</v>
      </c>
      <c r="O17" s="124">
        <v>45104</v>
      </c>
      <c r="P17" s="124">
        <v>44873</v>
      </c>
      <c r="Q17" s="124" t="s">
        <v>105</v>
      </c>
      <c r="R17" s="124" t="s">
        <v>106</v>
      </c>
      <c r="S17" s="124">
        <v>44873</v>
      </c>
      <c r="T17" s="124">
        <v>45040</v>
      </c>
      <c r="U17" s="124">
        <v>45235</v>
      </c>
      <c r="V17" s="124" t="s">
        <v>106</v>
      </c>
      <c r="W17" s="124" t="s">
        <v>106</v>
      </c>
      <c r="X17" s="141">
        <v>45210</v>
      </c>
      <c r="Y17" s="132" t="s">
        <v>107</v>
      </c>
      <c r="Z17" s="124">
        <v>45097</v>
      </c>
      <c r="AA17" s="115"/>
      <c r="AB17" s="117" t="s">
        <v>124</v>
      </c>
      <c r="AC17" s="117" t="s">
        <v>125</v>
      </c>
      <c r="AD17" s="117" t="s">
        <v>126</v>
      </c>
      <c r="AE17" s="115" t="s">
        <v>12</v>
      </c>
      <c r="AF17" s="140" t="s">
        <v>127</v>
      </c>
      <c r="AG17" s="125">
        <v>47900</v>
      </c>
      <c r="AH17" s="115" t="s">
        <v>6</v>
      </c>
      <c r="AI17" s="115" t="s">
        <v>106</v>
      </c>
      <c r="AJ17" s="115" t="s">
        <v>4</v>
      </c>
      <c r="AK17" s="115" t="s">
        <v>106</v>
      </c>
      <c r="AL17" s="115" t="s">
        <v>106</v>
      </c>
      <c r="AM17" s="115" t="s">
        <v>109</v>
      </c>
      <c r="AN17" s="115"/>
      <c r="AO17" s="117" t="s">
        <v>128</v>
      </c>
      <c r="AP17" s="115" t="s">
        <v>106</v>
      </c>
      <c r="AQ17" s="115" t="s">
        <v>106</v>
      </c>
      <c r="AR17" s="115" t="s">
        <v>106</v>
      </c>
      <c r="AS17" s="115" t="s">
        <v>106</v>
      </c>
      <c r="AT17" s="124">
        <v>45188</v>
      </c>
      <c r="AU17" s="115" t="s">
        <v>106</v>
      </c>
      <c r="AV17" s="115" t="s">
        <v>106</v>
      </c>
      <c r="AW17" s="124">
        <v>45202</v>
      </c>
      <c r="AX17" s="139">
        <v>45210</v>
      </c>
      <c r="AY17" s="124">
        <v>45097</v>
      </c>
      <c r="AZ17" s="115" t="s">
        <v>30</v>
      </c>
      <c r="BA17" s="115" t="s">
        <v>106</v>
      </c>
      <c r="BB17" s="126">
        <f t="shared" si="0"/>
        <v>106</v>
      </c>
      <c r="BC17" s="115" t="str">
        <f t="shared" si="1"/>
        <v>INDENIZAÇÃO</v>
      </c>
      <c r="BD17" s="115" t="str">
        <f t="shared" si="2"/>
        <v>SIM</v>
      </c>
      <c r="BE17" s="124" t="s">
        <v>106</v>
      </c>
      <c r="BF17" s="124">
        <v>45229</v>
      </c>
      <c r="BG17" s="124">
        <v>45229</v>
      </c>
      <c r="BH17" s="115" t="s">
        <v>106</v>
      </c>
      <c r="BI17" s="115" t="s">
        <v>106</v>
      </c>
      <c r="BJ17" s="124">
        <v>45565</v>
      </c>
      <c r="BK17" s="115" t="s">
        <v>106</v>
      </c>
      <c r="BL17" s="144" t="s">
        <v>106</v>
      </c>
    </row>
    <row r="18" spans="1:64" ht="30" customHeight="1" x14ac:dyDescent="0.25">
      <c r="A18" s="115">
        <v>5</v>
      </c>
      <c r="B18" s="115" t="s">
        <v>97</v>
      </c>
      <c r="C18" s="115" t="s">
        <v>98</v>
      </c>
      <c r="D18" s="116" t="s">
        <v>98</v>
      </c>
      <c r="E18" s="115" t="s">
        <v>99</v>
      </c>
      <c r="F18" s="117" t="s">
        <v>129</v>
      </c>
      <c r="G18" s="115" t="s">
        <v>1</v>
      </c>
      <c r="H18" s="115" t="s">
        <v>2</v>
      </c>
      <c r="I18" s="115" t="s">
        <v>12</v>
      </c>
      <c r="J18" s="117" t="s">
        <v>130</v>
      </c>
      <c r="K18" s="117" t="s">
        <v>131</v>
      </c>
      <c r="L18" s="117" t="s">
        <v>132</v>
      </c>
      <c r="M18" s="115" t="s">
        <v>4</v>
      </c>
      <c r="N18" s="142" t="s">
        <v>5</v>
      </c>
      <c r="O18" s="124">
        <v>45104</v>
      </c>
      <c r="P18" s="124" t="s">
        <v>24</v>
      </c>
      <c r="Q18" s="124" t="s">
        <v>24</v>
      </c>
      <c r="R18" s="124" t="s">
        <v>24</v>
      </c>
      <c r="S18" s="124" t="s">
        <v>24</v>
      </c>
      <c r="T18" s="124" t="s">
        <v>24</v>
      </c>
      <c r="U18" s="124" t="s">
        <v>24</v>
      </c>
      <c r="V18" s="124" t="s">
        <v>24</v>
      </c>
      <c r="W18" s="124" t="s">
        <v>24</v>
      </c>
      <c r="X18" s="124" t="s">
        <v>24</v>
      </c>
      <c r="Y18" s="124" t="s">
        <v>24</v>
      </c>
      <c r="Z18" s="124" t="s">
        <v>24</v>
      </c>
      <c r="AA18" s="115"/>
      <c r="AB18" s="117" t="s">
        <v>130</v>
      </c>
      <c r="AC18" s="117" t="s">
        <v>131</v>
      </c>
      <c r="AD18" s="117" t="s">
        <v>132</v>
      </c>
      <c r="AE18" s="115" t="s">
        <v>12</v>
      </c>
      <c r="AF18" s="140" t="s">
        <v>133</v>
      </c>
      <c r="AG18" s="125">
        <v>60000</v>
      </c>
      <c r="AH18" s="115" t="s">
        <v>6</v>
      </c>
      <c r="AI18" s="115" t="s">
        <v>106</v>
      </c>
      <c r="AJ18" s="115" t="s">
        <v>4</v>
      </c>
      <c r="AK18" s="115" t="s">
        <v>106</v>
      </c>
      <c r="AL18" s="115" t="s">
        <v>106</v>
      </c>
      <c r="AM18" s="115" t="s">
        <v>109</v>
      </c>
      <c r="AN18" s="115"/>
      <c r="AO18" s="117" t="s">
        <v>134</v>
      </c>
      <c r="AP18" s="115" t="s">
        <v>106</v>
      </c>
      <c r="AQ18" s="115" t="s">
        <v>106</v>
      </c>
      <c r="AR18" s="115" t="s">
        <v>106</v>
      </c>
      <c r="AS18" s="115" t="s">
        <v>106</v>
      </c>
      <c r="AT18" s="124">
        <v>45188</v>
      </c>
      <c r="AU18" s="115" t="s">
        <v>106</v>
      </c>
      <c r="AV18" s="115" t="s">
        <v>106</v>
      </c>
      <c r="AW18" s="124">
        <v>45202</v>
      </c>
      <c r="AX18" s="139">
        <v>45210</v>
      </c>
      <c r="AY18" s="124">
        <v>45097</v>
      </c>
      <c r="AZ18" s="115" t="s">
        <v>30</v>
      </c>
      <c r="BA18" s="115" t="s">
        <v>106</v>
      </c>
      <c r="BB18" s="126">
        <f t="shared" si="0"/>
        <v>106</v>
      </c>
      <c r="BC18" s="115" t="str">
        <f t="shared" si="1"/>
        <v>INDENIZAÇÃO</v>
      </c>
      <c r="BD18" s="115" t="str">
        <f t="shared" si="2"/>
        <v>NÃO</v>
      </c>
      <c r="BE18" s="124" t="s">
        <v>24</v>
      </c>
      <c r="BF18" s="124" t="s">
        <v>24</v>
      </c>
      <c r="BG18" s="124" t="s">
        <v>24</v>
      </c>
      <c r="BH18" s="115" t="s">
        <v>106</v>
      </c>
      <c r="BI18" s="115" t="s">
        <v>106</v>
      </c>
      <c r="BJ18" s="124">
        <v>45483</v>
      </c>
      <c r="BK18" s="115" t="s">
        <v>106</v>
      </c>
      <c r="BL18" s="144" t="s">
        <v>106</v>
      </c>
    </row>
    <row r="19" spans="1:64" ht="30" customHeight="1" x14ac:dyDescent="0.25">
      <c r="A19" s="115">
        <v>6</v>
      </c>
      <c r="B19" s="115" t="s">
        <v>97</v>
      </c>
      <c r="C19" s="115"/>
      <c r="D19" s="116"/>
      <c r="E19" s="115"/>
      <c r="F19" s="117"/>
      <c r="G19" s="115"/>
      <c r="H19" s="115"/>
      <c r="I19" s="115"/>
      <c r="J19" s="117"/>
      <c r="K19" s="117"/>
      <c r="L19" s="117"/>
      <c r="M19" s="115"/>
      <c r="N19" s="115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15"/>
      <c r="AB19" s="117"/>
      <c r="AC19" s="117"/>
      <c r="AD19" s="117"/>
      <c r="AE19" s="115"/>
      <c r="AF19" s="125"/>
      <c r="AG19" s="125"/>
      <c r="AH19" s="115"/>
      <c r="AI19" s="115"/>
      <c r="AJ19" s="115"/>
      <c r="AK19" s="115"/>
      <c r="AL19" s="115"/>
      <c r="AM19" s="115"/>
      <c r="AN19" s="115"/>
      <c r="AO19" s="117"/>
      <c r="AP19" s="115"/>
      <c r="AQ19" s="115"/>
      <c r="AR19" s="115"/>
      <c r="AS19" s="115"/>
      <c r="AT19" s="115"/>
      <c r="AU19" s="115"/>
      <c r="AV19" s="115"/>
      <c r="AW19" s="124"/>
      <c r="AX19" s="124"/>
      <c r="AY19" s="124"/>
      <c r="AZ19" s="115"/>
      <c r="BA19" s="115"/>
      <c r="BB19" s="126" t="str">
        <f t="shared" si="0"/>
        <v/>
      </c>
      <c r="BC19" s="115" t="str">
        <f t="shared" si="1"/>
        <v>INDENIZAÇÃO</v>
      </c>
      <c r="BD19" s="115" t="str">
        <f t="shared" si="2"/>
        <v>NÃO</v>
      </c>
      <c r="BE19" s="115"/>
      <c r="BF19" s="115"/>
      <c r="BG19" s="115"/>
      <c r="BH19" s="115"/>
      <c r="BI19" s="115"/>
      <c r="BJ19" s="115"/>
      <c r="BK19" s="115"/>
      <c r="BL19" s="115"/>
    </row>
    <row r="20" spans="1:64" ht="30" customHeight="1" x14ac:dyDescent="0.25">
      <c r="A20" s="115">
        <v>7</v>
      </c>
      <c r="B20" s="115" t="s">
        <v>97</v>
      </c>
      <c r="C20" s="115"/>
      <c r="D20" s="116"/>
      <c r="E20" s="115"/>
      <c r="F20" s="117"/>
      <c r="G20" s="115"/>
      <c r="H20" s="115"/>
      <c r="I20" s="115"/>
      <c r="J20" s="117"/>
      <c r="K20" s="117"/>
      <c r="L20" s="117"/>
      <c r="M20" s="115"/>
      <c r="N20" s="115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15"/>
      <c r="AB20" s="117"/>
      <c r="AC20" s="117"/>
      <c r="AD20" s="117"/>
      <c r="AE20" s="115"/>
      <c r="AF20" s="125"/>
      <c r="AG20" s="125"/>
      <c r="AH20" s="115"/>
      <c r="AI20" s="115"/>
      <c r="AJ20" s="115"/>
      <c r="AK20" s="115"/>
      <c r="AL20" s="115"/>
      <c r="AM20" s="115"/>
      <c r="AN20" s="115"/>
      <c r="AO20" s="117"/>
      <c r="AP20" s="115"/>
      <c r="AQ20" s="115"/>
      <c r="AR20" s="115"/>
      <c r="AS20" s="115"/>
      <c r="AT20" s="115"/>
      <c r="AU20" s="115"/>
      <c r="AV20" s="115"/>
      <c r="AW20" s="124"/>
      <c r="AX20" s="124"/>
      <c r="AY20" s="124"/>
      <c r="AZ20" s="115"/>
      <c r="BA20" s="115"/>
      <c r="BB20" s="126" t="str">
        <f t="shared" si="0"/>
        <v/>
      </c>
      <c r="BC20" s="115" t="str">
        <f t="shared" si="1"/>
        <v>INDENIZAÇÃO</v>
      </c>
      <c r="BD20" s="115" t="str">
        <f t="shared" si="2"/>
        <v>NÃO</v>
      </c>
      <c r="BE20" s="115"/>
      <c r="BF20" s="115"/>
      <c r="BG20" s="115"/>
      <c r="BH20" s="115"/>
      <c r="BI20" s="115"/>
      <c r="BJ20" s="115"/>
      <c r="BK20" s="115"/>
      <c r="BL20" s="115"/>
    </row>
    <row r="21" spans="1:64" ht="30" customHeight="1" x14ac:dyDescent="0.25">
      <c r="A21" s="115">
        <v>8</v>
      </c>
      <c r="B21" s="115" t="s">
        <v>97</v>
      </c>
      <c r="C21" s="115"/>
      <c r="D21" s="116"/>
      <c r="E21" s="115"/>
      <c r="F21" s="117"/>
      <c r="G21" s="115"/>
      <c r="H21" s="115"/>
      <c r="I21" s="115"/>
      <c r="J21" s="117"/>
      <c r="K21" s="117"/>
      <c r="L21" s="117"/>
      <c r="M21" s="115"/>
      <c r="N21" s="115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15"/>
      <c r="AB21" s="117"/>
      <c r="AC21" s="117"/>
      <c r="AD21" s="117"/>
      <c r="AE21" s="115"/>
      <c r="AF21" s="125"/>
      <c r="AG21" s="125"/>
      <c r="AH21" s="115"/>
      <c r="AI21" s="115"/>
      <c r="AJ21" s="115"/>
      <c r="AK21" s="115"/>
      <c r="AL21" s="115"/>
      <c r="AM21" s="115"/>
      <c r="AN21" s="115"/>
      <c r="AO21" s="117"/>
      <c r="AP21" s="115"/>
      <c r="AQ21" s="115"/>
      <c r="AR21" s="115"/>
      <c r="AS21" s="115"/>
      <c r="AT21" s="115"/>
      <c r="AU21" s="115"/>
      <c r="AV21" s="115"/>
      <c r="AW21" s="124"/>
      <c r="AX21" s="124"/>
      <c r="AY21" s="124"/>
      <c r="AZ21" s="115"/>
      <c r="BA21" s="115"/>
      <c r="BB21" s="126" t="str">
        <f t="shared" si="0"/>
        <v/>
      </c>
      <c r="BC21" s="115" t="str">
        <f t="shared" si="1"/>
        <v>INDENIZAÇÃO</v>
      </c>
      <c r="BD21" s="115" t="str">
        <f t="shared" si="2"/>
        <v>NÃO</v>
      </c>
      <c r="BE21" s="115"/>
      <c r="BF21" s="115"/>
      <c r="BG21" s="115"/>
      <c r="BH21" s="115"/>
      <c r="BI21" s="115"/>
      <c r="BJ21" s="115"/>
      <c r="BK21" s="115"/>
      <c r="BL21" s="115"/>
    </row>
    <row r="22" spans="1:64" ht="30" customHeight="1" x14ac:dyDescent="0.25">
      <c r="A22" s="115">
        <v>9</v>
      </c>
      <c r="B22" s="115" t="s">
        <v>97</v>
      </c>
      <c r="C22" s="115"/>
      <c r="D22" s="116"/>
      <c r="E22" s="115"/>
      <c r="F22" s="117"/>
      <c r="G22" s="115"/>
      <c r="H22" s="115"/>
      <c r="I22" s="115"/>
      <c r="J22" s="117"/>
      <c r="K22" s="117"/>
      <c r="L22" s="117"/>
      <c r="M22" s="115"/>
      <c r="N22" s="115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15"/>
      <c r="AB22" s="117"/>
      <c r="AC22" s="117"/>
      <c r="AD22" s="117"/>
      <c r="AE22" s="115"/>
      <c r="AF22" s="125"/>
      <c r="AG22" s="125"/>
      <c r="AH22" s="115"/>
      <c r="AI22" s="115"/>
      <c r="AJ22" s="115"/>
      <c r="AK22" s="115"/>
      <c r="AL22" s="115"/>
      <c r="AM22" s="115"/>
      <c r="AN22" s="115"/>
      <c r="AO22" s="117"/>
      <c r="AP22" s="115"/>
      <c r="AQ22" s="115"/>
      <c r="AR22" s="115"/>
      <c r="AS22" s="115"/>
      <c r="AT22" s="115"/>
      <c r="AU22" s="115"/>
      <c r="AV22" s="115"/>
      <c r="AW22" s="124"/>
      <c r="AX22" s="124"/>
      <c r="AY22" s="124"/>
      <c r="AZ22" s="115"/>
      <c r="BA22" s="115"/>
      <c r="BB22" s="126" t="str">
        <f t="shared" si="0"/>
        <v/>
      </c>
      <c r="BC22" s="115" t="str">
        <f t="shared" si="1"/>
        <v>INDENIZAÇÃO</v>
      </c>
      <c r="BD22" s="115" t="str">
        <f t="shared" si="2"/>
        <v>NÃO</v>
      </c>
      <c r="BE22" s="115"/>
      <c r="BF22" s="115"/>
      <c r="BG22" s="115"/>
      <c r="BH22" s="115"/>
      <c r="BI22" s="115"/>
      <c r="BJ22" s="115"/>
      <c r="BK22" s="115"/>
      <c r="BL22" s="115"/>
    </row>
    <row r="23" spans="1:64" ht="30" customHeight="1" x14ac:dyDescent="0.25">
      <c r="A23" s="115">
        <v>10</v>
      </c>
      <c r="B23" s="115" t="s">
        <v>97</v>
      </c>
      <c r="C23" s="115"/>
      <c r="D23" s="116"/>
      <c r="E23" s="115"/>
      <c r="F23" s="117"/>
      <c r="G23" s="115"/>
      <c r="H23" s="115"/>
      <c r="I23" s="115"/>
      <c r="J23" s="117"/>
      <c r="K23" s="117"/>
      <c r="L23" s="117"/>
      <c r="M23" s="115"/>
      <c r="N23" s="115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15"/>
      <c r="AB23" s="117"/>
      <c r="AC23" s="117"/>
      <c r="AD23" s="117"/>
      <c r="AE23" s="115"/>
      <c r="AF23" s="125"/>
      <c r="AG23" s="125"/>
      <c r="AH23" s="115"/>
      <c r="AI23" s="115"/>
      <c r="AJ23" s="115"/>
      <c r="AK23" s="115"/>
      <c r="AL23" s="115"/>
      <c r="AM23" s="115"/>
      <c r="AN23" s="115"/>
      <c r="AO23" s="117"/>
      <c r="AP23" s="115"/>
      <c r="AQ23" s="115"/>
      <c r="AR23" s="115"/>
      <c r="AS23" s="115"/>
      <c r="AT23" s="115"/>
      <c r="AU23" s="115"/>
      <c r="AV23" s="115"/>
      <c r="AW23" s="124"/>
      <c r="AX23" s="124"/>
      <c r="AY23" s="124"/>
      <c r="AZ23" s="115"/>
      <c r="BA23" s="115"/>
      <c r="BB23" s="126" t="str">
        <f t="shared" si="0"/>
        <v/>
      </c>
      <c r="BC23" s="115" t="str">
        <f t="shared" si="1"/>
        <v>INDENIZAÇÃO</v>
      </c>
      <c r="BD23" s="115" t="str">
        <f t="shared" si="2"/>
        <v>NÃO</v>
      </c>
      <c r="BE23" s="115"/>
      <c r="BF23" s="115"/>
      <c r="BG23" s="115"/>
      <c r="BH23" s="115"/>
      <c r="BI23" s="115"/>
      <c r="BJ23" s="115"/>
      <c r="BK23" s="115"/>
      <c r="BL23" s="115"/>
    </row>
    <row r="24" spans="1:64" ht="30" customHeight="1" x14ac:dyDescent="0.25">
      <c r="A24" s="115">
        <v>11</v>
      </c>
      <c r="B24" s="115" t="s">
        <v>97</v>
      </c>
      <c r="C24" s="115"/>
      <c r="D24" s="116"/>
      <c r="E24" s="115"/>
      <c r="F24" s="117"/>
      <c r="G24" s="115"/>
      <c r="H24" s="115"/>
      <c r="I24" s="115"/>
      <c r="J24" s="117"/>
      <c r="K24" s="117"/>
      <c r="L24" s="117"/>
      <c r="M24" s="115"/>
      <c r="N24" s="115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15"/>
      <c r="AB24" s="117"/>
      <c r="AC24" s="117"/>
      <c r="AD24" s="117"/>
      <c r="AE24" s="115"/>
      <c r="AF24" s="125"/>
      <c r="AG24" s="125"/>
      <c r="AH24" s="115"/>
      <c r="AI24" s="115"/>
      <c r="AJ24" s="115"/>
      <c r="AK24" s="115"/>
      <c r="AL24" s="115"/>
      <c r="AM24" s="115"/>
      <c r="AN24" s="115"/>
      <c r="AO24" s="117"/>
      <c r="AP24" s="115"/>
      <c r="AQ24" s="115"/>
      <c r="AR24" s="115"/>
      <c r="AS24" s="115"/>
      <c r="AT24" s="115"/>
      <c r="AU24" s="115"/>
      <c r="AV24" s="115"/>
      <c r="AW24" s="124"/>
      <c r="AX24" s="124"/>
      <c r="AY24" s="124"/>
      <c r="AZ24" s="115"/>
      <c r="BA24" s="115"/>
      <c r="BB24" s="126" t="str">
        <f t="shared" si="0"/>
        <v/>
      </c>
      <c r="BC24" s="115" t="str">
        <f t="shared" si="1"/>
        <v>INDENIZAÇÃO</v>
      </c>
      <c r="BD24" s="115" t="str">
        <f t="shared" si="2"/>
        <v>NÃO</v>
      </c>
      <c r="BE24" s="115"/>
      <c r="BF24" s="115"/>
      <c r="BG24" s="115"/>
      <c r="BH24" s="115"/>
      <c r="BI24" s="115"/>
      <c r="BJ24" s="115"/>
      <c r="BK24" s="115"/>
      <c r="BL24" s="115"/>
    </row>
    <row r="25" spans="1:64" ht="30" customHeight="1" x14ac:dyDescent="0.25">
      <c r="A25" s="115">
        <v>12</v>
      </c>
      <c r="B25" s="115" t="s">
        <v>97</v>
      </c>
      <c r="C25" s="115"/>
      <c r="D25" s="116"/>
      <c r="E25" s="115"/>
      <c r="F25" s="117"/>
      <c r="G25" s="115"/>
      <c r="H25" s="115"/>
      <c r="I25" s="115"/>
      <c r="J25" s="117"/>
      <c r="K25" s="117"/>
      <c r="L25" s="117"/>
      <c r="M25" s="115"/>
      <c r="N25" s="115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15"/>
      <c r="AB25" s="117"/>
      <c r="AC25" s="117"/>
      <c r="AD25" s="117"/>
      <c r="AE25" s="115"/>
      <c r="AF25" s="125"/>
      <c r="AG25" s="125"/>
      <c r="AH25" s="115"/>
      <c r="AI25" s="115"/>
      <c r="AJ25" s="115"/>
      <c r="AK25" s="115"/>
      <c r="AL25" s="115"/>
      <c r="AM25" s="115"/>
      <c r="AN25" s="115"/>
      <c r="AO25" s="117"/>
      <c r="AP25" s="115"/>
      <c r="AQ25" s="115"/>
      <c r="AR25" s="115"/>
      <c r="AS25" s="115"/>
      <c r="AT25" s="115"/>
      <c r="AU25" s="115"/>
      <c r="AV25" s="115"/>
      <c r="AW25" s="124"/>
      <c r="AX25" s="124"/>
      <c r="AY25" s="124"/>
      <c r="AZ25" s="115"/>
      <c r="BA25" s="115"/>
      <c r="BB25" s="126" t="str">
        <f t="shared" si="0"/>
        <v/>
      </c>
      <c r="BC25" s="115" t="str">
        <f t="shared" si="1"/>
        <v>INDENIZAÇÃO</v>
      </c>
      <c r="BD25" s="115" t="str">
        <f t="shared" si="2"/>
        <v>NÃO</v>
      </c>
      <c r="BE25" s="115"/>
      <c r="BF25" s="115"/>
      <c r="BG25" s="115"/>
      <c r="BH25" s="115"/>
      <c r="BI25" s="115"/>
      <c r="BJ25" s="115"/>
      <c r="BK25" s="115"/>
      <c r="BL25" s="115"/>
    </row>
    <row r="26" spans="1:64" ht="30" customHeight="1" x14ac:dyDescent="0.25">
      <c r="A26" s="115">
        <v>13</v>
      </c>
      <c r="B26" s="115" t="s">
        <v>97</v>
      </c>
      <c r="C26" s="115"/>
      <c r="D26" s="116"/>
      <c r="E26" s="115"/>
      <c r="F26" s="117"/>
      <c r="G26" s="115"/>
      <c r="H26" s="115"/>
      <c r="I26" s="115"/>
      <c r="J26" s="117"/>
      <c r="K26" s="117"/>
      <c r="L26" s="117"/>
      <c r="M26" s="115"/>
      <c r="N26" s="115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15"/>
      <c r="AB26" s="117"/>
      <c r="AC26" s="117"/>
      <c r="AD26" s="117"/>
      <c r="AE26" s="115"/>
      <c r="AF26" s="125"/>
      <c r="AG26" s="125"/>
      <c r="AH26" s="115"/>
      <c r="AI26" s="115"/>
      <c r="AJ26" s="115"/>
      <c r="AK26" s="115"/>
      <c r="AL26" s="115"/>
      <c r="AM26" s="115"/>
      <c r="AN26" s="115"/>
      <c r="AO26" s="117"/>
      <c r="AP26" s="115"/>
      <c r="AQ26" s="115"/>
      <c r="AR26" s="115"/>
      <c r="AS26" s="115"/>
      <c r="AT26" s="115"/>
      <c r="AU26" s="115"/>
      <c r="AV26" s="115"/>
      <c r="AW26" s="124"/>
      <c r="AX26" s="124"/>
      <c r="AY26" s="124"/>
      <c r="AZ26" s="115"/>
      <c r="BA26" s="115"/>
      <c r="BB26" s="126" t="str">
        <f t="shared" si="0"/>
        <v/>
      </c>
      <c r="BC26" s="115" t="str">
        <f t="shared" si="1"/>
        <v>INDENIZAÇÃO</v>
      </c>
      <c r="BD26" s="115" t="str">
        <f t="shared" si="2"/>
        <v>NÃO</v>
      </c>
      <c r="BE26" s="115"/>
      <c r="BF26" s="115"/>
      <c r="BG26" s="115"/>
      <c r="BH26" s="115"/>
      <c r="BI26" s="115"/>
      <c r="BJ26" s="115"/>
      <c r="BK26" s="115"/>
      <c r="BL26" s="115"/>
    </row>
    <row r="27" spans="1:64" ht="30" customHeight="1" x14ac:dyDescent="0.25">
      <c r="A27" s="115">
        <v>14</v>
      </c>
      <c r="B27" s="115" t="s">
        <v>97</v>
      </c>
      <c r="C27" s="115"/>
      <c r="D27" s="116"/>
      <c r="E27" s="115"/>
      <c r="F27" s="117"/>
      <c r="G27" s="115"/>
      <c r="H27" s="115"/>
      <c r="I27" s="115"/>
      <c r="J27" s="117" t="str">
        <f>UPPER(J19)</f>
        <v/>
      </c>
      <c r="K27" s="117"/>
      <c r="L27" s="117"/>
      <c r="M27" s="115"/>
      <c r="N27" s="115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15"/>
      <c r="AB27" s="117"/>
      <c r="AC27" s="117"/>
      <c r="AD27" s="117"/>
      <c r="AE27" s="115"/>
      <c r="AF27" s="125"/>
      <c r="AG27" s="125"/>
      <c r="AH27" s="115"/>
      <c r="AI27" s="115"/>
      <c r="AJ27" s="115"/>
      <c r="AK27" s="115"/>
      <c r="AL27" s="115"/>
      <c r="AM27" s="115"/>
      <c r="AN27" s="115"/>
      <c r="AO27" s="117"/>
      <c r="AP27" s="115"/>
      <c r="AQ27" s="115"/>
      <c r="AR27" s="115"/>
      <c r="AS27" s="115"/>
      <c r="AT27" s="115"/>
      <c r="AU27" s="115"/>
      <c r="AV27" s="115"/>
      <c r="AW27" s="124"/>
      <c r="AX27" s="124"/>
      <c r="AY27" s="124"/>
      <c r="AZ27" s="115"/>
      <c r="BA27" s="115"/>
      <c r="BB27" s="126" t="str">
        <f t="shared" si="0"/>
        <v/>
      </c>
      <c r="BC27" s="115" t="str">
        <f t="shared" si="1"/>
        <v>INDENIZAÇÃO</v>
      </c>
      <c r="BD27" s="115" t="str">
        <f t="shared" si="2"/>
        <v>NÃO</v>
      </c>
      <c r="BE27" s="115"/>
      <c r="BF27" s="115"/>
      <c r="BG27" s="115"/>
      <c r="BH27" s="115"/>
      <c r="BI27" s="115"/>
      <c r="BJ27" s="115"/>
      <c r="BK27" s="115"/>
      <c r="BL27" s="115"/>
    </row>
    <row r="28" spans="1:64" ht="30" customHeight="1" x14ac:dyDescent="0.25">
      <c r="A28" s="115">
        <v>15</v>
      </c>
      <c r="B28" s="115" t="s">
        <v>97</v>
      </c>
      <c r="C28" s="115"/>
      <c r="D28" s="116"/>
      <c r="E28" s="115"/>
      <c r="F28" s="117"/>
      <c r="G28" s="115"/>
      <c r="H28" s="115"/>
      <c r="I28" s="115"/>
      <c r="J28" s="117"/>
      <c r="K28" s="117"/>
      <c r="L28" s="117"/>
      <c r="M28" s="115"/>
      <c r="N28" s="115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15"/>
      <c r="AB28" s="117"/>
      <c r="AC28" s="117"/>
      <c r="AD28" s="117"/>
      <c r="AE28" s="115"/>
      <c r="AF28" s="125"/>
      <c r="AG28" s="125"/>
      <c r="AH28" s="115"/>
      <c r="AI28" s="115"/>
      <c r="AJ28" s="115"/>
      <c r="AK28" s="115"/>
      <c r="AL28" s="115"/>
      <c r="AM28" s="115"/>
      <c r="AN28" s="115"/>
      <c r="AO28" s="117"/>
      <c r="AP28" s="115"/>
      <c r="AQ28" s="115"/>
      <c r="AR28" s="115"/>
      <c r="AS28" s="115"/>
      <c r="AT28" s="115"/>
      <c r="AU28" s="115"/>
      <c r="AV28" s="115"/>
      <c r="AW28" s="124"/>
      <c r="AX28" s="124"/>
      <c r="AY28" s="124"/>
      <c r="AZ28" s="115"/>
      <c r="BA28" s="115"/>
      <c r="BB28" s="126" t="str">
        <f t="shared" si="0"/>
        <v/>
      </c>
      <c r="BC28" s="115" t="str">
        <f t="shared" si="1"/>
        <v>INDENIZAÇÃO</v>
      </c>
      <c r="BD28" s="115" t="str">
        <f t="shared" si="2"/>
        <v>NÃO</v>
      </c>
      <c r="BE28" s="115"/>
      <c r="BF28" s="115"/>
      <c r="BG28" s="115"/>
      <c r="BH28" s="115"/>
      <c r="BI28" s="115"/>
      <c r="BJ28" s="115"/>
      <c r="BK28" s="115"/>
      <c r="BL28" s="115"/>
    </row>
    <row r="29" spans="1:64" ht="30" customHeight="1" x14ac:dyDescent="0.25">
      <c r="A29" s="115">
        <v>16</v>
      </c>
      <c r="B29" s="115" t="s">
        <v>97</v>
      </c>
      <c r="C29" s="115"/>
      <c r="D29" s="116"/>
      <c r="E29" s="115"/>
      <c r="F29" s="117"/>
      <c r="G29" s="115"/>
      <c r="H29" s="115"/>
      <c r="I29" s="115"/>
      <c r="J29" s="117"/>
      <c r="K29" s="117"/>
      <c r="L29" s="117"/>
      <c r="M29" s="115"/>
      <c r="N29" s="115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15"/>
      <c r="AB29" s="117"/>
      <c r="AC29" s="117"/>
      <c r="AD29" s="117"/>
      <c r="AE29" s="115"/>
      <c r="AF29" s="125"/>
      <c r="AG29" s="125"/>
      <c r="AH29" s="115"/>
      <c r="AI29" s="115"/>
      <c r="AJ29" s="115"/>
      <c r="AK29" s="115"/>
      <c r="AL29" s="115"/>
      <c r="AM29" s="115"/>
      <c r="AN29" s="115"/>
      <c r="AO29" s="117"/>
      <c r="AP29" s="115"/>
      <c r="AQ29" s="115"/>
      <c r="AR29" s="115"/>
      <c r="AS29" s="115"/>
      <c r="AT29" s="115"/>
      <c r="AU29" s="115"/>
      <c r="AV29" s="115"/>
      <c r="AW29" s="124"/>
      <c r="AX29" s="124"/>
      <c r="AY29" s="124"/>
      <c r="AZ29" s="115"/>
      <c r="BA29" s="115"/>
      <c r="BB29" s="126" t="str">
        <f t="shared" si="0"/>
        <v/>
      </c>
      <c r="BC29" s="115" t="str">
        <f t="shared" si="1"/>
        <v>INDENIZAÇÃO</v>
      </c>
      <c r="BD29" s="115" t="str">
        <f t="shared" si="2"/>
        <v>NÃO</v>
      </c>
      <c r="BE29" s="115"/>
      <c r="BF29" s="115"/>
      <c r="BG29" s="115"/>
      <c r="BH29" s="115"/>
      <c r="BI29" s="115"/>
      <c r="BJ29" s="115"/>
      <c r="BK29" s="115"/>
      <c r="BL29" s="115"/>
    </row>
    <row r="30" spans="1:64" ht="30" customHeight="1" x14ac:dyDescent="0.25">
      <c r="A30" s="115">
        <v>17</v>
      </c>
      <c r="B30" s="115" t="s">
        <v>97</v>
      </c>
      <c r="C30" s="115"/>
      <c r="D30" s="116"/>
      <c r="E30" s="115"/>
      <c r="F30" s="117"/>
      <c r="G30" s="115"/>
      <c r="H30" s="115"/>
      <c r="I30" s="115"/>
      <c r="J30" s="117"/>
      <c r="K30" s="117"/>
      <c r="L30" s="117"/>
      <c r="M30" s="115"/>
      <c r="N30" s="115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15"/>
      <c r="AB30" s="117"/>
      <c r="AC30" s="117"/>
      <c r="AD30" s="117"/>
      <c r="AE30" s="115"/>
      <c r="AF30" s="125"/>
      <c r="AG30" s="125"/>
      <c r="AH30" s="115"/>
      <c r="AI30" s="115"/>
      <c r="AJ30" s="115"/>
      <c r="AK30" s="115"/>
      <c r="AL30" s="115"/>
      <c r="AM30" s="115"/>
      <c r="AN30" s="115"/>
      <c r="AO30" s="117"/>
      <c r="AP30" s="115"/>
      <c r="AQ30" s="115"/>
      <c r="AR30" s="115"/>
      <c r="AS30" s="115"/>
      <c r="AT30" s="115"/>
      <c r="AU30" s="115"/>
      <c r="AV30" s="115"/>
      <c r="AW30" s="124"/>
      <c r="AX30" s="124"/>
      <c r="AY30" s="124"/>
      <c r="AZ30" s="115"/>
      <c r="BA30" s="115"/>
      <c r="BB30" s="126" t="str">
        <f t="shared" si="0"/>
        <v/>
      </c>
      <c r="BC30" s="115" t="str">
        <f t="shared" si="1"/>
        <v>INDENIZAÇÃO</v>
      </c>
      <c r="BD30" s="115" t="str">
        <f t="shared" si="2"/>
        <v>NÃO</v>
      </c>
      <c r="BE30" s="115"/>
      <c r="BF30" s="115"/>
      <c r="BG30" s="115"/>
      <c r="BH30" s="115"/>
      <c r="BI30" s="115"/>
      <c r="BJ30" s="115"/>
      <c r="BK30" s="115"/>
      <c r="BL30" s="115"/>
    </row>
    <row r="31" spans="1:64" ht="30" customHeight="1" x14ac:dyDescent="0.25">
      <c r="A31" s="115">
        <v>18</v>
      </c>
      <c r="B31" s="115" t="s">
        <v>97</v>
      </c>
      <c r="C31" s="115"/>
      <c r="D31" s="116"/>
      <c r="E31" s="115"/>
      <c r="F31" s="117"/>
      <c r="G31" s="115"/>
      <c r="H31" s="115"/>
      <c r="I31" s="115"/>
      <c r="J31" s="117"/>
      <c r="K31" s="117"/>
      <c r="L31" s="117"/>
      <c r="M31" s="115"/>
      <c r="N31" s="115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15"/>
      <c r="AB31" s="117"/>
      <c r="AC31" s="117"/>
      <c r="AD31" s="117"/>
      <c r="AE31" s="115"/>
      <c r="AF31" s="125"/>
      <c r="AG31" s="125"/>
      <c r="AH31" s="115"/>
      <c r="AI31" s="115"/>
      <c r="AJ31" s="115"/>
      <c r="AK31" s="115"/>
      <c r="AL31" s="115"/>
      <c r="AM31" s="115"/>
      <c r="AN31" s="115"/>
      <c r="AO31" s="117"/>
      <c r="AP31" s="115"/>
      <c r="AQ31" s="115"/>
      <c r="AR31" s="115"/>
      <c r="AS31" s="115"/>
      <c r="AT31" s="115"/>
      <c r="AU31" s="115"/>
      <c r="AV31" s="115"/>
      <c r="AW31" s="124"/>
      <c r="AX31" s="124"/>
      <c r="AY31" s="124"/>
      <c r="AZ31" s="115"/>
      <c r="BA31" s="115"/>
      <c r="BB31" s="126" t="str">
        <f t="shared" si="0"/>
        <v/>
      </c>
      <c r="BC31" s="115" t="str">
        <f t="shared" si="1"/>
        <v>INDENIZAÇÃO</v>
      </c>
      <c r="BD31" s="115" t="str">
        <f t="shared" si="2"/>
        <v>NÃO</v>
      </c>
      <c r="BE31" s="115"/>
      <c r="BF31" s="115"/>
      <c r="BG31" s="115"/>
      <c r="BH31" s="115"/>
      <c r="BI31" s="115"/>
      <c r="BJ31" s="115"/>
      <c r="BK31" s="115"/>
      <c r="BL31" s="115"/>
    </row>
    <row r="32" spans="1:64" ht="30" customHeight="1" x14ac:dyDescent="0.25">
      <c r="A32" s="115">
        <v>19</v>
      </c>
      <c r="B32" s="115" t="s">
        <v>97</v>
      </c>
      <c r="C32" s="115"/>
      <c r="D32" s="116"/>
      <c r="E32" s="115"/>
      <c r="F32" s="117"/>
      <c r="G32" s="115"/>
      <c r="H32" s="115"/>
      <c r="I32" s="115"/>
      <c r="J32" s="117"/>
      <c r="K32" s="117"/>
      <c r="L32" s="117"/>
      <c r="M32" s="115"/>
      <c r="N32" s="115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15"/>
      <c r="AB32" s="117"/>
      <c r="AC32" s="117"/>
      <c r="AD32" s="117"/>
      <c r="AE32" s="115"/>
      <c r="AF32" s="125"/>
      <c r="AG32" s="125"/>
      <c r="AH32" s="115"/>
      <c r="AI32" s="115"/>
      <c r="AJ32" s="115"/>
      <c r="AK32" s="115"/>
      <c r="AL32" s="115"/>
      <c r="AM32" s="115"/>
      <c r="AN32" s="115"/>
      <c r="AO32" s="117"/>
      <c r="AP32" s="115"/>
      <c r="AQ32" s="115"/>
      <c r="AR32" s="115"/>
      <c r="AS32" s="115"/>
      <c r="AT32" s="115"/>
      <c r="AU32" s="115"/>
      <c r="AV32" s="115"/>
      <c r="AW32" s="124"/>
      <c r="AX32" s="124"/>
      <c r="AY32" s="124"/>
      <c r="AZ32" s="115"/>
      <c r="BA32" s="115"/>
      <c r="BB32" s="126" t="str">
        <f t="shared" si="0"/>
        <v/>
      </c>
      <c r="BC32" s="115" t="str">
        <f t="shared" si="1"/>
        <v>INDENIZAÇÃO</v>
      </c>
      <c r="BD32" s="115" t="str">
        <f t="shared" si="2"/>
        <v>NÃO</v>
      </c>
      <c r="BE32" s="115"/>
      <c r="BF32" s="115"/>
      <c r="BG32" s="115"/>
      <c r="BH32" s="115"/>
      <c r="BI32" s="115"/>
      <c r="BJ32" s="115"/>
      <c r="BK32" s="115"/>
      <c r="BL32" s="115"/>
    </row>
    <row r="33" spans="1:64" ht="30" customHeight="1" x14ac:dyDescent="0.25">
      <c r="A33" s="115">
        <v>20</v>
      </c>
      <c r="B33" s="115" t="s">
        <v>97</v>
      </c>
      <c r="C33" s="115"/>
      <c r="D33" s="116"/>
      <c r="E33" s="115"/>
      <c r="F33" s="117"/>
      <c r="G33" s="115"/>
      <c r="H33" s="115"/>
      <c r="I33" s="115"/>
      <c r="J33" s="117"/>
      <c r="K33" s="117"/>
      <c r="L33" s="117"/>
      <c r="M33" s="115"/>
      <c r="N33" s="115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15"/>
      <c r="AB33" s="117"/>
      <c r="AC33" s="117"/>
      <c r="AD33" s="117"/>
      <c r="AE33" s="115"/>
      <c r="AF33" s="125"/>
      <c r="AG33" s="125"/>
      <c r="AH33" s="115"/>
      <c r="AI33" s="115"/>
      <c r="AJ33" s="115"/>
      <c r="AK33" s="115"/>
      <c r="AL33" s="115"/>
      <c r="AM33" s="115"/>
      <c r="AN33" s="115"/>
      <c r="AO33" s="117"/>
      <c r="AP33" s="115"/>
      <c r="AQ33" s="115"/>
      <c r="AR33" s="115"/>
      <c r="AS33" s="115"/>
      <c r="AT33" s="115"/>
      <c r="AU33" s="115"/>
      <c r="AV33" s="115"/>
      <c r="AW33" s="124"/>
      <c r="AX33" s="124"/>
      <c r="AY33" s="124"/>
      <c r="AZ33" s="115"/>
      <c r="BA33" s="115"/>
      <c r="BB33" s="126" t="str">
        <f t="shared" si="0"/>
        <v/>
      </c>
      <c r="BC33" s="115" t="str">
        <f t="shared" si="1"/>
        <v>INDENIZAÇÃO</v>
      </c>
      <c r="BD33" s="115" t="str">
        <f t="shared" si="2"/>
        <v>NÃO</v>
      </c>
      <c r="BE33" s="115"/>
      <c r="BF33" s="115"/>
      <c r="BG33" s="115"/>
      <c r="BH33" s="115"/>
      <c r="BI33" s="115"/>
      <c r="BJ33" s="115"/>
      <c r="BK33" s="115"/>
      <c r="BL33" s="115"/>
    </row>
    <row r="34" spans="1:64" ht="30" customHeight="1" x14ac:dyDescent="0.25">
      <c r="A34" s="115">
        <v>21</v>
      </c>
      <c r="B34" s="115" t="s">
        <v>97</v>
      </c>
      <c r="C34" s="115"/>
      <c r="D34" s="116"/>
      <c r="E34" s="115"/>
      <c r="F34" s="117"/>
      <c r="G34" s="115"/>
      <c r="H34" s="115"/>
      <c r="I34" s="115"/>
      <c r="J34" s="117"/>
      <c r="K34" s="117"/>
      <c r="L34" s="117"/>
      <c r="M34" s="115"/>
      <c r="N34" s="115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15"/>
      <c r="AB34" s="117"/>
      <c r="AC34" s="117"/>
      <c r="AD34" s="117"/>
      <c r="AE34" s="115"/>
      <c r="AF34" s="125"/>
      <c r="AG34" s="125"/>
      <c r="AH34" s="115"/>
      <c r="AI34" s="115"/>
      <c r="AJ34" s="115"/>
      <c r="AK34" s="115"/>
      <c r="AL34" s="115"/>
      <c r="AM34" s="115"/>
      <c r="AN34" s="115"/>
      <c r="AO34" s="117"/>
      <c r="AP34" s="115"/>
      <c r="AQ34" s="115"/>
      <c r="AR34" s="115"/>
      <c r="AS34" s="115"/>
      <c r="AT34" s="115"/>
      <c r="AU34" s="115"/>
      <c r="AV34" s="115"/>
      <c r="AW34" s="124"/>
      <c r="AX34" s="124"/>
      <c r="AY34" s="124"/>
      <c r="AZ34" s="115"/>
      <c r="BA34" s="115"/>
      <c r="BB34" s="126" t="str">
        <f t="shared" si="0"/>
        <v/>
      </c>
      <c r="BC34" s="115" t="str">
        <f t="shared" si="1"/>
        <v>INDENIZAÇÃO</v>
      </c>
      <c r="BD34" s="115" t="str">
        <f t="shared" si="2"/>
        <v>NÃO</v>
      </c>
      <c r="BE34" s="115"/>
      <c r="BF34" s="115"/>
      <c r="BG34" s="115"/>
      <c r="BH34" s="115"/>
      <c r="BI34" s="115"/>
      <c r="BJ34" s="115"/>
      <c r="BK34" s="115"/>
      <c r="BL34" s="115"/>
    </row>
    <row r="35" spans="1:64" ht="30" customHeight="1" x14ac:dyDescent="0.25">
      <c r="A35" s="115">
        <v>22</v>
      </c>
      <c r="B35" s="115" t="s">
        <v>97</v>
      </c>
      <c r="C35" s="115"/>
      <c r="D35" s="116"/>
      <c r="E35" s="115"/>
      <c r="F35" s="117"/>
      <c r="G35" s="115"/>
      <c r="H35" s="115"/>
      <c r="I35" s="115"/>
      <c r="J35" s="117"/>
      <c r="K35" s="117"/>
      <c r="L35" s="117"/>
      <c r="M35" s="115"/>
      <c r="N35" s="115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15"/>
      <c r="AB35" s="117"/>
      <c r="AC35" s="117"/>
      <c r="AD35" s="117"/>
      <c r="AE35" s="115"/>
      <c r="AF35" s="125"/>
      <c r="AG35" s="125"/>
      <c r="AH35" s="115"/>
      <c r="AI35" s="115"/>
      <c r="AJ35" s="115"/>
      <c r="AK35" s="115"/>
      <c r="AL35" s="115"/>
      <c r="AM35" s="115"/>
      <c r="AN35" s="115"/>
      <c r="AO35" s="117"/>
      <c r="AP35" s="115"/>
      <c r="AQ35" s="115"/>
      <c r="AR35" s="115"/>
      <c r="AS35" s="115"/>
      <c r="AT35" s="115"/>
      <c r="AU35" s="115"/>
      <c r="AV35" s="115"/>
      <c r="AW35" s="124"/>
      <c r="AX35" s="124"/>
      <c r="AY35" s="124"/>
      <c r="AZ35" s="115"/>
      <c r="BA35" s="115"/>
      <c r="BB35" s="126" t="str">
        <f t="shared" si="0"/>
        <v/>
      </c>
      <c r="BC35" s="115" t="str">
        <f t="shared" si="1"/>
        <v>INDENIZAÇÃO</v>
      </c>
      <c r="BD35" s="115" t="str">
        <f t="shared" si="2"/>
        <v>NÃO</v>
      </c>
      <c r="BE35" s="115"/>
      <c r="BF35" s="115"/>
      <c r="BG35" s="115"/>
      <c r="BH35" s="115"/>
      <c r="BI35" s="115"/>
      <c r="BJ35" s="115"/>
      <c r="BK35" s="115"/>
      <c r="BL35" s="115"/>
    </row>
    <row r="36" spans="1:64" ht="30" customHeight="1" x14ac:dyDescent="0.25">
      <c r="A36" s="115">
        <v>23</v>
      </c>
      <c r="B36" s="115" t="s">
        <v>97</v>
      </c>
      <c r="C36" s="115"/>
      <c r="D36" s="116"/>
      <c r="E36" s="115"/>
      <c r="F36" s="117"/>
      <c r="G36" s="115"/>
      <c r="H36" s="115"/>
      <c r="I36" s="115"/>
      <c r="J36" s="117"/>
      <c r="K36" s="117"/>
      <c r="L36" s="117"/>
      <c r="M36" s="115"/>
      <c r="N36" s="115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15"/>
      <c r="AB36" s="117"/>
      <c r="AC36" s="117"/>
      <c r="AD36" s="117"/>
      <c r="AE36" s="115"/>
      <c r="AF36" s="125"/>
      <c r="AG36" s="125"/>
      <c r="AH36" s="115"/>
      <c r="AI36" s="115"/>
      <c r="AJ36" s="115"/>
      <c r="AK36" s="115"/>
      <c r="AL36" s="115"/>
      <c r="AM36" s="115"/>
      <c r="AN36" s="115"/>
      <c r="AO36" s="117"/>
      <c r="AP36" s="115"/>
      <c r="AQ36" s="115"/>
      <c r="AR36" s="115"/>
      <c r="AS36" s="115"/>
      <c r="AT36" s="115"/>
      <c r="AU36" s="115"/>
      <c r="AV36" s="115"/>
      <c r="AW36" s="124"/>
      <c r="AX36" s="124"/>
      <c r="AY36" s="124"/>
      <c r="AZ36" s="115"/>
      <c r="BA36" s="115"/>
      <c r="BB36" s="126" t="str">
        <f t="shared" si="0"/>
        <v/>
      </c>
      <c r="BC36" s="115" t="str">
        <f t="shared" si="1"/>
        <v>INDENIZAÇÃO</v>
      </c>
      <c r="BD36" s="115" t="str">
        <f t="shared" si="2"/>
        <v>NÃO</v>
      </c>
      <c r="BE36" s="115"/>
      <c r="BF36" s="115"/>
      <c r="BG36" s="115"/>
      <c r="BH36" s="115"/>
      <c r="BI36" s="115"/>
      <c r="BJ36" s="115"/>
      <c r="BK36" s="115"/>
      <c r="BL36" s="115"/>
    </row>
    <row r="37" spans="1:64" ht="30" customHeight="1" x14ac:dyDescent="0.25">
      <c r="A37" s="115">
        <v>24</v>
      </c>
      <c r="B37" s="115" t="s">
        <v>97</v>
      </c>
      <c r="C37" s="115"/>
      <c r="D37" s="116"/>
      <c r="E37" s="115"/>
      <c r="F37" s="117"/>
      <c r="G37" s="115"/>
      <c r="H37" s="115"/>
      <c r="I37" s="115"/>
      <c r="J37" s="117"/>
      <c r="K37" s="117"/>
      <c r="L37" s="117"/>
      <c r="M37" s="115"/>
      <c r="N37" s="115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15"/>
      <c r="AB37" s="117"/>
      <c r="AC37" s="117"/>
      <c r="AD37" s="117"/>
      <c r="AE37" s="115"/>
      <c r="AF37" s="125"/>
      <c r="AG37" s="125"/>
      <c r="AH37" s="115"/>
      <c r="AI37" s="115"/>
      <c r="AJ37" s="115"/>
      <c r="AK37" s="115"/>
      <c r="AL37" s="115"/>
      <c r="AM37" s="115"/>
      <c r="AN37" s="115"/>
      <c r="AO37" s="117"/>
      <c r="AP37" s="115"/>
      <c r="AQ37" s="115"/>
      <c r="AR37" s="115"/>
      <c r="AS37" s="115"/>
      <c r="AT37" s="115"/>
      <c r="AU37" s="115"/>
      <c r="AV37" s="115"/>
      <c r="AW37" s="124"/>
      <c r="AX37" s="124"/>
      <c r="AY37" s="124"/>
      <c r="AZ37" s="115"/>
      <c r="BA37" s="115"/>
      <c r="BB37" s="126" t="str">
        <f t="shared" si="0"/>
        <v/>
      </c>
      <c r="BC37" s="115" t="str">
        <f t="shared" si="1"/>
        <v>INDENIZAÇÃO</v>
      </c>
      <c r="BD37" s="115" t="str">
        <f t="shared" si="2"/>
        <v>NÃO</v>
      </c>
      <c r="BE37" s="115"/>
      <c r="BF37" s="115"/>
      <c r="BG37" s="115"/>
      <c r="BH37" s="115"/>
      <c r="BI37" s="115"/>
      <c r="BJ37" s="115"/>
      <c r="BK37" s="115"/>
      <c r="BL37" s="115"/>
    </row>
    <row r="38" spans="1:64" ht="30" customHeight="1" x14ac:dyDescent="0.25">
      <c r="A38" s="115">
        <v>25</v>
      </c>
      <c r="B38" s="115" t="s">
        <v>97</v>
      </c>
      <c r="C38" s="115"/>
      <c r="D38" s="116"/>
      <c r="E38" s="115"/>
      <c r="F38" s="117"/>
      <c r="G38" s="115"/>
      <c r="H38" s="115"/>
      <c r="I38" s="115"/>
      <c r="J38" s="117"/>
      <c r="K38" s="117"/>
      <c r="L38" s="117"/>
      <c r="M38" s="115"/>
      <c r="N38" s="115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15"/>
      <c r="AB38" s="117"/>
      <c r="AC38" s="117"/>
      <c r="AD38" s="117"/>
      <c r="AE38" s="115"/>
      <c r="AF38" s="125"/>
      <c r="AG38" s="125"/>
      <c r="AH38" s="115"/>
      <c r="AI38" s="115"/>
      <c r="AJ38" s="115"/>
      <c r="AK38" s="115"/>
      <c r="AL38" s="115"/>
      <c r="AM38" s="115"/>
      <c r="AN38" s="115"/>
      <c r="AO38" s="117"/>
      <c r="AP38" s="115"/>
      <c r="AQ38" s="115"/>
      <c r="AR38" s="115"/>
      <c r="AS38" s="115"/>
      <c r="AT38" s="115"/>
      <c r="AU38" s="115"/>
      <c r="AV38" s="115"/>
      <c r="AW38" s="124"/>
      <c r="AX38" s="124"/>
      <c r="AY38" s="124"/>
      <c r="AZ38" s="115"/>
      <c r="BA38" s="115"/>
      <c r="BB38" s="126" t="str">
        <f t="shared" si="0"/>
        <v/>
      </c>
      <c r="BC38" s="115" t="str">
        <f t="shared" si="1"/>
        <v>INDENIZAÇÃO</v>
      </c>
      <c r="BD38" s="115" t="str">
        <f t="shared" si="2"/>
        <v>NÃO</v>
      </c>
      <c r="BE38" s="115"/>
      <c r="BF38" s="115"/>
      <c r="BG38" s="115"/>
      <c r="BH38" s="115"/>
      <c r="BI38" s="115"/>
      <c r="BJ38" s="115"/>
      <c r="BK38" s="115"/>
      <c r="BL38" s="115"/>
    </row>
    <row r="39" spans="1:64" ht="30" customHeight="1" x14ac:dyDescent="0.25">
      <c r="A39" s="115">
        <v>26</v>
      </c>
      <c r="B39" s="115" t="s">
        <v>97</v>
      </c>
      <c r="C39" s="115"/>
      <c r="D39" s="116"/>
      <c r="E39" s="115"/>
      <c r="F39" s="117"/>
      <c r="G39" s="115"/>
      <c r="H39" s="115"/>
      <c r="I39" s="115"/>
      <c r="J39" s="117"/>
      <c r="K39" s="117"/>
      <c r="L39" s="117"/>
      <c r="M39" s="115"/>
      <c r="N39" s="115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15"/>
      <c r="AB39" s="117"/>
      <c r="AC39" s="117"/>
      <c r="AD39" s="117"/>
      <c r="AE39" s="115"/>
      <c r="AF39" s="125"/>
      <c r="AG39" s="125"/>
      <c r="AH39" s="115"/>
      <c r="AI39" s="115"/>
      <c r="AJ39" s="115"/>
      <c r="AK39" s="115"/>
      <c r="AL39" s="115"/>
      <c r="AM39" s="115"/>
      <c r="AN39" s="115"/>
      <c r="AO39" s="117"/>
      <c r="AP39" s="115"/>
      <c r="AQ39" s="115"/>
      <c r="AR39" s="115"/>
      <c r="AS39" s="115"/>
      <c r="AT39" s="115"/>
      <c r="AU39" s="115"/>
      <c r="AV39" s="115"/>
      <c r="AW39" s="124"/>
      <c r="AX39" s="124"/>
      <c r="AY39" s="124"/>
      <c r="AZ39" s="115"/>
      <c r="BA39" s="115"/>
      <c r="BB39" s="126" t="str">
        <f t="shared" si="0"/>
        <v/>
      </c>
      <c r="BC39" s="115" t="str">
        <f t="shared" si="1"/>
        <v>INDENIZAÇÃO</v>
      </c>
      <c r="BD39" s="115" t="str">
        <f t="shared" si="2"/>
        <v>NÃO</v>
      </c>
      <c r="BE39" s="115"/>
      <c r="BF39" s="115"/>
      <c r="BG39" s="115"/>
      <c r="BH39" s="115"/>
      <c r="BI39" s="115"/>
      <c r="BJ39" s="115"/>
      <c r="BK39" s="115"/>
      <c r="BL39" s="115"/>
    </row>
    <row r="40" spans="1:64" ht="30" customHeight="1" x14ac:dyDescent="0.25">
      <c r="A40" s="115">
        <v>27</v>
      </c>
      <c r="B40" s="115" t="s">
        <v>97</v>
      </c>
      <c r="C40" s="115"/>
      <c r="D40" s="116"/>
      <c r="E40" s="115"/>
      <c r="F40" s="117"/>
      <c r="G40" s="115"/>
      <c r="H40" s="115"/>
      <c r="I40" s="115"/>
      <c r="J40" s="117"/>
      <c r="K40" s="117"/>
      <c r="L40" s="117"/>
      <c r="M40" s="115"/>
      <c r="N40" s="115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15"/>
      <c r="AB40" s="117"/>
      <c r="AC40" s="117"/>
      <c r="AD40" s="117"/>
      <c r="AE40" s="115"/>
      <c r="AF40" s="125"/>
      <c r="AG40" s="125"/>
      <c r="AH40" s="115"/>
      <c r="AI40" s="115"/>
      <c r="AJ40" s="115"/>
      <c r="AK40" s="115"/>
      <c r="AL40" s="115"/>
      <c r="AM40" s="115"/>
      <c r="AN40" s="115"/>
      <c r="AO40" s="117"/>
      <c r="AP40" s="115"/>
      <c r="AQ40" s="115"/>
      <c r="AR40" s="115"/>
      <c r="AS40" s="115"/>
      <c r="AT40" s="115"/>
      <c r="AU40" s="115"/>
      <c r="AV40" s="115"/>
      <c r="AW40" s="124"/>
      <c r="AX40" s="124"/>
      <c r="AY40" s="124"/>
      <c r="AZ40" s="115"/>
      <c r="BA40" s="115"/>
      <c r="BB40" s="126" t="str">
        <f t="shared" si="0"/>
        <v/>
      </c>
      <c r="BC40" s="115" t="str">
        <f t="shared" si="1"/>
        <v>INDENIZAÇÃO</v>
      </c>
      <c r="BD40" s="115" t="str">
        <f t="shared" si="2"/>
        <v>NÃO</v>
      </c>
      <c r="BE40" s="115"/>
      <c r="BF40" s="115"/>
      <c r="BG40" s="115"/>
      <c r="BH40" s="115"/>
      <c r="BI40" s="115"/>
      <c r="BJ40" s="115"/>
      <c r="BK40" s="115"/>
      <c r="BL40" s="115"/>
    </row>
    <row r="41" spans="1:64" ht="30" customHeight="1" x14ac:dyDescent="0.25">
      <c r="A41" s="115">
        <v>28</v>
      </c>
      <c r="B41" s="115" t="s">
        <v>97</v>
      </c>
      <c r="C41" s="115"/>
      <c r="D41" s="116"/>
      <c r="E41" s="115"/>
      <c r="F41" s="117"/>
      <c r="G41" s="115"/>
      <c r="H41" s="115"/>
      <c r="I41" s="115"/>
      <c r="J41" s="117"/>
      <c r="K41" s="117"/>
      <c r="L41" s="117"/>
      <c r="M41" s="115"/>
      <c r="N41" s="115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15"/>
      <c r="AB41" s="117"/>
      <c r="AC41" s="117"/>
      <c r="AD41" s="117"/>
      <c r="AE41" s="115"/>
      <c r="AF41" s="125"/>
      <c r="AG41" s="125"/>
      <c r="AH41" s="115"/>
      <c r="AI41" s="115"/>
      <c r="AJ41" s="115"/>
      <c r="AK41" s="115"/>
      <c r="AL41" s="115"/>
      <c r="AM41" s="115"/>
      <c r="AN41" s="115"/>
      <c r="AO41" s="117"/>
      <c r="AP41" s="115"/>
      <c r="AQ41" s="115"/>
      <c r="AR41" s="115"/>
      <c r="AS41" s="115"/>
      <c r="AT41" s="115"/>
      <c r="AU41" s="115"/>
      <c r="AV41" s="115"/>
      <c r="AW41" s="124"/>
      <c r="AX41" s="124"/>
      <c r="AY41" s="124"/>
      <c r="AZ41" s="115"/>
      <c r="BA41" s="115"/>
      <c r="BB41" s="126" t="str">
        <f t="shared" si="0"/>
        <v/>
      </c>
      <c r="BC41" s="115" t="str">
        <f t="shared" si="1"/>
        <v>INDENIZAÇÃO</v>
      </c>
      <c r="BD41" s="115" t="str">
        <f t="shared" si="2"/>
        <v>NÃO</v>
      </c>
      <c r="BE41" s="115"/>
      <c r="BF41" s="115"/>
      <c r="BG41" s="115"/>
      <c r="BH41" s="115"/>
      <c r="BI41" s="115"/>
      <c r="BJ41" s="115"/>
      <c r="BK41" s="115"/>
      <c r="BL41" s="115"/>
    </row>
    <row r="42" spans="1:64" ht="30" customHeight="1" x14ac:dyDescent="0.25">
      <c r="A42" s="115">
        <v>29</v>
      </c>
      <c r="B42" s="115" t="s">
        <v>97</v>
      </c>
      <c r="C42" s="115"/>
      <c r="D42" s="116"/>
      <c r="E42" s="115"/>
      <c r="F42" s="117"/>
      <c r="G42" s="115"/>
      <c r="H42" s="115"/>
      <c r="I42" s="115"/>
      <c r="J42" s="117"/>
      <c r="K42" s="117"/>
      <c r="L42" s="117"/>
      <c r="M42" s="115"/>
      <c r="N42" s="115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15"/>
      <c r="AB42" s="117"/>
      <c r="AC42" s="117"/>
      <c r="AD42" s="117"/>
      <c r="AE42" s="115"/>
      <c r="AF42" s="125"/>
      <c r="AG42" s="125"/>
      <c r="AH42" s="115"/>
      <c r="AI42" s="115"/>
      <c r="AJ42" s="115"/>
      <c r="AK42" s="115"/>
      <c r="AL42" s="115"/>
      <c r="AM42" s="115"/>
      <c r="AN42" s="115"/>
      <c r="AO42" s="117"/>
      <c r="AP42" s="115"/>
      <c r="AQ42" s="115"/>
      <c r="AR42" s="115"/>
      <c r="AS42" s="115"/>
      <c r="AT42" s="115"/>
      <c r="AU42" s="115"/>
      <c r="AV42" s="115"/>
      <c r="AW42" s="124"/>
      <c r="AX42" s="124"/>
      <c r="AY42" s="124"/>
      <c r="AZ42" s="115"/>
      <c r="BA42" s="115"/>
      <c r="BB42" s="126" t="str">
        <f t="shared" si="0"/>
        <v/>
      </c>
      <c r="BC42" s="115" t="str">
        <f t="shared" si="1"/>
        <v>INDENIZAÇÃO</v>
      </c>
      <c r="BD42" s="115" t="str">
        <f t="shared" si="2"/>
        <v>NÃO</v>
      </c>
      <c r="BE42" s="115"/>
      <c r="BF42" s="115"/>
      <c r="BG42" s="115"/>
      <c r="BH42" s="115"/>
      <c r="BI42" s="115"/>
      <c r="BJ42" s="115"/>
      <c r="BK42" s="115"/>
      <c r="BL42" s="115"/>
    </row>
    <row r="43" spans="1:64" ht="30" customHeight="1" x14ac:dyDescent="0.25">
      <c r="A43" s="115">
        <v>30</v>
      </c>
      <c r="B43" s="115" t="s">
        <v>97</v>
      </c>
      <c r="C43" s="115"/>
      <c r="D43" s="116"/>
      <c r="E43" s="115"/>
      <c r="F43" s="117"/>
      <c r="G43" s="115"/>
      <c r="H43" s="115"/>
      <c r="I43" s="115"/>
      <c r="J43" s="117"/>
      <c r="K43" s="117"/>
      <c r="L43" s="117"/>
      <c r="M43" s="115"/>
      <c r="N43" s="115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15"/>
      <c r="AB43" s="117"/>
      <c r="AC43" s="117"/>
      <c r="AD43" s="117"/>
      <c r="AE43" s="115"/>
      <c r="AF43" s="125"/>
      <c r="AG43" s="125"/>
      <c r="AH43" s="115"/>
      <c r="AI43" s="115"/>
      <c r="AJ43" s="115"/>
      <c r="AK43" s="115"/>
      <c r="AL43" s="115"/>
      <c r="AM43" s="115"/>
      <c r="AN43" s="115"/>
      <c r="AO43" s="117"/>
      <c r="AP43" s="115"/>
      <c r="AQ43" s="115"/>
      <c r="AR43" s="115"/>
      <c r="AS43" s="115"/>
      <c r="AT43" s="115"/>
      <c r="AU43" s="115"/>
      <c r="AV43" s="115"/>
      <c r="AW43" s="124"/>
      <c r="AX43" s="124"/>
      <c r="AY43" s="124"/>
      <c r="AZ43" s="115"/>
      <c r="BA43" s="115"/>
      <c r="BB43" s="126" t="str">
        <f t="shared" si="0"/>
        <v/>
      </c>
      <c r="BC43" s="115" t="str">
        <f t="shared" si="1"/>
        <v>INDENIZAÇÃO</v>
      </c>
      <c r="BD43" s="115" t="str">
        <f t="shared" si="2"/>
        <v>NÃO</v>
      </c>
      <c r="BE43" s="115"/>
      <c r="BF43" s="115"/>
      <c r="BG43" s="115"/>
      <c r="BH43" s="115"/>
      <c r="BI43" s="115"/>
      <c r="BJ43" s="115"/>
      <c r="BK43" s="115"/>
      <c r="BL43" s="115"/>
    </row>
    <row r="44" spans="1:64" ht="30" customHeight="1" x14ac:dyDescent="0.25">
      <c r="A44" s="115">
        <v>31</v>
      </c>
      <c r="B44" s="115" t="s">
        <v>97</v>
      </c>
      <c r="C44" s="115"/>
      <c r="D44" s="116"/>
      <c r="E44" s="115"/>
      <c r="F44" s="117"/>
      <c r="G44" s="115"/>
      <c r="H44" s="115"/>
      <c r="I44" s="115"/>
      <c r="J44" s="117"/>
      <c r="K44" s="117"/>
      <c r="L44" s="117"/>
      <c r="M44" s="115"/>
      <c r="N44" s="115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15"/>
      <c r="AB44" s="117"/>
      <c r="AC44" s="117"/>
      <c r="AD44" s="117"/>
      <c r="AE44" s="115"/>
      <c r="AF44" s="125"/>
      <c r="AG44" s="125"/>
      <c r="AH44" s="115"/>
      <c r="AI44" s="115"/>
      <c r="AJ44" s="115"/>
      <c r="AK44" s="115"/>
      <c r="AL44" s="115"/>
      <c r="AM44" s="115"/>
      <c r="AN44" s="115"/>
      <c r="AO44" s="117"/>
      <c r="AP44" s="115"/>
      <c r="AQ44" s="115"/>
      <c r="AR44" s="115"/>
      <c r="AS44" s="115"/>
      <c r="AT44" s="115"/>
      <c r="AU44" s="115"/>
      <c r="AV44" s="115"/>
      <c r="AW44" s="124"/>
      <c r="AX44" s="124"/>
      <c r="AY44" s="124"/>
      <c r="AZ44" s="115"/>
      <c r="BA44" s="115"/>
      <c r="BB44" s="126" t="str">
        <f t="shared" si="0"/>
        <v/>
      </c>
      <c r="BC44" s="115" t="str">
        <f t="shared" si="1"/>
        <v>INDENIZAÇÃO</v>
      </c>
      <c r="BD44" s="115" t="str">
        <f t="shared" si="2"/>
        <v>NÃO</v>
      </c>
      <c r="BE44" s="115"/>
      <c r="BF44" s="115"/>
      <c r="BG44" s="115"/>
      <c r="BH44" s="115"/>
      <c r="BI44" s="115"/>
      <c r="BJ44" s="115"/>
      <c r="BK44" s="115"/>
      <c r="BL44" s="115"/>
    </row>
    <row r="45" spans="1:64" ht="30" customHeight="1" x14ac:dyDescent="0.25">
      <c r="A45" s="115">
        <v>32</v>
      </c>
      <c r="B45" s="115" t="s">
        <v>97</v>
      </c>
      <c r="C45" s="115"/>
      <c r="D45" s="116"/>
      <c r="E45" s="115"/>
      <c r="F45" s="117"/>
      <c r="G45" s="115"/>
      <c r="H45" s="115"/>
      <c r="I45" s="115"/>
      <c r="J45" s="117"/>
      <c r="K45" s="117"/>
      <c r="L45" s="117"/>
      <c r="M45" s="115"/>
      <c r="N45" s="115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15"/>
      <c r="AB45" s="117"/>
      <c r="AC45" s="117"/>
      <c r="AD45" s="117"/>
      <c r="AE45" s="115"/>
      <c r="AF45" s="125"/>
      <c r="AG45" s="125"/>
      <c r="AH45" s="115"/>
      <c r="AI45" s="115"/>
      <c r="AJ45" s="115"/>
      <c r="AK45" s="115"/>
      <c r="AL45" s="115"/>
      <c r="AM45" s="115"/>
      <c r="AN45" s="115"/>
      <c r="AO45" s="117"/>
      <c r="AP45" s="115"/>
      <c r="AQ45" s="115"/>
      <c r="AR45" s="115"/>
      <c r="AS45" s="115"/>
      <c r="AT45" s="115"/>
      <c r="AU45" s="115"/>
      <c r="AV45" s="115"/>
      <c r="AW45" s="124"/>
      <c r="AX45" s="124"/>
      <c r="AY45" s="124"/>
      <c r="AZ45" s="115"/>
      <c r="BA45" s="115"/>
      <c r="BB45" s="126" t="str">
        <f t="shared" si="0"/>
        <v/>
      </c>
      <c r="BC45" s="115" t="str">
        <f t="shared" si="1"/>
        <v>INDENIZAÇÃO</v>
      </c>
      <c r="BD45" s="115" t="str">
        <f t="shared" si="2"/>
        <v>NÃO</v>
      </c>
      <c r="BE45" s="115"/>
      <c r="BF45" s="115"/>
      <c r="BG45" s="115"/>
      <c r="BH45" s="115"/>
      <c r="BI45" s="115"/>
      <c r="BJ45" s="115"/>
      <c r="BK45" s="115"/>
      <c r="BL45" s="115"/>
    </row>
    <row r="46" spans="1:64" ht="30" customHeight="1" x14ac:dyDescent="0.25">
      <c r="A46" s="115">
        <v>33</v>
      </c>
      <c r="B46" s="115" t="s">
        <v>97</v>
      </c>
      <c r="C46" s="115"/>
      <c r="D46" s="116"/>
      <c r="E46" s="115"/>
      <c r="F46" s="117"/>
      <c r="G46" s="115"/>
      <c r="H46" s="115"/>
      <c r="I46" s="115"/>
      <c r="J46" s="117"/>
      <c r="K46" s="117"/>
      <c r="L46" s="117"/>
      <c r="M46" s="115"/>
      <c r="N46" s="115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15"/>
      <c r="AB46" s="117"/>
      <c r="AC46" s="117"/>
      <c r="AD46" s="117"/>
      <c r="AE46" s="115"/>
      <c r="AF46" s="125"/>
      <c r="AG46" s="125"/>
      <c r="AH46" s="115"/>
      <c r="AI46" s="115"/>
      <c r="AJ46" s="115"/>
      <c r="AK46" s="115"/>
      <c r="AL46" s="115"/>
      <c r="AM46" s="115"/>
      <c r="AN46" s="115"/>
      <c r="AO46" s="117"/>
      <c r="AP46" s="115"/>
      <c r="AQ46" s="115"/>
      <c r="AR46" s="115"/>
      <c r="AS46" s="115"/>
      <c r="AT46" s="115"/>
      <c r="AU46" s="115"/>
      <c r="AV46" s="115"/>
      <c r="AW46" s="124"/>
      <c r="AX46" s="124"/>
      <c r="AY46" s="124"/>
      <c r="AZ46" s="115"/>
      <c r="BA46" s="115"/>
      <c r="BB46" s="126" t="str">
        <f t="shared" ref="BB46:BB77" si="3">IF(AX46-KE46=0,"",AX46-O46)</f>
        <v/>
      </c>
      <c r="BC46" s="115" t="str">
        <f t="shared" ref="BC46:BC77" si="4">IF(AND(AH46&lt;&gt;"SIM",AH46="UH"),"AA","INDENIZAÇÃO")</f>
        <v>INDENIZAÇÃO</v>
      </c>
      <c r="BD46" s="115" t="str">
        <f t="shared" ref="BD46:BD77" si="5">IF(AND(AX46&lt;&gt;"AGUARDANDO",AX46&lt;&gt;"",N46="AUXÍLIO ALUGUEL ATÉ INDENIZAÇÃO"),"SIM","NÃO")</f>
        <v>NÃO</v>
      </c>
      <c r="BE46" s="115"/>
      <c r="BF46" s="115"/>
      <c r="BG46" s="115"/>
      <c r="BH46" s="115"/>
      <c r="BI46" s="115"/>
      <c r="BJ46" s="115"/>
      <c r="BK46" s="115"/>
      <c r="BL46" s="115"/>
    </row>
    <row r="47" spans="1:64" ht="30" customHeight="1" x14ac:dyDescent="0.25">
      <c r="A47" s="115">
        <v>34</v>
      </c>
      <c r="B47" s="115" t="s">
        <v>97</v>
      </c>
      <c r="C47" s="115"/>
      <c r="D47" s="116"/>
      <c r="E47" s="115"/>
      <c r="F47" s="117"/>
      <c r="G47" s="115"/>
      <c r="H47" s="115"/>
      <c r="I47" s="115"/>
      <c r="J47" s="117"/>
      <c r="K47" s="117"/>
      <c r="L47" s="117"/>
      <c r="M47" s="115"/>
      <c r="N47" s="115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15"/>
      <c r="AB47" s="117"/>
      <c r="AC47" s="117"/>
      <c r="AD47" s="117"/>
      <c r="AE47" s="115"/>
      <c r="AF47" s="125"/>
      <c r="AG47" s="125"/>
      <c r="AH47" s="115"/>
      <c r="AI47" s="115"/>
      <c r="AJ47" s="115"/>
      <c r="AK47" s="115"/>
      <c r="AL47" s="115"/>
      <c r="AM47" s="115"/>
      <c r="AN47" s="115"/>
      <c r="AO47" s="117"/>
      <c r="AP47" s="115"/>
      <c r="AQ47" s="115"/>
      <c r="AR47" s="115"/>
      <c r="AS47" s="115"/>
      <c r="AT47" s="115"/>
      <c r="AU47" s="115"/>
      <c r="AV47" s="115"/>
      <c r="AW47" s="124"/>
      <c r="AX47" s="124"/>
      <c r="AY47" s="124"/>
      <c r="AZ47" s="115"/>
      <c r="BA47" s="115"/>
      <c r="BB47" s="126" t="str">
        <f t="shared" si="3"/>
        <v/>
      </c>
      <c r="BC47" s="115" t="str">
        <f t="shared" si="4"/>
        <v>INDENIZAÇÃO</v>
      </c>
      <c r="BD47" s="115" t="str">
        <f t="shared" si="5"/>
        <v>NÃO</v>
      </c>
      <c r="BE47" s="115"/>
      <c r="BF47" s="115"/>
      <c r="BG47" s="115"/>
      <c r="BH47" s="115"/>
      <c r="BI47" s="115"/>
      <c r="BJ47" s="115"/>
      <c r="BK47" s="115"/>
      <c r="BL47" s="115"/>
    </row>
    <row r="48" spans="1:64" ht="30" customHeight="1" x14ac:dyDescent="0.25">
      <c r="A48" s="115">
        <v>35</v>
      </c>
      <c r="B48" s="115" t="s">
        <v>97</v>
      </c>
      <c r="C48" s="115"/>
      <c r="D48" s="116"/>
      <c r="E48" s="115"/>
      <c r="F48" s="117"/>
      <c r="G48" s="115"/>
      <c r="H48" s="115"/>
      <c r="I48" s="115"/>
      <c r="J48" s="117"/>
      <c r="K48" s="117"/>
      <c r="L48" s="117"/>
      <c r="M48" s="115"/>
      <c r="N48" s="115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15"/>
      <c r="AB48" s="117"/>
      <c r="AC48" s="117"/>
      <c r="AD48" s="117"/>
      <c r="AE48" s="115"/>
      <c r="AF48" s="125"/>
      <c r="AG48" s="125"/>
      <c r="AH48" s="115"/>
      <c r="AI48" s="115"/>
      <c r="AJ48" s="115"/>
      <c r="AK48" s="115"/>
      <c r="AL48" s="115"/>
      <c r="AM48" s="115"/>
      <c r="AN48" s="115"/>
      <c r="AO48" s="117"/>
      <c r="AP48" s="115"/>
      <c r="AQ48" s="115"/>
      <c r="AR48" s="115"/>
      <c r="AS48" s="115"/>
      <c r="AT48" s="115"/>
      <c r="AU48" s="115"/>
      <c r="AV48" s="115"/>
      <c r="AW48" s="124"/>
      <c r="AX48" s="124"/>
      <c r="AY48" s="124"/>
      <c r="AZ48" s="115"/>
      <c r="BA48" s="115"/>
      <c r="BB48" s="126" t="str">
        <f t="shared" si="3"/>
        <v/>
      </c>
      <c r="BC48" s="115" t="str">
        <f t="shared" si="4"/>
        <v>INDENIZAÇÃO</v>
      </c>
      <c r="BD48" s="115" t="str">
        <f t="shared" si="5"/>
        <v>NÃO</v>
      </c>
      <c r="BE48" s="115"/>
      <c r="BF48" s="115"/>
      <c r="BG48" s="115"/>
      <c r="BH48" s="115"/>
      <c r="BI48" s="115"/>
      <c r="BJ48" s="115"/>
      <c r="BK48" s="115"/>
      <c r="BL48" s="115"/>
    </row>
    <row r="49" spans="1:64" ht="30" customHeight="1" x14ac:dyDescent="0.25">
      <c r="A49" s="115">
        <v>36</v>
      </c>
      <c r="B49" s="115" t="s">
        <v>97</v>
      </c>
      <c r="C49" s="115"/>
      <c r="D49" s="116"/>
      <c r="E49" s="115"/>
      <c r="F49" s="117"/>
      <c r="G49" s="115"/>
      <c r="H49" s="115"/>
      <c r="I49" s="115"/>
      <c r="J49" s="117"/>
      <c r="K49" s="117"/>
      <c r="L49" s="117"/>
      <c r="M49" s="115"/>
      <c r="N49" s="115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15"/>
      <c r="AB49" s="117"/>
      <c r="AC49" s="117"/>
      <c r="AD49" s="117"/>
      <c r="AE49" s="115"/>
      <c r="AF49" s="125"/>
      <c r="AG49" s="125"/>
      <c r="AH49" s="115"/>
      <c r="AI49" s="115"/>
      <c r="AJ49" s="115"/>
      <c r="AK49" s="115"/>
      <c r="AL49" s="115"/>
      <c r="AM49" s="115"/>
      <c r="AN49" s="115"/>
      <c r="AO49" s="117"/>
      <c r="AP49" s="115"/>
      <c r="AQ49" s="115"/>
      <c r="AR49" s="115"/>
      <c r="AS49" s="115"/>
      <c r="AT49" s="115"/>
      <c r="AU49" s="115"/>
      <c r="AV49" s="115"/>
      <c r="AW49" s="124"/>
      <c r="AX49" s="124"/>
      <c r="AY49" s="124"/>
      <c r="AZ49" s="115"/>
      <c r="BA49" s="115"/>
      <c r="BB49" s="126" t="str">
        <f t="shared" si="3"/>
        <v/>
      </c>
      <c r="BC49" s="115" t="str">
        <f t="shared" si="4"/>
        <v>INDENIZAÇÃO</v>
      </c>
      <c r="BD49" s="115" t="str">
        <f t="shared" si="5"/>
        <v>NÃO</v>
      </c>
      <c r="BE49" s="115"/>
      <c r="BF49" s="115"/>
      <c r="BG49" s="115"/>
      <c r="BH49" s="115"/>
      <c r="BI49" s="115"/>
      <c r="BJ49" s="115"/>
      <c r="BK49" s="115"/>
      <c r="BL49" s="115"/>
    </row>
    <row r="50" spans="1:64" ht="30" customHeight="1" x14ac:dyDescent="0.25">
      <c r="A50" s="115">
        <v>37</v>
      </c>
      <c r="B50" s="115" t="s">
        <v>97</v>
      </c>
      <c r="C50" s="115"/>
      <c r="D50" s="116"/>
      <c r="E50" s="115"/>
      <c r="F50" s="117"/>
      <c r="G50" s="115"/>
      <c r="H50" s="115"/>
      <c r="I50" s="115"/>
      <c r="J50" s="117"/>
      <c r="K50" s="117"/>
      <c r="L50" s="117"/>
      <c r="M50" s="115"/>
      <c r="N50" s="115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15"/>
      <c r="AB50" s="117"/>
      <c r="AC50" s="117"/>
      <c r="AD50" s="117"/>
      <c r="AE50" s="115"/>
      <c r="AF50" s="125"/>
      <c r="AG50" s="125"/>
      <c r="AH50" s="115"/>
      <c r="AI50" s="115"/>
      <c r="AJ50" s="115"/>
      <c r="AK50" s="115"/>
      <c r="AL50" s="115"/>
      <c r="AM50" s="115"/>
      <c r="AN50" s="115"/>
      <c r="AO50" s="117"/>
      <c r="AP50" s="115"/>
      <c r="AQ50" s="115"/>
      <c r="AR50" s="115"/>
      <c r="AS50" s="115"/>
      <c r="AT50" s="115"/>
      <c r="AU50" s="115"/>
      <c r="AV50" s="115"/>
      <c r="AW50" s="124"/>
      <c r="AX50" s="124"/>
      <c r="AY50" s="124"/>
      <c r="AZ50" s="115"/>
      <c r="BA50" s="115"/>
      <c r="BB50" s="126" t="str">
        <f t="shared" si="3"/>
        <v/>
      </c>
      <c r="BC50" s="115" t="str">
        <f t="shared" si="4"/>
        <v>INDENIZAÇÃO</v>
      </c>
      <c r="BD50" s="115" t="str">
        <f t="shared" si="5"/>
        <v>NÃO</v>
      </c>
      <c r="BE50" s="115"/>
      <c r="BF50" s="115"/>
      <c r="BG50" s="115"/>
      <c r="BH50" s="115"/>
      <c r="BI50" s="115"/>
      <c r="BJ50" s="115"/>
      <c r="BK50" s="115"/>
      <c r="BL50" s="115"/>
    </row>
    <row r="51" spans="1:64" ht="30" customHeight="1" x14ac:dyDescent="0.25">
      <c r="A51" s="115">
        <v>38</v>
      </c>
      <c r="B51" s="115" t="s">
        <v>97</v>
      </c>
      <c r="C51" s="115"/>
      <c r="D51" s="116"/>
      <c r="E51" s="115"/>
      <c r="F51" s="117"/>
      <c r="G51" s="115"/>
      <c r="H51" s="115"/>
      <c r="I51" s="115"/>
      <c r="J51" s="117"/>
      <c r="K51" s="117"/>
      <c r="L51" s="117"/>
      <c r="M51" s="115"/>
      <c r="N51" s="115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15"/>
      <c r="AB51" s="117"/>
      <c r="AC51" s="117"/>
      <c r="AD51" s="117"/>
      <c r="AE51" s="115"/>
      <c r="AF51" s="125"/>
      <c r="AG51" s="125"/>
      <c r="AH51" s="115"/>
      <c r="AI51" s="115"/>
      <c r="AJ51" s="115"/>
      <c r="AK51" s="115"/>
      <c r="AL51" s="115"/>
      <c r="AM51" s="115"/>
      <c r="AN51" s="115"/>
      <c r="AO51" s="117"/>
      <c r="AP51" s="115"/>
      <c r="AQ51" s="115"/>
      <c r="AR51" s="115"/>
      <c r="AS51" s="115"/>
      <c r="AT51" s="115"/>
      <c r="AU51" s="115"/>
      <c r="AV51" s="115"/>
      <c r="AW51" s="124"/>
      <c r="AX51" s="124"/>
      <c r="AY51" s="124"/>
      <c r="AZ51" s="115"/>
      <c r="BA51" s="115"/>
      <c r="BB51" s="126" t="str">
        <f t="shared" si="3"/>
        <v/>
      </c>
      <c r="BC51" s="115" t="str">
        <f t="shared" si="4"/>
        <v>INDENIZAÇÃO</v>
      </c>
      <c r="BD51" s="115" t="str">
        <f t="shared" si="5"/>
        <v>NÃO</v>
      </c>
      <c r="BE51" s="115"/>
      <c r="BF51" s="115"/>
      <c r="BG51" s="115"/>
      <c r="BH51" s="115"/>
      <c r="BI51" s="115"/>
      <c r="BJ51" s="115"/>
      <c r="BK51" s="115"/>
      <c r="BL51" s="115"/>
    </row>
    <row r="52" spans="1:64" ht="30" customHeight="1" x14ac:dyDescent="0.25">
      <c r="A52" s="115">
        <v>39</v>
      </c>
      <c r="B52" s="115" t="s">
        <v>97</v>
      </c>
      <c r="C52" s="115"/>
      <c r="D52" s="116"/>
      <c r="E52" s="115"/>
      <c r="F52" s="117"/>
      <c r="G52" s="115"/>
      <c r="H52" s="115"/>
      <c r="I52" s="115"/>
      <c r="J52" s="117"/>
      <c r="K52" s="117"/>
      <c r="L52" s="117"/>
      <c r="M52" s="115"/>
      <c r="N52" s="115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15"/>
      <c r="AB52" s="117"/>
      <c r="AC52" s="117"/>
      <c r="AD52" s="117"/>
      <c r="AE52" s="115"/>
      <c r="AF52" s="125"/>
      <c r="AG52" s="125"/>
      <c r="AH52" s="115"/>
      <c r="AI52" s="115"/>
      <c r="AJ52" s="115"/>
      <c r="AK52" s="115"/>
      <c r="AL52" s="115"/>
      <c r="AM52" s="115"/>
      <c r="AN52" s="115"/>
      <c r="AO52" s="117"/>
      <c r="AP52" s="115"/>
      <c r="AQ52" s="115"/>
      <c r="AR52" s="115"/>
      <c r="AS52" s="115"/>
      <c r="AT52" s="115"/>
      <c r="AU52" s="115"/>
      <c r="AV52" s="115"/>
      <c r="AW52" s="124"/>
      <c r="AX52" s="124"/>
      <c r="AY52" s="124"/>
      <c r="AZ52" s="115"/>
      <c r="BA52" s="115"/>
      <c r="BB52" s="126" t="str">
        <f t="shared" si="3"/>
        <v/>
      </c>
      <c r="BC52" s="115" t="str">
        <f t="shared" si="4"/>
        <v>INDENIZAÇÃO</v>
      </c>
      <c r="BD52" s="115" t="str">
        <f t="shared" si="5"/>
        <v>NÃO</v>
      </c>
      <c r="BE52" s="115"/>
      <c r="BF52" s="115"/>
      <c r="BG52" s="115"/>
      <c r="BH52" s="115"/>
      <c r="BI52" s="115"/>
      <c r="BJ52" s="115"/>
      <c r="BK52" s="115"/>
      <c r="BL52" s="115"/>
    </row>
    <row r="53" spans="1:64" ht="30" customHeight="1" x14ac:dyDescent="0.25">
      <c r="A53" s="115">
        <v>40</v>
      </c>
      <c r="B53" s="115" t="s">
        <v>97</v>
      </c>
      <c r="C53" s="115"/>
      <c r="D53" s="116"/>
      <c r="E53" s="115"/>
      <c r="F53" s="117"/>
      <c r="G53" s="115"/>
      <c r="H53" s="115"/>
      <c r="I53" s="115"/>
      <c r="J53" s="117"/>
      <c r="K53" s="117"/>
      <c r="L53" s="117"/>
      <c r="M53" s="115"/>
      <c r="N53" s="115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15"/>
      <c r="AB53" s="117"/>
      <c r="AC53" s="117"/>
      <c r="AD53" s="117"/>
      <c r="AE53" s="115"/>
      <c r="AF53" s="125"/>
      <c r="AG53" s="125"/>
      <c r="AH53" s="115"/>
      <c r="AI53" s="115"/>
      <c r="AJ53" s="115"/>
      <c r="AK53" s="115"/>
      <c r="AL53" s="115"/>
      <c r="AM53" s="115"/>
      <c r="AN53" s="115"/>
      <c r="AO53" s="117"/>
      <c r="AP53" s="115"/>
      <c r="AQ53" s="115"/>
      <c r="AR53" s="115"/>
      <c r="AS53" s="115"/>
      <c r="AT53" s="115"/>
      <c r="AU53" s="115"/>
      <c r="AV53" s="115"/>
      <c r="AW53" s="124"/>
      <c r="AX53" s="124"/>
      <c r="AY53" s="124"/>
      <c r="AZ53" s="115"/>
      <c r="BA53" s="115"/>
      <c r="BB53" s="126" t="str">
        <f t="shared" si="3"/>
        <v/>
      </c>
      <c r="BC53" s="115" t="str">
        <f t="shared" si="4"/>
        <v>INDENIZAÇÃO</v>
      </c>
      <c r="BD53" s="115" t="str">
        <f t="shared" si="5"/>
        <v>NÃO</v>
      </c>
      <c r="BE53" s="115"/>
      <c r="BF53" s="115"/>
      <c r="BG53" s="115"/>
      <c r="BH53" s="115"/>
      <c r="BI53" s="115"/>
      <c r="BJ53" s="115"/>
      <c r="BK53" s="115"/>
      <c r="BL53" s="115"/>
    </row>
    <row r="54" spans="1:64" ht="30" customHeight="1" x14ac:dyDescent="0.25">
      <c r="A54" s="115">
        <v>41</v>
      </c>
      <c r="B54" s="115" t="s">
        <v>97</v>
      </c>
      <c r="C54" s="115"/>
      <c r="D54" s="116"/>
      <c r="E54" s="115"/>
      <c r="F54" s="117"/>
      <c r="G54" s="115"/>
      <c r="H54" s="115"/>
      <c r="I54" s="115"/>
      <c r="J54" s="117"/>
      <c r="K54" s="117"/>
      <c r="L54" s="117"/>
      <c r="M54" s="115"/>
      <c r="N54" s="115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15"/>
      <c r="AB54" s="117"/>
      <c r="AC54" s="117"/>
      <c r="AD54" s="117"/>
      <c r="AE54" s="115"/>
      <c r="AF54" s="125"/>
      <c r="AG54" s="125"/>
      <c r="AH54" s="115"/>
      <c r="AI54" s="115"/>
      <c r="AJ54" s="115"/>
      <c r="AK54" s="115"/>
      <c r="AL54" s="115"/>
      <c r="AM54" s="115"/>
      <c r="AN54" s="115"/>
      <c r="AO54" s="117"/>
      <c r="AP54" s="115"/>
      <c r="AQ54" s="115"/>
      <c r="AR54" s="115"/>
      <c r="AS54" s="115"/>
      <c r="AT54" s="115"/>
      <c r="AU54" s="115"/>
      <c r="AV54" s="115"/>
      <c r="AW54" s="124"/>
      <c r="AX54" s="124"/>
      <c r="AY54" s="124"/>
      <c r="AZ54" s="115"/>
      <c r="BA54" s="115"/>
      <c r="BB54" s="126" t="str">
        <f t="shared" si="3"/>
        <v/>
      </c>
      <c r="BC54" s="115" t="str">
        <f t="shared" si="4"/>
        <v>INDENIZAÇÃO</v>
      </c>
      <c r="BD54" s="115" t="str">
        <f t="shared" si="5"/>
        <v>NÃO</v>
      </c>
      <c r="BE54" s="115"/>
      <c r="BF54" s="115"/>
      <c r="BG54" s="115"/>
      <c r="BH54" s="115"/>
      <c r="BI54" s="115"/>
      <c r="BJ54" s="115"/>
      <c r="BK54" s="115"/>
      <c r="BL54" s="115"/>
    </row>
    <row r="55" spans="1:64" ht="30" customHeight="1" x14ac:dyDescent="0.25">
      <c r="A55" s="115">
        <v>42</v>
      </c>
      <c r="B55" s="115" t="s">
        <v>97</v>
      </c>
      <c r="C55" s="115"/>
      <c r="D55" s="116"/>
      <c r="E55" s="115"/>
      <c r="F55" s="117"/>
      <c r="G55" s="115"/>
      <c r="H55" s="115"/>
      <c r="I55" s="115"/>
      <c r="J55" s="117"/>
      <c r="K55" s="117"/>
      <c r="L55" s="117"/>
      <c r="M55" s="115"/>
      <c r="N55" s="115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15"/>
      <c r="AB55" s="117"/>
      <c r="AC55" s="117"/>
      <c r="AD55" s="117"/>
      <c r="AE55" s="115"/>
      <c r="AF55" s="125"/>
      <c r="AG55" s="125"/>
      <c r="AH55" s="115"/>
      <c r="AI55" s="115"/>
      <c r="AJ55" s="115"/>
      <c r="AK55" s="115"/>
      <c r="AL55" s="115"/>
      <c r="AM55" s="115"/>
      <c r="AN55" s="115"/>
      <c r="AO55" s="117"/>
      <c r="AP55" s="115"/>
      <c r="AQ55" s="115"/>
      <c r="AR55" s="115"/>
      <c r="AS55" s="115"/>
      <c r="AT55" s="115"/>
      <c r="AU55" s="115"/>
      <c r="AV55" s="115"/>
      <c r="AW55" s="124"/>
      <c r="AX55" s="124"/>
      <c r="AY55" s="124"/>
      <c r="AZ55" s="115"/>
      <c r="BA55" s="115"/>
      <c r="BB55" s="126" t="str">
        <f t="shared" si="3"/>
        <v/>
      </c>
      <c r="BC55" s="115" t="str">
        <f t="shared" si="4"/>
        <v>INDENIZAÇÃO</v>
      </c>
      <c r="BD55" s="115" t="str">
        <f t="shared" si="5"/>
        <v>NÃO</v>
      </c>
      <c r="BE55" s="115"/>
      <c r="BF55" s="115"/>
      <c r="BG55" s="115"/>
      <c r="BH55" s="115"/>
      <c r="BI55" s="115"/>
      <c r="BJ55" s="115"/>
      <c r="BK55" s="115"/>
      <c r="BL55" s="115"/>
    </row>
    <row r="56" spans="1:64" ht="30" customHeight="1" x14ac:dyDescent="0.25">
      <c r="A56" s="115">
        <v>43</v>
      </c>
      <c r="B56" s="115" t="s">
        <v>97</v>
      </c>
      <c r="C56" s="115"/>
      <c r="D56" s="116"/>
      <c r="E56" s="115"/>
      <c r="F56" s="117"/>
      <c r="G56" s="115"/>
      <c r="H56" s="115"/>
      <c r="I56" s="115"/>
      <c r="J56" s="117"/>
      <c r="K56" s="117"/>
      <c r="L56" s="117"/>
      <c r="M56" s="115"/>
      <c r="N56" s="115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15"/>
      <c r="AB56" s="117"/>
      <c r="AC56" s="117"/>
      <c r="AD56" s="117"/>
      <c r="AE56" s="115"/>
      <c r="AF56" s="125"/>
      <c r="AG56" s="125"/>
      <c r="AH56" s="115"/>
      <c r="AI56" s="115"/>
      <c r="AJ56" s="115"/>
      <c r="AK56" s="115"/>
      <c r="AL56" s="115"/>
      <c r="AM56" s="115"/>
      <c r="AN56" s="115"/>
      <c r="AO56" s="117"/>
      <c r="AP56" s="115"/>
      <c r="AQ56" s="115"/>
      <c r="AR56" s="115"/>
      <c r="AS56" s="115"/>
      <c r="AT56" s="115"/>
      <c r="AU56" s="115"/>
      <c r="AV56" s="115"/>
      <c r="AW56" s="124"/>
      <c r="AX56" s="124"/>
      <c r="AY56" s="124"/>
      <c r="AZ56" s="115"/>
      <c r="BA56" s="115"/>
      <c r="BB56" s="126" t="str">
        <f t="shared" si="3"/>
        <v/>
      </c>
      <c r="BC56" s="115" t="str">
        <f t="shared" si="4"/>
        <v>INDENIZAÇÃO</v>
      </c>
      <c r="BD56" s="115" t="str">
        <f t="shared" si="5"/>
        <v>NÃO</v>
      </c>
      <c r="BE56" s="115"/>
      <c r="BF56" s="115"/>
      <c r="BG56" s="115"/>
      <c r="BH56" s="115"/>
      <c r="BI56" s="115"/>
      <c r="BJ56" s="115"/>
      <c r="BK56" s="115"/>
      <c r="BL56" s="115"/>
    </row>
    <row r="57" spans="1:64" ht="30" customHeight="1" x14ac:dyDescent="0.25">
      <c r="A57" s="115">
        <v>44</v>
      </c>
      <c r="B57" s="115" t="s">
        <v>97</v>
      </c>
      <c r="C57" s="115"/>
      <c r="D57" s="116"/>
      <c r="E57" s="115"/>
      <c r="F57" s="117"/>
      <c r="G57" s="115"/>
      <c r="H57" s="115"/>
      <c r="I57" s="115"/>
      <c r="J57" s="117"/>
      <c r="K57" s="117"/>
      <c r="L57" s="117"/>
      <c r="M57" s="115"/>
      <c r="N57" s="115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15"/>
      <c r="AB57" s="117"/>
      <c r="AC57" s="117"/>
      <c r="AD57" s="117"/>
      <c r="AE57" s="115"/>
      <c r="AF57" s="125"/>
      <c r="AG57" s="125"/>
      <c r="AH57" s="115"/>
      <c r="AI57" s="115"/>
      <c r="AJ57" s="115"/>
      <c r="AK57" s="115"/>
      <c r="AL57" s="115"/>
      <c r="AM57" s="115"/>
      <c r="AN57" s="115"/>
      <c r="AO57" s="117"/>
      <c r="AP57" s="115"/>
      <c r="AQ57" s="115"/>
      <c r="AR57" s="115"/>
      <c r="AS57" s="115"/>
      <c r="AT57" s="115"/>
      <c r="AU57" s="115"/>
      <c r="AV57" s="115"/>
      <c r="AW57" s="124"/>
      <c r="AX57" s="124"/>
      <c r="AY57" s="124"/>
      <c r="AZ57" s="115"/>
      <c r="BA57" s="115"/>
      <c r="BB57" s="126" t="str">
        <f t="shared" si="3"/>
        <v/>
      </c>
      <c r="BC57" s="115" t="str">
        <f t="shared" si="4"/>
        <v>INDENIZAÇÃO</v>
      </c>
      <c r="BD57" s="115" t="str">
        <f t="shared" si="5"/>
        <v>NÃO</v>
      </c>
      <c r="BE57" s="115"/>
      <c r="BF57" s="115"/>
      <c r="BG57" s="115"/>
      <c r="BH57" s="115"/>
      <c r="BI57" s="115"/>
      <c r="BJ57" s="115"/>
      <c r="BK57" s="115"/>
      <c r="BL57" s="115"/>
    </row>
    <row r="58" spans="1:64" ht="30" customHeight="1" x14ac:dyDescent="0.25">
      <c r="A58" s="115">
        <v>45</v>
      </c>
      <c r="B58" s="115" t="s">
        <v>97</v>
      </c>
      <c r="C58" s="115"/>
      <c r="D58" s="116"/>
      <c r="E58" s="115"/>
      <c r="F58" s="117"/>
      <c r="G58" s="115"/>
      <c r="H58" s="115"/>
      <c r="I58" s="115"/>
      <c r="J58" s="117"/>
      <c r="K58" s="117"/>
      <c r="L58" s="117"/>
      <c r="M58" s="115"/>
      <c r="N58" s="115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15"/>
      <c r="AB58" s="117"/>
      <c r="AC58" s="117"/>
      <c r="AD58" s="117"/>
      <c r="AE58" s="115"/>
      <c r="AF58" s="125"/>
      <c r="AG58" s="125"/>
      <c r="AH58" s="115"/>
      <c r="AI58" s="115"/>
      <c r="AJ58" s="115"/>
      <c r="AK58" s="115"/>
      <c r="AL58" s="115"/>
      <c r="AM58" s="115"/>
      <c r="AN58" s="115"/>
      <c r="AO58" s="117"/>
      <c r="AP58" s="115"/>
      <c r="AQ58" s="115"/>
      <c r="AR58" s="115"/>
      <c r="AS58" s="115"/>
      <c r="AT58" s="115"/>
      <c r="AU58" s="115"/>
      <c r="AV58" s="115"/>
      <c r="AW58" s="124"/>
      <c r="AX58" s="124"/>
      <c r="AY58" s="124"/>
      <c r="AZ58" s="115"/>
      <c r="BA58" s="115"/>
      <c r="BB58" s="126" t="str">
        <f t="shared" si="3"/>
        <v/>
      </c>
      <c r="BC58" s="115" t="str">
        <f t="shared" si="4"/>
        <v>INDENIZAÇÃO</v>
      </c>
      <c r="BD58" s="115" t="str">
        <f t="shared" si="5"/>
        <v>NÃO</v>
      </c>
      <c r="BE58" s="115"/>
      <c r="BF58" s="115"/>
      <c r="BG58" s="115"/>
      <c r="BH58" s="115"/>
      <c r="BI58" s="115"/>
      <c r="BJ58" s="115"/>
      <c r="BK58" s="115"/>
      <c r="BL58" s="115"/>
    </row>
    <row r="59" spans="1:64" ht="30" customHeight="1" x14ac:dyDescent="0.25">
      <c r="A59" s="115">
        <v>46</v>
      </c>
      <c r="B59" s="115" t="s">
        <v>97</v>
      </c>
      <c r="C59" s="115"/>
      <c r="D59" s="116"/>
      <c r="E59" s="115"/>
      <c r="F59" s="117"/>
      <c r="G59" s="115"/>
      <c r="H59" s="115"/>
      <c r="I59" s="115"/>
      <c r="J59" s="117"/>
      <c r="K59" s="117"/>
      <c r="L59" s="117"/>
      <c r="M59" s="115"/>
      <c r="N59" s="115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15"/>
      <c r="AB59" s="117"/>
      <c r="AC59" s="117"/>
      <c r="AD59" s="117"/>
      <c r="AE59" s="115"/>
      <c r="AF59" s="125"/>
      <c r="AG59" s="125"/>
      <c r="AH59" s="115"/>
      <c r="AI59" s="115"/>
      <c r="AJ59" s="115"/>
      <c r="AK59" s="115"/>
      <c r="AL59" s="115"/>
      <c r="AM59" s="115"/>
      <c r="AN59" s="115"/>
      <c r="AO59" s="117"/>
      <c r="AP59" s="115"/>
      <c r="AQ59" s="115"/>
      <c r="AR59" s="115"/>
      <c r="AS59" s="115"/>
      <c r="AT59" s="115"/>
      <c r="AU59" s="115"/>
      <c r="AV59" s="115"/>
      <c r="AW59" s="124"/>
      <c r="AX59" s="124"/>
      <c r="AY59" s="124"/>
      <c r="AZ59" s="115"/>
      <c r="BA59" s="115"/>
      <c r="BB59" s="126" t="str">
        <f t="shared" si="3"/>
        <v/>
      </c>
      <c r="BC59" s="115" t="str">
        <f t="shared" si="4"/>
        <v>INDENIZAÇÃO</v>
      </c>
      <c r="BD59" s="115" t="str">
        <f t="shared" si="5"/>
        <v>NÃO</v>
      </c>
      <c r="BE59" s="115"/>
      <c r="BF59" s="115"/>
      <c r="BG59" s="115"/>
      <c r="BH59" s="115"/>
      <c r="BI59" s="115"/>
      <c r="BJ59" s="115"/>
      <c r="BK59" s="115"/>
      <c r="BL59" s="115"/>
    </row>
    <row r="60" spans="1:64" ht="30" customHeight="1" x14ac:dyDescent="0.25">
      <c r="A60" s="115">
        <v>47</v>
      </c>
      <c r="B60" s="115" t="s">
        <v>97</v>
      </c>
      <c r="C60" s="115"/>
      <c r="D60" s="116"/>
      <c r="E60" s="115"/>
      <c r="F60" s="117"/>
      <c r="G60" s="115"/>
      <c r="H60" s="115"/>
      <c r="I60" s="115"/>
      <c r="J60" s="117"/>
      <c r="K60" s="117"/>
      <c r="L60" s="117"/>
      <c r="M60" s="115"/>
      <c r="N60" s="115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15"/>
      <c r="AB60" s="117"/>
      <c r="AC60" s="117"/>
      <c r="AD60" s="117"/>
      <c r="AE60" s="115"/>
      <c r="AF60" s="125"/>
      <c r="AG60" s="125"/>
      <c r="AH60" s="115"/>
      <c r="AI60" s="115"/>
      <c r="AJ60" s="115"/>
      <c r="AK60" s="115"/>
      <c r="AL60" s="115"/>
      <c r="AM60" s="115"/>
      <c r="AN60" s="115"/>
      <c r="AO60" s="117"/>
      <c r="AP60" s="115"/>
      <c r="AQ60" s="115"/>
      <c r="AR60" s="115"/>
      <c r="AS60" s="115"/>
      <c r="AT60" s="115"/>
      <c r="AU60" s="115"/>
      <c r="AV60" s="115"/>
      <c r="AW60" s="124"/>
      <c r="AX60" s="124"/>
      <c r="AY60" s="124"/>
      <c r="AZ60" s="115"/>
      <c r="BA60" s="115"/>
      <c r="BB60" s="126" t="str">
        <f t="shared" si="3"/>
        <v/>
      </c>
      <c r="BC60" s="115" t="str">
        <f t="shared" si="4"/>
        <v>INDENIZAÇÃO</v>
      </c>
      <c r="BD60" s="115" t="str">
        <f t="shared" si="5"/>
        <v>NÃO</v>
      </c>
      <c r="BE60" s="115"/>
      <c r="BF60" s="115"/>
      <c r="BG60" s="115"/>
      <c r="BH60" s="115"/>
      <c r="BI60" s="115"/>
      <c r="BJ60" s="115"/>
      <c r="BK60" s="115"/>
      <c r="BL60" s="115"/>
    </row>
    <row r="61" spans="1:64" ht="30" customHeight="1" x14ac:dyDescent="0.25">
      <c r="A61" s="115">
        <v>48</v>
      </c>
      <c r="B61" s="115" t="s">
        <v>97</v>
      </c>
      <c r="C61" s="115"/>
      <c r="D61" s="116"/>
      <c r="E61" s="115"/>
      <c r="F61" s="117"/>
      <c r="G61" s="115"/>
      <c r="H61" s="115"/>
      <c r="I61" s="115"/>
      <c r="J61" s="117"/>
      <c r="K61" s="117"/>
      <c r="L61" s="117"/>
      <c r="M61" s="115"/>
      <c r="N61" s="115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15"/>
      <c r="AB61" s="117"/>
      <c r="AC61" s="117"/>
      <c r="AD61" s="117"/>
      <c r="AE61" s="115"/>
      <c r="AF61" s="125"/>
      <c r="AG61" s="125"/>
      <c r="AH61" s="115"/>
      <c r="AI61" s="115"/>
      <c r="AJ61" s="115"/>
      <c r="AK61" s="115"/>
      <c r="AL61" s="115"/>
      <c r="AM61" s="115"/>
      <c r="AN61" s="115"/>
      <c r="AO61" s="117"/>
      <c r="AP61" s="115"/>
      <c r="AQ61" s="115"/>
      <c r="AR61" s="115"/>
      <c r="AS61" s="115"/>
      <c r="AT61" s="115"/>
      <c r="AU61" s="115"/>
      <c r="AV61" s="115"/>
      <c r="AW61" s="124"/>
      <c r="AX61" s="124"/>
      <c r="AY61" s="124"/>
      <c r="AZ61" s="115"/>
      <c r="BA61" s="115"/>
      <c r="BB61" s="126" t="str">
        <f t="shared" si="3"/>
        <v/>
      </c>
      <c r="BC61" s="115" t="str">
        <f t="shared" si="4"/>
        <v>INDENIZAÇÃO</v>
      </c>
      <c r="BD61" s="115" t="str">
        <f t="shared" si="5"/>
        <v>NÃO</v>
      </c>
      <c r="BE61" s="115"/>
      <c r="BF61" s="115"/>
      <c r="BG61" s="115"/>
      <c r="BH61" s="115"/>
      <c r="BI61" s="115"/>
      <c r="BJ61" s="115"/>
      <c r="BK61" s="115"/>
      <c r="BL61" s="115"/>
    </row>
    <row r="62" spans="1:64" ht="30" customHeight="1" x14ac:dyDescent="0.25">
      <c r="A62" s="115">
        <v>49</v>
      </c>
      <c r="B62" s="115" t="s">
        <v>97</v>
      </c>
      <c r="C62" s="115"/>
      <c r="D62" s="116"/>
      <c r="E62" s="115"/>
      <c r="F62" s="117"/>
      <c r="G62" s="115"/>
      <c r="H62" s="115"/>
      <c r="I62" s="115"/>
      <c r="J62" s="117"/>
      <c r="K62" s="117"/>
      <c r="L62" s="117"/>
      <c r="M62" s="115"/>
      <c r="N62" s="115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15"/>
      <c r="AB62" s="117"/>
      <c r="AC62" s="117"/>
      <c r="AD62" s="117"/>
      <c r="AE62" s="115"/>
      <c r="AF62" s="125"/>
      <c r="AG62" s="125"/>
      <c r="AH62" s="115"/>
      <c r="AI62" s="115"/>
      <c r="AJ62" s="115"/>
      <c r="AK62" s="115"/>
      <c r="AL62" s="115"/>
      <c r="AM62" s="115"/>
      <c r="AN62" s="115"/>
      <c r="AO62" s="117"/>
      <c r="AP62" s="115"/>
      <c r="AQ62" s="115"/>
      <c r="AR62" s="115"/>
      <c r="AS62" s="115"/>
      <c r="AT62" s="115"/>
      <c r="AU62" s="115"/>
      <c r="AV62" s="115"/>
      <c r="AW62" s="124"/>
      <c r="AX62" s="124"/>
      <c r="AY62" s="124"/>
      <c r="AZ62" s="115"/>
      <c r="BA62" s="115"/>
      <c r="BB62" s="126" t="str">
        <f t="shared" si="3"/>
        <v/>
      </c>
      <c r="BC62" s="115" t="str">
        <f t="shared" si="4"/>
        <v>INDENIZAÇÃO</v>
      </c>
      <c r="BD62" s="115" t="str">
        <f t="shared" si="5"/>
        <v>NÃO</v>
      </c>
      <c r="BE62" s="115"/>
      <c r="BF62" s="115"/>
      <c r="BG62" s="115"/>
      <c r="BH62" s="115"/>
      <c r="BI62" s="115"/>
      <c r="BJ62" s="115"/>
      <c r="BK62" s="115"/>
      <c r="BL62" s="115"/>
    </row>
    <row r="63" spans="1:64" ht="30" customHeight="1" x14ac:dyDescent="0.25">
      <c r="A63" s="115">
        <v>50</v>
      </c>
      <c r="B63" s="115" t="s">
        <v>97</v>
      </c>
      <c r="C63" s="115"/>
      <c r="D63" s="116"/>
      <c r="E63" s="115"/>
      <c r="F63" s="117"/>
      <c r="G63" s="115"/>
      <c r="H63" s="115"/>
      <c r="I63" s="115"/>
      <c r="J63" s="117"/>
      <c r="K63" s="117"/>
      <c r="L63" s="117"/>
      <c r="M63" s="115"/>
      <c r="N63" s="115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15"/>
      <c r="AB63" s="117"/>
      <c r="AC63" s="117"/>
      <c r="AD63" s="117"/>
      <c r="AE63" s="115"/>
      <c r="AF63" s="125"/>
      <c r="AG63" s="125"/>
      <c r="AH63" s="115"/>
      <c r="AI63" s="115"/>
      <c r="AJ63" s="115"/>
      <c r="AK63" s="115"/>
      <c r="AL63" s="115"/>
      <c r="AM63" s="115"/>
      <c r="AN63" s="115"/>
      <c r="AO63" s="117"/>
      <c r="AP63" s="115"/>
      <c r="AQ63" s="115"/>
      <c r="AR63" s="115"/>
      <c r="AS63" s="115"/>
      <c r="AT63" s="115"/>
      <c r="AU63" s="115"/>
      <c r="AV63" s="115"/>
      <c r="AW63" s="124"/>
      <c r="AX63" s="124"/>
      <c r="AY63" s="124"/>
      <c r="AZ63" s="115"/>
      <c r="BA63" s="115"/>
      <c r="BB63" s="126" t="str">
        <f t="shared" si="3"/>
        <v/>
      </c>
      <c r="BC63" s="115" t="str">
        <f t="shared" si="4"/>
        <v>INDENIZAÇÃO</v>
      </c>
      <c r="BD63" s="115" t="str">
        <f t="shared" si="5"/>
        <v>NÃO</v>
      </c>
      <c r="BE63" s="115"/>
      <c r="BF63" s="115"/>
      <c r="BG63" s="115"/>
      <c r="BH63" s="115"/>
      <c r="BI63" s="115"/>
      <c r="BJ63" s="115"/>
      <c r="BK63" s="115"/>
      <c r="BL63" s="115"/>
    </row>
    <row r="64" spans="1:64" ht="30" customHeight="1" x14ac:dyDescent="0.25">
      <c r="A64" s="115">
        <v>51</v>
      </c>
      <c r="B64" s="115" t="s">
        <v>97</v>
      </c>
      <c r="C64" s="115"/>
      <c r="D64" s="116"/>
      <c r="E64" s="115"/>
      <c r="F64" s="117"/>
      <c r="G64" s="115"/>
      <c r="H64" s="115"/>
      <c r="I64" s="115"/>
      <c r="J64" s="117"/>
      <c r="K64" s="117"/>
      <c r="L64" s="117"/>
      <c r="M64" s="115"/>
      <c r="N64" s="115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15"/>
      <c r="AB64" s="117"/>
      <c r="AC64" s="117"/>
      <c r="AD64" s="117"/>
      <c r="AE64" s="115"/>
      <c r="AF64" s="125"/>
      <c r="AG64" s="125"/>
      <c r="AH64" s="115"/>
      <c r="AI64" s="115"/>
      <c r="AJ64" s="115"/>
      <c r="AK64" s="115"/>
      <c r="AL64" s="115"/>
      <c r="AM64" s="115"/>
      <c r="AN64" s="115"/>
      <c r="AO64" s="117"/>
      <c r="AP64" s="115"/>
      <c r="AQ64" s="115"/>
      <c r="AR64" s="115"/>
      <c r="AS64" s="115"/>
      <c r="AT64" s="115"/>
      <c r="AU64" s="115"/>
      <c r="AV64" s="115"/>
      <c r="AW64" s="124"/>
      <c r="AX64" s="124"/>
      <c r="AY64" s="124"/>
      <c r="AZ64" s="115"/>
      <c r="BA64" s="115"/>
      <c r="BB64" s="126" t="str">
        <f t="shared" si="3"/>
        <v/>
      </c>
      <c r="BC64" s="115" t="str">
        <f t="shared" si="4"/>
        <v>INDENIZAÇÃO</v>
      </c>
      <c r="BD64" s="115" t="str">
        <f t="shared" si="5"/>
        <v>NÃO</v>
      </c>
      <c r="BE64" s="115"/>
      <c r="BF64" s="115"/>
      <c r="BG64" s="115"/>
      <c r="BH64" s="115"/>
      <c r="BI64" s="115"/>
      <c r="BJ64" s="115"/>
      <c r="BK64" s="115"/>
      <c r="BL64" s="115"/>
    </row>
    <row r="65" spans="1:64" ht="30" customHeight="1" x14ac:dyDescent="0.25">
      <c r="A65" s="115">
        <v>52</v>
      </c>
      <c r="B65" s="115" t="s">
        <v>97</v>
      </c>
      <c r="C65" s="115"/>
      <c r="D65" s="116"/>
      <c r="E65" s="115"/>
      <c r="F65" s="117"/>
      <c r="G65" s="115"/>
      <c r="H65" s="115"/>
      <c r="I65" s="115"/>
      <c r="J65" s="117"/>
      <c r="K65" s="117"/>
      <c r="L65" s="117"/>
      <c r="M65" s="115"/>
      <c r="N65" s="115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15"/>
      <c r="AB65" s="117"/>
      <c r="AC65" s="117"/>
      <c r="AD65" s="117"/>
      <c r="AE65" s="115"/>
      <c r="AF65" s="125"/>
      <c r="AG65" s="125"/>
      <c r="AH65" s="115"/>
      <c r="AI65" s="115"/>
      <c r="AJ65" s="115"/>
      <c r="AK65" s="115"/>
      <c r="AL65" s="115"/>
      <c r="AM65" s="115"/>
      <c r="AN65" s="115"/>
      <c r="AO65" s="117"/>
      <c r="AP65" s="115"/>
      <c r="AQ65" s="115"/>
      <c r="AR65" s="115"/>
      <c r="AS65" s="115"/>
      <c r="AT65" s="115"/>
      <c r="AU65" s="115"/>
      <c r="AV65" s="115"/>
      <c r="AW65" s="124"/>
      <c r="AX65" s="124"/>
      <c r="AY65" s="124"/>
      <c r="AZ65" s="115"/>
      <c r="BA65" s="115"/>
      <c r="BB65" s="126" t="str">
        <f t="shared" si="3"/>
        <v/>
      </c>
      <c r="BC65" s="115" t="str">
        <f t="shared" si="4"/>
        <v>INDENIZAÇÃO</v>
      </c>
      <c r="BD65" s="115" t="str">
        <f t="shared" si="5"/>
        <v>NÃO</v>
      </c>
      <c r="BE65" s="115"/>
      <c r="BF65" s="115"/>
      <c r="BG65" s="115"/>
      <c r="BH65" s="115"/>
      <c r="BI65" s="115"/>
      <c r="BJ65" s="115"/>
      <c r="BK65" s="115"/>
      <c r="BL65" s="115"/>
    </row>
    <row r="66" spans="1:64" ht="30" customHeight="1" x14ac:dyDescent="0.25">
      <c r="A66" s="115">
        <v>53</v>
      </c>
      <c r="B66" s="115" t="s">
        <v>97</v>
      </c>
      <c r="C66" s="115"/>
      <c r="D66" s="116"/>
      <c r="E66" s="115"/>
      <c r="F66" s="117"/>
      <c r="G66" s="115"/>
      <c r="H66" s="115"/>
      <c r="I66" s="115"/>
      <c r="J66" s="117"/>
      <c r="K66" s="117"/>
      <c r="L66" s="117"/>
      <c r="M66" s="115"/>
      <c r="N66" s="115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15"/>
      <c r="AB66" s="117"/>
      <c r="AC66" s="117"/>
      <c r="AD66" s="117"/>
      <c r="AE66" s="115"/>
      <c r="AF66" s="125"/>
      <c r="AG66" s="125"/>
      <c r="AH66" s="115"/>
      <c r="AI66" s="115"/>
      <c r="AJ66" s="115"/>
      <c r="AK66" s="115"/>
      <c r="AL66" s="115"/>
      <c r="AM66" s="115"/>
      <c r="AN66" s="115"/>
      <c r="AO66" s="117"/>
      <c r="AP66" s="115"/>
      <c r="AQ66" s="115"/>
      <c r="AR66" s="115"/>
      <c r="AS66" s="115"/>
      <c r="AT66" s="115"/>
      <c r="AU66" s="115"/>
      <c r="AV66" s="115"/>
      <c r="AW66" s="124"/>
      <c r="AX66" s="124"/>
      <c r="AY66" s="124"/>
      <c r="AZ66" s="115"/>
      <c r="BA66" s="115"/>
      <c r="BB66" s="126" t="str">
        <f t="shared" si="3"/>
        <v/>
      </c>
      <c r="BC66" s="115" t="str">
        <f t="shared" si="4"/>
        <v>INDENIZAÇÃO</v>
      </c>
      <c r="BD66" s="115" t="str">
        <f t="shared" si="5"/>
        <v>NÃO</v>
      </c>
      <c r="BE66" s="115"/>
      <c r="BF66" s="115"/>
      <c r="BG66" s="115"/>
      <c r="BH66" s="115"/>
      <c r="BI66" s="115"/>
      <c r="BJ66" s="115"/>
      <c r="BK66" s="115"/>
      <c r="BL66" s="115"/>
    </row>
    <row r="67" spans="1:64" ht="30" customHeight="1" x14ac:dyDescent="0.25">
      <c r="A67" s="115">
        <v>54</v>
      </c>
      <c r="B67" s="115" t="s">
        <v>97</v>
      </c>
      <c r="C67" s="115"/>
      <c r="D67" s="116"/>
      <c r="E67" s="115"/>
      <c r="F67" s="117"/>
      <c r="G67" s="115"/>
      <c r="H67" s="115"/>
      <c r="I67" s="115"/>
      <c r="J67" s="117"/>
      <c r="K67" s="117"/>
      <c r="L67" s="117"/>
      <c r="M67" s="115"/>
      <c r="N67" s="115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15"/>
      <c r="AB67" s="117"/>
      <c r="AC67" s="117"/>
      <c r="AD67" s="117"/>
      <c r="AE67" s="115"/>
      <c r="AF67" s="125"/>
      <c r="AG67" s="125"/>
      <c r="AH67" s="115"/>
      <c r="AI67" s="115"/>
      <c r="AJ67" s="115"/>
      <c r="AK67" s="115"/>
      <c r="AL67" s="115"/>
      <c r="AM67" s="115"/>
      <c r="AN67" s="115"/>
      <c r="AO67" s="117"/>
      <c r="AP67" s="115"/>
      <c r="AQ67" s="115"/>
      <c r="AR67" s="115"/>
      <c r="AS67" s="115"/>
      <c r="AT67" s="115"/>
      <c r="AU67" s="115"/>
      <c r="AV67" s="115"/>
      <c r="AW67" s="124"/>
      <c r="AX67" s="124"/>
      <c r="AY67" s="124"/>
      <c r="AZ67" s="115"/>
      <c r="BA67" s="115"/>
      <c r="BB67" s="126" t="str">
        <f t="shared" si="3"/>
        <v/>
      </c>
      <c r="BC67" s="115" t="str">
        <f t="shared" si="4"/>
        <v>INDENIZAÇÃO</v>
      </c>
      <c r="BD67" s="115" t="str">
        <f t="shared" si="5"/>
        <v>NÃO</v>
      </c>
      <c r="BE67" s="115"/>
      <c r="BF67" s="115"/>
      <c r="BG67" s="115"/>
      <c r="BH67" s="115"/>
      <c r="BI67" s="115"/>
      <c r="BJ67" s="115"/>
      <c r="BK67" s="115"/>
      <c r="BL67" s="115"/>
    </row>
    <row r="68" spans="1:64" ht="30" customHeight="1" x14ac:dyDescent="0.25">
      <c r="A68" s="115">
        <v>55</v>
      </c>
      <c r="B68" s="115" t="s">
        <v>97</v>
      </c>
      <c r="C68" s="115"/>
      <c r="D68" s="116"/>
      <c r="E68" s="115"/>
      <c r="F68" s="117"/>
      <c r="G68" s="115"/>
      <c r="H68" s="115"/>
      <c r="I68" s="115"/>
      <c r="J68" s="117"/>
      <c r="K68" s="117"/>
      <c r="L68" s="117"/>
      <c r="M68" s="115"/>
      <c r="N68" s="115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15"/>
      <c r="AB68" s="117"/>
      <c r="AC68" s="117"/>
      <c r="AD68" s="117"/>
      <c r="AE68" s="115"/>
      <c r="AF68" s="125"/>
      <c r="AG68" s="125"/>
      <c r="AH68" s="115"/>
      <c r="AI68" s="115"/>
      <c r="AJ68" s="115"/>
      <c r="AK68" s="115"/>
      <c r="AL68" s="115"/>
      <c r="AM68" s="115"/>
      <c r="AN68" s="115"/>
      <c r="AO68" s="117"/>
      <c r="AP68" s="115"/>
      <c r="AQ68" s="115"/>
      <c r="AR68" s="115"/>
      <c r="AS68" s="115"/>
      <c r="AT68" s="115"/>
      <c r="AU68" s="115"/>
      <c r="AV68" s="115"/>
      <c r="AW68" s="124"/>
      <c r="AX68" s="124"/>
      <c r="AY68" s="124"/>
      <c r="AZ68" s="115"/>
      <c r="BA68" s="115"/>
      <c r="BB68" s="126" t="str">
        <f t="shared" si="3"/>
        <v/>
      </c>
      <c r="BC68" s="115" t="str">
        <f t="shared" si="4"/>
        <v>INDENIZAÇÃO</v>
      </c>
      <c r="BD68" s="115" t="str">
        <f t="shared" si="5"/>
        <v>NÃO</v>
      </c>
      <c r="BE68" s="115"/>
      <c r="BF68" s="115"/>
      <c r="BG68" s="115"/>
      <c r="BH68" s="115"/>
      <c r="BI68" s="115"/>
      <c r="BJ68" s="115"/>
      <c r="BK68" s="115"/>
      <c r="BL68" s="115"/>
    </row>
    <row r="69" spans="1:64" ht="30" customHeight="1" x14ac:dyDescent="0.25">
      <c r="A69" s="115">
        <v>56</v>
      </c>
      <c r="B69" s="115" t="s">
        <v>97</v>
      </c>
      <c r="C69" s="115"/>
      <c r="D69" s="116"/>
      <c r="E69" s="115"/>
      <c r="F69" s="117"/>
      <c r="G69" s="115"/>
      <c r="H69" s="115"/>
      <c r="I69" s="115"/>
      <c r="J69" s="117"/>
      <c r="K69" s="117"/>
      <c r="L69" s="117"/>
      <c r="M69" s="115"/>
      <c r="N69" s="115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15"/>
      <c r="AB69" s="117"/>
      <c r="AC69" s="117"/>
      <c r="AD69" s="117"/>
      <c r="AE69" s="115"/>
      <c r="AF69" s="125"/>
      <c r="AG69" s="125"/>
      <c r="AH69" s="115"/>
      <c r="AI69" s="115"/>
      <c r="AJ69" s="115"/>
      <c r="AK69" s="115"/>
      <c r="AL69" s="115"/>
      <c r="AM69" s="115"/>
      <c r="AN69" s="115"/>
      <c r="AO69" s="117"/>
      <c r="AP69" s="115"/>
      <c r="AQ69" s="115"/>
      <c r="AR69" s="115"/>
      <c r="AS69" s="115"/>
      <c r="AT69" s="115"/>
      <c r="AU69" s="115"/>
      <c r="AV69" s="115"/>
      <c r="AW69" s="124"/>
      <c r="AX69" s="124"/>
      <c r="AY69" s="124"/>
      <c r="AZ69" s="115"/>
      <c r="BA69" s="115"/>
      <c r="BB69" s="126" t="str">
        <f t="shared" si="3"/>
        <v/>
      </c>
      <c r="BC69" s="115" t="str">
        <f t="shared" si="4"/>
        <v>INDENIZAÇÃO</v>
      </c>
      <c r="BD69" s="115" t="str">
        <f t="shared" si="5"/>
        <v>NÃO</v>
      </c>
      <c r="BE69" s="115"/>
      <c r="BF69" s="115"/>
      <c r="BG69" s="115"/>
      <c r="BH69" s="115"/>
      <c r="BI69" s="115"/>
      <c r="BJ69" s="115"/>
      <c r="BK69" s="115"/>
      <c r="BL69" s="115"/>
    </row>
    <row r="70" spans="1:64" s="118" customFormat="1" ht="30" customHeight="1" x14ac:dyDescent="0.25">
      <c r="A70" s="115">
        <v>57</v>
      </c>
      <c r="B70" s="115" t="s">
        <v>97</v>
      </c>
      <c r="C70" s="115"/>
      <c r="D70" s="116"/>
      <c r="E70" s="115"/>
      <c r="F70" s="117"/>
      <c r="G70" s="115"/>
      <c r="H70" s="115"/>
      <c r="I70" s="115"/>
      <c r="J70" s="117"/>
      <c r="K70" s="117"/>
      <c r="L70" s="117"/>
      <c r="M70" s="115"/>
      <c r="N70" s="115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15"/>
      <c r="AB70" s="117"/>
      <c r="AC70" s="117"/>
      <c r="AD70" s="117"/>
      <c r="AE70" s="115"/>
      <c r="AF70" s="125"/>
      <c r="AG70" s="125"/>
      <c r="AH70" s="115"/>
      <c r="AI70" s="115"/>
      <c r="AJ70" s="115"/>
      <c r="AK70" s="115"/>
      <c r="AL70" s="115"/>
      <c r="AM70" s="115"/>
      <c r="AN70" s="115"/>
      <c r="AO70" s="117"/>
      <c r="AP70" s="115"/>
      <c r="AQ70" s="115"/>
      <c r="AR70" s="115"/>
      <c r="AS70" s="115"/>
      <c r="AT70" s="115"/>
      <c r="AU70" s="115"/>
      <c r="AV70" s="115"/>
      <c r="AW70" s="124"/>
      <c r="AX70" s="124"/>
      <c r="AY70" s="124"/>
      <c r="AZ70" s="115"/>
      <c r="BA70" s="115"/>
      <c r="BB70" s="126" t="str">
        <f t="shared" si="3"/>
        <v/>
      </c>
      <c r="BC70" s="115" t="str">
        <f t="shared" si="4"/>
        <v>INDENIZAÇÃO</v>
      </c>
      <c r="BD70" s="115" t="str">
        <f t="shared" si="5"/>
        <v>NÃO</v>
      </c>
      <c r="BE70" s="115"/>
      <c r="BF70" s="115"/>
      <c r="BG70" s="115"/>
      <c r="BH70" s="115"/>
      <c r="BI70" s="115"/>
      <c r="BJ70" s="115"/>
      <c r="BK70" s="115"/>
      <c r="BL70" s="115"/>
    </row>
    <row r="71" spans="1:64" s="119" customFormat="1" ht="30" customHeight="1" x14ac:dyDescent="0.25">
      <c r="A71" s="115">
        <v>58</v>
      </c>
      <c r="B71" s="115" t="s">
        <v>97</v>
      </c>
      <c r="C71" s="115"/>
      <c r="D71" s="116"/>
      <c r="E71" s="115"/>
      <c r="F71" s="117"/>
      <c r="G71" s="115"/>
      <c r="H71" s="115"/>
      <c r="I71" s="115"/>
      <c r="J71" s="117"/>
      <c r="K71" s="117"/>
      <c r="L71" s="117"/>
      <c r="M71" s="115"/>
      <c r="N71" s="115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15"/>
      <c r="AB71" s="117"/>
      <c r="AC71" s="117"/>
      <c r="AD71" s="117"/>
      <c r="AE71" s="115"/>
      <c r="AF71" s="125"/>
      <c r="AG71" s="125"/>
      <c r="AH71" s="115"/>
      <c r="AI71" s="115"/>
      <c r="AJ71" s="115"/>
      <c r="AK71" s="115"/>
      <c r="AL71" s="115"/>
      <c r="AM71" s="115"/>
      <c r="AN71" s="115"/>
      <c r="AO71" s="117"/>
      <c r="AP71" s="115"/>
      <c r="AQ71" s="115"/>
      <c r="AR71" s="115"/>
      <c r="AS71" s="115"/>
      <c r="AT71" s="115"/>
      <c r="AU71" s="115"/>
      <c r="AV71" s="115"/>
      <c r="AW71" s="124"/>
      <c r="AX71" s="124"/>
      <c r="AY71" s="124"/>
      <c r="AZ71" s="115"/>
      <c r="BA71" s="115"/>
      <c r="BB71" s="126" t="str">
        <f t="shared" si="3"/>
        <v/>
      </c>
      <c r="BC71" s="115" t="str">
        <f t="shared" si="4"/>
        <v>INDENIZAÇÃO</v>
      </c>
      <c r="BD71" s="115" t="str">
        <f t="shared" si="5"/>
        <v>NÃO</v>
      </c>
      <c r="BE71" s="115"/>
      <c r="BF71" s="115"/>
      <c r="BG71" s="115"/>
      <c r="BH71" s="115"/>
      <c r="BI71" s="115"/>
      <c r="BJ71" s="115"/>
      <c r="BK71" s="115"/>
      <c r="BL71" s="115"/>
    </row>
    <row r="72" spans="1:64" ht="30" customHeight="1" x14ac:dyDescent="0.25">
      <c r="A72" s="115">
        <v>59</v>
      </c>
      <c r="B72" s="115" t="s">
        <v>97</v>
      </c>
      <c r="C72" s="115"/>
      <c r="D72" s="116"/>
      <c r="E72" s="115"/>
      <c r="F72" s="117"/>
      <c r="G72" s="115"/>
      <c r="H72" s="115"/>
      <c r="I72" s="115"/>
      <c r="J72" s="117"/>
      <c r="K72" s="117"/>
      <c r="L72" s="117"/>
      <c r="M72" s="115"/>
      <c r="N72" s="115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15"/>
      <c r="AB72" s="117"/>
      <c r="AC72" s="117"/>
      <c r="AD72" s="117"/>
      <c r="AE72" s="115"/>
      <c r="AF72" s="125"/>
      <c r="AG72" s="125"/>
      <c r="AH72" s="115"/>
      <c r="AI72" s="115"/>
      <c r="AJ72" s="115"/>
      <c r="AK72" s="115"/>
      <c r="AL72" s="115"/>
      <c r="AM72" s="115"/>
      <c r="AN72" s="115"/>
      <c r="AO72" s="117"/>
      <c r="AP72" s="115"/>
      <c r="AQ72" s="115"/>
      <c r="AR72" s="115"/>
      <c r="AS72" s="115"/>
      <c r="AT72" s="115"/>
      <c r="AU72" s="115"/>
      <c r="AV72" s="115"/>
      <c r="AW72" s="124"/>
      <c r="AX72" s="124"/>
      <c r="AY72" s="124"/>
      <c r="AZ72" s="115"/>
      <c r="BA72" s="115"/>
      <c r="BB72" s="126" t="str">
        <f t="shared" si="3"/>
        <v/>
      </c>
      <c r="BC72" s="115" t="str">
        <f t="shared" si="4"/>
        <v>INDENIZAÇÃO</v>
      </c>
      <c r="BD72" s="115" t="str">
        <f t="shared" si="5"/>
        <v>NÃO</v>
      </c>
      <c r="BE72" s="115"/>
      <c r="BF72" s="115"/>
      <c r="BG72" s="115"/>
      <c r="BH72" s="115"/>
      <c r="BI72" s="115"/>
      <c r="BJ72" s="115"/>
      <c r="BK72" s="115"/>
      <c r="BL72" s="115"/>
    </row>
    <row r="73" spans="1:64" ht="30" customHeight="1" x14ac:dyDescent="0.25">
      <c r="A73" s="115">
        <v>60</v>
      </c>
      <c r="B73" s="115" t="s">
        <v>97</v>
      </c>
      <c r="C73" s="115"/>
      <c r="D73" s="116"/>
      <c r="E73" s="115"/>
      <c r="F73" s="117"/>
      <c r="G73" s="115"/>
      <c r="H73" s="115"/>
      <c r="I73" s="115"/>
      <c r="J73" s="117"/>
      <c r="K73" s="117"/>
      <c r="L73" s="117"/>
      <c r="M73" s="115"/>
      <c r="N73" s="115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15"/>
      <c r="AB73" s="117"/>
      <c r="AC73" s="117"/>
      <c r="AD73" s="117"/>
      <c r="AE73" s="115"/>
      <c r="AF73" s="125"/>
      <c r="AG73" s="125"/>
      <c r="AH73" s="115"/>
      <c r="AI73" s="115"/>
      <c r="AJ73" s="115"/>
      <c r="AK73" s="115"/>
      <c r="AL73" s="115"/>
      <c r="AM73" s="115"/>
      <c r="AN73" s="115"/>
      <c r="AO73" s="117"/>
      <c r="AP73" s="115"/>
      <c r="AQ73" s="115"/>
      <c r="AR73" s="115"/>
      <c r="AS73" s="115"/>
      <c r="AT73" s="115"/>
      <c r="AU73" s="115"/>
      <c r="AV73" s="115"/>
      <c r="AW73" s="124"/>
      <c r="AX73" s="124"/>
      <c r="AY73" s="124"/>
      <c r="AZ73" s="115"/>
      <c r="BA73" s="115"/>
      <c r="BB73" s="126" t="str">
        <f t="shared" si="3"/>
        <v/>
      </c>
      <c r="BC73" s="115" t="str">
        <f t="shared" si="4"/>
        <v>INDENIZAÇÃO</v>
      </c>
      <c r="BD73" s="115" t="str">
        <f t="shared" si="5"/>
        <v>NÃO</v>
      </c>
      <c r="BE73" s="115"/>
      <c r="BF73" s="115"/>
      <c r="BG73" s="115"/>
      <c r="BH73" s="115"/>
      <c r="BI73" s="115"/>
      <c r="BJ73" s="115"/>
      <c r="BK73" s="115"/>
      <c r="BL73" s="115"/>
    </row>
    <row r="74" spans="1:64" ht="30" customHeight="1" x14ac:dyDescent="0.25">
      <c r="A74" s="115">
        <v>61</v>
      </c>
      <c r="B74" s="115" t="s">
        <v>97</v>
      </c>
      <c r="C74" s="115"/>
      <c r="D74" s="116"/>
      <c r="E74" s="115"/>
      <c r="F74" s="117"/>
      <c r="G74" s="115"/>
      <c r="H74" s="115"/>
      <c r="I74" s="115"/>
      <c r="J74" s="117"/>
      <c r="K74" s="117"/>
      <c r="L74" s="117"/>
      <c r="M74" s="115"/>
      <c r="N74" s="115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15"/>
      <c r="AB74" s="117"/>
      <c r="AC74" s="117"/>
      <c r="AD74" s="117"/>
      <c r="AE74" s="115"/>
      <c r="AF74" s="125"/>
      <c r="AG74" s="125"/>
      <c r="AH74" s="115"/>
      <c r="AI74" s="115"/>
      <c r="AJ74" s="115"/>
      <c r="AK74" s="115"/>
      <c r="AL74" s="115"/>
      <c r="AM74" s="115"/>
      <c r="AN74" s="115"/>
      <c r="AO74" s="117"/>
      <c r="AP74" s="115"/>
      <c r="AQ74" s="115"/>
      <c r="AR74" s="115"/>
      <c r="AS74" s="115"/>
      <c r="AT74" s="115"/>
      <c r="AU74" s="115"/>
      <c r="AV74" s="115"/>
      <c r="AW74" s="124"/>
      <c r="AX74" s="124"/>
      <c r="AY74" s="124"/>
      <c r="AZ74" s="115"/>
      <c r="BA74" s="115"/>
      <c r="BB74" s="126" t="str">
        <f t="shared" si="3"/>
        <v/>
      </c>
      <c r="BC74" s="115" t="str">
        <f t="shared" si="4"/>
        <v>INDENIZAÇÃO</v>
      </c>
      <c r="BD74" s="115" t="str">
        <f t="shared" si="5"/>
        <v>NÃO</v>
      </c>
      <c r="BE74" s="115"/>
      <c r="BF74" s="115"/>
      <c r="BG74" s="115"/>
      <c r="BH74" s="115"/>
      <c r="BI74" s="115"/>
      <c r="BJ74" s="115"/>
      <c r="BK74" s="115"/>
      <c r="BL74" s="115"/>
    </row>
    <row r="75" spans="1:64" ht="30" customHeight="1" x14ac:dyDescent="0.25">
      <c r="A75" s="115">
        <v>62</v>
      </c>
      <c r="B75" s="115" t="s">
        <v>97</v>
      </c>
      <c r="C75" s="115"/>
      <c r="D75" s="116"/>
      <c r="E75" s="115"/>
      <c r="F75" s="117"/>
      <c r="G75" s="115"/>
      <c r="H75" s="115"/>
      <c r="I75" s="115"/>
      <c r="J75" s="117"/>
      <c r="K75" s="117"/>
      <c r="L75" s="117"/>
      <c r="M75" s="115"/>
      <c r="N75" s="115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15"/>
      <c r="AB75" s="117"/>
      <c r="AC75" s="117"/>
      <c r="AD75" s="117"/>
      <c r="AE75" s="115"/>
      <c r="AF75" s="125"/>
      <c r="AG75" s="125"/>
      <c r="AH75" s="115"/>
      <c r="AI75" s="115"/>
      <c r="AJ75" s="115"/>
      <c r="AK75" s="115"/>
      <c r="AL75" s="115"/>
      <c r="AM75" s="115"/>
      <c r="AN75" s="115"/>
      <c r="AO75" s="117"/>
      <c r="AP75" s="115"/>
      <c r="AQ75" s="115"/>
      <c r="AR75" s="115"/>
      <c r="AS75" s="115"/>
      <c r="AT75" s="115"/>
      <c r="AU75" s="115"/>
      <c r="AV75" s="115"/>
      <c r="AW75" s="124"/>
      <c r="AX75" s="124"/>
      <c r="AY75" s="124"/>
      <c r="AZ75" s="115"/>
      <c r="BA75" s="115"/>
      <c r="BB75" s="126" t="str">
        <f t="shared" si="3"/>
        <v/>
      </c>
      <c r="BC75" s="115" t="str">
        <f t="shared" si="4"/>
        <v>INDENIZAÇÃO</v>
      </c>
      <c r="BD75" s="115" t="str">
        <f t="shared" si="5"/>
        <v>NÃO</v>
      </c>
      <c r="BE75" s="115"/>
      <c r="BF75" s="115"/>
      <c r="BG75" s="115"/>
      <c r="BH75" s="115"/>
      <c r="BI75" s="115"/>
      <c r="BJ75" s="115"/>
      <c r="BK75" s="115"/>
      <c r="BL75" s="115"/>
    </row>
    <row r="76" spans="1:64" ht="30" customHeight="1" x14ac:dyDescent="0.25">
      <c r="A76" s="115">
        <v>63</v>
      </c>
      <c r="B76" s="115" t="s">
        <v>97</v>
      </c>
      <c r="C76" s="115"/>
      <c r="D76" s="116"/>
      <c r="E76" s="115"/>
      <c r="F76" s="117"/>
      <c r="G76" s="115"/>
      <c r="H76" s="115"/>
      <c r="I76" s="115"/>
      <c r="J76" s="117"/>
      <c r="K76" s="117"/>
      <c r="L76" s="117"/>
      <c r="M76" s="115"/>
      <c r="N76" s="115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15"/>
      <c r="AB76" s="117"/>
      <c r="AC76" s="117"/>
      <c r="AD76" s="117"/>
      <c r="AE76" s="115"/>
      <c r="AF76" s="125"/>
      <c r="AG76" s="125"/>
      <c r="AH76" s="115"/>
      <c r="AI76" s="115"/>
      <c r="AJ76" s="115"/>
      <c r="AK76" s="115"/>
      <c r="AL76" s="115"/>
      <c r="AM76" s="115"/>
      <c r="AN76" s="115"/>
      <c r="AO76" s="117"/>
      <c r="AP76" s="115"/>
      <c r="AQ76" s="115"/>
      <c r="AR76" s="115"/>
      <c r="AS76" s="115"/>
      <c r="AT76" s="115"/>
      <c r="AU76" s="115"/>
      <c r="AV76" s="115"/>
      <c r="AW76" s="124"/>
      <c r="AX76" s="124"/>
      <c r="AY76" s="124"/>
      <c r="AZ76" s="115"/>
      <c r="BA76" s="115"/>
      <c r="BB76" s="126" t="str">
        <f t="shared" si="3"/>
        <v/>
      </c>
      <c r="BC76" s="115" t="str">
        <f t="shared" si="4"/>
        <v>INDENIZAÇÃO</v>
      </c>
      <c r="BD76" s="115" t="str">
        <f t="shared" si="5"/>
        <v>NÃO</v>
      </c>
      <c r="BE76" s="115"/>
      <c r="BF76" s="115"/>
      <c r="BG76" s="115"/>
      <c r="BH76" s="115"/>
      <c r="BI76" s="115"/>
      <c r="BJ76" s="115"/>
      <c r="BK76" s="115"/>
      <c r="BL76" s="115"/>
    </row>
    <row r="77" spans="1:64" ht="30" customHeight="1" x14ac:dyDescent="0.25">
      <c r="A77" s="115">
        <v>64</v>
      </c>
      <c r="B77" s="115" t="s">
        <v>97</v>
      </c>
      <c r="C77" s="115"/>
      <c r="D77" s="116"/>
      <c r="E77" s="115"/>
      <c r="F77" s="117"/>
      <c r="G77" s="115"/>
      <c r="H77" s="115"/>
      <c r="I77" s="115"/>
      <c r="J77" s="117"/>
      <c r="K77" s="117"/>
      <c r="L77" s="117"/>
      <c r="M77" s="115"/>
      <c r="N77" s="115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15"/>
      <c r="AB77" s="117"/>
      <c r="AC77" s="117"/>
      <c r="AD77" s="117"/>
      <c r="AE77" s="115"/>
      <c r="AF77" s="125"/>
      <c r="AG77" s="125"/>
      <c r="AH77" s="115"/>
      <c r="AI77" s="115"/>
      <c r="AJ77" s="115"/>
      <c r="AK77" s="115"/>
      <c r="AL77" s="115"/>
      <c r="AM77" s="115"/>
      <c r="AN77" s="115"/>
      <c r="AO77" s="117"/>
      <c r="AP77" s="115"/>
      <c r="AQ77" s="115"/>
      <c r="AR77" s="115"/>
      <c r="AS77" s="115"/>
      <c r="AT77" s="115"/>
      <c r="AU77" s="115"/>
      <c r="AV77" s="115"/>
      <c r="AW77" s="124"/>
      <c r="AX77" s="124"/>
      <c r="AY77" s="124"/>
      <c r="AZ77" s="115"/>
      <c r="BA77" s="115"/>
      <c r="BB77" s="126" t="str">
        <f t="shared" si="3"/>
        <v/>
      </c>
      <c r="BC77" s="115" t="str">
        <f t="shared" si="4"/>
        <v>INDENIZAÇÃO</v>
      </c>
      <c r="BD77" s="115" t="str">
        <f t="shared" si="5"/>
        <v>NÃO</v>
      </c>
      <c r="BE77" s="115"/>
      <c r="BF77" s="115"/>
      <c r="BG77" s="115"/>
      <c r="BH77" s="115"/>
      <c r="BI77" s="115"/>
      <c r="BJ77" s="115"/>
      <c r="BK77" s="115"/>
      <c r="BL77" s="115"/>
    </row>
    <row r="78" spans="1:64" ht="30" customHeight="1" x14ac:dyDescent="0.25">
      <c r="A78" s="115">
        <v>65</v>
      </c>
      <c r="B78" s="115" t="s">
        <v>97</v>
      </c>
      <c r="C78" s="115"/>
      <c r="D78" s="116"/>
      <c r="E78" s="115"/>
      <c r="F78" s="117"/>
      <c r="G78" s="115"/>
      <c r="H78" s="115"/>
      <c r="I78" s="115"/>
      <c r="J78" s="117"/>
      <c r="K78" s="117"/>
      <c r="L78" s="117"/>
      <c r="M78" s="115"/>
      <c r="N78" s="115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15"/>
      <c r="AB78" s="117"/>
      <c r="AC78" s="117"/>
      <c r="AD78" s="117"/>
      <c r="AE78" s="115"/>
      <c r="AF78" s="125"/>
      <c r="AG78" s="125"/>
      <c r="AH78" s="115"/>
      <c r="AI78" s="115"/>
      <c r="AJ78" s="115"/>
      <c r="AK78" s="115"/>
      <c r="AL78" s="115"/>
      <c r="AM78" s="115"/>
      <c r="AN78" s="115"/>
      <c r="AO78" s="117"/>
      <c r="AP78" s="115"/>
      <c r="AQ78" s="115"/>
      <c r="AR78" s="115"/>
      <c r="AS78" s="115"/>
      <c r="AT78" s="115"/>
      <c r="AU78" s="115"/>
      <c r="AV78" s="115"/>
      <c r="AW78" s="124"/>
      <c r="AX78" s="124"/>
      <c r="AY78" s="124"/>
      <c r="AZ78" s="115"/>
      <c r="BA78" s="115"/>
      <c r="BB78" s="126" t="str">
        <f t="shared" ref="BB78:BB109" si="6">IF(AX78-KE78=0,"",AX78-O78)</f>
        <v/>
      </c>
      <c r="BC78" s="115" t="str">
        <f t="shared" ref="BC78:BC109" si="7">IF(AND(AH78&lt;&gt;"SIM",AH78="UH"),"AA","INDENIZAÇÃO")</f>
        <v>INDENIZAÇÃO</v>
      </c>
      <c r="BD78" s="115" t="str">
        <f t="shared" ref="BD78:BD109" si="8">IF(AND(AX78&lt;&gt;"AGUARDANDO",AX78&lt;&gt;"",N78="AUXÍLIO ALUGUEL ATÉ INDENIZAÇÃO"),"SIM","NÃO")</f>
        <v>NÃO</v>
      </c>
      <c r="BE78" s="115"/>
      <c r="BF78" s="115"/>
      <c r="BG78" s="115"/>
      <c r="BH78" s="115"/>
      <c r="BI78" s="115"/>
      <c r="BJ78" s="115"/>
      <c r="BK78" s="115"/>
      <c r="BL78" s="115"/>
    </row>
    <row r="79" spans="1:64" ht="30" customHeight="1" x14ac:dyDescent="0.25">
      <c r="A79" s="115">
        <v>66</v>
      </c>
      <c r="B79" s="115" t="s">
        <v>97</v>
      </c>
      <c r="C79" s="115"/>
      <c r="D79" s="116"/>
      <c r="E79" s="115"/>
      <c r="F79" s="117"/>
      <c r="G79" s="115"/>
      <c r="H79" s="115"/>
      <c r="I79" s="115"/>
      <c r="J79" s="117"/>
      <c r="K79" s="117"/>
      <c r="L79" s="117"/>
      <c r="M79" s="115"/>
      <c r="N79" s="115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15"/>
      <c r="AB79" s="117"/>
      <c r="AC79" s="117"/>
      <c r="AD79" s="117"/>
      <c r="AE79" s="115"/>
      <c r="AF79" s="125"/>
      <c r="AG79" s="125"/>
      <c r="AH79" s="115"/>
      <c r="AI79" s="115"/>
      <c r="AJ79" s="115"/>
      <c r="AK79" s="115"/>
      <c r="AL79" s="115"/>
      <c r="AM79" s="115"/>
      <c r="AN79" s="115"/>
      <c r="AO79" s="117"/>
      <c r="AP79" s="115"/>
      <c r="AQ79" s="115"/>
      <c r="AR79" s="115"/>
      <c r="AS79" s="115"/>
      <c r="AT79" s="115"/>
      <c r="AU79" s="115"/>
      <c r="AV79" s="115"/>
      <c r="AW79" s="124"/>
      <c r="AX79" s="124"/>
      <c r="AY79" s="124"/>
      <c r="AZ79" s="115"/>
      <c r="BA79" s="115"/>
      <c r="BB79" s="126" t="str">
        <f t="shared" si="6"/>
        <v/>
      </c>
      <c r="BC79" s="115" t="str">
        <f t="shared" si="7"/>
        <v>INDENIZAÇÃO</v>
      </c>
      <c r="BD79" s="115" t="str">
        <f t="shared" si="8"/>
        <v>NÃO</v>
      </c>
      <c r="BE79" s="115"/>
      <c r="BF79" s="115"/>
      <c r="BG79" s="115"/>
      <c r="BH79" s="115"/>
      <c r="BI79" s="115"/>
      <c r="BJ79" s="115"/>
      <c r="BK79" s="115"/>
      <c r="BL79" s="115"/>
    </row>
    <row r="80" spans="1:64" ht="30" customHeight="1" x14ac:dyDescent="0.25">
      <c r="A80" s="115">
        <v>67</v>
      </c>
      <c r="B80" s="115" t="s">
        <v>97</v>
      </c>
      <c r="C80" s="115"/>
      <c r="D80" s="116"/>
      <c r="E80" s="115"/>
      <c r="F80" s="117"/>
      <c r="G80" s="115"/>
      <c r="H80" s="115"/>
      <c r="I80" s="115"/>
      <c r="J80" s="117"/>
      <c r="K80" s="117"/>
      <c r="L80" s="117"/>
      <c r="M80" s="115"/>
      <c r="N80" s="115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15"/>
      <c r="AB80" s="117"/>
      <c r="AC80" s="117"/>
      <c r="AD80" s="117"/>
      <c r="AE80" s="115"/>
      <c r="AF80" s="125"/>
      <c r="AG80" s="125"/>
      <c r="AH80" s="115"/>
      <c r="AI80" s="115"/>
      <c r="AJ80" s="115"/>
      <c r="AK80" s="115"/>
      <c r="AL80" s="115"/>
      <c r="AM80" s="115"/>
      <c r="AN80" s="115"/>
      <c r="AO80" s="117"/>
      <c r="AP80" s="115"/>
      <c r="AQ80" s="115"/>
      <c r="AR80" s="115"/>
      <c r="AS80" s="115"/>
      <c r="AT80" s="115"/>
      <c r="AU80" s="115"/>
      <c r="AV80" s="115"/>
      <c r="AW80" s="124"/>
      <c r="AX80" s="124"/>
      <c r="AY80" s="124"/>
      <c r="AZ80" s="115"/>
      <c r="BA80" s="115"/>
      <c r="BB80" s="126" t="str">
        <f t="shared" si="6"/>
        <v/>
      </c>
      <c r="BC80" s="115" t="str">
        <f t="shared" si="7"/>
        <v>INDENIZAÇÃO</v>
      </c>
      <c r="BD80" s="115" t="str">
        <f t="shared" si="8"/>
        <v>NÃO</v>
      </c>
      <c r="BE80" s="115"/>
      <c r="BF80" s="115"/>
      <c r="BG80" s="115"/>
      <c r="BH80" s="115"/>
      <c r="BI80" s="115"/>
      <c r="BJ80" s="115"/>
      <c r="BK80" s="115"/>
      <c r="BL80" s="115"/>
    </row>
    <row r="81" spans="1:64" ht="30" customHeight="1" x14ac:dyDescent="0.25">
      <c r="A81" s="115">
        <v>68</v>
      </c>
      <c r="B81" s="115" t="s">
        <v>97</v>
      </c>
      <c r="C81" s="115"/>
      <c r="D81" s="116"/>
      <c r="E81" s="115"/>
      <c r="F81" s="117"/>
      <c r="G81" s="115"/>
      <c r="H81" s="115"/>
      <c r="I81" s="115"/>
      <c r="J81" s="117"/>
      <c r="K81" s="117"/>
      <c r="L81" s="117"/>
      <c r="M81" s="115"/>
      <c r="N81" s="115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15"/>
      <c r="AB81" s="117"/>
      <c r="AC81" s="117"/>
      <c r="AD81" s="117"/>
      <c r="AE81" s="115"/>
      <c r="AF81" s="125"/>
      <c r="AG81" s="125"/>
      <c r="AH81" s="115"/>
      <c r="AI81" s="115"/>
      <c r="AJ81" s="115"/>
      <c r="AK81" s="115"/>
      <c r="AL81" s="115"/>
      <c r="AM81" s="115"/>
      <c r="AN81" s="115"/>
      <c r="AO81" s="117"/>
      <c r="AP81" s="115"/>
      <c r="AQ81" s="115"/>
      <c r="AR81" s="115"/>
      <c r="AS81" s="115"/>
      <c r="AT81" s="115"/>
      <c r="AU81" s="115"/>
      <c r="AV81" s="115"/>
      <c r="AW81" s="124"/>
      <c r="AX81" s="124"/>
      <c r="AY81" s="124"/>
      <c r="AZ81" s="115"/>
      <c r="BA81" s="115"/>
      <c r="BB81" s="126" t="str">
        <f t="shared" si="6"/>
        <v/>
      </c>
      <c r="BC81" s="115" t="str">
        <f t="shared" si="7"/>
        <v>INDENIZAÇÃO</v>
      </c>
      <c r="BD81" s="115" t="str">
        <f t="shared" si="8"/>
        <v>NÃO</v>
      </c>
      <c r="BE81" s="115"/>
      <c r="BF81" s="115"/>
      <c r="BG81" s="115"/>
      <c r="BH81" s="115"/>
      <c r="BI81" s="115"/>
      <c r="BJ81" s="115"/>
      <c r="BK81" s="115"/>
      <c r="BL81" s="115"/>
    </row>
    <row r="82" spans="1:64" ht="30" customHeight="1" x14ac:dyDescent="0.25">
      <c r="A82" s="115">
        <v>69</v>
      </c>
      <c r="B82" s="115" t="s">
        <v>97</v>
      </c>
      <c r="C82" s="115"/>
      <c r="D82" s="116"/>
      <c r="E82" s="115"/>
      <c r="F82" s="117"/>
      <c r="G82" s="115"/>
      <c r="H82" s="115"/>
      <c r="I82" s="115"/>
      <c r="J82" s="117"/>
      <c r="K82" s="117"/>
      <c r="L82" s="117"/>
      <c r="M82" s="115"/>
      <c r="N82" s="115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15"/>
      <c r="AB82" s="117"/>
      <c r="AC82" s="117"/>
      <c r="AD82" s="117"/>
      <c r="AE82" s="115"/>
      <c r="AF82" s="125"/>
      <c r="AG82" s="125"/>
      <c r="AH82" s="115"/>
      <c r="AI82" s="115"/>
      <c r="AJ82" s="115"/>
      <c r="AK82" s="115"/>
      <c r="AL82" s="115"/>
      <c r="AM82" s="115"/>
      <c r="AN82" s="115"/>
      <c r="AO82" s="117"/>
      <c r="AP82" s="115"/>
      <c r="AQ82" s="115"/>
      <c r="AR82" s="115"/>
      <c r="AS82" s="115"/>
      <c r="AT82" s="115"/>
      <c r="AU82" s="115"/>
      <c r="AV82" s="115"/>
      <c r="AW82" s="124"/>
      <c r="AX82" s="124"/>
      <c r="AY82" s="124"/>
      <c r="AZ82" s="115"/>
      <c r="BA82" s="115"/>
      <c r="BB82" s="126" t="str">
        <f t="shared" si="6"/>
        <v/>
      </c>
      <c r="BC82" s="115" t="str">
        <f t="shared" si="7"/>
        <v>INDENIZAÇÃO</v>
      </c>
      <c r="BD82" s="115" t="str">
        <f t="shared" si="8"/>
        <v>NÃO</v>
      </c>
      <c r="BE82" s="115"/>
      <c r="BF82" s="115"/>
      <c r="BG82" s="115"/>
      <c r="BH82" s="115"/>
      <c r="BI82" s="115"/>
      <c r="BJ82" s="115"/>
      <c r="BK82" s="115"/>
      <c r="BL82" s="115"/>
    </row>
    <row r="83" spans="1:64" ht="30" customHeight="1" x14ac:dyDescent="0.25">
      <c r="A83" s="115">
        <v>70</v>
      </c>
      <c r="B83" s="115" t="s">
        <v>97</v>
      </c>
      <c r="C83" s="115"/>
      <c r="D83" s="116"/>
      <c r="E83" s="115"/>
      <c r="F83" s="117"/>
      <c r="G83" s="115"/>
      <c r="H83" s="115"/>
      <c r="I83" s="115"/>
      <c r="J83" s="117"/>
      <c r="K83" s="117"/>
      <c r="L83" s="117"/>
      <c r="M83" s="115"/>
      <c r="N83" s="115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15"/>
      <c r="AB83" s="117"/>
      <c r="AC83" s="117"/>
      <c r="AD83" s="117"/>
      <c r="AE83" s="115"/>
      <c r="AF83" s="125"/>
      <c r="AG83" s="125"/>
      <c r="AH83" s="115"/>
      <c r="AI83" s="115"/>
      <c r="AJ83" s="115"/>
      <c r="AK83" s="115"/>
      <c r="AL83" s="115"/>
      <c r="AM83" s="115"/>
      <c r="AN83" s="115"/>
      <c r="AO83" s="117"/>
      <c r="AP83" s="115"/>
      <c r="AQ83" s="115"/>
      <c r="AR83" s="115"/>
      <c r="AS83" s="115"/>
      <c r="AT83" s="115"/>
      <c r="AU83" s="115"/>
      <c r="AV83" s="115"/>
      <c r="AW83" s="124"/>
      <c r="AX83" s="124"/>
      <c r="AY83" s="124"/>
      <c r="AZ83" s="115"/>
      <c r="BA83" s="115"/>
      <c r="BB83" s="126" t="str">
        <f t="shared" si="6"/>
        <v/>
      </c>
      <c r="BC83" s="115" t="str">
        <f t="shared" si="7"/>
        <v>INDENIZAÇÃO</v>
      </c>
      <c r="BD83" s="115" t="str">
        <f t="shared" si="8"/>
        <v>NÃO</v>
      </c>
      <c r="BE83" s="115"/>
      <c r="BF83" s="115"/>
      <c r="BG83" s="115"/>
      <c r="BH83" s="115"/>
      <c r="BI83" s="115"/>
      <c r="BJ83" s="115"/>
      <c r="BK83" s="115"/>
      <c r="BL83" s="115"/>
    </row>
    <row r="84" spans="1:64" ht="30" customHeight="1" x14ac:dyDescent="0.25">
      <c r="A84" s="115">
        <v>71</v>
      </c>
      <c r="B84" s="115" t="s">
        <v>97</v>
      </c>
      <c r="C84" s="115"/>
      <c r="D84" s="116"/>
      <c r="E84" s="115"/>
      <c r="F84" s="117"/>
      <c r="G84" s="115"/>
      <c r="H84" s="115"/>
      <c r="I84" s="115"/>
      <c r="J84" s="117"/>
      <c r="K84" s="117"/>
      <c r="L84" s="117"/>
      <c r="M84" s="115"/>
      <c r="N84" s="115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15"/>
      <c r="AB84" s="117"/>
      <c r="AC84" s="117"/>
      <c r="AD84" s="117"/>
      <c r="AE84" s="115"/>
      <c r="AF84" s="125"/>
      <c r="AG84" s="125"/>
      <c r="AH84" s="115"/>
      <c r="AI84" s="115"/>
      <c r="AJ84" s="115"/>
      <c r="AK84" s="115"/>
      <c r="AL84" s="115"/>
      <c r="AM84" s="115"/>
      <c r="AN84" s="115"/>
      <c r="AO84" s="117"/>
      <c r="AP84" s="115"/>
      <c r="AQ84" s="115"/>
      <c r="AR84" s="115"/>
      <c r="AS84" s="115"/>
      <c r="AT84" s="115"/>
      <c r="AU84" s="115"/>
      <c r="AV84" s="115"/>
      <c r="AW84" s="124"/>
      <c r="AX84" s="124"/>
      <c r="AY84" s="124"/>
      <c r="AZ84" s="115"/>
      <c r="BA84" s="115"/>
      <c r="BB84" s="126" t="str">
        <f t="shared" si="6"/>
        <v/>
      </c>
      <c r="BC84" s="115" t="str">
        <f t="shared" si="7"/>
        <v>INDENIZAÇÃO</v>
      </c>
      <c r="BD84" s="115" t="str">
        <f t="shared" si="8"/>
        <v>NÃO</v>
      </c>
      <c r="BE84" s="115"/>
      <c r="BF84" s="115"/>
      <c r="BG84" s="115"/>
      <c r="BH84" s="115"/>
      <c r="BI84" s="115"/>
      <c r="BJ84" s="115"/>
      <c r="BK84" s="115"/>
      <c r="BL84" s="115"/>
    </row>
    <row r="85" spans="1:64" ht="30" customHeight="1" x14ac:dyDescent="0.25">
      <c r="A85" s="115">
        <v>72</v>
      </c>
      <c r="B85" s="115" t="s">
        <v>97</v>
      </c>
      <c r="C85" s="115"/>
      <c r="D85" s="116"/>
      <c r="E85" s="115"/>
      <c r="F85" s="117"/>
      <c r="G85" s="115"/>
      <c r="H85" s="115"/>
      <c r="I85" s="115"/>
      <c r="J85" s="117"/>
      <c r="K85" s="117"/>
      <c r="L85" s="117"/>
      <c r="M85" s="115"/>
      <c r="N85" s="115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15"/>
      <c r="AB85" s="117"/>
      <c r="AC85" s="117"/>
      <c r="AD85" s="117"/>
      <c r="AE85" s="115"/>
      <c r="AF85" s="125"/>
      <c r="AG85" s="125"/>
      <c r="AH85" s="115"/>
      <c r="AI85" s="115"/>
      <c r="AJ85" s="115"/>
      <c r="AK85" s="115"/>
      <c r="AL85" s="115"/>
      <c r="AM85" s="115"/>
      <c r="AN85" s="115"/>
      <c r="AO85" s="117"/>
      <c r="AP85" s="115"/>
      <c r="AQ85" s="115"/>
      <c r="AR85" s="115"/>
      <c r="AS85" s="115"/>
      <c r="AT85" s="115"/>
      <c r="AU85" s="115"/>
      <c r="AV85" s="115"/>
      <c r="AW85" s="124"/>
      <c r="AX85" s="124"/>
      <c r="AY85" s="124"/>
      <c r="AZ85" s="115"/>
      <c r="BA85" s="115"/>
      <c r="BB85" s="126" t="str">
        <f t="shared" si="6"/>
        <v/>
      </c>
      <c r="BC85" s="115" t="str">
        <f t="shared" si="7"/>
        <v>INDENIZAÇÃO</v>
      </c>
      <c r="BD85" s="115" t="str">
        <f t="shared" si="8"/>
        <v>NÃO</v>
      </c>
      <c r="BE85" s="115"/>
      <c r="BF85" s="115"/>
      <c r="BG85" s="115"/>
      <c r="BH85" s="115"/>
      <c r="BI85" s="115"/>
      <c r="BJ85" s="115"/>
      <c r="BK85" s="115"/>
      <c r="BL85" s="115"/>
    </row>
    <row r="86" spans="1:64" ht="30" customHeight="1" x14ac:dyDescent="0.25">
      <c r="A86" s="115">
        <v>73</v>
      </c>
      <c r="B86" s="115" t="s">
        <v>97</v>
      </c>
      <c r="C86" s="115"/>
      <c r="D86" s="116"/>
      <c r="E86" s="115"/>
      <c r="F86" s="117"/>
      <c r="G86" s="115"/>
      <c r="H86" s="115"/>
      <c r="I86" s="115"/>
      <c r="J86" s="117"/>
      <c r="K86" s="117"/>
      <c r="L86" s="117"/>
      <c r="M86" s="115"/>
      <c r="N86" s="115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15"/>
      <c r="AB86" s="117"/>
      <c r="AC86" s="117"/>
      <c r="AD86" s="117"/>
      <c r="AE86" s="115"/>
      <c r="AF86" s="125"/>
      <c r="AG86" s="125"/>
      <c r="AH86" s="115"/>
      <c r="AI86" s="115"/>
      <c r="AJ86" s="115"/>
      <c r="AK86" s="115"/>
      <c r="AL86" s="115"/>
      <c r="AM86" s="115"/>
      <c r="AN86" s="115"/>
      <c r="AO86" s="117"/>
      <c r="AP86" s="115"/>
      <c r="AQ86" s="115"/>
      <c r="AR86" s="115"/>
      <c r="AS86" s="115"/>
      <c r="AT86" s="115"/>
      <c r="AU86" s="115"/>
      <c r="AV86" s="115"/>
      <c r="AW86" s="124"/>
      <c r="AX86" s="124"/>
      <c r="AY86" s="124"/>
      <c r="AZ86" s="115"/>
      <c r="BA86" s="115"/>
      <c r="BB86" s="126" t="str">
        <f t="shared" si="6"/>
        <v/>
      </c>
      <c r="BC86" s="115" t="str">
        <f t="shared" si="7"/>
        <v>INDENIZAÇÃO</v>
      </c>
      <c r="BD86" s="115" t="str">
        <f t="shared" si="8"/>
        <v>NÃO</v>
      </c>
      <c r="BE86" s="115"/>
      <c r="BF86" s="115"/>
      <c r="BG86" s="115"/>
      <c r="BH86" s="115"/>
      <c r="BI86" s="115"/>
      <c r="BJ86" s="115"/>
      <c r="BK86" s="115"/>
      <c r="BL86" s="115"/>
    </row>
    <row r="87" spans="1:64" ht="30" customHeight="1" x14ac:dyDescent="0.25">
      <c r="A87" s="115">
        <v>74</v>
      </c>
      <c r="B87" s="115" t="s">
        <v>97</v>
      </c>
      <c r="C87" s="115"/>
      <c r="D87" s="116"/>
      <c r="E87" s="115"/>
      <c r="F87" s="117"/>
      <c r="G87" s="115"/>
      <c r="H87" s="115"/>
      <c r="I87" s="115"/>
      <c r="J87" s="117"/>
      <c r="K87" s="117"/>
      <c r="L87" s="117"/>
      <c r="M87" s="115"/>
      <c r="N87" s="115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15"/>
      <c r="AB87" s="117"/>
      <c r="AC87" s="117"/>
      <c r="AD87" s="117"/>
      <c r="AE87" s="115"/>
      <c r="AF87" s="125"/>
      <c r="AG87" s="125"/>
      <c r="AH87" s="115"/>
      <c r="AI87" s="115"/>
      <c r="AJ87" s="115"/>
      <c r="AK87" s="115"/>
      <c r="AL87" s="115"/>
      <c r="AM87" s="115"/>
      <c r="AN87" s="115"/>
      <c r="AO87" s="117"/>
      <c r="AP87" s="115"/>
      <c r="AQ87" s="115"/>
      <c r="AR87" s="115"/>
      <c r="AS87" s="115"/>
      <c r="AT87" s="115"/>
      <c r="AU87" s="115"/>
      <c r="AV87" s="115"/>
      <c r="AW87" s="124"/>
      <c r="AX87" s="124"/>
      <c r="AY87" s="124"/>
      <c r="AZ87" s="115"/>
      <c r="BA87" s="115"/>
      <c r="BB87" s="126" t="str">
        <f t="shared" si="6"/>
        <v/>
      </c>
      <c r="BC87" s="115" t="str">
        <f t="shared" si="7"/>
        <v>INDENIZAÇÃO</v>
      </c>
      <c r="BD87" s="115" t="str">
        <f t="shared" si="8"/>
        <v>NÃO</v>
      </c>
      <c r="BE87" s="115"/>
      <c r="BF87" s="115"/>
      <c r="BG87" s="115"/>
      <c r="BH87" s="115"/>
      <c r="BI87" s="115"/>
      <c r="BJ87" s="115"/>
      <c r="BK87" s="115"/>
      <c r="BL87" s="115"/>
    </row>
    <row r="88" spans="1:64" ht="30" customHeight="1" x14ac:dyDescent="0.25">
      <c r="A88" s="115">
        <v>75</v>
      </c>
      <c r="B88" s="115" t="s">
        <v>97</v>
      </c>
      <c r="C88" s="115"/>
      <c r="D88" s="116"/>
      <c r="E88" s="115"/>
      <c r="F88" s="117"/>
      <c r="G88" s="115"/>
      <c r="H88" s="115"/>
      <c r="I88" s="115"/>
      <c r="J88" s="117"/>
      <c r="K88" s="117"/>
      <c r="L88" s="117"/>
      <c r="M88" s="115"/>
      <c r="N88" s="115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15"/>
      <c r="AB88" s="117"/>
      <c r="AC88" s="117"/>
      <c r="AD88" s="117"/>
      <c r="AE88" s="115"/>
      <c r="AF88" s="125"/>
      <c r="AG88" s="125"/>
      <c r="AH88" s="115"/>
      <c r="AI88" s="115"/>
      <c r="AJ88" s="115"/>
      <c r="AK88" s="115"/>
      <c r="AL88" s="115"/>
      <c r="AM88" s="115"/>
      <c r="AN88" s="115"/>
      <c r="AO88" s="117"/>
      <c r="AP88" s="115"/>
      <c r="AQ88" s="115"/>
      <c r="AR88" s="115"/>
      <c r="AS88" s="115"/>
      <c r="AT88" s="115"/>
      <c r="AU88" s="115"/>
      <c r="AV88" s="115"/>
      <c r="AW88" s="124"/>
      <c r="AX88" s="124"/>
      <c r="AY88" s="124"/>
      <c r="AZ88" s="115"/>
      <c r="BA88" s="115"/>
      <c r="BB88" s="126" t="str">
        <f t="shared" si="6"/>
        <v/>
      </c>
      <c r="BC88" s="115" t="str">
        <f t="shared" si="7"/>
        <v>INDENIZAÇÃO</v>
      </c>
      <c r="BD88" s="115" t="str">
        <f t="shared" si="8"/>
        <v>NÃO</v>
      </c>
      <c r="BE88" s="115"/>
      <c r="BF88" s="115"/>
      <c r="BG88" s="115"/>
      <c r="BH88" s="115"/>
      <c r="BI88" s="115"/>
      <c r="BJ88" s="115"/>
      <c r="BK88" s="115"/>
      <c r="BL88" s="115"/>
    </row>
    <row r="89" spans="1:64" ht="30" customHeight="1" x14ac:dyDescent="0.25">
      <c r="A89" s="115">
        <v>76</v>
      </c>
      <c r="B89" s="115" t="s">
        <v>97</v>
      </c>
      <c r="C89" s="115"/>
      <c r="D89" s="116"/>
      <c r="E89" s="115"/>
      <c r="F89" s="117"/>
      <c r="G89" s="115"/>
      <c r="H89" s="115"/>
      <c r="I89" s="115"/>
      <c r="J89" s="117"/>
      <c r="K89" s="117"/>
      <c r="L89" s="117"/>
      <c r="M89" s="115"/>
      <c r="N89" s="115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15"/>
      <c r="AB89" s="117"/>
      <c r="AC89" s="117"/>
      <c r="AD89" s="117"/>
      <c r="AE89" s="115"/>
      <c r="AF89" s="125"/>
      <c r="AG89" s="125"/>
      <c r="AH89" s="115"/>
      <c r="AI89" s="115"/>
      <c r="AJ89" s="115"/>
      <c r="AK89" s="115"/>
      <c r="AL89" s="115"/>
      <c r="AM89" s="115"/>
      <c r="AN89" s="115"/>
      <c r="AO89" s="117"/>
      <c r="AP89" s="115"/>
      <c r="AQ89" s="115"/>
      <c r="AR89" s="115"/>
      <c r="AS89" s="115"/>
      <c r="AT89" s="115"/>
      <c r="AU89" s="115"/>
      <c r="AV89" s="115"/>
      <c r="AW89" s="124"/>
      <c r="AX89" s="124"/>
      <c r="AY89" s="124"/>
      <c r="AZ89" s="115"/>
      <c r="BA89" s="115"/>
      <c r="BB89" s="126" t="str">
        <f t="shared" si="6"/>
        <v/>
      </c>
      <c r="BC89" s="115" t="str">
        <f t="shared" si="7"/>
        <v>INDENIZAÇÃO</v>
      </c>
      <c r="BD89" s="115" t="str">
        <f t="shared" si="8"/>
        <v>NÃO</v>
      </c>
      <c r="BE89" s="115"/>
      <c r="BF89" s="115"/>
      <c r="BG89" s="115"/>
      <c r="BH89" s="115"/>
      <c r="BI89" s="115"/>
      <c r="BJ89" s="115"/>
      <c r="BK89" s="115"/>
      <c r="BL89" s="115"/>
    </row>
    <row r="90" spans="1:64" ht="30" customHeight="1" x14ac:dyDescent="0.25">
      <c r="A90" s="115">
        <v>77</v>
      </c>
      <c r="B90" s="115" t="s">
        <v>97</v>
      </c>
      <c r="C90" s="115"/>
      <c r="D90" s="116"/>
      <c r="E90" s="115"/>
      <c r="F90" s="117"/>
      <c r="G90" s="115"/>
      <c r="H90" s="115"/>
      <c r="I90" s="115"/>
      <c r="J90" s="117"/>
      <c r="K90" s="117"/>
      <c r="L90" s="117"/>
      <c r="M90" s="115"/>
      <c r="N90" s="115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15"/>
      <c r="AB90" s="117"/>
      <c r="AC90" s="117"/>
      <c r="AD90" s="117"/>
      <c r="AE90" s="115"/>
      <c r="AF90" s="125"/>
      <c r="AG90" s="125"/>
      <c r="AH90" s="115"/>
      <c r="AI90" s="115"/>
      <c r="AJ90" s="115"/>
      <c r="AK90" s="115"/>
      <c r="AL90" s="115"/>
      <c r="AM90" s="115"/>
      <c r="AN90" s="115"/>
      <c r="AO90" s="117"/>
      <c r="AP90" s="115"/>
      <c r="AQ90" s="115"/>
      <c r="AR90" s="115"/>
      <c r="AS90" s="115"/>
      <c r="AT90" s="115"/>
      <c r="AU90" s="115"/>
      <c r="AV90" s="115"/>
      <c r="AW90" s="124"/>
      <c r="AX90" s="124"/>
      <c r="AY90" s="124"/>
      <c r="AZ90" s="115"/>
      <c r="BA90" s="115"/>
      <c r="BB90" s="126" t="str">
        <f t="shared" si="6"/>
        <v/>
      </c>
      <c r="BC90" s="115" t="str">
        <f t="shared" si="7"/>
        <v>INDENIZAÇÃO</v>
      </c>
      <c r="BD90" s="115" t="str">
        <f t="shared" si="8"/>
        <v>NÃO</v>
      </c>
      <c r="BE90" s="115"/>
      <c r="BF90" s="115"/>
      <c r="BG90" s="115"/>
      <c r="BH90" s="115"/>
      <c r="BI90" s="115"/>
      <c r="BJ90" s="115"/>
      <c r="BK90" s="115"/>
      <c r="BL90" s="115"/>
    </row>
    <row r="91" spans="1:64" ht="30" customHeight="1" x14ac:dyDescent="0.25">
      <c r="A91" s="115">
        <v>78</v>
      </c>
      <c r="B91" s="115" t="s">
        <v>97</v>
      </c>
      <c r="C91" s="115"/>
      <c r="D91" s="116"/>
      <c r="E91" s="115"/>
      <c r="F91" s="117"/>
      <c r="G91" s="115"/>
      <c r="H91" s="115"/>
      <c r="I91" s="115"/>
      <c r="J91" s="117"/>
      <c r="K91" s="117"/>
      <c r="L91" s="117"/>
      <c r="M91" s="115"/>
      <c r="N91" s="115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15"/>
      <c r="AB91" s="117"/>
      <c r="AC91" s="117"/>
      <c r="AD91" s="117"/>
      <c r="AE91" s="115"/>
      <c r="AF91" s="125"/>
      <c r="AG91" s="125"/>
      <c r="AH91" s="115"/>
      <c r="AI91" s="115"/>
      <c r="AJ91" s="115"/>
      <c r="AK91" s="115"/>
      <c r="AL91" s="115"/>
      <c r="AM91" s="115"/>
      <c r="AN91" s="115"/>
      <c r="AO91" s="117"/>
      <c r="AP91" s="115"/>
      <c r="AQ91" s="115"/>
      <c r="AR91" s="115"/>
      <c r="AS91" s="115"/>
      <c r="AT91" s="115"/>
      <c r="AU91" s="115"/>
      <c r="AV91" s="115"/>
      <c r="AW91" s="124"/>
      <c r="AX91" s="124"/>
      <c r="AY91" s="124"/>
      <c r="AZ91" s="115"/>
      <c r="BA91" s="115"/>
      <c r="BB91" s="126" t="str">
        <f t="shared" si="6"/>
        <v/>
      </c>
      <c r="BC91" s="115" t="str">
        <f t="shared" si="7"/>
        <v>INDENIZAÇÃO</v>
      </c>
      <c r="BD91" s="115" t="str">
        <f t="shared" si="8"/>
        <v>NÃO</v>
      </c>
      <c r="BE91" s="115"/>
      <c r="BF91" s="115"/>
      <c r="BG91" s="115"/>
      <c r="BH91" s="115"/>
      <c r="BI91" s="115"/>
      <c r="BJ91" s="115"/>
      <c r="BK91" s="115"/>
      <c r="BL91" s="115"/>
    </row>
    <row r="92" spans="1:64" ht="30" customHeight="1" x14ac:dyDescent="0.25">
      <c r="A92" s="115">
        <v>79</v>
      </c>
      <c r="B92" s="115" t="s">
        <v>97</v>
      </c>
      <c r="C92" s="115"/>
      <c r="D92" s="116"/>
      <c r="E92" s="115"/>
      <c r="F92" s="117"/>
      <c r="G92" s="115"/>
      <c r="H92" s="115"/>
      <c r="I92" s="115"/>
      <c r="J92" s="117"/>
      <c r="K92" s="117"/>
      <c r="L92" s="117"/>
      <c r="M92" s="115"/>
      <c r="N92" s="115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15"/>
      <c r="AB92" s="117"/>
      <c r="AC92" s="117"/>
      <c r="AD92" s="117"/>
      <c r="AE92" s="115"/>
      <c r="AF92" s="125"/>
      <c r="AG92" s="125"/>
      <c r="AH92" s="115"/>
      <c r="AI92" s="115"/>
      <c r="AJ92" s="115"/>
      <c r="AK92" s="115"/>
      <c r="AL92" s="115"/>
      <c r="AM92" s="115"/>
      <c r="AN92" s="115"/>
      <c r="AO92" s="117"/>
      <c r="AP92" s="115"/>
      <c r="AQ92" s="115"/>
      <c r="AR92" s="115"/>
      <c r="AS92" s="115"/>
      <c r="AT92" s="115"/>
      <c r="AU92" s="115"/>
      <c r="AV92" s="115"/>
      <c r="AW92" s="124"/>
      <c r="AX92" s="124"/>
      <c r="AY92" s="124"/>
      <c r="AZ92" s="115"/>
      <c r="BA92" s="115"/>
      <c r="BB92" s="126" t="str">
        <f t="shared" si="6"/>
        <v/>
      </c>
      <c r="BC92" s="115" t="str">
        <f t="shared" si="7"/>
        <v>INDENIZAÇÃO</v>
      </c>
      <c r="BD92" s="115" t="str">
        <f t="shared" si="8"/>
        <v>NÃO</v>
      </c>
      <c r="BE92" s="115"/>
      <c r="BF92" s="115"/>
      <c r="BG92" s="115"/>
      <c r="BH92" s="115"/>
      <c r="BI92" s="115"/>
      <c r="BJ92" s="115"/>
      <c r="BK92" s="115"/>
      <c r="BL92" s="115"/>
    </row>
    <row r="93" spans="1:64" ht="30" customHeight="1" x14ac:dyDescent="0.25">
      <c r="A93" s="115">
        <v>80</v>
      </c>
      <c r="B93" s="115" t="s">
        <v>97</v>
      </c>
      <c r="C93" s="115"/>
      <c r="D93" s="116"/>
      <c r="E93" s="115"/>
      <c r="F93" s="117"/>
      <c r="G93" s="115"/>
      <c r="H93" s="115"/>
      <c r="I93" s="115"/>
      <c r="J93" s="117"/>
      <c r="K93" s="117"/>
      <c r="L93" s="117"/>
      <c r="M93" s="115"/>
      <c r="N93" s="115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15"/>
      <c r="AB93" s="117"/>
      <c r="AC93" s="117"/>
      <c r="AD93" s="117"/>
      <c r="AE93" s="115"/>
      <c r="AF93" s="125"/>
      <c r="AG93" s="125"/>
      <c r="AH93" s="115"/>
      <c r="AI93" s="115"/>
      <c r="AJ93" s="115"/>
      <c r="AK93" s="115"/>
      <c r="AL93" s="115"/>
      <c r="AM93" s="115"/>
      <c r="AN93" s="115"/>
      <c r="AO93" s="117"/>
      <c r="AP93" s="115"/>
      <c r="AQ93" s="115"/>
      <c r="AR93" s="115"/>
      <c r="AS93" s="115"/>
      <c r="AT93" s="115"/>
      <c r="AU93" s="115"/>
      <c r="AV93" s="115"/>
      <c r="AW93" s="124"/>
      <c r="AX93" s="124"/>
      <c r="AY93" s="124"/>
      <c r="AZ93" s="115"/>
      <c r="BA93" s="115"/>
      <c r="BB93" s="126" t="str">
        <f t="shared" si="6"/>
        <v/>
      </c>
      <c r="BC93" s="115" t="str">
        <f t="shared" si="7"/>
        <v>INDENIZAÇÃO</v>
      </c>
      <c r="BD93" s="115" t="str">
        <f t="shared" si="8"/>
        <v>NÃO</v>
      </c>
      <c r="BE93" s="115"/>
      <c r="BF93" s="115"/>
      <c r="BG93" s="115"/>
      <c r="BH93" s="115"/>
      <c r="BI93" s="115"/>
      <c r="BJ93" s="115"/>
      <c r="BK93" s="115"/>
      <c r="BL93" s="115"/>
    </row>
    <row r="94" spans="1:64" ht="30" customHeight="1" x14ac:dyDescent="0.25">
      <c r="A94" s="115">
        <v>81</v>
      </c>
      <c r="B94" s="115" t="s">
        <v>97</v>
      </c>
      <c r="C94" s="115"/>
      <c r="D94" s="116"/>
      <c r="E94" s="115"/>
      <c r="F94" s="117"/>
      <c r="G94" s="115"/>
      <c r="H94" s="115"/>
      <c r="I94" s="115"/>
      <c r="J94" s="117"/>
      <c r="K94" s="117"/>
      <c r="L94" s="117"/>
      <c r="M94" s="115"/>
      <c r="N94" s="115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15"/>
      <c r="AB94" s="117"/>
      <c r="AC94" s="117"/>
      <c r="AD94" s="117"/>
      <c r="AE94" s="115"/>
      <c r="AF94" s="125"/>
      <c r="AG94" s="125"/>
      <c r="AH94" s="115"/>
      <c r="AI94" s="115"/>
      <c r="AJ94" s="115"/>
      <c r="AK94" s="115"/>
      <c r="AL94" s="115"/>
      <c r="AM94" s="115"/>
      <c r="AN94" s="115"/>
      <c r="AO94" s="117"/>
      <c r="AP94" s="115"/>
      <c r="AQ94" s="115"/>
      <c r="AR94" s="115"/>
      <c r="AS94" s="115"/>
      <c r="AT94" s="115"/>
      <c r="AU94" s="115"/>
      <c r="AV94" s="115"/>
      <c r="AW94" s="124"/>
      <c r="AX94" s="124"/>
      <c r="AY94" s="124"/>
      <c r="AZ94" s="115"/>
      <c r="BA94" s="115"/>
      <c r="BB94" s="126" t="str">
        <f t="shared" si="6"/>
        <v/>
      </c>
      <c r="BC94" s="115" t="str">
        <f t="shared" si="7"/>
        <v>INDENIZAÇÃO</v>
      </c>
      <c r="BD94" s="115" t="str">
        <f t="shared" si="8"/>
        <v>NÃO</v>
      </c>
      <c r="BE94" s="115"/>
      <c r="BF94" s="115"/>
      <c r="BG94" s="115"/>
      <c r="BH94" s="115"/>
      <c r="BI94" s="115"/>
      <c r="BJ94" s="115"/>
      <c r="BK94" s="115"/>
      <c r="BL94" s="115"/>
    </row>
    <row r="95" spans="1:64" ht="30" customHeight="1" x14ac:dyDescent="0.25">
      <c r="A95" s="115">
        <v>82</v>
      </c>
      <c r="B95" s="115" t="s">
        <v>97</v>
      </c>
      <c r="C95" s="115"/>
      <c r="D95" s="116"/>
      <c r="E95" s="115"/>
      <c r="F95" s="117"/>
      <c r="G95" s="115"/>
      <c r="H95" s="115"/>
      <c r="I95" s="115"/>
      <c r="J95" s="117"/>
      <c r="K95" s="117"/>
      <c r="L95" s="117"/>
      <c r="M95" s="115"/>
      <c r="N95" s="115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15"/>
      <c r="AB95" s="117"/>
      <c r="AC95" s="117"/>
      <c r="AD95" s="117"/>
      <c r="AE95" s="115"/>
      <c r="AF95" s="125"/>
      <c r="AG95" s="125"/>
      <c r="AH95" s="115"/>
      <c r="AI95" s="115"/>
      <c r="AJ95" s="115"/>
      <c r="AK95" s="115"/>
      <c r="AL95" s="115"/>
      <c r="AM95" s="115"/>
      <c r="AN95" s="115"/>
      <c r="AO95" s="117"/>
      <c r="AP95" s="115"/>
      <c r="AQ95" s="115"/>
      <c r="AR95" s="115"/>
      <c r="AS95" s="115"/>
      <c r="AT95" s="115"/>
      <c r="AU95" s="115"/>
      <c r="AV95" s="115"/>
      <c r="AW95" s="124"/>
      <c r="AX95" s="124"/>
      <c r="AY95" s="124"/>
      <c r="AZ95" s="115"/>
      <c r="BA95" s="115"/>
      <c r="BB95" s="126" t="str">
        <f t="shared" si="6"/>
        <v/>
      </c>
      <c r="BC95" s="115" t="str">
        <f t="shared" si="7"/>
        <v>INDENIZAÇÃO</v>
      </c>
      <c r="BD95" s="115" t="str">
        <f t="shared" si="8"/>
        <v>NÃO</v>
      </c>
      <c r="BE95" s="115"/>
      <c r="BF95" s="115"/>
      <c r="BG95" s="115"/>
      <c r="BH95" s="115"/>
      <c r="BI95" s="115"/>
      <c r="BJ95" s="115"/>
      <c r="BK95" s="115"/>
      <c r="BL95" s="115"/>
    </row>
    <row r="96" spans="1:64" ht="30" customHeight="1" x14ac:dyDescent="0.25">
      <c r="A96" s="115">
        <v>83</v>
      </c>
      <c r="B96" s="115" t="s">
        <v>97</v>
      </c>
      <c r="C96" s="115"/>
      <c r="D96" s="116"/>
      <c r="E96" s="115"/>
      <c r="F96" s="117"/>
      <c r="G96" s="115"/>
      <c r="H96" s="115"/>
      <c r="I96" s="115"/>
      <c r="J96" s="117"/>
      <c r="K96" s="117"/>
      <c r="L96" s="117"/>
      <c r="M96" s="115"/>
      <c r="N96" s="115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15"/>
      <c r="AB96" s="117"/>
      <c r="AC96" s="117"/>
      <c r="AD96" s="117"/>
      <c r="AE96" s="115"/>
      <c r="AF96" s="125"/>
      <c r="AG96" s="125"/>
      <c r="AH96" s="115"/>
      <c r="AI96" s="115"/>
      <c r="AJ96" s="115"/>
      <c r="AK96" s="115"/>
      <c r="AL96" s="115"/>
      <c r="AM96" s="115"/>
      <c r="AN96" s="115"/>
      <c r="AO96" s="117"/>
      <c r="AP96" s="115"/>
      <c r="AQ96" s="115"/>
      <c r="AR96" s="115"/>
      <c r="AS96" s="115"/>
      <c r="AT96" s="115"/>
      <c r="AU96" s="115"/>
      <c r="AV96" s="115"/>
      <c r="AW96" s="124"/>
      <c r="AX96" s="124"/>
      <c r="AY96" s="124"/>
      <c r="AZ96" s="115"/>
      <c r="BA96" s="115"/>
      <c r="BB96" s="126" t="str">
        <f t="shared" si="6"/>
        <v/>
      </c>
      <c r="BC96" s="115" t="str">
        <f t="shared" si="7"/>
        <v>INDENIZAÇÃO</v>
      </c>
      <c r="BD96" s="115" t="str">
        <f t="shared" si="8"/>
        <v>NÃO</v>
      </c>
      <c r="BE96" s="115"/>
      <c r="BF96" s="115"/>
      <c r="BG96" s="115"/>
      <c r="BH96" s="115"/>
      <c r="BI96" s="115"/>
      <c r="BJ96" s="115"/>
      <c r="BK96" s="115"/>
      <c r="BL96" s="115"/>
    </row>
    <row r="97" spans="1:64" ht="30" customHeight="1" x14ac:dyDescent="0.25">
      <c r="A97" s="115">
        <v>84</v>
      </c>
      <c r="B97" s="115" t="s">
        <v>97</v>
      </c>
      <c r="C97" s="115"/>
      <c r="D97" s="116"/>
      <c r="E97" s="115"/>
      <c r="F97" s="117"/>
      <c r="G97" s="115"/>
      <c r="H97" s="115"/>
      <c r="I97" s="115"/>
      <c r="J97" s="117"/>
      <c r="K97" s="117"/>
      <c r="L97" s="117"/>
      <c r="M97" s="115"/>
      <c r="N97" s="115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15"/>
      <c r="AB97" s="117"/>
      <c r="AC97" s="117"/>
      <c r="AD97" s="117"/>
      <c r="AE97" s="115"/>
      <c r="AF97" s="125"/>
      <c r="AG97" s="125"/>
      <c r="AH97" s="115"/>
      <c r="AI97" s="115"/>
      <c r="AJ97" s="115"/>
      <c r="AK97" s="115"/>
      <c r="AL97" s="115"/>
      <c r="AM97" s="115"/>
      <c r="AN97" s="115"/>
      <c r="AO97" s="117"/>
      <c r="AP97" s="115"/>
      <c r="AQ97" s="115"/>
      <c r="AR97" s="115"/>
      <c r="AS97" s="115"/>
      <c r="AT97" s="115"/>
      <c r="AU97" s="115"/>
      <c r="AV97" s="115"/>
      <c r="AW97" s="124"/>
      <c r="AX97" s="124"/>
      <c r="AY97" s="124"/>
      <c r="AZ97" s="115"/>
      <c r="BA97" s="115"/>
      <c r="BB97" s="126" t="str">
        <f t="shared" si="6"/>
        <v/>
      </c>
      <c r="BC97" s="115" t="str">
        <f t="shared" si="7"/>
        <v>INDENIZAÇÃO</v>
      </c>
      <c r="BD97" s="115" t="str">
        <f t="shared" si="8"/>
        <v>NÃO</v>
      </c>
      <c r="BE97" s="115"/>
      <c r="BF97" s="115"/>
      <c r="BG97" s="115"/>
      <c r="BH97" s="115"/>
      <c r="BI97" s="115"/>
      <c r="BJ97" s="115"/>
      <c r="BK97" s="115"/>
      <c r="BL97" s="115"/>
    </row>
    <row r="98" spans="1:64" ht="30" customHeight="1" x14ac:dyDescent="0.25">
      <c r="A98" s="115">
        <v>85</v>
      </c>
      <c r="B98" s="115" t="s">
        <v>97</v>
      </c>
      <c r="C98" s="115"/>
      <c r="D98" s="116"/>
      <c r="E98" s="115"/>
      <c r="F98" s="117"/>
      <c r="G98" s="115"/>
      <c r="H98" s="115"/>
      <c r="I98" s="115"/>
      <c r="J98" s="117"/>
      <c r="K98" s="117"/>
      <c r="L98" s="117"/>
      <c r="M98" s="115"/>
      <c r="N98" s="115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15"/>
      <c r="AB98" s="117"/>
      <c r="AC98" s="117"/>
      <c r="AD98" s="117"/>
      <c r="AE98" s="115"/>
      <c r="AF98" s="125"/>
      <c r="AG98" s="125"/>
      <c r="AH98" s="115"/>
      <c r="AI98" s="115"/>
      <c r="AJ98" s="115"/>
      <c r="AK98" s="115"/>
      <c r="AL98" s="115"/>
      <c r="AM98" s="115"/>
      <c r="AN98" s="115"/>
      <c r="AO98" s="117"/>
      <c r="AP98" s="115"/>
      <c r="AQ98" s="115"/>
      <c r="AR98" s="115"/>
      <c r="AS98" s="115"/>
      <c r="AT98" s="115"/>
      <c r="AU98" s="115"/>
      <c r="AV98" s="115"/>
      <c r="AW98" s="124"/>
      <c r="AX98" s="124"/>
      <c r="AY98" s="124"/>
      <c r="AZ98" s="115"/>
      <c r="BA98" s="115"/>
      <c r="BB98" s="126" t="str">
        <f t="shared" si="6"/>
        <v/>
      </c>
      <c r="BC98" s="115" t="str">
        <f t="shared" si="7"/>
        <v>INDENIZAÇÃO</v>
      </c>
      <c r="BD98" s="115" t="str">
        <f t="shared" si="8"/>
        <v>NÃO</v>
      </c>
      <c r="BE98" s="115"/>
      <c r="BF98" s="115"/>
      <c r="BG98" s="115"/>
      <c r="BH98" s="115"/>
      <c r="BI98" s="115"/>
      <c r="BJ98" s="115"/>
      <c r="BK98" s="115"/>
      <c r="BL98" s="115"/>
    </row>
    <row r="99" spans="1:64" ht="30" customHeight="1" x14ac:dyDescent="0.25">
      <c r="A99" s="115">
        <v>86</v>
      </c>
      <c r="B99" s="115" t="s">
        <v>97</v>
      </c>
      <c r="C99" s="115"/>
      <c r="D99" s="116"/>
      <c r="E99" s="115"/>
      <c r="F99" s="117"/>
      <c r="G99" s="115"/>
      <c r="H99" s="115"/>
      <c r="I99" s="115"/>
      <c r="J99" s="117"/>
      <c r="K99" s="117"/>
      <c r="L99" s="117"/>
      <c r="M99" s="115"/>
      <c r="N99" s="115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15"/>
      <c r="AB99" s="117"/>
      <c r="AC99" s="117"/>
      <c r="AD99" s="117"/>
      <c r="AE99" s="115"/>
      <c r="AF99" s="125"/>
      <c r="AG99" s="125"/>
      <c r="AH99" s="115"/>
      <c r="AI99" s="115"/>
      <c r="AJ99" s="115"/>
      <c r="AK99" s="115"/>
      <c r="AL99" s="115"/>
      <c r="AM99" s="115"/>
      <c r="AN99" s="115"/>
      <c r="AO99" s="117"/>
      <c r="AP99" s="115"/>
      <c r="AQ99" s="115"/>
      <c r="AR99" s="115"/>
      <c r="AS99" s="115"/>
      <c r="AT99" s="115"/>
      <c r="AU99" s="115"/>
      <c r="AV99" s="115"/>
      <c r="AW99" s="124"/>
      <c r="AX99" s="124"/>
      <c r="AY99" s="124"/>
      <c r="AZ99" s="115"/>
      <c r="BA99" s="115"/>
      <c r="BB99" s="126" t="str">
        <f t="shared" si="6"/>
        <v/>
      </c>
      <c r="BC99" s="115" t="str">
        <f t="shared" si="7"/>
        <v>INDENIZAÇÃO</v>
      </c>
      <c r="BD99" s="115" t="str">
        <f t="shared" si="8"/>
        <v>NÃO</v>
      </c>
      <c r="BE99" s="115"/>
      <c r="BF99" s="115"/>
      <c r="BG99" s="115"/>
      <c r="BH99" s="115"/>
      <c r="BI99" s="115"/>
      <c r="BJ99" s="115"/>
      <c r="BK99" s="115"/>
      <c r="BL99" s="115"/>
    </row>
    <row r="100" spans="1:64" ht="30" customHeight="1" x14ac:dyDescent="0.25">
      <c r="A100" s="115">
        <v>87</v>
      </c>
      <c r="B100" s="115" t="s">
        <v>97</v>
      </c>
      <c r="C100" s="115"/>
      <c r="D100" s="116"/>
      <c r="E100" s="115"/>
      <c r="F100" s="117"/>
      <c r="G100" s="115"/>
      <c r="H100" s="115"/>
      <c r="I100" s="115"/>
      <c r="J100" s="117"/>
      <c r="K100" s="117"/>
      <c r="L100" s="117"/>
      <c r="M100" s="115"/>
      <c r="N100" s="115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15"/>
      <c r="AB100" s="117"/>
      <c r="AC100" s="117"/>
      <c r="AD100" s="117"/>
      <c r="AE100" s="115"/>
      <c r="AF100" s="125"/>
      <c r="AG100" s="125"/>
      <c r="AH100" s="115"/>
      <c r="AI100" s="115"/>
      <c r="AJ100" s="115"/>
      <c r="AK100" s="115"/>
      <c r="AL100" s="115"/>
      <c r="AM100" s="115"/>
      <c r="AN100" s="115"/>
      <c r="AO100" s="117"/>
      <c r="AP100" s="115"/>
      <c r="AQ100" s="115"/>
      <c r="AR100" s="115"/>
      <c r="AS100" s="115"/>
      <c r="AT100" s="115"/>
      <c r="AU100" s="115"/>
      <c r="AV100" s="115"/>
      <c r="AW100" s="124"/>
      <c r="AX100" s="124"/>
      <c r="AY100" s="124"/>
      <c r="AZ100" s="115"/>
      <c r="BA100" s="115"/>
      <c r="BB100" s="126" t="str">
        <f t="shared" si="6"/>
        <v/>
      </c>
      <c r="BC100" s="115" t="str">
        <f t="shared" si="7"/>
        <v>INDENIZAÇÃO</v>
      </c>
      <c r="BD100" s="115" t="str">
        <f t="shared" si="8"/>
        <v>NÃO</v>
      </c>
      <c r="BE100" s="115"/>
      <c r="BF100" s="115"/>
      <c r="BG100" s="115"/>
      <c r="BH100" s="115"/>
      <c r="BI100" s="115"/>
      <c r="BJ100" s="115"/>
      <c r="BK100" s="115"/>
      <c r="BL100" s="115"/>
    </row>
    <row r="101" spans="1:64" ht="30" customHeight="1" x14ac:dyDescent="0.25">
      <c r="A101" s="115">
        <v>88</v>
      </c>
      <c r="B101" s="115" t="s">
        <v>97</v>
      </c>
      <c r="C101" s="115"/>
      <c r="D101" s="116"/>
      <c r="E101" s="115"/>
      <c r="F101" s="117"/>
      <c r="G101" s="115"/>
      <c r="H101" s="115"/>
      <c r="I101" s="115"/>
      <c r="J101" s="117"/>
      <c r="K101" s="117"/>
      <c r="L101" s="117"/>
      <c r="M101" s="115"/>
      <c r="N101" s="115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15"/>
      <c r="AB101" s="117"/>
      <c r="AC101" s="117"/>
      <c r="AD101" s="117"/>
      <c r="AE101" s="115"/>
      <c r="AF101" s="125"/>
      <c r="AG101" s="125"/>
      <c r="AH101" s="115"/>
      <c r="AI101" s="115"/>
      <c r="AJ101" s="115"/>
      <c r="AK101" s="115"/>
      <c r="AL101" s="115"/>
      <c r="AM101" s="115"/>
      <c r="AN101" s="115"/>
      <c r="AO101" s="117"/>
      <c r="AP101" s="115"/>
      <c r="AQ101" s="115"/>
      <c r="AR101" s="115"/>
      <c r="AS101" s="115"/>
      <c r="AT101" s="115"/>
      <c r="AU101" s="115"/>
      <c r="AV101" s="115"/>
      <c r="AW101" s="124"/>
      <c r="AX101" s="124"/>
      <c r="AY101" s="124"/>
      <c r="AZ101" s="115"/>
      <c r="BA101" s="115"/>
      <c r="BB101" s="126" t="str">
        <f t="shared" si="6"/>
        <v/>
      </c>
      <c r="BC101" s="115" t="str">
        <f t="shared" si="7"/>
        <v>INDENIZAÇÃO</v>
      </c>
      <c r="BD101" s="115" t="str">
        <f t="shared" si="8"/>
        <v>NÃO</v>
      </c>
      <c r="BE101" s="115"/>
      <c r="BF101" s="115"/>
      <c r="BG101" s="115"/>
      <c r="BH101" s="115"/>
      <c r="BI101" s="115"/>
      <c r="BJ101" s="115"/>
      <c r="BK101" s="115"/>
      <c r="BL101" s="115"/>
    </row>
    <row r="102" spans="1:64" ht="30" customHeight="1" x14ac:dyDescent="0.25">
      <c r="A102" s="115">
        <v>89</v>
      </c>
      <c r="B102" s="115" t="s">
        <v>97</v>
      </c>
      <c r="C102" s="115"/>
      <c r="D102" s="116"/>
      <c r="E102" s="115"/>
      <c r="F102" s="117"/>
      <c r="G102" s="115"/>
      <c r="H102" s="115"/>
      <c r="I102" s="115"/>
      <c r="J102" s="117"/>
      <c r="K102" s="117"/>
      <c r="L102" s="117"/>
      <c r="M102" s="115"/>
      <c r="N102" s="115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15"/>
      <c r="AB102" s="117"/>
      <c r="AC102" s="117"/>
      <c r="AD102" s="117"/>
      <c r="AE102" s="115"/>
      <c r="AF102" s="125"/>
      <c r="AG102" s="125"/>
      <c r="AH102" s="115"/>
      <c r="AI102" s="115"/>
      <c r="AJ102" s="115"/>
      <c r="AK102" s="115"/>
      <c r="AL102" s="115"/>
      <c r="AM102" s="115"/>
      <c r="AN102" s="115"/>
      <c r="AO102" s="117"/>
      <c r="AP102" s="115"/>
      <c r="AQ102" s="115"/>
      <c r="AR102" s="115"/>
      <c r="AS102" s="115"/>
      <c r="AT102" s="115"/>
      <c r="AU102" s="115"/>
      <c r="AV102" s="115"/>
      <c r="AW102" s="124"/>
      <c r="AX102" s="124"/>
      <c r="AY102" s="124"/>
      <c r="AZ102" s="115"/>
      <c r="BA102" s="115"/>
      <c r="BB102" s="126" t="str">
        <f t="shared" si="6"/>
        <v/>
      </c>
      <c r="BC102" s="115" t="str">
        <f t="shared" si="7"/>
        <v>INDENIZAÇÃO</v>
      </c>
      <c r="BD102" s="115" t="str">
        <f t="shared" si="8"/>
        <v>NÃO</v>
      </c>
      <c r="BE102" s="115"/>
      <c r="BF102" s="115"/>
      <c r="BG102" s="115"/>
      <c r="BH102" s="115"/>
      <c r="BI102" s="115"/>
      <c r="BJ102" s="115"/>
      <c r="BK102" s="115"/>
      <c r="BL102" s="115"/>
    </row>
    <row r="103" spans="1:64" ht="30" customHeight="1" x14ac:dyDescent="0.25">
      <c r="A103" s="115">
        <v>90</v>
      </c>
      <c r="B103" s="115" t="s">
        <v>97</v>
      </c>
      <c r="C103" s="115"/>
      <c r="D103" s="116"/>
      <c r="E103" s="115"/>
      <c r="F103" s="117"/>
      <c r="G103" s="115"/>
      <c r="H103" s="115"/>
      <c r="I103" s="115"/>
      <c r="J103" s="117"/>
      <c r="K103" s="117"/>
      <c r="L103" s="117"/>
      <c r="M103" s="115"/>
      <c r="N103" s="115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15"/>
      <c r="AB103" s="117"/>
      <c r="AC103" s="117"/>
      <c r="AD103" s="117"/>
      <c r="AE103" s="115"/>
      <c r="AF103" s="125"/>
      <c r="AG103" s="125"/>
      <c r="AH103" s="115"/>
      <c r="AI103" s="115"/>
      <c r="AJ103" s="115"/>
      <c r="AK103" s="115"/>
      <c r="AL103" s="115"/>
      <c r="AM103" s="115"/>
      <c r="AN103" s="115"/>
      <c r="AO103" s="117"/>
      <c r="AP103" s="115"/>
      <c r="AQ103" s="115"/>
      <c r="AR103" s="115"/>
      <c r="AS103" s="115"/>
      <c r="AT103" s="115"/>
      <c r="AU103" s="115"/>
      <c r="AV103" s="115"/>
      <c r="AW103" s="124"/>
      <c r="AX103" s="124"/>
      <c r="AY103" s="124"/>
      <c r="AZ103" s="115"/>
      <c r="BA103" s="115"/>
      <c r="BB103" s="126" t="str">
        <f t="shared" si="6"/>
        <v/>
      </c>
      <c r="BC103" s="115" t="str">
        <f t="shared" si="7"/>
        <v>INDENIZAÇÃO</v>
      </c>
      <c r="BD103" s="115" t="str">
        <f t="shared" si="8"/>
        <v>NÃO</v>
      </c>
      <c r="BE103" s="115"/>
      <c r="BF103" s="115"/>
      <c r="BG103" s="115"/>
      <c r="BH103" s="115"/>
      <c r="BI103" s="115"/>
      <c r="BJ103" s="115"/>
      <c r="BK103" s="115"/>
      <c r="BL103" s="115"/>
    </row>
    <row r="104" spans="1:64" ht="30" customHeight="1" x14ac:dyDescent="0.25">
      <c r="A104" s="115">
        <v>91</v>
      </c>
      <c r="B104" s="115" t="s">
        <v>97</v>
      </c>
      <c r="C104" s="115"/>
      <c r="D104" s="116"/>
      <c r="E104" s="115"/>
      <c r="F104" s="117"/>
      <c r="G104" s="115"/>
      <c r="H104" s="115"/>
      <c r="I104" s="115"/>
      <c r="J104" s="117"/>
      <c r="K104" s="117"/>
      <c r="L104" s="117"/>
      <c r="M104" s="115"/>
      <c r="N104" s="115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15"/>
      <c r="AB104" s="117"/>
      <c r="AC104" s="117"/>
      <c r="AD104" s="117"/>
      <c r="AE104" s="115"/>
      <c r="AF104" s="125"/>
      <c r="AG104" s="125"/>
      <c r="AH104" s="115"/>
      <c r="AI104" s="115"/>
      <c r="AJ104" s="115"/>
      <c r="AK104" s="115"/>
      <c r="AL104" s="115"/>
      <c r="AM104" s="115"/>
      <c r="AN104" s="115"/>
      <c r="AO104" s="117"/>
      <c r="AP104" s="115"/>
      <c r="AQ104" s="115"/>
      <c r="AR104" s="115"/>
      <c r="AS104" s="115"/>
      <c r="AT104" s="115"/>
      <c r="AU104" s="115"/>
      <c r="AV104" s="115"/>
      <c r="AW104" s="124"/>
      <c r="AX104" s="124"/>
      <c r="AY104" s="124"/>
      <c r="AZ104" s="115"/>
      <c r="BA104" s="115"/>
      <c r="BB104" s="126" t="str">
        <f t="shared" si="6"/>
        <v/>
      </c>
      <c r="BC104" s="115" t="str">
        <f t="shared" si="7"/>
        <v>INDENIZAÇÃO</v>
      </c>
      <c r="BD104" s="115" t="str">
        <f t="shared" si="8"/>
        <v>NÃO</v>
      </c>
      <c r="BE104" s="115"/>
      <c r="BF104" s="115"/>
      <c r="BG104" s="115"/>
      <c r="BH104" s="115"/>
      <c r="BI104" s="115"/>
      <c r="BJ104" s="115"/>
      <c r="BK104" s="115"/>
      <c r="BL104" s="115"/>
    </row>
    <row r="105" spans="1:64" ht="30" customHeight="1" x14ac:dyDescent="0.25">
      <c r="A105" s="115">
        <v>92</v>
      </c>
      <c r="B105" s="115" t="s">
        <v>97</v>
      </c>
      <c r="C105" s="115"/>
      <c r="D105" s="116"/>
      <c r="E105" s="115"/>
      <c r="F105" s="117"/>
      <c r="G105" s="115"/>
      <c r="H105" s="115"/>
      <c r="I105" s="115"/>
      <c r="J105" s="117"/>
      <c r="K105" s="117"/>
      <c r="L105" s="117"/>
      <c r="M105" s="115"/>
      <c r="N105" s="115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15"/>
      <c r="AB105" s="117"/>
      <c r="AC105" s="117"/>
      <c r="AD105" s="117"/>
      <c r="AE105" s="115"/>
      <c r="AF105" s="125"/>
      <c r="AG105" s="125"/>
      <c r="AH105" s="115"/>
      <c r="AI105" s="115"/>
      <c r="AJ105" s="115"/>
      <c r="AK105" s="115"/>
      <c r="AL105" s="115"/>
      <c r="AM105" s="115"/>
      <c r="AN105" s="115"/>
      <c r="AO105" s="117"/>
      <c r="AP105" s="115"/>
      <c r="AQ105" s="115"/>
      <c r="AR105" s="115"/>
      <c r="AS105" s="115"/>
      <c r="AT105" s="115"/>
      <c r="AU105" s="115"/>
      <c r="AV105" s="115"/>
      <c r="AW105" s="124"/>
      <c r="AX105" s="124"/>
      <c r="AY105" s="124"/>
      <c r="AZ105" s="115"/>
      <c r="BA105" s="115"/>
      <c r="BB105" s="126" t="str">
        <f t="shared" si="6"/>
        <v/>
      </c>
      <c r="BC105" s="115" t="str">
        <f t="shared" si="7"/>
        <v>INDENIZAÇÃO</v>
      </c>
      <c r="BD105" s="115" t="str">
        <f t="shared" si="8"/>
        <v>NÃO</v>
      </c>
      <c r="BE105" s="115"/>
      <c r="BF105" s="115"/>
      <c r="BG105" s="115"/>
      <c r="BH105" s="115"/>
      <c r="BI105" s="115"/>
      <c r="BJ105" s="115"/>
      <c r="BK105" s="115"/>
      <c r="BL105" s="115"/>
    </row>
    <row r="106" spans="1:64" ht="30" customHeight="1" x14ac:dyDescent="0.25">
      <c r="A106" s="115">
        <v>93</v>
      </c>
      <c r="B106" s="115" t="s">
        <v>97</v>
      </c>
      <c r="C106" s="115"/>
      <c r="D106" s="116"/>
      <c r="E106" s="115"/>
      <c r="F106" s="117"/>
      <c r="G106" s="115"/>
      <c r="H106" s="115"/>
      <c r="I106" s="115"/>
      <c r="J106" s="117"/>
      <c r="K106" s="117"/>
      <c r="L106" s="117"/>
      <c r="M106" s="115"/>
      <c r="N106" s="115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15"/>
      <c r="AB106" s="117"/>
      <c r="AC106" s="117"/>
      <c r="AD106" s="117"/>
      <c r="AE106" s="115"/>
      <c r="AF106" s="125"/>
      <c r="AG106" s="125"/>
      <c r="AH106" s="115"/>
      <c r="AI106" s="115"/>
      <c r="AJ106" s="115"/>
      <c r="AK106" s="115"/>
      <c r="AL106" s="115"/>
      <c r="AM106" s="115"/>
      <c r="AN106" s="115"/>
      <c r="AO106" s="117"/>
      <c r="AP106" s="115"/>
      <c r="AQ106" s="115"/>
      <c r="AR106" s="115"/>
      <c r="AS106" s="115"/>
      <c r="AT106" s="115"/>
      <c r="AU106" s="115"/>
      <c r="AV106" s="115"/>
      <c r="AW106" s="124"/>
      <c r="AX106" s="124"/>
      <c r="AY106" s="124"/>
      <c r="AZ106" s="115"/>
      <c r="BA106" s="115"/>
      <c r="BB106" s="126" t="str">
        <f t="shared" si="6"/>
        <v/>
      </c>
      <c r="BC106" s="115" t="str">
        <f t="shared" si="7"/>
        <v>INDENIZAÇÃO</v>
      </c>
      <c r="BD106" s="115" t="str">
        <f t="shared" si="8"/>
        <v>NÃO</v>
      </c>
      <c r="BE106" s="115"/>
      <c r="BF106" s="115"/>
      <c r="BG106" s="115"/>
      <c r="BH106" s="115"/>
      <c r="BI106" s="115"/>
      <c r="BJ106" s="115"/>
      <c r="BK106" s="115"/>
      <c r="BL106" s="115"/>
    </row>
    <row r="107" spans="1:64" ht="30" customHeight="1" x14ac:dyDescent="0.25">
      <c r="A107" s="115">
        <v>94</v>
      </c>
      <c r="B107" s="115" t="s">
        <v>97</v>
      </c>
      <c r="C107" s="115"/>
      <c r="D107" s="116"/>
      <c r="E107" s="115"/>
      <c r="F107" s="117"/>
      <c r="G107" s="115"/>
      <c r="H107" s="115"/>
      <c r="I107" s="115"/>
      <c r="J107" s="117"/>
      <c r="K107" s="117"/>
      <c r="L107" s="117"/>
      <c r="M107" s="115"/>
      <c r="N107" s="115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15"/>
      <c r="AB107" s="117"/>
      <c r="AC107" s="117"/>
      <c r="AD107" s="117"/>
      <c r="AE107" s="115"/>
      <c r="AF107" s="125"/>
      <c r="AG107" s="125"/>
      <c r="AH107" s="115"/>
      <c r="AI107" s="115"/>
      <c r="AJ107" s="115"/>
      <c r="AK107" s="115"/>
      <c r="AL107" s="115"/>
      <c r="AM107" s="115"/>
      <c r="AN107" s="115"/>
      <c r="AO107" s="117"/>
      <c r="AP107" s="115"/>
      <c r="AQ107" s="115"/>
      <c r="AR107" s="115"/>
      <c r="AS107" s="115"/>
      <c r="AT107" s="115"/>
      <c r="AU107" s="115"/>
      <c r="AV107" s="115"/>
      <c r="AW107" s="124"/>
      <c r="AX107" s="124"/>
      <c r="AY107" s="124"/>
      <c r="AZ107" s="115"/>
      <c r="BA107" s="115"/>
      <c r="BB107" s="126" t="str">
        <f t="shared" si="6"/>
        <v/>
      </c>
      <c r="BC107" s="115" t="str">
        <f t="shared" si="7"/>
        <v>INDENIZAÇÃO</v>
      </c>
      <c r="BD107" s="115" t="str">
        <f t="shared" si="8"/>
        <v>NÃO</v>
      </c>
      <c r="BE107" s="115"/>
      <c r="BF107" s="115"/>
      <c r="BG107" s="115"/>
      <c r="BH107" s="115"/>
      <c r="BI107" s="115"/>
      <c r="BJ107" s="115"/>
      <c r="BK107" s="115"/>
      <c r="BL107" s="115"/>
    </row>
    <row r="108" spans="1:64" ht="30" customHeight="1" x14ac:dyDescent="0.25">
      <c r="A108" s="115">
        <v>95</v>
      </c>
      <c r="B108" s="115" t="s">
        <v>97</v>
      </c>
      <c r="C108" s="115"/>
      <c r="D108" s="116"/>
      <c r="E108" s="115"/>
      <c r="F108" s="117"/>
      <c r="G108" s="115"/>
      <c r="H108" s="115"/>
      <c r="I108" s="115"/>
      <c r="J108" s="117"/>
      <c r="K108" s="117"/>
      <c r="L108" s="117"/>
      <c r="M108" s="115"/>
      <c r="N108" s="115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15"/>
      <c r="AB108" s="117"/>
      <c r="AC108" s="117"/>
      <c r="AD108" s="117"/>
      <c r="AE108" s="115"/>
      <c r="AF108" s="125"/>
      <c r="AG108" s="125"/>
      <c r="AH108" s="115"/>
      <c r="AI108" s="115"/>
      <c r="AJ108" s="115"/>
      <c r="AK108" s="115"/>
      <c r="AL108" s="115"/>
      <c r="AM108" s="115"/>
      <c r="AN108" s="115"/>
      <c r="AO108" s="117"/>
      <c r="AP108" s="115"/>
      <c r="AQ108" s="115"/>
      <c r="AR108" s="115"/>
      <c r="AS108" s="115"/>
      <c r="AT108" s="115"/>
      <c r="AU108" s="115"/>
      <c r="AV108" s="115"/>
      <c r="AW108" s="124"/>
      <c r="AX108" s="124"/>
      <c r="AY108" s="124"/>
      <c r="AZ108" s="115"/>
      <c r="BA108" s="115"/>
      <c r="BB108" s="126" t="str">
        <f t="shared" si="6"/>
        <v/>
      </c>
      <c r="BC108" s="115" t="str">
        <f t="shared" si="7"/>
        <v>INDENIZAÇÃO</v>
      </c>
      <c r="BD108" s="115" t="str">
        <f t="shared" si="8"/>
        <v>NÃO</v>
      </c>
      <c r="BE108" s="115"/>
      <c r="BF108" s="115"/>
      <c r="BG108" s="115"/>
      <c r="BH108" s="115"/>
      <c r="BI108" s="115"/>
      <c r="BJ108" s="115"/>
      <c r="BK108" s="115"/>
      <c r="BL108" s="115"/>
    </row>
    <row r="109" spans="1:64" ht="30" customHeight="1" x14ac:dyDescent="0.25">
      <c r="A109" s="115">
        <v>96</v>
      </c>
      <c r="B109" s="115" t="s">
        <v>97</v>
      </c>
      <c r="C109" s="115"/>
      <c r="D109" s="116"/>
      <c r="E109" s="115"/>
      <c r="F109" s="117"/>
      <c r="G109" s="115"/>
      <c r="H109" s="115"/>
      <c r="I109" s="115"/>
      <c r="J109" s="117"/>
      <c r="K109" s="117"/>
      <c r="L109" s="117"/>
      <c r="M109" s="115"/>
      <c r="N109" s="115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15"/>
      <c r="AB109" s="117"/>
      <c r="AC109" s="117"/>
      <c r="AD109" s="117"/>
      <c r="AE109" s="115"/>
      <c r="AF109" s="125"/>
      <c r="AG109" s="125"/>
      <c r="AH109" s="115"/>
      <c r="AI109" s="115"/>
      <c r="AJ109" s="115"/>
      <c r="AK109" s="115"/>
      <c r="AL109" s="115"/>
      <c r="AM109" s="115"/>
      <c r="AN109" s="115"/>
      <c r="AO109" s="117"/>
      <c r="AP109" s="115"/>
      <c r="AQ109" s="115"/>
      <c r="AR109" s="115"/>
      <c r="AS109" s="115"/>
      <c r="AT109" s="115"/>
      <c r="AU109" s="115"/>
      <c r="AV109" s="115"/>
      <c r="AW109" s="124"/>
      <c r="AX109" s="124"/>
      <c r="AY109" s="124"/>
      <c r="AZ109" s="115"/>
      <c r="BA109" s="115"/>
      <c r="BB109" s="126" t="str">
        <f t="shared" si="6"/>
        <v/>
      </c>
      <c r="BC109" s="115" t="str">
        <f t="shared" si="7"/>
        <v>INDENIZAÇÃO</v>
      </c>
      <c r="BD109" s="115" t="str">
        <f t="shared" si="8"/>
        <v>NÃO</v>
      </c>
      <c r="BE109" s="115"/>
      <c r="BF109" s="115"/>
      <c r="BG109" s="115"/>
      <c r="BH109" s="115"/>
      <c r="BI109" s="115"/>
      <c r="BJ109" s="115"/>
      <c r="BK109" s="115"/>
      <c r="BL109" s="115"/>
    </row>
    <row r="110" spans="1:64" ht="30" customHeight="1" x14ac:dyDescent="0.25">
      <c r="A110" s="115">
        <v>97</v>
      </c>
      <c r="B110" s="115" t="s">
        <v>97</v>
      </c>
      <c r="C110" s="115"/>
      <c r="D110" s="116"/>
      <c r="E110" s="115"/>
      <c r="F110" s="117"/>
      <c r="G110" s="115"/>
      <c r="H110" s="115"/>
      <c r="I110" s="115"/>
      <c r="J110" s="117"/>
      <c r="K110" s="117"/>
      <c r="L110" s="117"/>
      <c r="M110" s="115"/>
      <c r="N110" s="115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15"/>
      <c r="AB110" s="117"/>
      <c r="AC110" s="117"/>
      <c r="AD110" s="117"/>
      <c r="AE110" s="115"/>
      <c r="AF110" s="125"/>
      <c r="AG110" s="125"/>
      <c r="AH110" s="115"/>
      <c r="AI110" s="115"/>
      <c r="AJ110" s="115"/>
      <c r="AK110" s="115"/>
      <c r="AL110" s="115"/>
      <c r="AM110" s="115"/>
      <c r="AN110" s="115"/>
      <c r="AO110" s="117"/>
      <c r="AP110" s="115"/>
      <c r="AQ110" s="115"/>
      <c r="AR110" s="115"/>
      <c r="AS110" s="115"/>
      <c r="AT110" s="115"/>
      <c r="AU110" s="115"/>
      <c r="AV110" s="115"/>
      <c r="AW110" s="124"/>
      <c r="AX110" s="124"/>
      <c r="AY110" s="124"/>
      <c r="AZ110" s="115"/>
      <c r="BA110" s="115"/>
      <c r="BB110" s="126" t="str">
        <f t="shared" ref="BB110:BB144" si="9">IF(AX110-KE110=0,"",AX110-O110)</f>
        <v/>
      </c>
      <c r="BC110" s="115" t="str">
        <f t="shared" ref="BC110:BC144" si="10">IF(AND(AH110&lt;&gt;"SIM",AH110="UH"),"AA","INDENIZAÇÃO")</f>
        <v>INDENIZAÇÃO</v>
      </c>
      <c r="BD110" s="115" t="str">
        <f t="shared" ref="BD110:BD144" si="11">IF(AND(AX110&lt;&gt;"AGUARDANDO",AX110&lt;&gt;"",N110="AUXÍLIO ALUGUEL ATÉ INDENIZAÇÃO"),"SIM","NÃO")</f>
        <v>NÃO</v>
      </c>
      <c r="BE110" s="115"/>
      <c r="BF110" s="115"/>
      <c r="BG110" s="115"/>
      <c r="BH110" s="115"/>
      <c r="BI110" s="115"/>
      <c r="BJ110" s="115"/>
      <c r="BK110" s="115"/>
      <c r="BL110" s="115"/>
    </row>
    <row r="111" spans="1:64" ht="30" customHeight="1" x14ac:dyDescent="0.25">
      <c r="A111" s="115">
        <v>98</v>
      </c>
      <c r="B111" s="115" t="s">
        <v>97</v>
      </c>
      <c r="C111" s="115"/>
      <c r="D111" s="116"/>
      <c r="E111" s="115"/>
      <c r="F111" s="117"/>
      <c r="G111" s="115"/>
      <c r="H111" s="115"/>
      <c r="I111" s="115"/>
      <c r="J111" s="117"/>
      <c r="K111" s="117"/>
      <c r="L111" s="117"/>
      <c r="M111" s="115"/>
      <c r="N111" s="115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15"/>
      <c r="AB111" s="117"/>
      <c r="AC111" s="117"/>
      <c r="AD111" s="117"/>
      <c r="AE111" s="115"/>
      <c r="AF111" s="125"/>
      <c r="AG111" s="125"/>
      <c r="AH111" s="115"/>
      <c r="AI111" s="115"/>
      <c r="AJ111" s="115"/>
      <c r="AK111" s="115"/>
      <c r="AL111" s="115"/>
      <c r="AM111" s="115"/>
      <c r="AN111" s="115"/>
      <c r="AO111" s="117"/>
      <c r="AP111" s="115"/>
      <c r="AQ111" s="115"/>
      <c r="AR111" s="115"/>
      <c r="AS111" s="115"/>
      <c r="AT111" s="115"/>
      <c r="AU111" s="115"/>
      <c r="AV111" s="115"/>
      <c r="AW111" s="124"/>
      <c r="AX111" s="124"/>
      <c r="AY111" s="124"/>
      <c r="AZ111" s="115"/>
      <c r="BA111" s="115"/>
      <c r="BB111" s="126" t="str">
        <f t="shared" si="9"/>
        <v/>
      </c>
      <c r="BC111" s="115" t="str">
        <f t="shared" si="10"/>
        <v>INDENIZAÇÃO</v>
      </c>
      <c r="BD111" s="115" t="str">
        <f t="shared" si="11"/>
        <v>NÃO</v>
      </c>
      <c r="BE111" s="115"/>
      <c r="BF111" s="115"/>
      <c r="BG111" s="115"/>
      <c r="BH111" s="115"/>
      <c r="BI111" s="115"/>
      <c r="BJ111" s="115"/>
      <c r="BK111" s="115"/>
      <c r="BL111" s="115"/>
    </row>
    <row r="112" spans="1:64" ht="30" customHeight="1" x14ac:dyDescent="0.25">
      <c r="A112" s="115">
        <v>99</v>
      </c>
      <c r="B112" s="115" t="s">
        <v>97</v>
      </c>
      <c r="C112" s="115"/>
      <c r="D112" s="116"/>
      <c r="E112" s="115"/>
      <c r="F112" s="117"/>
      <c r="G112" s="115"/>
      <c r="H112" s="115"/>
      <c r="I112" s="115"/>
      <c r="J112" s="117"/>
      <c r="K112" s="117"/>
      <c r="L112" s="117"/>
      <c r="M112" s="115"/>
      <c r="N112" s="115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15"/>
      <c r="AB112" s="117"/>
      <c r="AC112" s="117"/>
      <c r="AD112" s="117"/>
      <c r="AE112" s="115"/>
      <c r="AF112" s="125"/>
      <c r="AG112" s="125"/>
      <c r="AH112" s="115"/>
      <c r="AI112" s="115"/>
      <c r="AJ112" s="115"/>
      <c r="AK112" s="115"/>
      <c r="AL112" s="115"/>
      <c r="AM112" s="115"/>
      <c r="AN112" s="115"/>
      <c r="AO112" s="117"/>
      <c r="AP112" s="115"/>
      <c r="AQ112" s="115"/>
      <c r="AR112" s="115"/>
      <c r="AS112" s="115"/>
      <c r="AT112" s="115"/>
      <c r="AU112" s="115"/>
      <c r="AV112" s="115"/>
      <c r="AW112" s="124"/>
      <c r="AX112" s="124"/>
      <c r="AY112" s="124"/>
      <c r="AZ112" s="115"/>
      <c r="BA112" s="115"/>
      <c r="BB112" s="126" t="str">
        <f t="shared" si="9"/>
        <v/>
      </c>
      <c r="BC112" s="115" t="str">
        <f t="shared" si="10"/>
        <v>INDENIZAÇÃO</v>
      </c>
      <c r="BD112" s="115" t="str">
        <f t="shared" si="11"/>
        <v>NÃO</v>
      </c>
      <c r="BE112" s="115"/>
      <c r="BF112" s="115"/>
      <c r="BG112" s="115"/>
      <c r="BH112" s="115"/>
      <c r="BI112" s="115"/>
      <c r="BJ112" s="115"/>
      <c r="BK112" s="115"/>
      <c r="BL112" s="115"/>
    </row>
    <row r="113" spans="1:64" ht="30" customHeight="1" x14ac:dyDescent="0.25">
      <c r="A113" s="115">
        <v>100</v>
      </c>
      <c r="B113" s="115" t="s">
        <v>97</v>
      </c>
      <c r="C113" s="115"/>
      <c r="D113" s="116"/>
      <c r="E113" s="115"/>
      <c r="F113" s="117"/>
      <c r="G113" s="115"/>
      <c r="H113" s="115"/>
      <c r="I113" s="115"/>
      <c r="J113" s="117"/>
      <c r="K113" s="117"/>
      <c r="L113" s="117"/>
      <c r="M113" s="115"/>
      <c r="N113" s="115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15"/>
      <c r="AB113" s="117"/>
      <c r="AC113" s="117"/>
      <c r="AD113" s="117"/>
      <c r="AE113" s="115"/>
      <c r="AF113" s="125"/>
      <c r="AG113" s="125"/>
      <c r="AH113" s="115"/>
      <c r="AI113" s="115"/>
      <c r="AJ113" s="115"/>
      <c r="AK113" s="115"/>
      <c r="AL113" s="115"/>
      <c r="AM113" s="115"/>
      <c r="AN113" s="115"/>
      <c r="AO113" s="117"/>
      <c r="AP113" s="115"/>
      <c r="AQ113" s="115"/>
      <c r="AR113" s="115"/>
      <c r="AS113" s="115"/>
      <c r="AT113" s="115"/>
      <c r="AU113" s="115"/>
      <c r="AV113" s="115"/>
      <c r="AW113" s="124"/>
      <c r="AX113" s="124"/>
      <c r="AY113" s="124"/>
      <c r="AZ113" s="115"/>
      <c r="BA113" s="115"/>
      <c r="BB113" s="126" t="str">
        <f t="shared" si="9"/>
        <v/>
      </c>
      <c r="BC113" s="115" t="str">
        <f t="shared" si="10"/>
        <v>INDENIZAÇÃO</v>
      </c>
      <c r="BD113" s="115" t="str">
        <f t="shared" si="11"/>
        <v>NÃO</v>
      </c>
      <c r="BE113" s="115"/>
      <c r="BF113" s="115"/>
      <c r="BG113" s="115"/>
      <c r="BH113" s="115"/>
      <c r="BI113" s="115"/>
      <c r="BJ113" s="115"/>
      <c r="BK113" s="115"/>
      <c r="BL113" s="115"/>
    </row>
    <row r="114" spans="1:64" ht="30" customHeight="1" x14ac:dyDescent="0.25">
      <c r="A114" s="115">
        <v>101</v>
      </c>
      <c r="B114" s="115" t="s">
        <v>97</v>
      </c>
      <c r="C114" s="115"/>
      <c r="D114" s="116"/>
      <c r="E114" s="115"/>
      <c r="F114" s="117"/>
      <c r="G114" s="115"/>
      <c r="H114" s="115"/>
      <c r="I114" s="115"/>
      <c r="J114" s="117"/>
      <c r="K114" s="117"/>
      <c r="L114" s="117"/>
      <c r="M114" s="115"/>
      <c r="N114" s="115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15"/>
      <c r="AB114" s="117"/>
      <c r="AC114" s="117"/>
      <c r="AD114" s="117"/>
      <c r="AE114" s="115"/>
      <c r="AF114" s="125"/>
      <c r="AG114" s="125"/>
      <c r="AH114" s="115"/>
      <c r="AI114" s="115"/>
      <c r="AJ114" s="115"/>
      <c r="AK114" s="115"/>
      <c r="AL114" s="115"/>
      <c r="AM114" s="115"/>
      <c r="AN114" s="115"/>
      <c r="AO114" s="117"/>
      <c r="AP114" s="115"/>
      <c r="AQ114" s="115"/>
      <c r="AR114" s="115"/>
      <c r="AS114" s="115"/>
      <c r="AT114" s="115"/>
      <c r="AU114" s="115"/>
      <c r="AV114" s="115"/>
      <c r="AW114" s="124"/>
      <c r="AX114" s="124"/>
      <c r="AY114" s="124"/>
      <c r="AZ114" s="115"/>
      <c r="BA114" s="115"/>
      <c r="BB114" s="126" t="str">
        <f t="shared" si="9"/>
        <v/>
      </c>
      <c r="BC114" s="115" t="str">
        <f t="shared" si="10"/>
        <v>INDENIZAÇÃO</v>
      </c>
      <c r="BD114" s="115" t="str">
        <f t="shared" si="11"/>
        <v>NÃO</v>
      </c>
      <c r="BE114" s="115"/>
      <c r="BF114" s="115"/>
      <c r="BG114" s="115"/>
      <c r="BH114" s="115"/>
      <c r="BI114" s="115"/>
      <c r="BJ114" s="115"/>
      <c r="BK114" s="115"/>
      <c r="BL114" s="115"/>
    </row>
    <row r="115" spans="1:64" ht="30" customHeight="1" x14ac:dyDescent="0.25">
      <c r="A115" s="115">
        <v>102</v>
      </c>
      <c r="B115" s="115" t="s">
        <v>97</v>
      </c>
      <c r="C115" s="115"/>
      <c r="D115" s="116"/>
      <c r="E115" s="115"/>
      <c r="F115" s="117"/>
      <c r="G115" s="115"/>
      <c r="H115" s="115"/>
      <c r="I115" s="115"/>
      <c r="J115" s="117"/>
      <c r="K115" s="117"/>
      <c r="L115" s="117"/>
      <c r="M115" s="115"/>
      <c r="N115" s="115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15"/>
      <c r="AB115" s="117"/>
      <c r="AC115" s="117"/>
      <c r="AD115" s="117"/>
      <c r="AE115" s="115"/>
      <c r="AF115" s="125"/>
      <c r="AG115" s="125"/>
      <c r="AH115" s="115"/>
      <c r="AI115" s="115"/>
      <c r="AJ115" s="115"/>
      <c r="AK115" s="115"/>
      <c r="AL115" s="115"/>
      <c r="AM115" s="115"/>
      <c r="AN115" s="115"/>
      <c r="AO115" s="117"/>
      <c r="AP115" s="115"/>
      <c r="AQ115" s="115"/>
      <c r="AR115" s="115"/>
      <c r="AS115" s="115"/>
      <c r="AT115" s="115"/>
      <c r="AU115" s="115"/>
      <c r="AV115" s="115"/>
      <c r="AW115" s="124"/>
      <c r="AX115" s="124"/>
      <c r="AY115" s="124"/>
      <c r="AZ115" s="115"/>
      <c r="BA115" s="115"/>
      <c r="BB115" s="126" t="str">
        <f t="shared" si="9"/>
        <v/>
      </c>
      <c r="BC115" s="115" t="str">
        <f t="shared" si="10"/>
        <v>INDENIZAÇÃO</v>
      </c>
      <c r="BD115" s="115" t="str">
        <f t="shared" si="11"/>
        <v>NÃO</v>
      </c>
      <c r="BE115" s="115"/>
      <c r="BF115" s="115"/>
      <c r="BG115" s="115"/>
      <c r="BH115" s="115"/>
      <c r="BI115" s="115"/>
      <c r="BJ115" s="115"/>
      <c r="BK115" s="115"/>
      <c r="BL115" s="115"/>
    </row>
    <row r="116" spans="1:64" ht="30" customHeight="1" x14ac:dyDescent="0.25">
      <c r="A116" s="115">
        <v>103</v>
      </c>
      <c r="B116" s="115" t="s">
        <v>97</v>
      </c>
      <c r="C116" s="115"/>
      <c r="D116" s="116"/>
      <c r="E116" s="115"/>
      <c r="F116" s="117"/>
      <c r="G116" s="115"/>
      <c r="H116" s="115"/>
      <c r="I116" s="115"/>
      <c r="J116" s="117"/>
      <c r="K116" s="117"/>
      <c r="L116" s="117"/>
      <c r="M116" s="115"/>
      <c r="N116" s="115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15"/>
      <c r="AB116" s="117"/>
      <c r="AC116" s="117"/>
      <c r="AD116" s="117"/>
      <c r="AE116" s="115"/>
      <c r="AF116" s="125"/>
      <c r="AG116" s="125"/>
      <c r="AH116" s="115"/>
      <c r="AI116" s="115"/>
      <c r="AJ116" s="115"/>
      <c r="AK116" s="115"/>
      <c r="AL116" s="115"/>
      <c r="AM116" s="115"/>
      <c r="AN116" s="115"/>
      <c r="AO116" s="117"/>
      <c r="AP116" s="115"/>
      <c r="AQ116" s="115"/>
      <c r="AR116" s="115"/>
      <c r="AS116" s="115"/>
      <c r="AT116" s="115"/>
      <c r="AU116" s="115"/>
      <c r="AV116" s="115"/>
      <c r="AW116" s="124"/>
      <c r="AX116" s="124"/>
      <c r="AY116" s="124"/>
      <c r="AZ116" s="115"/>
      <c r="BA116" s="115"/>
      <c r="BB116" s="126" t="str">
        <f t="shared" si="9"/>
        <v/>
      </c>
      <c r="BC116" s="115" t="str">
        <f t="shared" si="10"/>
        <v>INDENIZAÇÃO</v>
      </c>
      <c r="BD116" s="115" t="str">
        <f t="shared" si="11"/>
        <v>NÃO</v>
      </c>
      <c r="BE116" s="115"/>
      <c r="BF116" s="115"/>
      <c r="BG116" s="115"/>
      <c r="BH116" s="115"/>
      <c r="BI116" s="115"/>
      <c r="BJ116" s="115"/>
      <c r="BK116" s="115"/>
      <c r="BL116" s="115"/>
    </row>
    <row r="117" spans="1:64" ht="30" customHeight="1" x14ac:dyDescent="0.25">
      <c r="A117" s="115">
        <v>104</v>
      </c>
      <c r="B117" s="115" t="s">
        <v>97</v>
      </c>
      <c r="C117" s="115"/>
      <c r="D117" s="116"/>
      <c r="E117" s="115"/>
      <c r="F117" s="117"/>
      <c r="G117" s="115"/>
      <c r="H117" s="115"/>
      <c r="I117" s="115"/>
      <c r="J117" s="117"/>
      <c r="K117" s="117"/>
      <c r="L117" s="117"/>
      <c r="M117" s="115"/>
      <c r="N117" s="115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15"/>
      <c r="AB117" s="117"/>
      <c r="AC117" s="117"/>
      <c r="AD117" s="117"/>
      <c r="AE117" s="115"/>
      <c r="AF117" s="125"/>
      <c r="AG117" s="125"/>
      <c r="AH117" s="115"/>
      <c r="AI117" s="115"/>
      <c r="AJ117" s="115"/>
      <c r="AK117" s="115"/>
      <c r="AL117" s="115"/>
      <c r="AM117" s="115"/>
      <c r="AN117" s="115"/>
      <c r="AO117" s="117"/>
      <c r="AP117" s="115"/>
      <c r="AQ117" s="115"/>
      <c r="AR117" s="115"/>
      <c r="AS117" s="115"/>
      <c r="AT117" s="115"/>
      <c r="AU117" s="115"/>
      <c r="AV117" s="115"/>
      <c r="AW117" s="124"/>
      <c r="AX117" s="124"/>
      <c r="AY117" s="124"/>
      <c r="AZ117" s="115"/>
      <c r="BA117" s="115"/>
      <c r="BB117" s="126" t="str">
        <f t="shared" si="9"/>
        <v/>
      </c>
      <c r="BC117" s="115" t="str">
        <f t="shared" si="10"/>
        <v>INDENIZAÇÃO</v>
      </c>
      <c r="BD117" s="115" t="str">
        <f t="shared" si="11"/>
        <v>NÃO</v>
      </c>
      <c r="BE117" s="115"/>
      <c r="BF117" s="115"/>
      <c r="BG117" s="115"/>
      <c r="BH117" s="115"/>
      <c r="BI117" s="115"/>
      <c r="BJ117" s="115"/>
      <c r="BK117" s="115"/>
      <c r="BL117" s="115"/>
    </row>
    <row r="118" spans="1:64" ht="30" customHeight="1" x14ac:dyDescent="0.25">
      <c r="A118" s="115">
        <v>105</v>
      </c>
      <c r="B118" s="115" t="s">
        <v>97</v>
      </c>
      <c r="C118" s="115"/>
      <c r="D118" s="116"/>
      <c r="E118" s="115"/>
      <c r="F118" s="117"/>
      <c r="G118" s="115"/>
      <c r="H118" s="115"/>
      <c r="I118" s="115"/>
      <c r="J118" s="117"/>
      <c r="K118" s="117"/>
      <c r="L118" s="117"/>
      <c r="M118" s="115"/>
      <c r="N118" s="115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15"/>
      <c r="AB118" s="117"/>
      <c r="AC118" s="117"/>
      <c r="AD118" s="117"/>
      <c r="AE118" s="115"/>
      <c r="AF118" s="125"/>
      <c r="AG118" s="125"/>
      <c r="AH118" s="115"/>
      <c r="AI118" s="115"/>
      <c r="AJ118" s="115"/>
      <c r="AK118" s="115"/>
      <c r="AL118" s="115"/>
      <c r="AM118" s="115"/>
      <c r="AN118" s="115"/>
      <c r="AO118" s="117"/>
      <c r="AP118" s="115"/>
      <c r="AQ118" s="115"/>
      <c r="AR118" s="115"/>
      <c r="AS118" s="115"/>
      <c r="AT118" s="115"/>
      <c r="AU118" s="115"/>
      <c r="AV118" s="115"/>
      <c r="AW118" s="124"/>
      <c r="AX118" s="124"/>
      <c r="AY118" s="124"/>
      <c r="AZ118" s="115"/>
      <c r="BA118" s="115"/>
      <c r="BB118" s="126" t="str">
        <f t="shared" si="9"/>
        <v/>
      </c>
      <c r="BC118" s="115" t="str">
        <f t="shared" si="10"/>
        <v>INDENIZAÇÃO</v>
      </c>
      <c r="BD118" s="115" t="str">
        <f t="shared" si="11"/>
        <v>NÃO</v>
      </c>
      <c r="BE118" s="115"/>
      <c r="BF118" s="115"/>
      <c r="BG118" s="115"/>
      <c r="BH118" s="115"/>
      <c r="BI118" s="115"/>
      <c r="BJ118" s="115"/>
      <c r="BK118" s="115"/>
      <c r="BL118" s="115"/>
    </row>
    <row r="119" spans="1:64" ht="30" customHeight="1" x14ac:dyDescent="0.25">
      <c r="A119" s="115">
        <v>106</v>
      </c>
      <c r="B119" s="115" t="s">
        <v>97</v>
      </c>
      <c r="C119" s="115"/>
      <c r="D119" s="116"/>
      <c r="E119" s="115"/>
      <c r="F119" s="117"/>
      <c r="G119" s="115"/>
      <c r="H119" s="115"/>
      <c r="I119" s="115"/>
      <c r="J119" s="117"/>
      <c r="K119" s="117"/>
      <c r="L119" s="117"/>
      <c r="M119" s="115"/>
      <c r="N119" s="115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15"/>
      <c r="AB119" s="117"/>
      <c r="AC119" s="117"/>
      <c r="AD119" s="117"/>
      <c r="AE119" s="115"/>
      <c r="AF119" s="125"/>
      <c r="AG119" s="125"/>
      <c r="AH119" s="115"/>
      <c r="AI119" s="115"/>
      <c r="AJ119" s="115"/>
      <c r="AK119" s="115"/>
      <c r="AL119" s="115"/>
      <c r="AM119" s="115"/>
      <c r="AN119" s="115"/>
      <c r="AO119" s="117"/>
      <c r="AP119" s="115"/>
      <c r="AQ119" s="115"/>
      <c r="AR119" s="115"/>
      <c r="AS119" s="115"/>
      <c r="AT119" s="115"/>
      <c r="AU119" s="115"/>
      <c r="AV119" s="115"/>
      <c r="AW119" s="124"/>
      <c r="AX119" s="124"/>
      <c r="AY119" s="124"/>
      <c r="AZ119" s="115"/>
      <c r="BA119" s="115"/>
      <c r="BB119" s="126" t="str">
        <f t="shared" si="9"/>
        <v/>
      </c>
      <c r="BC119" s="115" t="str">
        <f t="shared" si="10"/>
        <v>INDENIZAÇÃO</v>
      </c>
      <c r="BD119" s="115" t="str">
        <f t="shared" si="11"/>
        <v>NÃO</v>
      </c>
      <c r="BE119" s="115"/>
      <c r="BF119" s="115"/>
      <c r="BG119" s="115"/>
      <c r="BH119" s="115"/>
      <c r="BI119" s="115"/>
      <c r="BJ119" s="115"/>
      <c r="BK119" s="115"/>
      <c r="BL119" s="115"/>
    </row>
    <row r="120" spans="1:64" ht="30" customHeight="1" x14ac:dyDescent="0.25">
      <c r="A120" s="115">
        <v>107</v>
      </c>
      <c r="B120" s="115" t="s">
        <v>97</v>
      </c>
      <c r="C120" s="115"/>
      <c r="D120" s="116"/>
      <c r="E120" s="115"/>
      <c r="F120" s="117"/>
      <c r="G120" s="115"/>
      <c r="H120" s="115"/>
      <c r="I120" s="115"/>
      <c r="J120" s="117"/>
      <c r="K120" s="117"/>
      <c r="L120" s="117"/>
      <c r="M120" s="115"/>
      <c r="N120" s="115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15"/>
      <c r="AB120" s="117"/>
      <c r="AC120" s="117"/>
      <c r="AD120" s="117"/>
      <c r="AE120" s="115"/>
      <c r="AF120" s="125"/>
      <c r="AG120" s="125"/>
      <c r="AH120" s="115"/>
      <c r="AI120" s="115"/>
      <c r="AJ120" s="115"/>
      <c r="AK120" s="115"/>
      <c r="AL120" s="115"/>
      <c r="AM120" s="115"/>
      <c r="AN120" s="115"/>
      <c r="AO120" s="117"/>
      <c r="AP120" s="115"/>
      <c r="AQ120" s="115"/>
      <c r="AR120" s="115"/>
      <c r="AS120" s="115"/>
      <c r="AT120" s="115"/>
      <c r="AU120" s="115"/>
      <c r="AV120" s="115"/>
      <c r="AW120" s="124"/>
      <c r="AX120" s="124"/>
      <c r="AY120" s="124"/>
      <c r="AZ120" s="115"/>
      <c r="BA120" s="115"/>
      <c r="BB120" s="126" t="str">
        <f t="shared" si="9"/>
        <v/>
      </c>
      <c r="BC120" s="115" t="str">
        <f t="shared" si="10"/>
        <v>INDENIZAÇÃO</v>
      </c>
      <c r="BD120" s="115" t="str">
        <f t="shared" si="11"/>
        <v>NÃO</v>
      </c>
      <c r="BE120" s="115"/>
      <c r="BF120" s="115"/>
      <c r="BG120" s="115"/>
      <c r="BH120" s="115"/>
      <c r="BI120" s="115"/>
      <c r="BJ120" s="115"/>
      <c r="BK120" s="115"/>
      <c r="BL120" s="115"/>
    </row>
    <row r="121" spans="1:64" ht="30" customHeight="1" x14ac:dyDescent="0.25">
      <c r="A121" s="115">
        <v>108</v>
      </c>
      <c r="B121" s="115" t="s">
        <v>97</v>
      </c>
      <c r="C121" s="115"/>
      <c r="D121" s="116"/>
      <c r="E121" s="115"/>
      <c r="F121" s="117"/>
      <c r="G121" s="115"/>
      <c r="H121" s="115"/>
      <c r="I121" s="115"/>
      <c r="J121" s="117"/>
      <c r="K121" s="117"/>
      <c r="L121" s="117"/>
      <c r="M121" s="115"/>
      <c r="N121" s="115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15"/>
      <c r="AB121" s="117"/>
      <c r="AC121" s="117"/>
      <c r="AD121" s="117"/>
      <c r="AE121" s="115"/>
      <c r="AF121" s="125"/>
      <c r="AG121" s="125"/>
      <c r="AH121" s="115"/>
      <c r="AI121" s="115"/>
      <c r="AJ121" s="115"/>
      <c r="AK121" s="115"/>
      <c r="AL121" s="115"/>
      <c r="AM121" s="115"/>
      <c r="AN121" s="115"/>
      <c r="AO121" s="117"/>
      <c r="AP121" s="115"/>
      <c r="AQ121" s="115"/>
      <c r="AR121" s="115"/>
      <c r="AS121" s="115"/>
      <c r="AT121" s="115"/>
      <c r="AU121" s="115"/>
      <c r="AV121" s="115"/>
      <c r="AW121" s="124"/>
      <c r="AX121" s="124"/>
      <c r="AY121" s="124"/>
      <c r="AZ121" s="115"/>
      <c r="BA121" s="115"/>
      <c r="BB121" s="126" t="str">
        <f t="shared" si="9"/>
        <v/>
      </c>
      <c r="BC121" s="115" t="str">
        <f t="shared" si="10"/>
        <v>INDENIZAÇÃO</v>
      </c>
      <c r="BD121" s="115" t="str">
        <f t="shared" si="11"/>
        <v>NÃO</v>
      </c>
      <c r="BE121" s="115"/>
      <c r="BF121" s="115"/>
      <c r="BG121" s="115"/>
      <c r="BH121" s="115"/>
      <c r="BI121" s="115"/>
      <c r="BJ121" s="115"/>
      <c r="BK121" s="115"/>
      <c r="BL121" s="115"/>
    </row>
    <row r="122" spans="1:64" ht="30" customHeight="1" x14ac:dyDescent="0.25">
      <c r="A122" s="115">
        <v>109</v>
      </c>
      <c r="B122" s="115" t="s">
        <v>97</v>
      </c>
      <c r="C122" s="115"/>
      <c r="D122" s="116"/>
      <c r="E122" s="115"/>
      <c r="F122" s="117"/>
      <c r="G122" s="115"/>
      <c r="H122" s="115"/>
      <c r="I122" s="115"/>
      <c r="J122" s="117"/>
      <c r="K122" s="117"/>
      <c r="L122" s="117"/>
      <c r="M122" s="115"/>
      <c r="N122" s="115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15"/>
      <c r="AB122" s="117"/>
      <c r="AC122" s="117"/>
      <c r="AD122" s="117"/>
      <c r="AE122" s="115"/>
      <c r="AF122" s="125"/>
      <c r="AG122" s="125"/>
      <c r="AH122" s="115"/>
      <c r="AI122" s="115"/>
      <c r="AJ122" s="115"/>
      <c r="AK122" s="115"/>
      <c r="AL122" s="115"/>
      <c r="AM122" s="115"/>
      <c r="AN122" s="115"/>
      <c r="AO122" s="117"/>
      <c r="AP122" s="115"/>
      <c r="AQ122" s="115"/>
      <c r="AR122" s="115"/>
      <c r="AS122" s="115"/>
      <c r="AT122" s="115"/>
      <c r="AU122" s="115"/>
      <c r="AV122" s="115"/>
      <c r="AW122" s="124"/>
      <c r="AX122" s="124"/>
      <c r="AY122" s="124"/>
      <c r="AZ122" s="115"/>
      <c r="BA122" s="115"/>
      <c r="BB122" s="126" t="str">
        <f t="shared" si="9"/>
        <v/>
      </c>
      <c r="BC122" s="115" t="str">
        <f t="shared" si="10"/>
        <v>INDENIZAÇÃO</v>
      </c>
      <c r="BD122" s="115" t="str">
        <f t="shared" si="11"/>
        <v>NÃO</v>
      </c>
      <c r="BE122" s="115"/>
      <c r="BF122" s="115"/>
      <c r="BG122" s="115"/>
      <c r="BH122" s="115"/>
      <c r="BI122" s="115"/>
      <c r="BJ122" s="115"/>
      <c r="BK122" s="115"/>
      <c r="BL122" s="115"/>
    </row>
    <row r="123" spans="1:64" ht="30" customHeight="1" x14ac:dyDescent="0.25">
      <c r="A123" s="115">
        <v>110</v>
      </c>
      <c r="B123" s="115" t="s">
        <v>97</v>
      </c>
      <c r="C123" s="115"/>
      <c r="D123" s="116"/>
      <c r="E123" s="115"/>
      <c r="F123" s="117"/>
      <c r="G123" s="115"/>
      <c r="H123" s="115"/>
      <c r="I123" s="115"/>
      <c r="J123" s="117"/>
      <c r="K123" s="117"/>
      <c r="L123" s="117"/>
      <c r="M123" s="115"/>
      <c r="N123" s="115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15"/>
      <c r="AB123" s="117"/>
      <c r="AC123" s="117"/>
      <c r="AD123" s="117"/>
      <c r="AE123" s="115"/>
      <c r="AF123" s="125"/>
      <c r="AG123" s="125"/>
      <c r="AH123" s="115"/>
      <c r="AI123" s="115"/>
      <c r="AJ123" s="115"/>
      <c r="AK123" s="115"/>
      <c r="AL123" s="115"/>
      <c r="AM123" s="115"/>
      <c r="AN123" s="115"/>
      <c r="AO123" s="117"/>
      <c r="AP123" s="115"/>
      <c r="AQ123" s="115"/>
      <c r="AR123" s="115"/>
      <c r="AS123" s="115"/>
      <c r="AT123" s="115"/>
      <c r="AU123" s="115"/>
      <c r="AV123" s="115"/>
      <c r="AW123" s="124"/>
      <c r="AX123" s="124"/>
      <c r="AY123" s="124"/>
      <c r="AZ123" s="115"/>
      <c r="BA123" s="115"/>
      <c r="BB123" s="126" t="str">
        <f t="shared" si="9"/>
        <v/>
      </c>
      <c r="BC123" s="115" t="str">
        <f t="shared" si="10"/>
        <v>INDENIZAÇÃO</v>
      </c>
      <c r="BD123" s="115" t="str">
        <f t="shared" si="11"/>
        <v>NÃO</v>
      </c>
      <c r="BE123" s="115"/>
      <c r="BF123" s="115"/>
      <c r="BG123" s="115"/>
      <c r="BH123" s="115"/>
      <c r="BI123" s="115"/>
      <c r="BJ123" s="115"/>
      <c r="BK123" s="115"/>
      <c r="BL123" s="115"/>
    </row>
    <row r="124" spans="1:64" ht="30" customHeight="1" x14ac:dyDescent="0.25">
      <c r="A124" s="115">
        <v>111</v>
      </c>
      <c r="B124" s="115" t="s">
        <v>97</v>
      </c>
      <c r="C124" s="115"/>
      <c r="D124" s="116"/>
      <c r="E124" s="115"/>
      <c r="F124" s="117"/>
      <c r="G124" s="115"/>
      <c r="H124" s="115"/>
      <c r="I124" s="115"/>
      <c r="J124" s="117"/>
      <c r="K124" s="117"/>
      <c r="L124" s="117"/>
      <c r="M124" s="115"/>
      <c r="N124" s="115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15"/>
      <c r="AB124" s="117"/>
      <c r="AC124" s="117"/>
      <c r="AD124" s="117"/>
      <c r="AE124" s="115"/>
      <c r="AF124" s="125"/>
      <c r="AG124" s="125"/>
      <c r="AH124" s="115"/>
      <c r="AI124" s="115"/>
      <c r="AJ124" s="115"/>
      <c r="AK124" s="115"/>
      <c r="AL124" s="115"/>
      <c r="AM124" s="115"/>
      <c r="AN124" s="115"/>
      <c r="AO124" s="117"/>
      <c r="AP124" s="115"/>
      <c r="AQ124" s="115"/>
      <c r="AR124" s="115"/>
      <c r="AS124" s="115"/>
      <c r="AT124" s="115"/>
      <c r="AU124" s="115"/>
      <c r="AV124" s="115"/>
      <c r="AW124" s="124"/>
      <c r="AX124" s="124"/>
      <c r="AY124" s="124"/>
      <c r="AZ124" s="115"/>
      <c r="BA124" s="115"/>
      <c r="BB124" s="126" t="str">
        <f t="shared" si="9"/>
        <v/>
      </c>
      <c r="BC124" s="115" t="str">
        <f t="shared" si="10"/>
        <v>INDENIZAÇÃO</v>
      </c>
      <c r="BD124" s="115" t="str">
        <f t="shared" si="11"/>
        <v>NÃO</v>
      </c>
      <c r="BE124" s="115"/>
      <c r="BF124" s="115"/>
      <c r="BG124" s="115"/>
      <c r="BH124" s="115"/>
      <c r="BI124" s="115"/>
      <c r="BJ124" s="115"/>
      <c r="BK124" s="115"/>
      <c r="BL124" s="115"/>
    </row>
    <row r="125" spans="1:64" ht="30" customHeight="1" x14ac:dyDescent="0.25">
      <c r="A125" s="115">
        <v>112</v>
      </c>
      <c r="B125" s="115" t="s">
        <v>97</v>
      </c>
      <c r="C125" s="115"/>
      <c r="D125" s="116"/>
      <c r="E125" s="115"/>
      <c r="F125" s="117"/>
      <c r="G125" s="115"/>
      <c r="H125" s="115"/>
      <c r="I125" s="115"/>
      <c r="J125" s="117"/>
      <c r="K125" s="117"/>
      <c r="L125" s="117"/>
      <c r="M125" s="115"/>
      <c r="N125" s="115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15"/>
      <c r="AB125" s="117"/>
      <c r="AC125" s="117"/>
      <c r="AD125" s="117"/>
      <c r="AE125" s="115"/>
      <c r="AF125" s="125"/>
      <c r="AG125" s="125"/>
      <c r="AH125" s="115"/>
      <c r="AI125" s="115"/>
      <c r="AJ125" s="115"/>
      <c r="AK125" s="115"/>
      <c r="AL125" s="115"/>
      <c r="AM125" s="115"/>
      <c r="AN125" s="115"/>
      <c r="AO125" s="117"/>
      <c r="AP125" s="115"/>
      <c r="AQ125" s="115"/>
      <c r="AR125" s="115"/>
      <c r="AS125" s="115"/>
      <c r="AT125" s="115"/>
      <c r="AU125" s="115"/>
      <c r="AV125" s="115"/>
      <c r="AW125" s="124"/>
      <c r="AX125" s="124"/>
      <c r="AY125" s="124"/>
      <c r="AZ125" s="115"/>
      <c r="BA125" s="115"/>
      <c r="BB125" s="126" t="str">
        <f t="shared" si="9"/>
        <v/>
      </c>
      <c r="BC125" s="115" t="str">
        <f t="shared" si="10"/>
        <v>INDENIZAÇÃO</v>
      </c>
      <c r="BD125" s="115" t="str">
        <f t="shared" si="11"/>
        <v>NÃO</v>
      </c>
      <c r="BE125" s="115"/>
      <c r="BF125" s="115"/>
      <c r="BG125" s="115"/>
      <c r="BH125" s="115"/>
      <c r="BI125" s="115"/>
      <c r="BJ125" s="115"/>
      <c r="BK125" s="115"/>
      <c r="BL125" s="115"/>
    </row>
    <row r="126" spans="1:64" ht="30" customHeight="1" x14ac:dyDescent="0.25">
      <c r="A126" s="115">
        <v>113</v>
      </c>
      <c r="B126" s="115" t="s">
        <v>97</v>
      </c>
      <c r="C126" s="115"/>
      <c r="D126" s="116"/>
      <c r="E126" s="115"/>
      <c r="F126" s="117"/>
      <c r="G126" s="115"/>
      <c r="H126" s="115"/>
      <c r="I126" s="115"/>
      <c r="J126" s="117"/>
      <c r="K126" s="117"/>
      <c r="L126" s="117"/>
      <c r="M126" s="115"/>
      <c r="N126" s="115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15"/>
      <c r="AB126" s="117"/>
      <c r="AC126" s="117"/>
      <c r="AD126" s="117"/>
      <c r="AE126" s="115"/>
      <c r="AF126" s="125"/>
      <c r="AG126" s="125"/>
      <c r="AH126" s="115"/>
      <c r="AI126" s="115"/>
      <c r="AJ126" s="115"/>
      <c r="AK126" s="115"/>
      <c r="AL126" s="115"/>
      <c r="AM126" s="115"/>
      <c r="AN126" s="115"/>
      <c r="AO126" s="117"/>
      <c r="AP126" s="115"/>
      <c r="AQ126" s="115"/>
      <c r="AR126" s="115"/>
      <c r="AS126" s="115"/>
      <c r="AT126" s="115"/>
      <c r="AU126" s="115"/>
      <c r="AV126" s="115"/>
      <c r="AW126" s="124"/>
      <c r="AX126" s="124"/>
      <c r="AY126" s="124"/>
      <c r="AZ126" s="115"/>
      <c r="BA126" s="115"/>
      <c r="BB126" s="126" t="str">
        <f t="shared" si="9"/>
        <v/>
      </c>
      <c r="BC126" s="115" t="str">
        <f t="shared" si="10"/>
        <v>INDENIZAÇÃO</v>
      </c>
      <c r="BD126" s="115" t="str">
        <f t="shared" si="11"/>
        <v>NÃO</v>
      </c>
      <c r="BE126" s="115"/>
      <c r="BF126" s="115"/>
      <c r="BG126" s="115"/>
      <c r="BH126" s="115"/>
      <c r="BI126" s="115"/>
      <c r="BJ126" s="115"/>
      <c r="BK126" s="115"/>
      <c r="BL126" s="115"/>
    </row>
    <row r="127" spans="1:64" ht="30" customHeight="1" x14ac:dyDescent="0.25">
      <c r="A127" s="115">
        <v>114</v>
      </c>
      <c r="B127" s="115" t="s">
        <v>97</v>
      </c>
      <c r="C127" s="115"/>
      <c r="D127" s="116"/>
      <c r="E127" s="115"/>
      <c r="F127" s="117"/>
      <c r="G127" s="115"/>
      <c r="H127" s="115"/>
      <c r="I127" s="115"/>
      <c r="J127" s="117"/>
      <c r="K127" s="117"/>
      <c r="L127" s="117"/>
      <c r="M127" s="115"/>
      <c r="N127" s="115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15"/>
      <c r="AB127" s="117"/>
      <c r="AC127" s="117"/>
      <c r="AD127" s="117"/>
      <c r="AE127" s="115"/>
      <c r="AF127" s="125"/>
      <c r="AG127" s="125"/>
      <c r="AH127" s="115"/>
      <c r="AI127" s="115"/>
      <c r="AJ127" s="115"/>
      <c r="AK127" s="115"/>
      <c r="AL127" s="115"/>
      <c r="AM127" s="115"/>
      <c r="AN127" s="115"/>
      <c r="AO127" s="117"/>
      <c r="AP127" s="115"/>
      <c r="AQ127" s="115"/>
      <c r="AR127" s="115"/>
      <c r="AS127" s="115"/>
      <c r="AT127" s="115"/>
      <c r="AU127" s="115"/>
      <c r="AV127" s="115"/>
      <c r="AW127" s="124"/>
      <c r="AX127" s="124"/>
      <c r="AY127" s="124"/>
      <c r="AZ127" s="115"/>
      <c r="BA127" s="115"/>
      <c r="BB127" s="126" t="str">
        <f t="shared" si="9"/>
        <v/>
      </c>
      <c r="BC127" s="115" t="str">
        <f t="shared" si="10"/>
        <v>INDENIZAÇÃO</v>
      </c>
      <c r="BD127" s="115" t="str">
        <f t="shared" si="11"/>
        <v>NÃO</v>
      </c>
      <c r="BE127" s="115"/>
      <c r="BF127" s="115"/>
      <c r="BG127" s="115"/>
      <c r="BH127" s="115"/>
      <c r="BI127" s="115"/>
      <c r="BJ127" s="115"/>
      <c r="BK127" s="115"/>
      <c r="BL127" s="115"/>
    </row>
    <row r="128" spans="1:64" ht="30" customHeight="1" x14ac:dyDescent="0.25">
      <c r="A128" s="115">
        <v>115</v>
      </c>
      <c r="B128" s="115" t="s">
        <v>97</v>
      </c>
      <c r="C128" s="115"/>
      <c r="D128" s="116"/>
      <c r="E128" s="115"/>
      <c r="F128" s="117"/>
      <c r="G128" s="115"/>
      <c r="H128" s="115"/>
      <c r="I128" s="115"/>
      <c r="J128" s="117"/>
      <c r="K128" s="117"/>
      <c r="L128" s="117"/>
      <c r="M128" s="115"/>
      <c r="N128" s="115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15"/>
      <c r="AB128" s="117"/>
      <c r="AC128" s="117"/>
      <c r="AD128" s="117"/>
      <c r="AE128" s="115"/>
      <c r="AF128" s="125"/>
      <c r="AG128" s="125"/>
      <c r="AH128" s="115"/>
      <c r="AI128" s="115"/>
      <c r="AJ128" s="115"/>
      <c r="AK128" s="115"/>
      <c r="AL128" s="115"/>
      <c r="AM128" s="115"/>
      <c r="AN128" s="115"/>
      <c r="AO128" s="117"/>
      <c r="AP128" s="115"/>
      <c r="AQ128" s="115"/>
      <c r="AR128" s="115"/>
      <c r="AS128" s="115"/>
      <c r="AT128" s="115"/>
      <c r="AU128" s="115"/>
      <c r="AV128" s="115"/>
      <c r="AW128" s="124"/>
      <c r="AX128" s="124"/>
      <c r="AY128" s="124"/>
      <c r="AZ128" s="115"/>
      <c r="BA128" s="115"/>
      <c r="BB128" s="126" t="str">
        <f t="shared" si="9"/>
        <v/>
      </c>
      <c r="BC128" s="115" t="str">
        <f t="shared" si="10"/>
        <v>INDENIZAÇÃO</v>
      </c>
      <c r="BD128" s="115" t="str">
        <f t="shared" si="11"/>
        <v>NÃO</v>
      </c>
      <c r="BE128" s="115"/>
      <c r="BF128" s="115"/>
      <c r="BG128" s="115"/>
      <c r="BH128" s="115"/>
      <c r="BI128" s="115"/>
      <c r="BJ128" s="115"/>
      <c r="BK128" s="115"/>
      <c r="BL128" s="115"/>
    </row>
    <row r="129" spans="1:64" ht="30" customHeight="1" x14ac:dyDescent="0.25">
      <c r="A129" s="115">
        <v>116</v>
      </c>
      <c r="B129" s="115" t="s">
        <v>97</v>
      </c>
      <c r="C129" s="115"/>
      <c r="D129" s="116"/>
      <c r="E129" s="115"/>
      <c r="F129" s="117"/>
      <c r="G129" s="115"/>
      <c r="H129" s="115"/>
      <c r="I129" s="115"/>
      <c r="J129" s="117"/>
      <c r="K129" s="117"/>
      <c r="L129" s="117"/>
      <c r="M129" s="115"/>
      <c r="N129" s="115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15"/>
      <c r="AB129" s="117"/>
      <c r="AC129" s="117"/>
      <c r="AD129" s="117"/>
      <c r="AE129" s="115"/>
      <c r="AF129" s="125"/>
      <c r="AG129" s="125"/>
      <c r="AH129" s="115"/>
      <c r="AI129" s="115"/>
      <c r="AJ129" s="115"/>
      <c r="AK129" s="115"/>
      <c r="AL129" s="115"/>
      <c r="AM129" s="115"/>
      <c r="AN129" s="115"/>
      <c r="AO129" s="117"/>
      <c r="AP129" s="115"/>
      <c r="AQ129" s="115"/>
      <c r="AR129" s="115"/>
      <c r="AS129" s="115"/>
      <c r="AT129" s="115"/>
      <c r="AU129" s="115"/>
      <c r="AV129" s="115"/>
      <c r="AW129" s="124"/>
      <c r="AX129" s="124"/>
      <c r="AY129" s="124"/>
      <c r="AZ129" s="115"/>
      <c r="BA129" s="115"/>
      <c r="BB129" s="126" t="str">
        <f t="shared" si="9"/>
        <v/>
      </c>
      <c r="BC129" s="115" t="str">
        <f t="shared" si="10"/>
        <v>INDENIZAÇÃO</v>
      </c>
      <c r="BD129" s="115" t="str">
        <f t="shared" si="11"/>
        <v>NÃO</v>
      </c>
      <c r="BE129" s="115"/>
      <c r="BF129" s="115"/>
      <c r="BG129" s="115"/>
      <c r="BH129" s="115"/>
      <c r="BI129" s="115"/>
      <c r="BJ129" s="115"/>
      <c r="BK129" s="115"/>
      <c r="BL129" s="115"/>
    </row>
    <row r="130" spans="1:64" ht="30" customHeight="1" x14ac:dyDescent="0.25">
      <c r="A130" s="115">
        <v>117</v>
      </c>
      <c r="B130" s="115" t="s">
        <v>97</v>
      </c>
      <c r="C130" s="115"/>
      <c r="D130" s="116"/>
      <c r="E130" s="115"/>
      <c r="F130" s="117"/>
      <c r="G130" s="115"/>
      <c r="H130" s="115"/>
      <c r="I130" s="115"/>
      <c r="J130" s="117"/>
      <c r="K130" s="117"/>
      <c r="L130" s="117"/>
      <c r="M130" s="115"/>
      <c r="N130" s="115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15"/>
      <c r="AB130" s="117"/>
      <c r="AC130" s="117"/>
      <c r="AD130" s="117"/>
      <c r="AE130" s="115"/>
      <c r="AF130" s="125"/>
      <c r="AG130" s="125"/>
      <c r="AH130" s="115"/>
      <c r="AI130" s="115"/>
      <c r="AJ130" s="115"/>
      <c r="AK130" s="115"/>
      <c r="AL130" s="115"/>
      <c r="AM130" s="115"/>
      <c r="AN130" s="115"/>
      <c r="AO130" s="117"/>
      <c r="AP130" s="115"/>
      <c r="AQ130" s="115"/>
      <c r="AR130" s="115"/>
      <c r="AS130" s="115"/>
      <c r="AT130" s="115"/>
      <c r="AU130" s="115"/>
      <c r="AV130" s="115"/>
      <c r="AW130" s="124"/>
      <c r="AX130" s="124"/>
      <c r="AY130" s="124"/>
      <c r="AZ130" s="115"/>
      <c r="BA130" s="115"/>
      <c r="BB130" s="126" t="str">
        <f t="shared" si="9"/>
        <v/>
      </c>
      <c r="BC130" s="115" t="str">
        <f t="shared" si="10"/>
        <v>INDENIZAÇÃO</v>
      </c>
      <c r="BD130" s="115" t="str">
        <f t="shared" si="11"/>
        <v>NÃO</v>
      </c>
      <c r="BE130" s="115"/>
      <c r="BF130" s="115"/>
      <c r="BG130" s="115"/>
      <c r="BH130" s="115"/>
      <c r="BI130" s="115"/>
      <c r="BJ130" s="115"/>
      <c r="BK130" s="115"/>
      <c r="BL130" s="115"/>
    </row>
    <row r="131" spans="1:64" ht="30" customHeight="1" x14ac:dyDescent="0.25">
      <c r="A131" s="115">
        <v>118</v>
      </c>
      <c r="B131" s="115" t="s">
        <v>97</v>
      </c>
      <c r="C131" s="115"/>
      <c r="D131" s="116"/>
      <c r="E131" s="115"/>
      <c r="F131" s="117"/>
      <c r="G131" s="115"/>
      <c r="H131" s="115"/>
      <c r="I131" s="115"/>
      <c r="J131" s="117"/>
      <c r="K131" s="117"/>
      <c r="L131" s="117"/>
      <c r="M131" s="115"/>
      <c r="N131" s="115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15"/>
      <c r="AB131" s="117"/>
      <c r="AC131" s="117"/>
      <c r="AD131" s="117"/>
      <c r="AE131" s="115"/>
      <c r="AF131" s="125"/>
      <c r="AG131" s="125"/>
      <c r="AH131" s="115"/>
      <c r="AI131" s="115"/>
      <c r="AJ131" s="115"/>
      <c r="AK131" s="115"/>
      <c r="AL131" s="115"/>
      <c r="AM131" s="115"/>
      <c r="AN131" s="115"/>
      <c r="AO131" s="117"/>
      <c r="AP131" s="115"/>
      <c r="AQ131" s="115"/>
      <c r="AR131" s="115"/>
      <c r="AS131" s="115"/>
      <c r="AT131" s="115"/>
      <c r="AU131" s="115"/>
      <c r="AV131" s="115"/>
      <c r="AW131" s="124"/>
      <c r="AX131" s="124"/>
      <c r="AY131" s="124"/>
      <c r="AZ131" s="115"/>
      <c r="BA131" s="115"/>
      <c r="BB131" s="126" t="str">
        <f t="shared" si="9"/>
        <v/>
      </c>
      <c r="BC131" s="115" t="str">
        <f t="shared" si="10"/>
        <v>INDENIZAÇÃO</v>
      </c>
      <c r="BD131" s="115" t="str">
        <f t="shared" si="11"/>
        <v>NÃO</v>
      </c>
      <c r="BE131" s="115"/>
      <c r="BF131" s="115"/>
      <c r="BG131" s="115"/>
      <c r="BH131" s="115"/>
      <c r="BI131" s="115"/>
      <c r="BJ131" s="115"/>
      <c r="BK131" s="115"/>
      <c r="BL131" s="115"/>
    </row>
    <row r="132" spans="1:64" ht="30" customHeight="1" x14ac:dyDescent="0.25">
      <c r="A132" s="115">
        <v>119</v>
      </c>
      <c r="B132" s="115" t="s">
        <v>97</v>
      </c>
      <c r="C132" s="115"/>
      <c r="D132" s="116"/>
      <c r="E132" s="115"/>
      <c r="F132" s="117"/>
      <c r="G132" s="115"/>
      <c r="H132" s="115"/>
      <c r="I132" s="115"/>
      <c r="J132" s="117"/>
      <c r="K132" s="117"/>
      <c r="L132" s="117"/>
      <c r="M132" s="115"/>
      <c r="N132" s="115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15"/>
      <c r="AB132" s="117"/>
      <c r="AC132" s="117"/>
      <c r="AD132" s="117"/>
      <c r="AE132" s="115"/>
      <c r="AF132" s="125"/>
      <c r="AG132" s="125"/>
      <c r="AH132" s="115"/>
      <c r="AI132" s="115"/>
      <c r="AJ132" s="115"/>
      <c r="AK132" s="115"/>
      <c r="AL132" s="115"/>
      <c r="AM132" s="115"/>
      <c r="AN132" s="115"/>
      <c r="AO132" s="117"/>
      <c r="AP132" s="115"/>
      <c r="AQ132" s="115"/>
      <c r="AR132" s="115"/>
      <c r="AS132" s="115"/>
      <c r="AT132" s="115"/>
      <c r="AU132" s="115"/>
      <c r="AV132" s="115"/>
      <c r="AW132" s="124"/>
      <c r="AX132" s="124"/>
      <c r="AY132" s="124"/>
      <c r="AZ132" s="115"/>
      <c r="BA132" s="115"/>
      <c r="BB132" s="126" t="str">
        <f t="shared" si="9"/>
        <v/>
      </c>
      <c r="BC132" s="115" t="str">
        <f t="shared" si="10"/>
        <v>INDENIZAÇÃO</v>
      </c>
      <c r="BD132" s="115" t="str">
        <f t="shared" si="11"/>
        <v>NÃO</v>
      </c>
      <c r="BE132" s="115"/>
      <c r="BF132" s="115"/>
      <c r="BG132" s="115"/>
      <c r="BH132" s="115"/>
      <c r="BI132" s="115"/>
      <c r="BJ132" s="115"/>
      <c r="BK132" s="115"/>
      <c r="BL132" s="115"/>
    </row>
    <row r="133" spans="1:64" ht="30" customHeight="1" x14ac:dyDescent="0.25">
      <c r="A133" s="115">
        <v>120</v>
      </c>
      <c r="B133" s="115" t="s">
        <v>97</v>
      </c>
      <c r="C133" s="115"/>
      <c r="D133" s="116"/>
      <c r="E133" s="115"/>
      <c r="F133" s="117"/>
      <c r="G133" s="115"/>
      <c r="H133" s="115"/>
      <c r="I133" s="115"/>
      <c r="J133" s="117"/>
      <c r="K133" s="117"/>
      <c r="L133" s="117"/>
      <c r="M133" s="115"/>
      <c r="N133" s="115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15"/>
      <c r="AB133" s="117"/>
      <c r="AC133" s="117"/>
      <c r="AD133" s="117"/>
      <c r="AE133" s="115"/>
      <c r="AF133" s="125"/>
      <c r="AG133" s="125"/>
      <c r="AH133" s="115"/>
      <c r="AI133" s="115"/>
      <c r="AJ133" s="115"/>
      <c r="AK133" s="115"/>
      <c r="AL133" s="115"/>
      <c r="AM133" s="115"/>
      <c r="AN133" s="115"/>
      <c r="AO133" s="117"/>
      <c r="AP133" s="115"/>
      <c r="AQ133" s="115"/>
      <c r="AR133" s="115"/>
      <c r="AS133" s="115"/>
      <c r="AT133" s="115"/>
      <c r="AU133" s="115"/>
      <c r="AV133" s="115"/>
      <c r="AW133" s="124"/>
      <c r="AX133" s="124"/>
      <c r="AY133" s="124"/>
      <c r="AZ133" s="115"/>
      <c r="BA133" s="115"/>
      <c r="BB133" s="126" t="str">
        <f t="shared" si="9"/>
        <v/>
      </c>
      <c r="BC133" s="115" t="str">
        <f t="shared" si="10"/>
        <v>INDENIZAÇÃO</v>
      </c>
      <c r="BD133" s="115" t="str">
        <f t="shared" si="11"/>
        <v>NÃO</v>
      </c>
      <c r="BE133" s="115"/>
      <c r="BF133" s="115"/>
      <c r="BG133" s="115"/>
      <c r="BH133" s="115"/>
      <c r="BI133" s="115"/>
      <c r="BJ133" s="115"/>
      <c r="BK133" s="115"/>
      <c r="BL133" s="115"/>
    </row>
    <row r="134" spans="1:64" ht="30" customHeight="1" x14ac:dyDescent="0.25">
      <c r="A134" s="115">
        <v>121</v>
      </c>
      <c r="B134" s="115" t="s">
        <v>97</v>
      </c>
      <c r="C134" s="115"/>
      <c r="D134" s="116"/>
      <c r="E134" s="115"/>
      <c r="F134" s="117"/>
      <c r="G134" s="115"/>
      <c r="H134" s="115"/>
      <c r="I134" s="115"/>
      <c r="J134" s="117"/>
      <c r="K134" s="117"/>
      <c r="L134" s="117"/>
      <c r="M134" s="115"/>
      <c r="N134" s="115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15"/>
      <c r="AB134" s="117"/>
      <c r="AC134" s="117"/>
      <c r="AD134" s="117"/>
      <c r="AE134" s="115"/>
      <c r="AF134" s="125"/>
      <c r="AG134" s="125"/>
      <c r="AH134" s="115"/>
      <c r="AI134" s="115"/>
      <c r="AJ134" s="115"/>
      <c r="AK134" s="115"/>
      <c r="AL134" s="115"/>
      <c r="AM134" s="115"/>
      <c r="AN134" s="115"/>
      <c r="AO134" s="117"/>
      <c r="AP134" s="115"/>
      <c r="AQ134" s="115"/>
      <c r="AR134" s="115"/>
      <c r="AS134" s="115"/>
      <c r="AT134" s="115"/>
      <c r="AU134" s="115"/>
      <c r="AV134" s="115"/>
      <c r="AW134" s="124"/>
      <c r="AX134" s="124"/>
      <c r="AY134" s="124"/>
      <c r="AZ134" s="115"/>
      <c r="BA134" s="115"/>
      <c r="BB134" s="126" t="str">
        <f t="shared" si="9"/>
        <v/>
      </c>
      <c r="BC134" s="115" t="str">
        <f t="shared" si="10"/>
        <v>INDENIZAÇÃO</v>
      </c>
      <c r="BD134" s="115" t="str">
        <f t="shared" si="11"/>
        <v>NÃO</v>
      </c>
      <c r="BE134" s="115"/>
      <c r="BF134" s="115"/>
      <c r="BG134" s="115"/>
      <c r="BH134" s="115"/>
      <c r="BI134" s="115"/>
      <c r="BJ134" s="115"/>
      <c r="BK134" s="115"/>
      <c r="BL134" s="115"/>
    </row>
    <row r="135" spans="1:64" ht="30" customHeight="1" x14ac:dyDescent="0.25">
      <c r="A135" s="115">
        <v>122</v>
      </c>
      <c r="B135" s="115" t="s">
        <v>97</v>
      </c>
      <c r="C135" s="115"/>
      <c r="D135" s="116"/>
      <c r="E135" s="115"/>
      <c r="F135" s="117"/>
      <c r="G135" s="115"/>
      <c r="H135" s="115"/>
      <c r="I135" s="115"/>
      <c r="J135" s="117"/>
      <c r="K135" s="117"/>
      <c r="L135" s="117"/>
      <c r="M135" s="115"/>
      <c r="N135" s="115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15"/>
      <c r="AB135" s="117"/>
      <c r="AC135" s="117"/>
      <c r="AD135" s="117"/>
      <c r="AE135" s="115"/>
      <c r="AF135" s="125"/>
      <c r="AG135" s="125"/>
      <c r="AH135" s="115"/>
      <c r="AI135" s="115"/>
      <c r="AJ135" s="115"/>
      <c r="AK135" s="115"/>
      <c r="AL135" s="115"/>
      <c r="AM135" s="115"/>
      <c r="AN135" s="115"/>
      <c r="AO135" s="117"/>
      <c r="AP135" s="115"/>
      <c r="AQ135" s="115"/>
      <c r="AR135" s="115"/>
      <c r="AS135" s="115"/>
      <c r="AT135" s="115"/>
      <c r="AU135" s="115"/>
      <c r="AV135" s="115"/>
      <c r="AW135" s="124"/>
      <c r="AX135" s="124"/>
      <c r="AY135" s="124"/>
      <c r="AZ135" s="115"/>
      <c r="BA135" s="115"/>
      <c r="BB135" s="126" t="str">
        <f t="shared" si="9"/>
        <v/>
      </c>
      <c r="BC135" s="115" t="str">
        <f t="shared" si="10"/>
        <v>INDENIZAÇÃO</v>
      </c>
      <c r="BD135" s="115" t="str">
        <f t="shared" si="11"/>
        <v>NÃO</v>
      </c>
      <c r="BE135" s="115"/>
      <c r="BF135" s="115"/>
      <c r="BG135" s="115"/>
      <c r="BH135" s="115"/>
      <c r="BI135" s="115"/>
      <c r="BJ135" s="115"/>
      <c r="BK135" s="115"/>
      <c r="BL135" s="115"/>
    </row>
    <row r="136" spans="1:64" ht="30" customHeight="1" x14ac:dyDescent="0.25">
      <c r="A136" s="115">
        <v>123</v>
      </c>
      <c r="B136" s="115" t="s">
        <v>97</v>
      </c>
      <c r="C136" s="115"/>
      <c r="D136" s="116"/>
      <c r="E136" s="115"/>
      <c r="F136" s="117"/>
      <c r="G136" s="115"/>
      <c r="H136" s="115"/>
      <c r="I136" s="115"/>
      <c r="J136" s="117"/>
      <c r="K136" s="117"/>
      <c r="L136" s="117"/>
      <c r="M136" s="115"/>
      <c r="N136" s="115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15"/>
      <c r="AB136" s="117"/>
      <c r="AC136" s="117"/>
      <c r="AD136" s="117"/>
      <c r="AE136" s="115"/>
      <c r="AF136" s="125"/>
      <c r="AG136" s="125"/>
      <c r="AH136" s="115"/>
      <c r="AI136" s="115"/>
      <c r="AJ136" s="115"/>
      <c r="AK136" s="115"/>
      <c r="AL136" s="115"/>
      <c r="AM136" s="115"/>
      <c r="AN136" s="115"/>
      <c r="AO136" s="117"/>
      <c r="AP136" s="115"/>
      <c r="AQ136" s="115"/>
      <c r="AR136" s="115"/>
      <c r="AS136" s="115"/>
      <c r="AT136" s="115"/>
      <c r="AU136" s="115"/>
      <c r="AV136" s="115"/>
      <c r="AW136" s="124"/>
      <c r="AX136" s="124"/>
      <c r="AY136" s="124"/>
      <c r="AZ136" s="115"/>
      <c r="BA136" s="115"/>
      <c r="BB136" s="126" t="str">
        <f t="shared" si="9"/>
        <v/>
      </c>
      <c r="BC136" s="115" t="str">
        <f t="shared" si="10"/>
        <v>INDENIZAÇÃO</v>
      </c>
      <c r="BD136" s="115" t="str">
        <f t="shared" si="11"/>
        <v>NÃO</v>
      </c>
      <c r="BE136" s="115"/>
      <c r="BF136" s="115"/>
      <c r="BG136" s="115"/>
      <c r="BH136" s="115"/>
      <c r="BI136" s="115"/>
      <c r="BJ136" s="115"/>
      <c r="BK136" s="115"/>
      <c r="BL136" s="115"/>
    </row>
    <row r="137" spans="1:64" ht="30" customHeight="1" x14ac:dyDescent="0.25">
      <c r="A137" s="115">
        <v>124</v>
      </c>
      <c r="B137" s="115" t="s">
        <v>97</v>
      </c>
      <c r="C137" s="115"/>
      <c r="D137" s="116"/>
      <c r="E137" s="115"/>
      <c r="F137" s="117"/>
      <c r="G137" s="115"/>
      <c r="H137" s="115"/>
      <c r="I137" s="115"/>
      <c r="J137" s="117"/>
      <c r="K137" s="117"/>
      <c r="L137" s="117"/>
      <c r="M137" s="115"/>
      <c r="N137" s="115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15"/>
      <c r="AB137" s="117"/>
      <c r="AC137" s="117"/>
      <c r="AD137" s="117"/>
      <c r="AE137" s="115"/>
      <c r="AF137" s="125"/>
      <c r="AG137" s="125"/>
      <c r="AH137" s="115"/>
      <c r="AI137" s="115"/>
      <c r="AJ137" s="115"/>
      <c r="AK137" s="115"/>
      <c r="AL137" s="115"/>
      <c r="AM137" s="115"/>
      <c r="AN137" s="115"/>
      <c r="AO137" s="117"/>
      <c r="AP137" s="115"/>
      <c r="AQ137" s="115"/>
      <c r="AR137" s="115"/>
      <c r="AS137" s="115"/>
      <c r="AT137" s="115"/>
      <c r="AU137" s="115"/>
      <c r="AV137" s="115"/>
      <c r="AW137" s="124"/>
      <c r="AX137" s="124"/>
      <c r="AY137" s="124"/>
      <c r="AZ137" s="115"/>
      <c r="BA137" s="115"/>
      <c r="BB137" s="126" t="str">
        <f t="shared" si="9"/>
        <v/>
      </c>
      <c r="BC137" s="115" t="str">
        <f t="shared" si="10"/>
        <v>INDENIZAÇÃO</v>
      </c>
      <c r="BD137" s="115" t="str">
        <f t="shared" si="11"/>
        <v>NÃO</v>
      </c>
      <c r="BE137" s="115"/>
      <c r="BF137" s="115"/>
      <c r="BG137" s="115"/>
      <c r="BH137" s="115"/>
      <c r="BI137" s="115"/>
      <c r="BJ137" s="115"/>
      <c r="BK137" s="115"/>
      <c r="BL137" s="115"/>
    </row>
    <row r="138" spans="1:64" ht="30" customHeight="1" x14ac:dyDescent="0.25">
      <c r="A138" s="115">
        <v>125</v>
      </c>
      <c r="B138" s="115" t="s">
        <v>97</v>
      </c>
      <c r="C138" s="115"/>
      <c r="D138" s="116"/>
      <c r="E138" s="115"/>
      <c r="F138" s="117"/>
      <c r="G138" s="115"/>
      <c r="H138" s="115"/>
      <c r="I138" s="115"/>
      <c r="J138" s="117"/>
      <c r="K138" s="117"/>
      <c r="L138" s="117"/>
      <c r="M138" s="115"/>
      <c r="N138" s="115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15"/>
      <c r="AB138" s="117"/>
      <c r="AC138" s="117"/>
      <c r="AD138" s="117"/>
      <c r="AE138" s="115"/>
      <c r="AF138" s="125"/>
      <c r="AG138" s="125"/>
      <c r="AH138" s="115"/>
      <c r="AI138" s="115"/>
      <c r="AJ138" s="115"/>
      <c r="AK138" s="115"/>
      <c r="AL138" s="115"/>
      <c r="AM138" s="115"/>
      <c r="AN138" s="115"/>
      <c r="AO138" s="117"/>
      <c r="AP138" s="115"/>
      <c r="AQ138" s="115"/>
      <c r="AR138" s="115"/>
      <c r="AS138" s="115"/>
      <c r="AT138" s="115"/>
      <c r="AU138" s="115"/>
      <c r="AV138" s="115"/>
      <c r="AW138" s="124"/>
      <c r="AX138" s="124"/>
      <c r="AY138" s="124"/>
      <c r="AZ138" s="115"/>
      <c r="BA138" s="115"/>
      <c r="BB138" s="126" t="str">
        <f t="shared" si="9"/>
        <v/>
      </c>
      <c r="BC138" s="115" t="str">
        <f t="shared" si="10"/>
        <v>INDENIZAÇÃO</v>
      </c>
      <c r="BD138" s="115" t="str">
        <f t="shared" si="11"/>
        <v>NÃO</v>
      </c>
      <c r="BE138" s="115"/>
      <c r="BF138" s="115"/>
      <c r="BG138" s="115"/>
      <c r="BH138" s="115"/>
      <c r="BI138" s="115"/>
      <c r="BJ138" s="115"/>
      <c r="BK138" s="115"/>
      <c r="BL138" s="115"/>
    </row>
    <row r="139" spans="1:64" ht="30" customHeight="1" x14ac:dyDescent="0.25">
      <c r="A139" s="115">
        <v>126</v>
      </c>
      <c r="B139" s="115" t="s">
        <v>97</v>
      </c>
      <c r="C139" s="115"/>
      <c r="D139" s="116"/>
      <c r="E139" s="115"/>
      <c r="F139" s="117"/>
      <c r="G139" s="115"/>
      <c r="H139" s="115"/>
      <c r="I139" s="115"/>
      <c r="J139" s="117"/>
      <c r="K139" s="117"/>
      <c r="L139" s="117"/>
      <c r="M139" s="115"/>
      <c r="N139" s="115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15"/>
      <c r="AB139" s="117"/>
      <c r="AC139" s="117"/>
      <c r="AD139" s="117"/>
      <c r="AE139" s="115"/>
      <c r="AF139" s="125"/>
      <c r="AG139" s="125"/>
      <c r="AH139" s="115"/>
      <c r="AI139" s="115"/>
      <c r="AJ139" s="115"/>
      <c r="AK139" s="115"/>
      <c r="AL139" s="115"/>
      <c r="AM139" s="115"/>
      <c r="AN139" s="115"/>
      <c r="AO139" s="117"/>
      <c r="AP139" s="115"/>
      <c r="AQ139" s="115"/>
      <c r="AR139" s="115"/>
      <c r="AS139" s="115"/>
      <c r="AT139" s="115"/>
      <c r="AU139" s="115"/>
      <c r="AV139" s="115"/>
      <c r="AW139" s="124"/>
      <c r="AX139" s="124"/>
      <c r="AY139" s="124"/>
      <c r="AZ139" s="115"/>
      <c r="BA139" s="115"/>
      <c r="BB139" s="126" t="str">
        <f t="shared" si="9"/>
        <v/>
      </c>
      <c r="BC139" s="115" t="str">
        <f t="shared" si="10"/>
        <v>INDENIZAÇÃO</v>
      </c>
      <c r="BD139" s="115" t="str">
        <f t="shared" si="11"/>
        <v>NÃO</v>
      </c>
      <c r="BE139" s="115"/>
      <c r="BF139" s="115"/>
      <c r="BG139" s="115"/>
      <c r="BH139" s="115"/>
      <c r="BI139" s="115"/>
      <c r="BJ139" s="115"/>
      <c r="BK139" s="115"/>
      <c r="BL139" s="115"/>
    </row>
    <row r="140" spans="1:64" ht="30" customHeight="1" x14ac:dyDescent="0.25">
      <c r="A140" s="115">
        <v>127</v>
      </c>
      <c r="B140" s="115" t="s">
        <v>97</v>
      </c>
      <c r="C140" s="115"/>
      <c r="D140" s="116"/>
      <c r="E140" s="115"/>
      <c r="F140" s="117"/>
      <c r="G140" s="115"/>
      <c r="H140" s="115"/>
      <c r="I140" s="115"/>
      <c r="J140" s="117"/>
      <c r="K140" s="117"/>
      <c r="L140" s="117"/>
      <c r="M140" s="115"/>
      <c r="N140" s="115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15"/>
      <c r="AB140" s="117"/>
      <c r="AC140" s="117"/>
      <c r="AD140" s="117"/>
      <c r="AE140" s="115"/>
      <c r="AF140" s="125"/>
      <c r="AG140" s="125"/>
      <c r="AH140" s="115"/>
      <c r="AI140" s="115"/>
      <c r="AJ140" s="115"/>
      <c r="AK140" s="115"/>
      <c r="AL140" s="115"/>
      <c r="AM140" s="115"/>
      <c r="AN140" s="115"/>
      <c r="AO140" s="117"/>
      <c r="AP140" s="115"/>
      <c r="AQ140" s="115"/>
      <c r="AR140" s="115"/>
      <c r="AS140" s="115"/>
      <c r="AT140" s="115"/>
      <c r="AU140" s="115"/>
      <c r="AV140" s="115"/>
      <c r="AW140" s="124"/>
      <c r="AX140" s="124"/>
      <c r="AY140" s="124"/>
      <c r="AZ140" s="115"/>
      <c r="BA140" s="115"/>
      <c r="BB140" s="126" t="str">
        <f t="shared" si="9"/>
        <v/>
      </c>
      <c r="BC140" s="115" t="str">
        <f t="shared" si="10"/>
        <v>INDENIZAÇÃO</v>
      </c>
      <c r="BD140" s="115" t="str">
        <f t="shared" si="11"/>
        <v>NÃO</v>
      </c>
      <c r="BE140" s="115"/>
      <c r="BF140" s="115"/>
      <c r="BG140" s="115"/>
      <c r="BH140" s="115"/>
      <c r="BI140" s="115"/>
      <c r="BJ140" s="115"/>
      <c r="BK140" s="115"/>
      <c r="BL140" s="115"/>
    </row>
    <row r="141" spans="1:64" ht="30" customHeight="1" x14ac:dyDescent="0.25">
      <c r="A141" s="115">
        <v>128</v>
      </c>
      <c r="B141" s="115" t="s">
        <v>97</v>
      </c>
      <c r="C141" s="115"/>
      <c r="D141" s="116"/>
      <c r="E141" s="115"/>
      <c r="F141" s="117"/>
      <c r="G141" s="115"/>
      <c r="H141" s="115"/>
      <c r="I141" s="115"/>
      <c r="J141" s="117"/>
      <c r="K141" s="117"/>
      <c r="L141" s="117"/>
      <c r="M141" s="115"/>
      <c r="N141" s="115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15"/>
      <c r="AB141" s="117"/>
      <c r="AC141" s="117"/>
      <c r="AD141" s="117"/>
      <c r="AE141" s="115"/>
      <c r="AF141" s="125"/>
      <c r="AG141" s="125"/>
      <c r="AH141" s="115"/>
      <c r="AI141" s="115"/>
      <c r="AJ141" s="115"/>
      <c r="AK141" s="115"/>
      <c r="AL141" s="115"/>
      <c r="AM141" s="115"/>
      <c r="AN141" s="115"/>
      <c r="AO141" s="117"/>
      <c r="AP141" s="115"/>
      <c r="AQ141" s="115"/>
      <c r="AR141" s="115"/>
      <c r="AS141" s="115"/>
      <c r="AT141" s="115"/>
      <c r="AU141" s="115"/>
      <c r="AV141" s="115"/>
      <c r="AW141" s="124"/>
      <c r="AX141" s="124"/>
      <c r="AY141" s="124"/>
      <c r="AZ141" s="115"/>
      <c r="BA141" s="115"/>
      <c r="BB141" s="126" t="str">
        <f t="shared" si="9"/>
        <v/>
      </c>
      <c r="BC141" s="115" t="str">
        <f t="shared" si="10"/>
        <v>INDENIZAÇÃO</v>
      </c>
      <c r="BD141" s="115" t="str">
        <f t="shared" si="11"/>
        <v>NÃO</v>
      </c>
      <c r="BE141" s="115"/>
      <c r="BF141" s="115"/>
      <c r="BG141" s="115"/>
      <c r="BH141" s="115"/>
      <c r="BI141" s="115"/>
      <c r="BJ141" s="115"/>
      <c r="BK141" s="115"/>
      <c r="BL141" s="115"/>
    </row>
    <row r="142" spans="1:64" ht="30" customHeight="1" x14ac:dyDescent="0.25">
      <c r="A142" s="115">
        <v>129</v>
      </c>
      <c r="B142" s="115" t="s">
        <v>97</v>
      </c>
      <c r="C142" s="115"/>
      <c r="D142" s="116"/>
      <c r="E142" s="115"/>
      <c r="F142" s="117"/>
      <c r="G142" s="115"/>
      <c r="H142" s="115"/>
      <c r="I142" s="115"/>
      <c r="J142" s="117"/>
      <c r="K142" s="117"/>
      <c r="L142" s="117"/>
      <c r="M142" s="115"/>
      <c r="N142" s="115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15"/>
      <c r="AB142" s="117"/>
      <c r="AC142" s="117"/>
      <c r="AD142" s="117"/>
      <c r="AE142" s="115"/>
      <c r="AF142" s="125"/>
      <c r="AG142" s="125"/>
      <c r="AH142" s="115"/>
      <c r="AI142" s="115"/>
      <c r="AJ142" s="115"/>
      <c r="AK142" s="115"/>
      <c r="AL142" s="115"/>
      <c r="AM142" s="115"/>
      <c r="AN142" s="115"/>
      <c r="AO142" s="117"/>
      <c r="AP142" s="115"/>
      <c r="AQ142" s="115"/>
      <c r="AR142" s="115"/>
      <c r="AS142" s="115"/>
      <c r="AT142" s="115"/>
      <c r="AU142" s="115"/>
      <c r="AV142" s="115"/>
      <c r="AW142" s="124"/>
      <c r="AX142" s="124"/>
      <c r="AY142" s="124"/>
      <c r="AZ142" s="115"/>
      <c r="BA142" s="115"/>
      <c r="BB142" s="126" t="str">
        <f t="shared" si="9"/>
        <v/>
      </c>
      <c r="BC142" s="115" t="str">
        <f t="shared" si="10"/>
        <v>INDENIZAÇÃO</v>
      </c>
      <c r="BD142" s="115" t="str">
        <f t="shared" si="11"/>
        <v>NÃO</v>
      </c>
      <c r="BE142" s="115"/>
      <c r="BF142" s="115"/>
      <c r="BG142" s="115"/>
      <c r="BH142" s="115"/>
      <c r="BI142" s="115"/>
      <c r="BJ142" s="115"/>
      <c r="BK142" s="115"/>
      <c r="BL142" s="115"/>
    </row>
    <row r="143" spans="1:64" ht="30" customHeight="1" x14ac:dyDescent="0.25">
      <c r="A143" s="115">
        <v>130</v>
      </c>
      <c r="B143" s="115" t="s">
        <v>97</v>
      </c>
      <c r="C143" s="115"/>
      <c r="D143" s="116"/>
      <c r="E143" s="115"/>
      <c r="F143" s="117"/>
      <c r="G143" s="115"/>
      <c r="H143" s="115"/>
      <c r="I143" s="115"/>
      <c r="J143" s="117"/>
      <c r="K143" s="117"/>
      <c r="L143" s="117"/>
      <c r="M143" s="115"/>
      <c r="N143" s="115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15"/>
      <c r="AB143" s="117"/>
      <c r="AC143" s="117"/>
      <c r="AD143" s="117"/>
      <c r="AE143" s="115"/>
      <c r="AF143" s="125"/>
      <c r="AG143" s="125"/>
      <c r="AH143" s="115"/>
      <c r="AI143" s="115"/>
      <c r="AJ143" s="115"/>
      <c r="AK143" s="115"/>
      <c r="AL143" s="115"/>
      <c r="AM143" s="115"/>
      <c r="AN143" s="115"/>
      <c r="AO143" s="117"/>
      <c r="AP143" s="115"/>
      <c r="AQ143" s="115"/>
      <c r="AR143" s="115"/>
      <c r="AS143" s="115"/>
      <c r="AT143" s="115"/>
      <c r="AU143" s="115"/>
      <c r="AV143" s="115"/>
      <c r="AW143" s="124"/>
      <c r="AX143" s="124"/>
      <c r="AY143" s="124"/>
      <c r="AZ143" s="115"/>
      <c r="BA143" s="115"/>
      <c r="BB143" s="126" t="str">
        <f t="shared" si="9"/>
        <v/>
      </c>
      <c r="BC143" s="115" t="str">
        <f t="shared" si="10"/>
        <v>INDENIZAÇÃO</v>
      </c>
      <c r="BD143" s="115" t="str">
        <f t="shared" si="11"/>
        <v>NÃO</v>
      </c>
      <c r="BE143" s="115"/>
      <c r="BF143" s="115"/>
      <c r="BG143" s="115"/>
      <c r="BH143" s="115"/>
      <c r="BI143" s="115"/>
      <c r="BJ143" s="115"/>
      <c r="BK143" s="115"/>
      <c r="BL143" s="115"/>
    </row>
    <row r="144" spans="1:64" ht="30" customHeight="1" x14ac:dyDescent="0.25">
      <c r="A144" s="115">
        <v>131</v>
      </c>
      <c r="B144" s="115" t="s">
        <v>97</v>
      </c>
      <c r="C144" s="115"/>
      <c r="D144" s="116"/>
      <c r="E144" s="115"/>
      <c r="F144" s="117"/>
      <c r="G144" s="115"/>
      <c r="H144" s="115"/>
      <c r="I144" s="115"/>
      <c r="J144" s="117"/>
      <c r="K144" s="117"/>
      <c r="L144" s="117"/>
      <c r="M144" s="115"/>
      <c r="N144" s="115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15"/>
      <c r="AB144" s="117"/>
      <c r="AC144" s="117"/>
      <c r="AD144" s="117"/>
      <c r="AE144" s="115"/>
      <c r="AF144" s="125"/>
      <c r="AG144" s="125"/>
      <c r="AH144" s="115"/>
      <c r="AI144" s="115"/>
      <c r="AJ144" s="115"/>
      <c r="AK144" s="115"/>
      <c r="AL144" s="115"/>
      <c r="AM144" s="115"/>
      <c r="AN144" s="115"/>
      <c r="AO144" s="117"/>
      <c r="AP144" s="115"/>
      <c r="AQ144" s="115"/>
      <c r="AR144" s="115"/>
      <c r="AS144" s="115"/>
      <c r="AT144" s="115"/>
      <c r="AU144" s="115"/>
      <c r="AV144" s="115"/>
      <c r="AW144" s="124"/>
      <c r="AX144" s="124"/>
      <c r="AY144" s="124"/>
      <c r="AZ144" s="115"/>
      <c r="BA144" s="115"/>
      <c r="BB144" s="126" t="str">
        <f t="shared" si="9"/>
        <v/>
      </c>
      <c r="BC144" s="115" t="str">
        <f t="shared" si="10"/>
        <v>INDENIZAÇÃO</v>
      </c>
      <c r="BD144" s="115" t="str">
        <f t="shared" si="11"/>
        <v>NÃO</v>
      </c>
      <c r="BE144" s="115"/>
      <c r="BF144" s="115"/>
      <c r="BG144" s="115"/>
      <c r="BH144" s="115"/>
      <c r="BI144" s="115"/>
      <c r="BJ144" s="115"/>
      <c r="BK144" s="115"/>
      <c r="BL144" s="115"/>
    </row>
  </sheetData>
  <autoFilter ref="B13:BL144" xr:uid="{00000000-0009-0000-0000-000000000000}"/>
  <dataConsolidate function="product"/>
  <mergeCells count="6">
    <mergeCell ref="BC12:BL12"/>
    <mergeCell ref="AP10:AT10"/>
    <mergeCell ref="P12:AA12"/>
    <mergeCell ref="A12:O12"/>
    <mergeCell ref="AB12:AZ12"/>
    <mergeCell ref="BA12:BB12"/>
  </mergeCells>
  <phoneticPr fontId="7" type="noConversion"/>
  <conditionalFormatting sqref="F1:F1048576">
    <cfRule type="duplicateValues" dxfId="17" priority="21"/>
  </conditionalFormatting>
  <conditionalFormatting sqref="F14:F144">
    <cfRule type="duplicateValues" dxfId="16" priority="224"/>
  </conditionalFormatting>
  <conditionalFormatting sqref="AX14:AX18">
    <cfRule type="cellIs" dxfId="15" priority="8" operator="between">
      <formula>36526</formula>
      <formula>402133</formula>
    </cfRule>
  </conditionalFormatting>
  <conditionalFormatting sqref="BA14:BA18">
    <cfRule type="containsText" dxfId="14" priority="5" operator="containsText" text="FINALIZADO">
      <formula>NOT(ISERROR(SEARCH("FINALIZADO",BA14)))</formula>
    </cfRule>
  </conditionalFormatting>
  <conditionalFormatting sqref="BC12:BC144">
    <cfRule type="cellIs" dxfId="13" priority="9" operator="equal">
      <formula>"INDENIZAÇÃO"</formula>
    </cfRule>
    <cfRule type="cellIs" dxfId="12" priority="10" operator="equal">
      <formula>"AA"</formula>
    </cfRule>
  </conditionalFormatting>
  <conditionalFormatting sqref="BD15 BC14:BD14 BC15:BC144">
    <cfRule type="cellIs" dxfId="11" priority="14" operator="equal">
      <formula>"FINALIZADO"</formula>
    </cfRule>
  </conditionalFormatting>
  <conditionalFormatting sqref="BD15">
    <cfRule type="beginsWith" dxfId="10" priority="11" operator="beginsWith" text="FI">
      <formula>LEFT(BD15,LEN("FI"))="FI"</formula>
    </cfRule>
    <cfRule type="containsText" dxfId="9" priority="12" operator="containsText" text="FINALIZADO">
      <formula>NOT(ISERROR(SEARCH("FINALIZADO",BD15)))</formula>
    </cfRule>
  </conditionalFormatting>
  <dataValidations count="1">
    <dataValidation allowBlank="1" showInputMessage="1" showErrorMessage="1" sqref="AK14:AM144 AX14:AX144 A14:F144 O14:O144 N14:N18 AY19:AY144 AI14:AI144 BB14:BB144 AA14:AA144 AO14:AS144 AT19:AT144 AU14:AV144 AW19:AW144 Q14:R17 Q19:Z144 T14:Y17 BH14:BI18 BK14:BL18" xr:uid="{00000000-0002-0000-0000-000000000000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N9"/>
  <sheetViews>
    <sheetView workbookViewId="0">
      <selection activeCell="H14" sqref="H14"/>
    </sheetView>
  </sheetViews>
  <sheetFormatPr defaultRowHeight="24.75" customHeight="1" x14ac:dyDescent="0.2"/>
  <cols>
    <col min="1" max="1" width="9.140625" style="133"/>
    <col min="2" max="2" width="8.42578125" style="133" bestFit="1" customWidth="1"/>
    <col min="3" max="3" width="6.140625" style="133" bestFit="1" customWidth="1"/>
    <col min="4" max="4" width="10.7109375" style="133" bestFit="1" customWidth="1"/>
    <col min="5" max="5" width="39.140625" style="133" bestFit="1" customWidth="1"/>
    <col min="6" max="6" width="23.5703125" style="133" bestFit="1" customWidth="1"/>
    <col min="7" max="9" width="9.140625" style="133"/>
    <col min="10" max="10" width="10.28515625" style="133" bestFit="1" customWidth="1"/>
    <col min="11" max="11" width="13.28515625" style="133" bestFit="1" customWidth="1"/>
    <col min="12" max="12" width="48.85546875" style="133" bestFit="1" customWidth="1"/>
    <col min="13" max="13" width="17.5703125" style="133" bestFit="1" customWidth="1"/>
    <col min="14" max="14" width="24.140625" style="133" bestFit="1" customWidth="1"/>
    <col min="15" max="16384" width="9.140625" style="133"/>
  </cols>
  <sheetData>
    <row r="4" spans="2:14" ht="24.75" customHeight="1" x14ac:dyDescent="0.2">
      <c r="B4" s="136" t="s">
        <v>38</v>
      </c>
      <c r="C4" s="136" t="s">
        <v>39</v>
      </c>
      <c r="D4" s="136" t="s">
        <v>42</v>
      </c>
      <c r="E4" s="137" t="s">
        <v>46</v>
      </c>
      <c r="F4" s="138" t="s">
        <v>60</v>
      </c>
      <c r="J4" s="136" t="s">
        <v>38</v>
      </c>
      <c r="K4" s="136" t="s">
        <v>42</v>
      </c>
      <c r="L4" s="136" t="s">
        <v>135</v>
      </c>
      <c r="M4" s="137" t="s">
        <v>48</v>
      </c>
      <c r="N4" s="138" t="s">
        <v>36</v>
      </c>
    </row>
    <row r="5" spans="2:14" ht="24.75" customHeight="1" x14ac:dyDescent="0.2">
      <c r="B5" s="134" t="s">
        <v>97</v>
      </c>
      <c r="C5" s="134" t="s">
        <v>98</v>
      </c>
      <c r="D5" s="134" t="s">
        <v>100</v>
      </c>
      <c r="E5" s="134" t="s">
        <v>101</v>
      </c>
      <c r="F5" s="135">
        <v>45203</v>
      </c>
      <c r="J5" s="143" t="s">
        <v>97</v>
      </c>
      <c r="K5" s="143" t="s">
        <v>100</v>
      </c>
      <c r="L5" s="143" t="s">
        <v>101</v>
      </c>
      <c r="M5" s="143" t="s">
        <v>103</v>
      </c>
      <c r="N5" s="143" t="s">
        <v>110</v>
      </c>
    </row>
    <row r="6" spans="2:14" ht="24.75" customHeight="1" x14ac:dyDescent="0.2">
      <c r="B6" s="134" t="s">
        <v>97</v>
      </c>
      <c r="C6" s="134" t="s">
        <v>98</v>
      </c>
      <c r="D6" s="134" t="s">
        <v>111</v>
      </c>
      <c r="E6" s="134" t="s">
        <v>112</v>
      </c>
      <c r="F6" s="135">
        <v>45204</v>
      </c>
      <c r="J6" s="143" t="s">
        <v>97</v>
      </c>
      <c r="K6" s="143" t="s">
        <v>111</v>
      </c>
      <c r="L6" s="143" t="s">
        <v>112</v>
      </c>
      <c r="M6" s="143" t="s">
        <v>114</v>
      </c>
      <c r="N6" s="143" t="s">
        <v>116</v>
      </c>
    </row>
    <row r="7" spans="2:14" ht="24.75" customHeight="1" x14ac:dyDescent="0.2">
      <c r="B7" s="134" t="s">
        <v>97</v>
      </c>
      <c r="C7" s="134" t="s">
        <v>98</v>
      </c>
      <c r="D7" s="134" t="s">
        <v>117</v>
      </c>
      <c r="E7" s="134" t="s">
        <v>118</v>
      </c>
      <c r="F7" s="135">
        <v>45202</v>
      </c>
      <c r="J7" s="143" t="s">
        <v>97</v>
      </c>
      <c r="K7" s="143" t="s">
        <v>117</v>
      </c>
      <c r="L7" s="143" t="s">
        <v>118</v>
      </c>
      <c r="M7" s="143" t="s">
        <v>120</v>
      </c>
      <c r="N7" s="143" t="s">
        <v>122</v>
      </c>
    </row>
    <row r="8" spans="2:14" ht="24.75" customHeight="1" x14ac:dyDescent="0.2">
      <c r="B8" s="134" t="s">
        <v>97</v>
      </c>
      <c r="C8" s="134" t="s">
        <v>98</v>
      </c>
      <c r="D8" s="134" t="s">
        <v>123</v>
      </c>
      <c r="E8" s="134" t="s">
        <v>124</v>
      </c>
      <c r="F8" s="135">
        <v>45202</v>
      </c>
      <c r="J8" s="143" t="s">
        <v>97</v>
      </c>
      <c r="K8" s="143" t="s">
        <v>129</v>
      </c>
      <c r="L8" s="143" t="s">
        <v>130</v>
      </c>
      <c r="M8" s="143" t="s">
        <v>132</v>
      </c>
      <c r="N8" s="143" t="s">
        <v>134</v>
      </c>
    </row>
    <row r="9" spans="2:14" ht="24.75" customHeight="1" x14ac:dyDescent="0.2">
      <c r="B9" s="134" t="s">
        <v>97</v>
      </c>
      <c r="C9" s="134" t="s">
        <v>98</v>
      </c>
      <c r="D9" s="134" t="s">
        <v>129</v>
      </c>
      <c r="E9" s="134" t="s">
        <v>130</v>
      </c>
      <c r="F9" s="135">
        <v>45202</v>
      </c>
    </row>
  </sheetData>
  <conditionalFormatting sqref="D5:D9">
    <cfRule type="duplicateValues" dxfId="8" priority="3"/>
    <cfRule type="duplicateValues" dxfId="7" priority="4"/>
  </conditionalFormatting>
  <conditionalFormatting sqref="K5:K8">
    <cfRule type="duplicateValues" dxfId="6" priority="1"/>
    <cfRule type="duplicateValues" dxfId="5" priority="2"/>
  </conditionalFormatting>
  <dataValidations count="1">
    <dataValidation allowBlank="1" showInputMessage="1" showErrorMessage="1" sqref="B5:D9 J5:K8 N5:N8" xr:uid="{00000000-0002-0000-0100-000000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157" t="s">
        <v>136</v>
      </c>
      <c r="B1" s="157"/>
      <c r="C1" s="59"/>
      <c r="D1" s="59"/>
      <c r="E1" s="157" t="s">
        <v>137</v>
      </c>
      <c r="F1" s="157"/>
    </row>
    <row r="2" spans="1:6" x14ac:dyDescent="0.25">
      <c r="A2" s="60" t="s">
        <v>38</v>
      </c>
      <c r="B2" s="60" t="s">
        <v>138</v>
      </c>
      <c r="E2" s="58" t="s">
        <v>38</v>
      </c>
      <c r="F2" s="58" t="s">
        <v>138</v>
      </c>
    </row>
    <row r="3" spans="1:6" x14ac:dyDescent="0.25">
      <c r="A3" s="8" t="s">
        <v>139</v>
      </c>
      <c r="B3" s="11">
        <v>39</v>
      </c>
      <c r="E3" s="8" t="s">
        <v>139</v>
      </c>
      <c r="F3" s="11">
        <v>54</v>
      </c>
    </row>
    <row r="4" spans="1:6" x14ac:dyDescent="0.25">
      <c r="A4" s="8" t="s">
        <v>140</v>
      </c>
      <c r="B4" s="11">
        <v>15</v>
      </c>
      <c r="E4" s="8" t="s">
        <v>141</v>
      </c>
      <c r="F4" s="11">
        <v>13</v>
      </c>
    </row>
    <row r="5" spans="1:6" x14ac:dyDescent="0.25">
      <c r="A5" s="8" t="s">
        <v>142</v>
      </c>
      <c r="B5" s="11">
        <v>7</v>
      </c>
      <c r="E5" s="8" t="s">
        <v>142</v>
      </c>
      <c r="F5" s="11">
        <v>15</v>
      </c>
    </row>
    <row r="6" spans="1:6" x14ac:dyDescent="0.25">
      <c r="A6" s="8" t="s">
        <v>143</v>
      </c>
      <c r="B6" s="11">
        <v>2</v>
      </c>
      <c r="E6" s="8" t="s">
        <v>143</v>
      </c>
      <c r="F6" s="11">
        <v>9</v>
      </c>
    </row>
    <row r="7" spans="1:6" x14ac:dyDescent="0.25">
      <c r="A7" s="8" t="s">
        <v>144</v>
      </c>
      <c r="B7" s="11">
        <v>0</v>
      </c>
      <c r="E7" s="8" t="s">
        <v>144</v>
      </c>
      <c r="F7" s="11">
        <v>9</v>
      </c>
    </row>
    <row r="8" spans="1:6" x14ac:dyDescent="0.25">
      <c r="A8" s="8" t="s">
        <v>145</v>
      </c>
      <c r="B8" s="11">
        <v>15</v>
      </c>
      <c r="E8" s="8" t="s">
        <v>145</v>
      </c>
      <c r="F8" s="11">
        <v>21</v>
      </c>
    </row>
    <row r="9" spans="1:6" x14ac:dyDescent="0.25">
      <c r="A9" s="61" t="s">
        <v>146</v>
      </c>
      <c r="B9" s="62">
        <f>SUM(B3:B8)</f>
        <v>78</v>
      </c>
      <c r="E9" s="61" t="s">
        <v>146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147</v>
      </c>
      <c r="B1" s="5" t="s">
        <v>148</v>
      </c>
      <c r="C1" s="5" t="s">
        <v>149</v>
      </c>
      <c r="D1" s="5" t="s">
        <v>150</v>
      </c>
      <c r="E1" s="5" t="s">
        <v>151</v>
      </c>
      <c r="F1" s="5" t="s">
        <v>152</v>
      </c>
      <c r="G1" s="5" t="s">
        <v>153</v>
      </c>
      <c r="H1" s="5" t="s">
        <v>154</v>
      </c>
      <c r="I1" s="5" t="s">
        <v>155</v>
      </c>
      <c r="J1" s="5" t="s">
        <v>156</v>
      </c>
    </row>
    <row r="2" spans="1:10" x14ac:dyDescent="0.25">
      <c r="A2" s="1" t="s">
        <v>157</v>
      </c>
      <c r="B2" s="3" t="s">
        <v>158</v>
      </c>
      <c r="C2" s="3">
        <v>1</v>
      </c>
      <c r="D2" s="3">
        <v>101</v>
      </c>
      <c r="E2" s="24" t="s">
        <v>159</v>
      </c>
      <c r="F2" s="3" t="s">
        <v>160</v>
      </c>
      <c r="G2" s="3" t="s">
        <v>15</v>
      </c>
      <c r="H2" s="3" t="s">
        <v>15</v>
      </c>
      <c r="I2" s="3" t="s">
        <v>161</v>
      </c>
      <c r="J2" s="3" t="s">
        <v>162</v>
      </c>
    </row>
    <row r="3" spans="1:10" x14ac:dyDescent="0.25">
      <c r="A3" s="1" t="s">
        <v>163</v>
      </c>
      <c r="B3" s="3" t="s">
        <v>164</v>
      </c>
      <c r="C3" s="3">
        <v>2</v>
      </c>
      <c r="D3" s="3">
        <v>102</v>
      </c>
      <c r="E3" s="3" t="s">
        <v>165</v>
      </c>
      <c r="F3" s="6" t="s">
        <v>166</v>
      </c>
      <c r="G3" s="3" t="s">
        <v>167</v>
      </c>
      <c r="H3" s="3" t="s">
        <v>168</v>
      </c>
      <c r="I3" s="3" t="s">
        <v>169</v>
      </c>
      <c r="J3" s="3" t="s">
        <v>170</v>
      </c>
    </row>
    <row r="4" spans="1:10" x14ac:dyDescent="0.25">
      <c r="A4" s="1" t="s">
        <v>171</v>
      </c>
      <c r="B4" s="3" t="s">
        <v>172</v>
      </c>
      <c r="C4" s="3">
        <v>3</v>
      </c>
      <c r="D4" s="3">
        <v>103</v>
      </c>
      <c r="E4" s="3" t="s">
        <v>173</v>
      </c>
      <c r="F4" s="3" t="s">
        <v>174</v>
      </c>
      <c r="G4" s="3" t="s">
        <v>175</v>
      </c>
      <c r="H4" s="3" t="s">
        <v>176</v>
      </c>
      <c r="I4" s="3" t="s">
        <v>177</v>
      </c>
      <c r="J4" s="3" t="s">
        <v>176</v>
      </c>
    </row>
    <row r="5" spans="1:10" x14ac:dyDescent="0.25">
      <c r="A5" s="1" t="s">
        <v>178</v>
      </c>
      <c r="B5" s="3" t="s">
        <v>179</v>
      </c>
      <c r="C5" s="3">
        <v>4</v>
      </c>
      <c r="D5" s="3">
        <v>104</v>
      </c>
      <c r="E5" s="3" t="s">
        <v>170</v>
      </c>
      <c r="F5" s="3" t="s">
        <v>180</v>
      </c>
      <c r="G5" s="3" t="s">
        <v>181</v>
      </c>
      <c r="H5" s="3" t="s">
        <v>182</v>
      </c>
      <c r="I5" s="3" t="s">
        <v>176</v>
      </c>
    </row>
    <row r="6" spans="1:10" x14ac:dyDescent="0.25">
      <c r="A6" s="1" t="s">
        <v>183</v>
      </c>
      <c r="B6" s="3" t="s">
        <v>184</v>
      </c>
      <c r="C6" s="3">
        <v>5</v>
      </c>
      <c r="D6" s="3">
        <v>201</v>
      </c>
      <c r="E6" s="3" t="s">
        <v>185</v>
      </c>
      <c r="G6" s="3" t="s">
        <v>186</v>
      </c>
      <c r="H6" s="3" t="s">
        <v>187</v>
      </c>
      <c r="I6" s="3" t="s">
        <v>188</v>
      </c>
    </row>
    <row r="7" spans="1:10" x14ac:dyDescent="0.25">
      <c r="A7" s="1" t="s">
        <v>189</v>
      </c>
      <c r="B7" s="3" t="s">
        <v>190</v>
      </c>
      <c r="C7" s="3">
        <v>6</v>
      </c>
      <c r="D7" s="3">
        <v>202</v>
      </c>
      <c r="E7" s="3" t="s">
        <v>191</v>
      </c>
      <c r="G7" s="3" t="s">
        <v>192</v>
      </c>
      <c r="I7" s="3" t="s">
        <v>193</v>
      </c>
    </row>
    <row r="8" spans="1:10" x14ac:dyDescent="0.25">
      <c r="A8" s="1" t="s">
        <v>194</v>
      </c>
      <c r="B8" s="3" t="s">
        <v>195</v>
      </c>
      <c r="C8" s="3">
        <v>7</v>
      </c>
      <c r="D8" s="3">
        <v>203</v>
      </c>
      <c r="E8" s="3" t="s">
        <v>196</v>
      </c>
      <c r="G8" s="3"/>
      <c r="I8" s="3" t="s">
        <v>197</v>
      </c>
    </row>
    <row r="9" spans="1:10" x14ac:dyDescent="0.25">
      <c r="A9" s="1" t="s">
        <v>198</v>
      </c>
      <c r="B9" s="3" t="s">
        <v>199</v>
      </c>
      <c r="C9" s="3">
        <v>8</v>
      </c>
      <c r="D9" s="3">
        <v>204</v>
      </c>
      <c r="E9" s="3" t="s">
        <v>200</v>
      </c>
    </row>
    <row r="10" spans="1:10" x14ac:dyDescent="0.25">
      <c r="A10" s="1" t="s">
        <v>201</v>
      </c>
      <c r="B10" s="3" t="s">
        <v>202</v>
      </c>
      <c r="C10" s="3">
        <v>9</v>
      </c>
      <c r="D10" s="3">
        <v>301</v>
      </c>
      <c r="E10" s="3" t="s">
        <v>203</v>
      </c>
    </row>
    <row r="11" spans="1:10" x14ac:dyDescent="0.25">
      <c r="A11" s="1" t="s">
        <v>204</v>
      </c>
      <c r="B11" s="3" t="s">
        <v>205</v>
      </c>
      <c r="C11" s="3">
        <v>10</v>
      </c>
      <c r="D11" s="3">
        <v>302</v>
      </c>
      <c r="E11" s="3" t="s">
        <v>206</v>
      </c>
    </row>
    <row r="12" spans="1:10" x14ac:dyDescent="0.25">
      <c r="A12" s="1" t="s">
        <v>207</v>
      </c>
      <c r="B12" s="3" t="s">
        <v>208</v>
      </c>
      <c r="C12" s="3">
        <v>11</v>
      </c>
      <c r="D12" s="3">
        <v>303</v>
      </c>
      <c r="E12" s="24" t="s">
        <v>209</v>
      </c>
    </row>
    <row r="13" spans="1:10" x14ac:dyDescent="0.25">
      <c r="A13" s="1" t="s">
        <v>210</v>
      </c>
      <c r="B13" s="3" t="s">
        <v>211</v>
      </c>
      <c r="C13" s="3">
        <v>12</v>
      </c>
      <c r="D13" s="3">
        <v>304</v>
      </c>
      <c r="E13" t="s">
        <v>212</v>
      </c>
    </row>
    <row r="14" spans="1:10" x14ac:dyDescent="0.25">
      <c r="A14" s="1" t="s">
        <v>213</v>
      </c>
      <c r="B14" s="3" t="s">
        <v>214</v>
      </c>
      <c r="C14" s="3">
        <v>13</v>
      </c>
      <c r="D14" s="3">
        <v>401</v>
      </c>
      <c r="E14" s="3" t="s">
        <v>215</v>
      </c>
    </row>
    <row r="15" spans="1:10" x14ac:dyDescent="0.25">
      <c r="A15" s="1" t="s">
        <v>216</v>
      </c>
      <c r="B15" s="3" t="s">
        <v>217</v>
      </c>
      <c r="C15" s="3">
        <v>14</v>
      </c>
      <c r="D15" s="3">
        <v>402</v>
      </c>
      <c r="E15" s="3" t="s">
        <v>174</v>
      </c>
    </row>
    <row r="16" spans="1:10" x14ac:dyDescent="0.25">
      <c r="A16" s="1" t="s">
        <v>218</v>
      </c>
      <c r="C16" s="3">
        <v>15</v>
      </c>
      <c r="D16" s="3">
        <v>403</v>
      </c>
      <c r="E16" s="3" t="s">
        <v>219</v>
      </c>
    </row>
    <row r="17" spans="1:7" x14ac:dyDescent="0.25">
      <c r="A17" s="1" t="s">
        <v>144</v>
      </c>
      <c r="C17" s="3"/>
      <c r="D17" s="3">
        <v>404</v>
      </c>
      <c r="E17" s="3" t="s">
        <v>220</v>
      </c>
    </row>
    <row r="18" spans="1:7" x14ac:dyDescent="0.25">
      <c r="A18" s="1" t="s">
        <v>221</v>
      </c>
      <c r="C18" s="3"/>
      <c r="D18" s="3">
        <v>501</v>
      </c>
      <c r="E18" s="3" t="s">
        <v>222</v>
      </c>
    </row>
    <row r="19" spans="1:7" x14ac:dyDescent="0.25">
      <c r="A19" s="1" t="s">
        <v>223</v>
      </c>
      <c r="D19" s="3">
        <v>502</v>
      </c>
      <c r="E19" s="3" t="s">
        <v>224</v>
      </c>
    </row>
    <row r="20" spans="1:7" x14ac:dyDescent="0.25">
      <c r="A20" s="1" t="s">
        <v>143</v>
      </c>
      <c r="D20" s="3">
        <v>503</v>
      </c>
      <c r="E20" s="3" t="s">
        <v>225</v>
      </c>
    </row>
    <row r="21" spans="1:7" x14ac:dyDescent="0.25">
      <c r="A21" s="1" t="s">
        <v>226</v>
      </c>
      <c r="D21" s="3">
        <v>504</v>
      </c>
      <c r="E21" s="3" t="s">
        <v>162</v>
      </c>
    </row>
    <row r="22" spans="1:7" x14ac:dyDescent="0.25">
      <c r="A22" s="1" t="s">
        <v>227</v>
      </c>
      <c r="E22" s="3" t="s">
        <v>228</v>
      </c>
      <c r="G22" s="3"/>
    </row>
    <row r="23" spans="1:7" x14ac:dyDescent="0.25">
      <c r="A23" s="1" t="s">
        <v>229</v>
      </c>
      <c r="E23" s="3" t="s">
        <v>230</v>
      </c>
    </row>
    <row r="24" spans="1:7" x14ac:dyDescent="0.25">
      <c r="A24" s="1" t="s">
        <v>231</v>
      </c>
    </row>
    <row r="25" spans="1:7" x14ac:dyDescent="0.25">
      <c r="A25" s="1" t="s">
        <v>145</v>
      </c>
      <c r="G25" s="5"/>
    </row>
    <row r="26" spans="1:7" x14ac:dyDescent="0.25">
      <c r="A26" s="1" t="s">
        <v>232</v>
      </c>
      <c r="G26" s="3"/>
    </row>
    <row r="27" spans="1:7" x14ac:dyDescent="0.25">
      <c r="A27" s="1" t="s">
        <v>233</v>
      </c>
      <c r="G27" s="3"/>
    </row>
    <row r="28" spans="1:7" x14ac:dyDescent="0.25">
      <c r="A28" s="1" t="s">
        <v>234</v>
      </c>
      <c r="G28" s="3"/>
    </row>
    <row r="29" spans="1:7" x14ac:dyDescent="0.25">
      <c r="A29" s="1" t="s">
        <v>235</v>
      </c>
      <c r="G29" s="3"/>
    </row>
    <row r="30" spans="1:7" x14ac:dyDescent="0.25">
      <c r="A30" s="1" t="s">
        <v>236</v>
      </c>
      <c r="G30" s="3"/>
    </row>
    <row r="31" spans="1:7" x14ac:dyDescent="0.25">
      <c r="A31" s="1" t="s">
        <v>237</v>
      </c>
    </row>
    <row r="32" spans="1:7" x14ac:dyDescent="0.25">
      <c r="A32" s="1" t="s">
        <v>238</v>
      </c>
    </row>
    <row r="33" spans="1:1" x14ac:dyDescent="0.25">
      <c r="A33" s="1" t="s">
        <v>239</v>
      </c>
    </row>
    <row r="34" spans="1:1" x14ac:dyDescent="0.25">
      <c r="A34" s="1" t="s">
        <v>240</v>
      </c>
    </row>
    <row r="35" spans="1:1" x14ac:dyDescent="0.25">
      <c r="A35" s="1" t="s">
        <v>241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3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242</v>
      </c>
      <c r="B1" s="56" t="s">
        <v>243</v>
      </c>
    </row>
    <row r="2" spans="1:3" ht="24.95" customHeight="1" x14ac:dyDescent="0.25">
      <c r="A2" s="57" t="s">
        <v>158</v>
      </c>
      <c r="B2" s="57" t="e">
        <f>COUNTIF(#REF!,'QUANT COND'!A2)</f>
        <v>#REF!</v>
      </c>
    </row>
    <row r="3" spans="1:3" ht="24.95" customHeight="1" x14ac:dyDescent="0.25">
      <c r="A3" s="57" t="s">
        <v>164</v>
      </c>
      <c r="B3" s="57" t="e">
        <f>COUNTIF(#REF!,'QUANT COND'!A3)</f>
        <v>#REF!</v>
      </c>
    </row>
    <row r="4" spans="1:3" ht="24.95" customHeight="1" x14ac:dyDescent="0.25">
      <c r="A4" s="57" t="s">
        <v>172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179</v>
      </c>
      <c r="B5" s="57" t="e">
        <f>COUNTIF(#REF!,'QUANT COND'!A5)</f>
        <v>#REF!</v>
      </c>
    </row>
    <row r="6" spans="1:3" ht="24.95" customHeight="1" x14ac:dyDescent="0.25">
      <c r="A6" s="57" t="s">
        <v>184</v>
      </c>
      <c r="B6" s="57" t="e">
        <f>COUNTIF(#REF!,'QUANT COND'!A6)</f>
        <v>#REF!</v>
      </c>
    </row>
    <row r="7" spans="1:3" ht="24.95" customHeight="1" x14ac:dyDescent="0.25">
      <c r="A7" s="57" t="s">
        <v>190</v>
      </c>
      <c r="B7" s="57" t="e">
        <f>COUNTIF(#REF!,'QUANT COND'!A7)</f>
        <v>#REF!</v>
      </c>
    </row>
    <row r="8" spans="1:3" ht="24.95" customHeight="1" x14ac:dyDescent="0.25">
      <c r="A8" s="57" t="s">
        <v>195</v>
      </c>
      <c r="B8" s="57" t="e">
        <f>COUNTIF(#REF!,'QUANT COND'!A8)</f>
        <v>#REF!</v>
      </c>
    </row>
    <row r="9" spans="1:3" ht="24.95" customHeight="1" x14ac:dyDescent="0.25">
      <c r="A9" s="57" t="s">
        <v>199</v>
      </c>
      <c r="B9" s="57" t="e">
        <f>COUNTIF(#REF!,'QUANT COND'!A9)</f>
        <v>#REF!</v>
      </c>
    </row>
    <row r="10" spans="1:3" ht="24.95" customHeight="1" x14ac:dyDescent="0.25">
      <c r="A10" s="57" t="s">
        <v>202</v>
      </c>
      <c r="B10" s="57" t="e">
        <f>COUNTIF(#REF!,'QUANT COND'!A10)</f>
        <v>#REF!</v>
      </c>
    </row>
    <row r="11" spans="1:3" ht="24.95" customHeight="1" x14ac:dyDescent="0.25">
      <c r="A11" s="57" t="s">
        <v>205</v>
      </c>
      <c r="B11" s="57" t="e">
        <f>COUNTIF(#REF!,'QUANT COND'!A11)</f>
        <v>#REF!</v>
      </c>
    </row>
    <row r="12" spans="1:3" ht="24.95" customHeight="1" x14ac:dyDescent="0.25">
      <c r="A12" s="57" t="s">
        <v>208</v>
      </c>
      <c r="B12" s="57" t="e">
        <f>COUNTIF(#REF!,'QUANT COND'!A12)</f>
        <v>#REF!</v>
      </c>
    </row>
    <row r="13" spans="1:3" ht="24.95" customHeight="1" x14ac:dyDescent="0.25">
      <c r="A13" s="57" t="s">
        <v>211</v>
      </c>
      <c r="B13" s="57" t="e">
        <f>COUNTIF(#REF!,'QUANT COND'!A13)</f>
        <v>#REF!</v>
      </c>
    </row>
    <row r="14" spans="1:3" ht="24.95" customHeight="1" x14ac:dyDescent="0.25">
      <c r="A14" s="57" t="s">
        <v>214</v>
      </c>
      <c r="B14" s="57" t="e">
        <f>COUNTIF(#REF!,'QUANT COND'!A14)</f>
        <v>#REF!</v>
      </c>
    </row>
    <row r="15" spans="1:3" ht="24.95" customHeight="1" x14ac:dyDescent="0.25">
      <c r="A15" s="57" t="s">
        <v>217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159" t="s">
        <v>244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1"/>
    </row>
    <row r="2" spans="1:27" ht="50.25" customHeight="1" x14ac:dyDescent="0.25">
      <c r="A2" s="7" t="s">
        <v>46</v>
      </c>
      <c r="B2" s="7" t="s">
        <v>48</v>
      </c>
      <c r="C2" s="7" t="s">
        <v>245</v>
      </c>
      <c r="D2" s="12" t="s">
        <v>48</v>
      </c>
      <c r="E2" s="63" t="s">
        <v>246</v>
      </c>
      <c r="F2" s="63" t="s">
        <v>247</v>
      </c>
      <c r="G2" s="64" t="s">
        <v>248</v>
      </c>
      <c r="H2" s="64" t="s">
        <v>249</v>
      </c>
      <c r="I2" s="41" t="s">
        <v>250</v>
      </c>
      <c r="J2" s="42" t="s">
        <v>247</v>
      </c>
      <c r="K2" s="41" t="s">
        <v>249</v>
      </c>
      <c r="L2" s="53" t="s">
        <v>251</v>
      </c>
      <c r="M2" s="53" t="s">
        <v>252</v>
      </c>
      <c r="O2" s="65" t="s">
        <v>253</v>
      </c>
      <c r="P2" s="66" t="s">
        <v>243</v>
      </c>
      <c r="Q2" s="66" t="s">
        <v>254</v>
      </c>
      <c r="R2" s="66" t="s">
        <v>255</v>
      </c>
      <c r="S2" s="66" t="s">
        <v>256</v>
      </c>
      <c r="T2" s="43" t="s">
        <v>257</v>
      </c>
      <c r="Y2" s="45" t="s">
        <v>258</v>
      </c>
      <c r="Z2" s="45" t="s">
        <v>259</v>
      </c>
      <c r="AA2" s="44" t="s">
        <v>260</v>
      </c>
    </row>
    <row r="3" spans="1:27" x14ac:dyDescent="0.25">
      <c r="A3" s="13" t="s">
        <v>261</v>
      </c>
      <c r="B3" s="67">
        <v>27140979871</v>
      </c>
      <c r="C3" s="68"/>
      <c r="D3" s="69"/>
      <c r="E3" s="9">
        <v>1128</v>
      </c>
      <c r="F3" s="25">
        <v>42972</v>
      </c>
      <c r="G3" s="70" t="s">
        <v>160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262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263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264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265</v>
      </c>
      <c r="B5" s="67">
        <v>75489104872</v>
      </c>
      <c r="C5" s="72"/>
      <c r="D5" s="69"/>
      <c r="E5" s="9">
        <v>1752</v>
      </c>
      <c r="F5" s="25">
        <v>43051</v>
      </c>
      <c r="G5" s="70" t="s">
        <v>160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266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267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268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269</v>
      </c>
      <c r="B7" s="67"/>
      <c r="C7" s="18" t="s">
        <v>270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271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272</v>
      </c>
      <c r="B8" s="67">
        <v>97443271620</v>
      </c>
      <c r="C8" s="72"/>
      <c r="D8" s="69"/>
      <c r="E8" s="9">
        <v>1106</v>
      </c>
      <c r="F8" s="25">
        <v>42965</v>
      </c>
      <c r="G8" s="70" t="s">
        <v>160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273</v>
      </c>
      <c r="B9" s="67">
        <v>98058690597</v>
      </c>
      <c r="C9" s="72"/>
      <c r="D9" s="69"/>
      <c r="E9" s="9">
        <v>423</v>
      </c>
      <c r="F9" s="25">
        <v>43182</v>
      </c>
      <c r="G9" s="70" t="s">
        <v>160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274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275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276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160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277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278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160</v>
      </c>
      <c r="H14" s="25">
        <v>42921</v>
      </c>
      <c r="I14" s="8"/>
      <c r="J14" s="8"/>
      <c r="K14" s="8"/>
      <c r="L14" s="9" t="s">
        <v>279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280</v>
      </c>
      <c r="B15" s="67">
        <v>38772276860</v>
      </c>
      <c r="C15" s="18" t="s">
        <v>281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282</v>
      </c>
      <c r="B16" s="67">
        <v>21538837846</v>
      </c>
      <c r="C16" s="72" t="s">
        <v>283</v>
      </c>
      <c r="D16" s="69">
        <v>94203180520</v>
      </c>
      <c r="E16" s="9">
        <v>810</v>
      </c>
      <c r="F16" s="25">
        <v>42915</v>
      </c>
      <c r="G16" s="70" t="s">
        <v>160</v>
      </c>
      <c r="H16" s="25">
        <v>42921</v>
      </c>
      <c r="I16" s="8"/>
      <c r="J16" s="8"/>
      <c r="K16" s="8"/>
      <c r="L16" s="9" t="s">
        <v>279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284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285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160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286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166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287</v>
      </c>
      <c r="B20" s="67">
        <v>18419589802</v>
      </c>
      <c r="C20" s="18" t="s">
        <v>270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288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289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160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290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160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291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160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292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293</v>
      </c>
      <c r="B26" s="67"/>
      <c r="C26" s="18" t="s">
        <v>270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294</v>
      </c>
      <c r="B27" s="67">
        <v>25894152810</v>
      </c>
      <c r="C27" s="72" t="s">
        <v>295</v>
      </c>
      <c r="D27" s="69">
        <v>8263008808</v>
      </c>
      <c r="E27" s="9">
        <v>292</v>
      </c>
      <c r="F27" s="25">
        <v>43168</v>
      </c>
      <c r="G27" s="70" t="s">
        <v>160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296</v>
      </c>
      <c r="B28" s="67">
        <v>43026389587</v>
      </c>
      <c r="C28" s="72" t="s">
        <v>297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298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166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299</v>
      </c>
      <c r="B30" s="67">
        <v>36531080809</v>
      </c>
      <c r="C30" s="72" t="s">
        <v>300</v>
      </c>
      <c r="D30" s="69">
        <v>22485483892</v>
      </c>
      <c r="E30" s="9">
        <v>1489</v>
      </c>
      <c r="F30" s="25">
        <v>43038</v>
      </c>
      <c r="G30" s="70" t="s">
        <v>160</v>
      </c>
      <c r="H30" s="9"/>
      <c r="I30" s="8"/>
      <c r="J30" s="8"/>
      <c r="K30" s="8"/>
      <c r="L30" s="9" t="s">
        <v>301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302</v>
      </c>
      <c r="B31" s="67">
        <v>28147186819</v>
      </c>
      <c r="C31" s="72" t="s">
        <v>303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304</v>
      </c>
      <c r="B32" s="67">
        <v>37559228860</v>
      </c>
      <c r="C32" s="72" t="s">
        <v>305</v>
      </c>
      <c r="D32" s="69">
        <v>28072024892</v>
      </c>
      <c r="E32" s="9">
        <v>1555</v>
      </c>
      <c r="F32" s="25">
        <v>43049</v>
      </c>
      <c r="G32" s="9" t="s">
        <v>160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306</v>
      </c>
      <c r="B33" s="67">
        <v>23635229822</v>
      </c>
      <c r="C33" s="72" t="s">
        <v>307</v>
      </c>
      <c r="D33" s="69">
        <v>21668057875</v>
      </c>
      <c r="E33" s="9">
        <v>262</v>
      </c>
      <c r="F33" s="25">
        <v>43160</v>
      </c>
      <c r="G33" s="70" t="s">
        <v>160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308</v>
      </c>
      <c r="B34" s="67"/>
      <c r="C34" s="29" t="s">
        <v>270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309</v>
      </c>
      <c r="B35" s="67">
        <v>40902634844</v>
      </c>
      <c r="C35" s="72" t="s">
        <v>310</v>
      </c>
      <c r="D35" s="69">
        <v>23795007895</v>
      </c>
      <c r="E35" s="9">
        <v>117</v>
      </c>
      <c r="F35" s="25">
        <v>43117</v>
      </c>
      <c r="G35" s="70" t="s">
        <v>160</v>
      </c>
      <c r="H35" s="25">
        <v>43151</v>
      </c>
      <c r="I35" s="8"/>
      <c r="J35" s="8"/>
      <c r="K35" s="8"/>
      <c r="L35" s="9" t="s">
        <v>311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312</v>
      </c>
      <c r="B36" s="67">
        <v>39615629898</v>
      </c>
      <c r="C36" s="72" t="s">
        <v>313</v>
      </c>
      <c r="D36" s="69">
        <v>43328275894</v>
      </c>
      <c r="E36" s="9">
        <v>423</v>
      </c>
      <c r="F36" s="25">
        <v>43182</v>
      </c>
      <c r="G36" s="70" t="s">
        <v>160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314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315</v>
      </c>
      <c r="B38" s="67"/>
      <c r="C38" s="29" t="s">
        <v>316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317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160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318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160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319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160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320</v>
      </c>
      <c r="B42" s="67">
        <v>10201704412</v>
      </c>
      <c r="C42" s="72" t="s">
        <v>321</v>
      </c>
      <c r="D42" s="69">
        <v>33674895811</v>
      </c>
      <c r="E42" s="9">
        <v>262</v>
      </c>
      <c r="F42" s="25">
        <v>43160</v>
      </c>
      <c r="G42" s="70" t="s">
        <v>160</v>
      </c>
      <c r="H42" s="25">
        <v>43164</v>
      </c>
      <c r="I42" s="8"/>
      <c r="J42" s="8"/>
      <c r="K42" s="8"/>
      <c r="L42" s="9">
        <v>255</v>
      </c>
      <c r="M42" s="8"/>
      <c r="O42" s="66" t="s">
        <v>322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323</v>
      </c>
      <c r="B43" s="67">
        <v>35271487873</v>
      </c>
      <c r="C43" s="68" t="s">
        <v>324</v>
      </c>
      <c r="D43" s="69">
        <v>557351502</v>
      </c>
      <c r="E43" s="9">
        <v>1128</v>
      </c>
      <c r="F43" s="25">
        <v>42972</v>
      </c>
      <c r="G43" s="70" t="s">
        <v>160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325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160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326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327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160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328</v>
      </c>
      <c r="B47" s="67">
        <v>31801479895</v>
      </c>
      <c r="C47" s="72" t="s">
        <v>329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330</v>
      </c>
      <c r="B48" s="67">
        <v>28638653824</v>
      </c>
      <c r="C48" s="72" t="s">
        <v>331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332</v>
      </c>
      <c r="B49" s="67">
        <v>17766101807</v>
      </c>
      <c r="C49" s="72" t="s">
        <v>333</v>
      </c>
      <c r="D49" s="69">
        <v>31993041842</v>
      </c>
      <c r="E49" s="9">
        <v>1824</v>
      </c>
      <c r="F49" s="25">
        <v>43091</v>
      </c>
      <c r="G49" s="70" t="s">
        <v>160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334</v>
      </c>
      <c r="B50" s="67">
        <v>17902799840</v>
      </c>
      <c r="C50" s="72" t="s">
        <v>335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336</v>
      </c>
      <c r="B51" s="67">
        <v>49122403892</v>
      </c>
      <c r="C51" s="75" t="s">
        <v>337</v>
      </c>
      <c r="D51" s="69">
        <v>1478139560</v>
      </c>
      <c r="E51" s="9">
        <v>608</v>
      </c>
      <c r="F51" s="25">
        <v>43012</v>
      </c>
      <c r="G51" s="70" t="s">
        <v>160</v>
      </c>
      <c r="H51" s="25">
        <v>43024</v>
      </c>
      <c r="I51" s="8"/>
      <c r="J51" s="8"/>
      <c r="K51" s="8"/>
      <c r="L51" s="8"/>
      <c r="M51" s="8"/>
      <c r="O51" s="158" t="s">
        <v>338</v>
      </c>
      <c r="P51" s="158"/>
      <c r="Q51" s="158"/>
      <c r="R51" s="158"/>
      <c r="S51" s="158"/>
      <c r="T51" s="158"/>
      <c r="U51" s="158"/>
    </row>
    <row r="52" spans="1:21" x14ac:dyDescent="0.25">
      <c r="A52" s="13" t="s">
        <v>339</v>
      </c>
      <c r="B52" s="67">
        <v>37534302854</v>
      </c>
      <c r="C52" s="71" t="s">
        <v>340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341</v>
      </c>
      <c r="B53" s="67">
        <v>14699996841</v>
      </c>
      <c r="C53" s="68" t="s">
        <v>342</v>
      </c>
      <c r="D53" s="69">
        <v>15089706883</v>
      </c>
      <c r="E53" s="9">
        <v>1128</v>
      </c>
      <c r="F53" s="25">
        <v>42972</v>
      </c>
      <c r="G53" s="70" t="s">
        <v>160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343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344</v>
      </c>
      <c r="B55" s="67">
        <v>40396239838</v>
      </c>
      <c r="C55" s="72" t="s">
        <v>345</v>
      </c>
      <c r="D55" s="69">
        <v>39420747883</v>
      </c>
      <c r="E55" s="9">
        <v>262</v>
      </c>
      <c r="F55" s="25">
        <v>43160</v>
      </c>
      <c r="G55" s="70" t="s">
        <v>160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346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160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347</v>
      </c>
      <c r="B57" s="67">
        <v>38781151802</v>
      </c>
      <c r="C57" s="18" t="s">
        <v>270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348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349</v>
      </c>
      <c r="B59" s="67">
        <v>2428277219</v>
      </c>
      <c r="C59" s="72" t="s">
        <v>350</v>
      </c>
      <c r="D59" s="69">
        <v>909805229</v>
      </c>
      <c r="E59" s="9">
        <v>810</v>
      </c>
      <c r="F59" s="25">
        <v>42915</v>
      </c>
      <c r="G59" s="70" t="s">
        <v>160</v>
      </c>
      <c r="H59" s="25">
        <v>42921</v>
      </c>
      <c r="I59" s="8"/>
      <c r="J59" s="8"/>
      <c r="K59" s="8"/>
      <c r="L59" s="9" t="s">
        <v>279</v>
      </c>
      <c r="M59" s="8"/>
    </row>
    <row r="60" spans="1:21" x14ac:dyDescent="0.25">
      <c r="A60" s="71" t="s">
        <v>351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352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160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353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354</v>
      </c>
      <c r="B63" s="67">
        <v>3722493889</v>
      </c>
      <c r="C63" s="72" t="s">
        <v>355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356</v>
      </c>
      <c r="B64" s="67">
        <v>14519340845</v>
      </c>
      <c r="C64" s="72" t="s">
        <v>357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358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359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360</v>
      </c>
      <c r="B67" s="67">
        <v>36392955879</v>
      </c>
      <c r="C67" s="72" t="s">
        <v>361</v>
      </c>
      <c r="D67" s="69">
        <v>5242864346</v>
      </c>
      <c r="E67" s="9">
        <v>117</v>
      </c>
      <c r="F67" s="25">
        <v>43117</v>
      </c>
      <c r="G67" s="70" t="s">
        <v>160</v>
      </c>
      <c r="H67" s="25">
        <v>43151</v>
      </c>
      <c r="I67" s="8"/>
      <c r="J67" s="8"/>
      <c r="K67" s="8"/>
      <c r="L67" s="9" t="s">
        <v>311</v>
      </c>
      <c r="M67" s="8"/>
    </row>
    <row r="68" spans="1:13" x14ac:dyDescent="0.25">
      <c r="A68" s="71" t="s">
        <v>362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160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363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364</v>
      </c>
      <c r="B70" s="67">
        <v>9882942490</v>
      </c>
      <c r="C70" s="18" t="s">
        <v>365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366</v>
      </c>
      <c r="B71" s="67">
        <v>14777572870</v>
      </c>
      <c r="C71" s="72" t="s">
        <v>367</v>
      </c>
      <c r="D71" s="69">
        <v>12874739898</v>
      </c>
      <c r="E71" s="9">
        <v>1824</v>
      </c>
      <c r="F71" s="25">
        <v>43091</v>
      </c>
      <c r="G71" s="70" t="s">
        <v>160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368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369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160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370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160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371</v>
      </c>
      <c r="B75" s="67">
        <v>26940268855</v>
      </c>
      <c r="C75" s="18" t="s">
        <v>372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373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160</v>
      </c>
      <c r="H76" s="9"/>
      <c r="I76" s="8"/>
      <c r="J76" s="8"/>
      <c r="K76" s="8"/>
      <c r="L76" s="9" t="s">
        <v>301</v>
      </c>
      <c r="M76" s="8"/>
    </row>
    <row r="77" spans="1:13" x14ac:dyDescent="0.25">
      <c r="A77" s="15" t="s">
        <v>374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160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375</v>
      </c>
      <c r="B78" s="67">
        <v>42352732808</v>
      </c>
      <c r="C78" s="72" t="s">
        <v>376</v>
      </c>
      <c r="D78" s="69">
        <v>281893373</v>
      </c>
      <c r="E78" s="9">
        <v>1214</v>
      </c>
      <c r="F78" s="25">
        <v>42989</v>
      </c>
      <c r="G78" s="70" t="s">
        <v>160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377</v>
      </c>
      <c r="B79" s="67">
        <v>13480043801</v>
      </c>
      <c r="C79" s="18" t="s">
        <v>378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379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160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380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160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381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160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382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383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384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385</v>
      </c>
      <c r="B86" s="67">
        <v>43053250802</v>
      </c>
      <c r="C86" s="68" t="s">
        <v>386</v>
      </c>
      <c r="D86" s="69">
        <v>35893147880</v>
      </c>
      <c r="E86" s="9">
        <v>1128</v>
      </c>
      <c r="F86" s="25">
        <v>42972</v>
      </c>
      <c r="G86" s="70" t="s">
        <v>160</v>
      </c>
      <c r="H86" s="9"/>
      <c r="I86" s="8"/>
      <c r="J86" s="8"/>
      <c r="K86" s="8"/>
      <c r="L86" s="8"/>
      <c r="M86" s="8"/>
    </row>
    <row r="87" spans="1:13" x14ac:dyDescent="0.25">
      <c r="A87" s="71" t="s">
        <v>387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160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388</v>
      </c>
      <c r="B88" s="67">
        <v>33617584837</v>
      </c>
      <c r="C88" s="72" t="s">
        <v>389</v>
      </c>
      <c r="D88" s="69">
        <v>26520094862</v>
      </c>
      <c r="E88" s="9">
        <v>608</v>
      </c>
      <c r="F88" s="25">
        <v>43012</v>
      </c>
      <c r="G88" s="70" t="s">
        <v>160</v>
      </c>
      <c r="H88" s="9"/>
      <c r="I88" s="8"/>
      <c r="J88" s="8"/>
      <c r="K88" s="8"/>
      <c r="L88" s="8"/>
      <c r="M88" s="8"/>
    </row>
    <row r="89" spans="1:13" x14ac:dyDescent="0.25">
      <c r="A89" s="14" t="s">
        <v>390</v>
      </c>
      <c r="B89" s="67">
        <v>38168161858</v>
      </c>
      <c r="C89" s="72" t="s">
        <v>391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392</v>
      </c>
      <c r="B90" s="67">
        <v>38728353862</v>
      </c>
      <c r="C90" s="72" t="s">
        <v>393</v>
      </c>
      <c r="D90" s="69">
        <v>37650358828</v>
      </c>
      <c r="E90" s="9">
        <v>1417</v>
      </c>
      <c r="F90" s="25">
        <v>43017</v>
      </c>
      <c r="G90" s="70" t="s">
        <v>160</v>
      </c>
      <c r="H90" s="9"/>
      <c r="I90" s="8"/>
      <c r="J90" s="8"/>
      <c r="K90" s="8"/>
      <c r="L90" s="9" t="s">
        <v>394</v>
      </c>
      <c r="M90" s="8"/>
    </row>
    <row r="91" spans="1:13" x14ac:dyDescent="0.25">
      <c r="A91" s="15" t="s">
        <v>395</v>
      </c>
      <c r="B91" s="67">
        <v>29479419858</v>
      </c>
      <c r="C91" s="72" t="s">
        <v>396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397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398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160</v>
      </c>
      <c r="H93" s="9"/>
      <c r="I93" s="8"/>
      <c r="J93" s="8"/>
      <c r="K93" s="8"/>
      <c r="L93" s="8"/>
      <c r="M93" s="8"/>
    </row>
    <row r="94" spans="1:13" x14ac:dyDescent="0.25">
      <c r="A94" s="15" t="s">
        <v>399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160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400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401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160</v>
      </c>
      <c r="H96" s="9"/>
      <c r="I96" s="8"/>
      <c r="J96" s="8"/>
      <c r="K96" s="8"/>
      <c r="L96" s="9" t="s">
        <v>301</v>
      </c>
      <c r="M96" s="8"/>
    </row>
    <row r="97" spans="1:13" x14ac:dyDescent="0.25">
      <c r="A97" s="71" t="s">
        <v>402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160</v>
      </c>
      <c r="H97" s="9"/>
      <c r="I97" s="8"/>
      <c r="J97" s="8"/>
      <c r="K97" s="8"/>
      <c r="L97" s="8"/>
      <c r="M97" s="8"/>
    </row>
    <row r="98" spans="1:13" x14ac:dyDescent="0.25">
      <c r="A98" s="29" t="s">
        <v>403</v>
      </c>
      <c r="B98" s="67">
        <v>3317260505</v>
      </c>
      <c r="C98" s="29" t="s">
        <v>404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405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160</v>
      </c>
      <c r="H99" s="9"/>
      <c r="I99" s="8"/>
      <c r="J99" s="8"/>
      <c r="K99" s="8"/>
      <c r="L99" s="8"/>
      <c r="M99" s="8"/>
    </row>
    <row r="100" spans="1:13" x14ac:dyDescent="0.25">
      <c r="A100" s="15" t="s">
        <v>406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160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407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160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408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160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409</v>
      </c>
      <c r="B103" s="67"/>
      <c r="C103" s="18" t="s">
        <v>270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410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160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411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160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412</v>
      </c>
      <c r="B106" s="67">
        <v>40823037827</v>
      </c>
      <c r="C106" s="72" t="s">
        <v>413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414</v>
      </c>
      <c r="B107" s="67">
        <v>54215625491</v>
      </c>
      <c r="C107" s="18" t="s">
        <v>415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416</v>
      </c>
      <c r="B108" s="67">
        <v>8424740807</v>
      </c>
      <c r="C108" s="18" t="s">
        <v>270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417</v>
      </c>
      <c r="B109" s="67">
        <v>78495857472</v>
      </c>
      <c r="C109" s="72" t="s">
        <v>418</v>
      </c>
      <c r="D109" s="69">
        <v>148572863</v>
      </c>
      <c r="E109" s="9">
        <v>1752</v>
      </c>
      <c r="F109" s="25">
        <v>43051</v>
      </c>
      <c r="G109" s="70" t="s">
        <v>160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419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420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160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421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422</v>
      </c>
      <c r="B113" s="67">
        <v>44444325860</v>
      </c>
      <c r="C113" s="72" t="s">
        <v>423</v>
      </c>
      <c r="D113" s="69">
        <v>36636133805</v>
      </c>
      <c r="E113" s="9">
        <v>292</v>
      </c>
      <c r="F113" s="25">
        <v>43168</v>
      </c>
      <c r="G113" s="70" t="s">
        <v>160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424</v>
      </c>
      <c r="B114" s="67">
        <v>39701017862</v>
      </c>
      <c r="C114" s="72" t="s">
        <v>425</v>
      </c>
      <c r="D114" s="69">
        <v>38933316892</v>
      </c>
      <c r="E114" s="9">
        <v>1350</v>
      </c>
      <c r="F114" s="25">
        <v>43006</v>
      </c>
      <c r="G114" s="70" t="s">
        <v>160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426</v>
      </c>
      <c r="B115" s="67">
        <v>40003107809</v>
      </c>
      <c r="C115" s="72" t="s">
        <v>427</v>
      </c>
      <c r="D115" s="69">
        <v>37929345823</v>
      </c>
      <c r="E115" s="9">
        <v>262</v>
      </c>
      <c r="F115" s="25">
        <v>43160</v>
      </c>
      <c r="G115" s="70" t="s">
        <v>160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428</v>
      </c>
      <c r="B116" s="67">
        <v>38786146831</v>
      </c>
      <c r="C116" s="29" t="s">
        <v>429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430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174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431</v>
      </c>
      <c r="B118" s="67">
        <v>3486705598</v>
      </c>
      <c r="C118" s="72" t="s">
        <v>432</v>
      </c>
      <c r="D118" s="69">
        <v>3581817551</v>
      </c>
      <c r="E118" s="9">
        <v>1752</v>
      </c>
      <c r="F118" s="25">
        <v>43051</v>
      </c>
      <c r="G118" s="70" t="s">
        <v>160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433</v>
      </c>
      <c r="B119" s="67">
        <v>37051125893</v>
      </c>
      <c r="C119" s="72" t="s">
        <v>434</v>
      </c>
      <c r="D119" s="69">
        <v>4303791458</v>
      </c>
      <c r="E119" s="9">
        <v>292</v>
      </c>
      <c r="F119" s="25">
        <v>43168</v>
      </c>
      <c r="G119" s="9" t="s">
        <v>160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435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436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437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160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438</v>
      </c>
      <c r="B123" s="67">
        <v>33879586845</v>
      </c>
      <c r="C123" s="77" t="s">
        <v>439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440</v>
      </c>
      <c r="M123" s="8"/>
    </row>
    <row r="124" spans="1:13" x14ac:dyDescent="0.25">
      <c r="A124" s="72" t="s">
        <v>441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442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443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160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444</v>
      </c>
      <c r="B127" s="67">
        <v>15401963807</v>
      </c>
      <c r="C127" s="72" t="s">
        <v>445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446</v>
      </c>
      <c r="B128" s="67">
        <v>2022016351</v>
      </c>
      <c r="C128" s="72" t="s">
        <v>447</v>
      </c>
      <c r="D128" s="69">
        <v>84914270315</v>
      </c>
      <c r="E128" s="9">
        <v>1106</v>
      </c>
      <c r="F128" s="25">
        <v>42965</v>
      </c>
      <c r="G128" s="70" t="s">
        <v>160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448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449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450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160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451</v>
      </c>
      <c r="B132" s="67">
        <v>1860886558</v>
      </c>
      <c r="C132" s="72" t="s">
        <v>452</v>
      </c>
      <c r="D132" s="69">
        <v>35132798845</v>
      </c>
      <c r="E132" s="9">
        <v>229</v>
      </c>
      <c r="F132" s="25">
        <v>43151</v>
      </c>
      <c r="G132" s="70" t="s">
        <v>160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453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160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454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455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456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160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457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160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458</v>
      </c>
      <c r="B138" s="67">
        <v>42262731845</v>
      </c>
      <c r="C138" s="72" t="s">
        <v>459</v>
      </c>
      <c r="D138" s="69">
        <v>34728432840</v>
      </c>
      <c r="E138" s="9">
        <v>1824</v>
      </c>
      <c r="F138" s="25">
        <v>43091</v>
      </c>
      <c r="G138" s="70" t="s">
        <v>160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460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160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461</v>
      </c>
      <c r="B140" s="67">
        <v>41446773892</v>
      </c>
      <c r="C140" s="72" t="s">
        <v>462</v>
      </c>
      <c r="D140" s="69">
        <v>38180353850</v>
      </c>
      <c r="E140" s="9">
        <v>292</v>
      </c>
      <c r="F140" s="25">
        <v>43168</v>
      </c>
      <c r="G140" s="9" t="s">
        <v>160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463</v>
      </c>
      <c r="B141" s="67">
        <v>1436459354</v>
      </c>
      <c r="C141" s="72" t="s">
        <v>464</v>
      </c>
      <c r="D141" s="69">
        <v>4149263310</v>
      </c>
      <c r="E141" s="9">
        <v>229</v>
      </c>
      <c r="F141" s="25">
        <v>43151</v>
      </c>
      <c r="G141" s="70" t="s">
        <v>160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465</v>
      </c>
      <c r="B142" s="67">
        <v>39953063818</v>
      </c>
      <c r="C142" s="29" t="s">
        <v>466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467</v>
      </c>
      <c r="B143" s="80">
        <v>15371893873</v>
      </c>
      <c r="C143" s="81" t="s">
        <v>468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469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160</v>
      </c>
      <c r="H144" s="9"/>
      <c r="I144" s="8"/>
      <c r="J144" s="8"/>
      <c r="K144" s="8"/>
      <c r="L144" s="9" t="s">
        <v>279</v>
      </c>
      <c r="M144" s="8"/>
    </row>
    <row r="145" spans="1:13" x14ac:dyDescent="0.25">
      <c r="A145" s="73" t="s">
        <v>470</v>
      </c>
      <c r="B145" s="67">
        <v>50773453334</v>
      </c>
      <c r="C145" s="72" t="s">
        <v>471</v>
      </c>
      <c r="D145" s="69">
        <v>51551365391</v>
      </c>
      <c r="E145" s="9">
        <v>1106</v>
      </c>
      <c r="F145" s="25">
        <v>42965</v>
      </c>
      <c r="G145" s="70" t="s">
        <v>166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472</v>
      </c>
      <c r="B146" s="67">
        <v>37805884803</v>
      </c>
      <c r="C146" s="72" t="s">
        <v>473</v>
      </c>
      <c r="D146" s="69">
        <v>35792474842</v>
      </c>
      <c r="E146" s="9">
        <v>262</v>
      </c>
      <c r="F146" s="25">
        <v>43160</v>
      </c>
      <c r="G146" s="9" t="s">
        <v>160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474</v>
      </c>
      <c r="B147" s="67">
        <v>38072219804</v>
      </c>
      <c r="C147" s="72" t="s">
        <v>475</v>
      </c>
      <c r="D147" s="69">
        <v>37125330800</v>
      </c>
      <c r="E147" s="9">
        <v>292</v>
      </c>
      <c r="F147" s="25">
        <v>43168</v>
      </c>
      <c r="G147" s="70" t="s">
        <v>160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476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160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477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478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160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479</v>
      </c>
      <c r="B151" s="67">
        <v>31476352879</v>
      </c>
      <c r="C151" s="72" t="s">
        <v>480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481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160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482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160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483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484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485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486</v>
      </c>
      <c r="B157" s="67">
        <v>86665944468</v>
      </c>
      <c r="C157" s="72" t="s">
        <v>487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488</v>
      </c>
      <c r="B158" s="67">
        <v>39747831805</v>
      </c>
      <c r="C158" s="72" t="s">
        <v>489</v>
      </c>
      <c r="D158" s="69">
        <v>1202056458</v>
      </c>
      <c r="E158" s="9">
        <v>292</v>
      </c>
      <c r="F158" s="25">
        <v>43168</v>
      </c>
      <c r="G158" s="70" t="s">
        <v>160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490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160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491</v>
      </c>
      <c r="B160" s="67"/>
      <c r="C160" s="29" t="s">
        <v>492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493</v>
      </c>
      <c r="B161" s="67">
        <v>38107907884</v>
      </c>
      <c r="C161" s="72" t="s">
        <v>494</v>
      </c>
      <c r="D161" s="69">
        <v>8669747685</v>
      </c>
      <c r="E161" s="9">
        <v>117</v>
      </c>
      <c r="F161" s="25">
        <v>43117</v>
      </c>
      <c r="G161" s="70" t="s">
        <v>160</v>
      </c>
      <c r="H161" s="9"/>
      <c r="I161" s="8"/>
      <c r="J161" s="8"/>
      <c r="K161" s="8"/>
      <c r="L161" s="9" t="s">
        <v>311</v>
      </c>
      <c r="M161" s="8"/>
    </row>
    <row r="162" spans="1:13" x14ac:dyDescent="0.25">
      <c r="A162" s="29" t="s">
        <v>495</v>
      </c>
      <c r="B162" s="67">
        <v>24759436880</v>
      </c>
      <c r="C162" s="29" t="s">
        <v>496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497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160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498</v>
      </c>
      <c r="B164" s="67">
        <v>22537971892</v>
      </c>
      <c r="C164" s="29" t="s">
        <v>499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500</v>
      </c>
      <c r="B165" s="67">
        <v>31362502812</v>
      </c>
      <c r="C165" s="72" t="s">
        <v>501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502</v>
      </c>
      <c r="B166" s="67">
        <v>4625640539</v>
      </c>
      <c r="C166" s="18" t="s">
        <v>503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504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160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505</v>
      </c>
      <c r="B168" s="67">
        <v>22234108802</v>
      </c>
      <c r="C168" s="72" t="s">
        <v>506</v>
      </c>
      <c r="D168" s="69"/>
      <c r="E168" s="9"/>
      <c r="F168" s="25"/>
      <c r="G168" s="70" t="s">
        <v>160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507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508</v>
      </c>
      <c r="B170" s="67">
        <v>182316599</v>
      </c>
      <c r="C170" s="72" t="s">
        <v>509</v>
      </c>
      <c r="D170" s="69">
        <v>73673560549</v>
      </c>
      <c r="E170" s="9">
        <v>292</v>
      </c>
      <c r="F170" s="25">
        <v>43168</v>
      </c>
      <c r="G170" s="9" t="s">
        <v>160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510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160</v>
      </c>
      <c r="H171" s="9"/>
      <c r="I171" s="8">
        <v>117</v>
      </c>
      <c r="J171" s="26">
        <v>43117</v>
      </c>
      <c r="K171" s="26">
        <v>43151</v>
      </c>
      <c r="L171" s="9" t="s">
        <v>394</v>
      </c>
      <c r="M171" s="26"/>
    </row>
    <row r="172" spans="1:13" x14ac:dyDescent="0.25">
      <c r="A172" s="71" t="s">
        <v>511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160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512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160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513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514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160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515</v>
      </c>
      <c r="B176" s="67">
        <v>36777190899</v>
      </c>
      <c r="C176" s="72" t="s">
        <v>516</v>
      </c>
      <c r="D176" s="69">
        <v>37104057854</v>
      </c>
      <c r="E176" s="9">
        <v>810</v>
      </c>
      <c r="F176" s="25">
        <v>42915</v>
      </c>
      <c r="G176" s="70" t="s">
        <v>160</v>
      </c>
      <c r="H176" s="9"/>
      <c r="I176" s="8"/>
      <c r="J176" s="8"/>
      <c r="K176" s="8"/>
      <c r="L176" s="9" t="s">
        <v>279</v>
      </c>
      <c r="M176" s="8"/>
    </row>
    <row r="177" spans="1:13" x14ac:dyDescent="0.25">
      <c r="A177" s="15" t="s">
        <v>517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160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518</v>
      </c>
      <c r="B178" s="67">
        <v>32428102877</v>
      </c>
      <c r="C178" s="72" t="s">
        <v>519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520</v>
      </c>
      <c r="B179" s="67">
        <v>28640229821</v>
      </c>
      <c r="C179" s="72" t="s">
        <v>521</v>
      </c>
      <c r="D179" s="69">
        <v>7752420808</v>
      </c>
      <c r="E179" s="9">
        <v>1106</v>
      </c>
      <c r="F179" s="25">
        <v>42965</v>
      </c>
      <c r="G179" s="70" t="s">
        <v>160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522</v>
      </c>
      <c r="B180" s="67">
        <v>38122976808</v>
      </c>
      <c r="C180" s="29" t="s">
        <v>523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524</v>
      </c>
      <c r="B181" s="67">
        <v>41494645882</v>
      </c>
      <c r="C181" s="72" t="s">
        <v>525</v>
      </c>
      <c r="D181" s="69">
        <v>23413130862</v>
      </c>
      <c r="E181" s="9">
        <v>1824</v>
      </c>
      <c r="F181" s="25">
        <v>43091</v>
      </c>
      <c r="G181" s="70" t="s">
        <v>160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526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160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527</v>
      </c>
      <c r="B183" s="67">
        <v>32882437846</v>
      </c>
      <c r="C183" s="77" t="s">
        <v>528</v>
      </c>
      <c r="D183" s="69" t="s">
        <v>529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530</v>
      </c>
      <c r="B184" s="67">
        <v>40733908802</v>
      </c>
      <c r="C184" s="72" t="s">
        <v>531</v>
      </c>
      <c r="D184" s="69"/>
      <c r="E184" s="9">
        <v>1128</v>
      </c>
      <c r="F184" s="25">
        <v>42972</v>
      </c>
      <c r="G184" s="70" t="s">
        <v>160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532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533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160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534</v>
      </c>
      <c r="B187" s="67">
        <v>32321499877</v>
      </c>
      <c r="C187" s="72" t="s">
        <v>535</v>
      </c>
      <c r="D187" s="69">
        <v>4788348373</v>
      </c>
      <c r="E187" s="9">
        <v>292</v>
      </c>
      <c r="F187" s="25">
        <v>43168</v>
      </c>
      <c r="G187" s="70" t="s">
        <v>160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536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160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537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160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538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174</v>
      </c>
      <c r="H190" s="9"/>
      <c r="I190" s="8"/>
      <c r="J190" s="8"/>
      <c r="K190" s="8"/>
      <c r="L190" s="9" t="s">
        <v>539</v>
      </c>
      <c r="M190" s="8"/>
    </row>
    <row r="191" spans="1:13" x14ac:dyDescent="0.25">
      <c r="A191" s="13" t="s">
        <v>540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160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541</v>
      </c>
      <c r="B192" s="67">
        <v>16700300835</v>
      </c>
      <c r="C192" s="72" t="s">
        <v>542</v>
      </c>
      <c r="D192" s="69">
        <v>28699951809</v>
      </c>
      <c r="E192" s="9">
        <v>262</v>
      </c>
      <c r="F192" s="25">
        <v>43160</v>
      </c>
      <c r="G192" s="70" t="s">
        <v>160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543</v>
      </c>
      <c r="B193" s="67">
        <v>33595120817</v>
      </c>
      <c r="C193" s="68" t="s">
        <v>544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545</v>
      </c>
      <c r="B194" s="67">
        <v>40386203873</v>
      </c>
      <c r="C194" s="68" t="s">
        <v>546</v>
      </c>
      <c r="D194" s="69">
        <v>27988479822</v>
      </c>
      <c r="E194" s="9">
        <v>1128</v>
      </c>
      <c r="F194" s="25">
        <v>42972</v>
      </c>
      <c r="G194" s="70" t="s">
        <v>160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547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548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549</v>
      </c>
      <c r="B197" s="67">
        <v>23473254851</v>
      </c>
      <c r="C197" s="72" t="s">
        <v>550</v>
      </c>
      <c r="D197" s="69">
        <v>32944503898</v>
      </c>
      <c r="E197" s="9">
        <v>85</v>
      </c>
      <c r="F197" s="25">
        <v>43109</v>
      </c>
      <c r="G197" s="70" t="s">
        <v>160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551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160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552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160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553</v>
      </c>
      <c r="B200" s="67">
        <v>2218915871</v>
      </c>
      <c r="C200" s="72" t="s">
        <v>554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555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556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557</v>
      </c>
      <c r="B203" s="67">
        <v>31793836825</v>
      </c>
      <c r="C203" s="72" t="s">
        <v>558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559</v>
      </c>
      <c r="B204" s="67">
        <v>41307266843</v>
      </c>
      <c r="C204" s="18" t="s">
        <v>560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561</v>
      </c>
      <c r="B205" s="67">
        <v>96683295549</v>
      </c>
      <c r="C205" s="72"/>
      <c r="D205" s="69"/>
      <c r="E205" s="9"/>
      <c r="F205" s="25"/>
      <c r="G205" s="70" t="s">
        <v>160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562</v>
      </c>
      <c r="B206" s="67">
        <v>18965913888</v>
      </c>
      <c r="C206" s="72" t="s">
        <v>563</v>
      </c>
      <c r="D206" s="69">
        <v>30385646801</v>
      </c>
      <c r="E206" s="9">
        <v>117</v>
      </c>
      <c r="F206" s="25">
        <v>43117</v>
      </c>
      <c r="G206" s="70" t="s">
        <v>160</v>
      </c>
      <c r="H206" s="9"/>
      <c r="I206" s="8"/>
      <c r="J206" s="8"/>
      <c r="K206" s="8"/>
      <c r="L206" s="9" t="s">
        <v>311</v>
      </c>
      <c r="M206" s="8"/>
    </row>
    <row r="207" spans="1:13" x14ac:dyDescent="0.25">
      <c r="A207" s="29" t="s">
        <v>564</v>
      </c>
      <c r="B207" s="67">
        <v>52371501875</v>
      </c>
      <c r="C207" s="18" t="s">
        <v>270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565</v>
      </c>
      <c r="B208" s="67"/>
      <c r="C208" s="18" t="s">
        <v>270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566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567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568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166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569</v>
      </c>
      <c r="B212" s="67">
        <v>25897391840</v>
      </c>
      <c r="C212" s="72" t="s">
        <v>570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571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572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573</v>
      </c>
      <c r="B215" s="67">
        <v>32841222810</v>
      </c>
      <c r="C215" s="72" t="s">
        <v>574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575</v>
      </c>
      <c r="B216" s="67">
        <v>32242692860</v>
      </c>
      <c r="C216" s="72" t="s">
        <v>576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577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578</v>
      </c>
      <c r="B218" s="67">
        <v>35157366892</v>
      </c>
      <c r="C218" s="72" t="s">
        <v>579</v>
      </c>
      <c r="D218" s="69">
        <v>7540659440</v>
      </c>
      <c r="E218" s="9">
        <v>262</v>
      </c>
      <c r="F218" s="25">
        <v>43160</v>
      </c>
      <c r="G218" s="70" t="s">
        <v>160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580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160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581</v>
      </c>
      <c r="B220" s="67">
        <v>86052484594</v>
      </c>
      <c r="C220" s="72" t="s">
        <v>582</v>
      </c>
      <c r="D220" s="69">
        <v>5551698556</v>
      </c>
      <c r="E220" s="9">
        <v>117</v>
      </c>
      <c r="F220" s="25">
        <v>43117</v>
      </c>
      <c r="G220" s="70" t="s">
        <v>160</v>
      </c>
      <c r="H220" s="70"/>
      <c r="I220" s="8"/>
      <c r="J220" s="8"/>
      <c r="K220" s="8"/>
      <c r="L220" s="9" t="s">
        <v>311</v>
      </c>
      <c r="M220" s="8"/>
    </row>
    <row r="221" spans="1:13" x14ac:dyDescent="0.25">
      <c r="A221" s="15" t="s">
        <v>583</v>
      </c>
      <c r="B221" s="67">
        <v>32193061874</v>
      </c>
      <c r="C221" s="72" t="s">
        <v>584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585</v>
      </c>
      <c r="B222" s="67">
        <v>32729382810</v>
      </c>
      <c r="C222" s="29" t="s">
        <v>586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587</v>
      </c>
      <c r="B223" s="67">
        <v>32554462879</v>
      </c>
      <c r="C223" s="72" t="s">
        <v>588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589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590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591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592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160</v>
      </c>
      <c r="H227" s="70"/>
      <c r="I227" s="8"/>
      <c r="J227" s="8"/>
      <c r="K227" s="8"/>
      <c r="L227" s="9" t="s">
        <v>279</v>
      </c>
      <c r="M227" s="8"/>
    </row>
    <row r="228" spans="1:13" x14ac:dyDescent="0.25">
      <c r="A228" s="72" t="s">
        <v>593</v>
      </c>
      <c r="B228" s="67">
        <v>39961258878</v>
      </c>
      <c r="C228" s="72" t="s">
        <v>594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595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596</v>
      </c>
      <c r="B230" s="67">
        <v>35719819878</v>
      </c>
      <c r="C230" s="72" t="s">
        <v>597</v>
      </c>
      <c r="D230" s="69">
        <v>11407737473</v>
      </c>
      <c r="E230" s="9">
        <v>1214</v>
      </c>
      <c r="F230" s="25">
        <v>42989</v>
      </c>
      <c r="G230" s="70" t="s">
        <v>160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598</v>
      </c>
      <c r="B231" s="67">
        <v>45813645829</v>
      </c>
      <c r="C231" s="68" t="s">
        <v>599</v>
      </c>
      <c r="D231" s="69">
        <v>40890894841</v>
      </c>
      <c r="E231" s="9">
        <v>1752</v>
      </c>
      <c r="F231" s="25">
        <v>43051</v>
      </c>
      <c r="G231" s="70" t="s">
        <v>160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600</v>
      </c>
      <c r="B232" s="67">
        <v>43811085824</v>
      </c>
      <c r="C232" s="15" t="s">
        <v>601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602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440</v>
      </c>
      <c r="M233" s="8"/>
    </row>
    <row r="234" spans="1:13" x14ac:dyDescent="0.25">
      <c r="A234" s="29" t="s">
        <v>603</v>
      </c>
      <c r="B234" s="67"/>
      <c r="C234" s="18" t="s">
        <v>270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604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605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160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606</v>
      </c>
      <c r="B237" s="67">
        <v>86221152593</v>
      </c>
      <c r="C237" s="72" t="s">
        <v>607</v>
      </c>
      <c r="D237" s="69">
        <v>3688414560</v>
      </c>
      <c r="E237" s="9">
        <v>1214</v>
      </c>
      <c r="F237" s="25">
        <v>42989</v>
      </c>
      <c r="G237" s="70" t="s">
        <v>160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608</v>
      </c>
      <c r="B238" s="67">
        <v>5918222456</v>
      </c>
      <c r="C238" s="72" t="s">
        <v>609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610</v>
      </c>
      <c r="B239" s="67">
        <v>37239200809</v>
      </c>
      <c r="C239" s="72" t="s">
        <v>611</v>
      </c>
      <c r="D239" s="69">
        <v>36014828869</v>
      </c>
      <c r="E239" s="9">
        <v>1350</v>
      </c>
      <c r="F239" s="25">
        <v>43006</v>
      </c>
      <c r="G239" s="70" t="s">
        <v>160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612</v>
      </c>
      <c r="B240" s="67">
        <v>6620279813</v>
      </c>
      <c r="C240" s="72" t="s">
        <v>613</v>
      </c>
      <c r="D240" s="69">
        <v>18461089855</v>
      </c>
      <c r="E240" s="9">
        <v>1824</v>
      </c>
      <c r="F240" s="25">
        <v>43091</v>
      </c>
      <c r="G240" s="70" t="s">
        <v>160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614</v>
      </c>
      <c r="B241" s="67">
        <v>11805424874</v>
      </c>
      <c r="C241" s="77" t="s">
        <v>615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616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160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617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160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618</v>
      </c>
      <c r="B244" s="67">
        <v>34001342871</v>
      </c>
      <c r="C244" s="18" t="s">
        <v>619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620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160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621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622</v>
      </c>
      <c r="B247" s="67">
        <v>1308082533</v>
      </c>
      <c r="C247" s="72" t="s">
        <v>623</v>
      </c>
      <c r="D247" s="69">
        <v>73690139520</v>
      </c>
      <c r="E247" s="9">
        <v>262</v>
      </c>
      <c r="F247" s="25">
        <v>43160</v>
      </c>
      <c r="G247" s="70" t="s">
        <v>160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624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160</v>
      </c>
      <c r="H248" s="70"/>
      <c r="I248" s="8"/>
      <c r="J248" s="8"/>
      <c r="K248" s="8"/>
      <c r="L248" s="9" t="s">
        <v>311</v>
      </c>
      <c r="M248" s="8"/>
    </row>
    <row r="249" spans="1:13" x14ac:dyDescent="0.25">
      <c r="A249" s="71" t="s">
        <v>625</v>
      </c>
      <c r="B249" s="67">
        <v>4068496846</v>
      </c>
      <c r="C249" s="72" t="s">
        <v>626</v>
      </c>
      <c r="D249" s="69">
        <v>26922524896</v>
      </c>
      <c r="E249" s="9">
        <v>1752</v>
      </c>
      <c r="F249" s="25">
        <v>43051</v>
      </c>
      <c r="G249" s="70" t="s">
        <v>160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627</v>
      </c>
      <c r="B250" s="67">
        <v>92175163849</v>
      </c>
      <c r="C250" s="72" t="s">
        <v>628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629</v>
      </c>
      <c r="B251" s="67">
        <v>76906388304</v>
      </c>
      <c r="C251" s="18" t="s">
        <v>630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631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160</v>
      </c>
      <c r="H252" s="70"/>
      <c r="I252" s="8"/>
      <c r="J252" s="8"/>
      <c r="K252" s="8"/>
      <c r="L252" s="9" t="s">
        <v>311</v>
      </c>
      <c r="M252" s="8"/>
    </row>
    <row r="253" spans="1:13" x14ac:dyDescent="0.25">
      <c r="A253" s="71" t="s">
        <v>632</v>
      </c>
      <c r="B253" s="67">
        <v>2925106323</v>
      </c>
      <c r="C253" s="72" t="s">
        <v>633</v>
      </c>
      <c r="D253" s="69">
        <v>16131378851</v>
      </c>
      <c r="E253" s="9">
        <v>1214</v>
      </c>
      <c r="F253" s="25">
        <v>42989</v>
      </c>
      <c r="G253" s="70" t="s">
        <v>160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634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160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635</v>
      </c>
      <c r="B255" s="67">
        <v>30871120895</v>
      </c>
      <c r="C255" s="68" t="s">
        <v>636</v>
      </c>
      <c r="D255" s="69">
        <v>7635106457</v>
      </c>
      <c r="E255" s="9">
        <v>1241</v>
      </c>
      <c r="F255" s="25">
        <v>42992</v>
      </c>
      <c r="G255" s="70" t="s">
        <v>160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637</v>
      </c>
      <c r="B256" s="67">
        <v>32016102837</v>
      </c>
      <c r="C256" s="72" t="s">
        <v>638</v>
      </c>
      <c r="D256" s="69">
        <v>25077406553</v>
      </c>
      <c r="E256" s="9">
        <v>292</v>
      </c>
      <c r="F256" s="25">
        <v>43168</v>
      </c>
      <c r="G256" s="70" t="s">
        <v>160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639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640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641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642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160</v>
      </c>
      <c r="H260" s="70"/>
      <c r="I260" s="8"/>
      <c r="J260" s="8"/>
      <c r="K260" s="8"/>
      <c r="L260" s="9" t="s">
        <v>643</v>
      </c>
      <c r="M260" s="8"/>
    </row>
    <row r="261" spans="1:13" x14ac:dyDescent="0.25">
      <c r="A261" s="15" t="s">
        <v>644</v>
      </c>
      <c r="B261" s="67">
        <v>18856620847</v>
      </c>
      <c r="C261" s="72" t="s">
        <v>645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646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647</v>
      </c>
      <c r="B263" s="67">
        <v>2766966382</v>
      </c>
      <c r="C263" s="72" t="s">
        <v>648</v>
      </c>
      <c r="D263" s="69">
        <v>2385838303</v>
      </c>
      <c r="E263" s="9">
        <v>262</v>
      </c>
      <c r="F263" s="25">
        <v>43160</v>
      </c>
      <c r="G263" s="70" t="s">
        <v>160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649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650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160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651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160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652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160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653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160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654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160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655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656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160</v>
      </c>
      <c r="H271" s="70"/>
      <c r="I271" s="8"/>
      <c r="J271" s="8"/>
      <c r="K271" s="8"/>
      <c r="L271" s="9" t="s">
        <v>301</v>
      </c>
      <c r="M271" s="8"/>
    </row>
    <row r="272" spans="1:13" x14ac:dyDescent="0.25">
      <c r="A272" s="71" t="s">
        <v>657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658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160</v>
      </c>
      <c r="H273" s="70"/>
      <c r="I273" s="8"/>
      <c r="J273" s="8"/>
      <c r="K273" s="8"/>
      <c r="L273" s="9" t="s">
        <v>301</v>
      </c>
      <c r="M273" s="8"/>
    </row>
    <row r="274" spans="1:13" x14ac:dyDescent="0.25">
      <c r="A274" s="71" t="s">
        <v>659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160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660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661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160</v>
      </c>
      <c r="H276" s="70"/>
      <c r="I276" s="8"/>
      <c r="J276" s="8"/>
      <c r="K276" s="8"/>
      <c r="L276" s="9" t="s">
        <v>279</v>
      </c>
      <c r="M276" s="8"/>
    </row>
    <row r="277" spans="1:13" x14ac:dyDescent="0.25">
      <c r="A277" s="13" t="s">
        <v>662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663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160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664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665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160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666</v>
      </c>
      <c r="B281" s="67">
        <v>5261128838</v>
      </c>
      <c r="C281" s="72" t="s">
        <v>667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668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669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670</v>
      </c>
      <c r="B284" s="67"/>
      <c r="C284" s="29" t="s">
        <v>270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671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160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672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673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160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674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160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675</v>
      </c>
      <c r="B289" s="67">
        <v>80117694304</v>
      </c>
      <c r="C289" s="72" t="s">
        <v>676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677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678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679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680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681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160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682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160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683</v>
      </c>
      <c r="B296" s="67">
        <v>34227913888</v>
      </c>
      <c r="C296" s="72" t="s">
        <v>684</v>
      </c>
      <c r="D296" s="69">
        <v>22306586896</v>
      </c>
      <c r="E296" s="9">
        <v>1214</v>
      </c>
      <c r="F296" s="25">
        <v>42989</v>
      </c>
      <c r="G296" s="70" t="s">
        <v>160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685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160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686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166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687</v>
      </c>
      <c r="B299" s="67">
        <v>33547844827</v>
      </c>
      <c r="C299" s="72" t="s">
        <v>688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689</v>
      </c>
      <c r="B300" s="67"/>
      <c r="C300" s="18" t="s">
        <v>270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690</v>
      </c>
      <c r="B301" s="67">
        <v>5212801842</v>
      </c>
      <c r="C301" s="72" t="s">
        <v>691</v>
      </c>
      <c r="D301" s="69">
        <v>7101207880</v>
      </c>
      <c r="E301" s="9">
        <v>262</v>
      </c>
      <c r="F301" s="25">
        <v>43160</v>
      </c>
      <c r="G301" s="70" t="s">
        <v>160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692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160</v>
      </c>
      <c r="H302" s="9"/>
      <c r="I302" s="8"/>
      <c r="J302" s="8"/>
      <c r="K302" s="8"/>
      <c r="L302" s="9" t="s">
        <v>279</v>
      </c>
      <c r="M302" s="8"/>
    </row>
    <row r="303" spans="1:13" x14ac:dyDescent="0.25">
      <c r="A303" s="71" t="s">
        <v>693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160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694</v>
      </c>
      <c r="B304" s="67"/>
      <c r="C304" s="29" t="s">
        <v>695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696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160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697</v>
      </c>
      <c r="B306" s="67">
        <v>43257974833</v>
      </c>
      <c r="C306" s="18" t="s">
        <v>270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698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160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699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700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160</v>
      </c>
      <c r="H309" s="9"/>
      <c r="I309" s="8"/>
      <c r="J309" s="8"/>
      <c r="K309" s="8"/>
      <c r="L309" s="9" t="s">
        <v>279</v>
      </c>
      <c r="M309" s="8"/>
    </row>
    <row r="310" spans="1:13" x14ac:dyDescent="0.25">
      <c r="A310" s="13" t="s">
        <v>701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160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702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160</v>
      </c>
      <c r="H311" s="9"/>
      <c r="I311" s="8"/>
      <c r="J311" s="8"/>
      <c r="K311" s="8"/>
      <c r="L311" s="9" t="s">
        <v>301</v>
      </c>
      <c r="M311" s="8"/>
    </row>
    <row r="312" spans="1:13" x14ac:dyDescent="0.25">
      <c r="A312" s="18" t="s">
        <v>703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704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160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705</v>
      </c>
      <c r="B314" s="67">
        <v>56647751300</v>
      </c>
      <c r="C314" s="72" t="s">
        <v>706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707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160</v>
      </c>
      <c r="H315" s="9"/>
      <c r="I315" s="8"/>
      <c r="J315" s="8"/>
      <c r="K315" s="8"/>
      <c r="L315" s="9" t="s">
        <v>301</v>
      </c>
      <c r="M315" s="8"/>
    </row>
    <row r="316" spans="1:13" x14ac:dyDescent="0.25">
      <c r="A316" s="71" t="s">
        <v>708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709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160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710</v>
      </c>
      <c r="B318" s="67">
        <v>42049249802</v>
      </c>
      <c r="C318" s="72" t="s">
        <v>711</v>
      </c>
      <c r="D318" s="69">
        <v>22669338844</v>
      </c>
      <c r="E318" s="9">
        <v>1267</v>
      </c>
      <c r="F318" s="25">
        <v>42998</v>
      </c>
      <c r="G318" s="70" t="s">
        <v>160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712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160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713</v>
      </c>
      <c r="B320" s="67">
        <v>1863847502</v>
      </c>
      <c r="C320" s="72" t="s">
        <v>714</v>
      </c>
      <c r="D320" s="69">
        <v>1636882579</v>
      </c>
      <c r="E320" s="9">
        <v>292</v>
      </c>
      <c r="F320" s="25">
        <v>43168</v>
      </c>
      <c r="G320" s="70" t="s">
        <v>160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715</v>
      </c>
      <c r="B321" s="67">
        <v>24759459820</v>
      </c>
      <c r="C321" s="18" t="s">
        <v>716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717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160</v>
      </c>
      <c r="H322" s="9"/>
      <c r="I322" s="8"/>
      <c r="J322" s="8"/>
      <c r="K322" s="8"/>
      <c r="L322" s="9" t="s">
        <v>539</v>
      </c>
      <c r="M322" s="8"/>
    </row>
    <row r="323" spans="1:13" x14ac:dyDescent="0.25">
      <c r="A323" s="29" t="s">
        <v>718</v>
      </c>
      <c r="B323" s="67"/>
      <c r="C323" s="18" t="s">
        <v>270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719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160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720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721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160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722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723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724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160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725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160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726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160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727</v>
      </c>
      <c r="B332" s="67">
        <v>43830821816</v>
      </c>
      <c r="C332" s="72" t="s">
        <v>728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729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174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730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731</v>
      </c>
      <c r="B335" s="67">
        <v>26501719879</v>
      </c>
      <c r="C335" s="75" t="s">
        <v>732</v>
      </c>
      <c r="D335" s="69">
        <v>26502973876</v>
      </c>
      <c r="E335" s="9">
        <v>1106</v>
      </c>
      <c r="F335" s="25">
        <v>42965</v>
      </c>
      <c r="G335" s="70" t="s">
        <v>160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733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160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734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735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160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736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737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738</v>
      </c>
      <c r="B341" s="67">
        <v>33603802829</v>
      </c>
      <c r="C341" s="72" t="s">
        <v>739</v>
      </c>
      <c r="D341" s="69">
        <v>26302620813</v>
      </c>
      <c r="E341" s="9">
        <v>1262</v>
      </c>
      <c r="F341" s="25">
        <v>42997</v>
      </c>
      <c r="G341" s="70" t="s">
        <v>160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740</v>
      </c>
      <c r="B342" s="67">
        <v>23802013824</v>
      </c>
      <c r="C342" s="72" t="s">
        <v>741</v>
      </c>
      <c r="D342" s="69">
        <v>23099249890</v>
      </c>
      <c r="E342" s="9">
        <v>1489</v>
      </c>
      <c r="F342" s="25">
        <v>43038</v>
      </c>
      <c r="G342" s="70" t="s">
        <v>160</v>
      </c>
      <c r="H342" s="9"/>
      <c r="I342" s="8"/>
      <c r="J342" s="8"/>
      <c r="K342" s="8"/>
      <c r="L342" s="9" t="s">
        <v>301</v>
      </c>
      <c r="M342" s="8"/>
    </row>
    <row r="343" spans="1:13" x14ac:dyDescent="0.25">
      <c r="A343" s="71" t="s">
        <v>742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743</v>
      </c>
      <c r="B344" s="67">
        <v>39348497847</v>
      </c>
      <c r="C344" s="72" t="s">
        <v>744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745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160</v>
      </c>
      <c r="H345" s="9"/>
      <c r="I345" s="8"/>
      <c r="J345" s="8"/>
      <c r="K345" s="8"/>
      <c r="L345" s="9" t="s">
        <v>301</v>
      </c>
      <c r="M345" s="8"/>
    </row>
    <row r="346" spans="1:13" x14ac:dyDescent="0.25">
      <c r="A346" s="71" t="s">
        <v>746</v>
      </c>
      <c r="B346" s="67">
        <v>46102945832</v>
      </c>
      <c r="C346" s="72" t="s">
        <v>747</v>
      </c>
      <c r="D346" s="69">
        <v>48110319890</v>
      </c>
      <c r="E346" s="9">
        <v>262</v>
      </c>
      <c r="F346" s="25">
        <v>43160</v>
      </c>
      <c r="G346" s="70" t="s">
        <v>160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748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160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749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750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174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751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160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752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753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160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754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160</v>
      </c>
      <c r="H353" s="9"/>
      <c r="I353" s="8"/>
      <c r="J353" s="8"/>
      <c r="K353" s="8"/>
      <c r="L353" s="9" t="s">
        <v>394</v>
      </c>
      <c r="M353" s="8"/>
    </row>
    <row r="354" spans="1:13" x14ac:dyDescent="0.25">
      <c r="A354" s="15" t="s">
        <v>755</v>
      </c>
      <c r="B354" s="67">
        <v>37738978805</v>
      </c>
      <c r="C354" s="15" t="s">
        <v>756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757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758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759</v>
      </c>
      <c r="B357" s="67">
        <v>37439665813</v>
      </c>
      <c r="C357" s="72" t="s">
        <v>760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440</v>
      </c>
      <c r="M357" s="8"/>
    </row>
    <row r="358" spans="1:13" x14ac:dyDescent="0.25">
      <c r="A358" s="15" t="s">
        <v>761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762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763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160</v>
      </c>
      <c r="H360" s="9"/>
      <c r="I360" s="8"/>
      <c r="J360" s="8"/>
      <c r="K360" s="8"/>
      <c r="L360" s="9" t="s">
        <v>643</v>
      </c>
      <c r="M360" s="8"/>
    </row>
    <row r="361" spans="1:13" x14ac:dyDescent="0.25">
      <c r="A361" s="15" t="s">
        <v>764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765</v>
      </c>
      <c r="B362" s="67">
        <v>39263170860</v>
      </c>
      <c r="C362" s="72" t="s">
        <v>766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767</v>
      </c>
      <c r="B363" s="67">
        <v>17803665829</v>
      </c>
      <c r="C363" s="72" t="s">
        <v>768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769</v>
      </c>
      <c r="B364" s="67">
        <v>39996489884</v>
      </c>
      <c r="C364" s="72" t="s">
        <v>770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771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160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772</v>
      </c>
      <c r="B366" s="67">
        <v>36210371876</v>
      </c>
      <c r="C366" s="72" t="s">
        <v>773</v>
      </c>
      <c r="D366" s="69">
        <v>32340716837</v>
      </c>
      <c r="E366" s="9">
        <v>229</v>
      </c>
      <c r="F366" s="25">
        <v>43151</v>
      </c>
      <c r="G366" s="70" t="s">
        <v>160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774</v>
      </c>
      <c r="B367" s="67">
        <v>42016007850</v>
      </c>
      <c r="C367" s="72" t="s">
        <v>775</v>
      </c>
      <c r="D367" s="69">
        <v>35228090843</v>
      </c>
      <c r="E367" s="9">
        <v>810</v>
      </c>
      <c r="F367" s="25">
        <v>42915</v>
      </c>
      <c r="G367" s="70" t="s">
        <v>160</v>
      </c>
      <c r="H367" s="9"/>
      <c r="I367" s="8"/>
      <c r="J367" s="8"/>
      <c r="K367" s="8"/>
      <c r="L367" s="9" t="s">
        <v>279</v>
      </c>
      <c r="M367" s="8"/>
    </row>
    <row r="368" spans="1:13" x14ac:dyDescent="0.25">
      <c r="A368" s="14" t="s">
        <v>776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160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777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160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778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160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779</v>
      </c>
      <c r="B371" s="67">
        <v>34350558802</v>
      </c>
      <c r="C371" s="18" t="s">
        <v>780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781</v>
      </c>
      <c r="B372" s="67">
        <v>41502336839</v>
      </c>
      <c r="C372" s="77" t="s">
        <v>782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783</v>
      </c>
      <c r="B373" s="67">
        <v>38156943880</v>
      </c>
      <c r="C373" s="72" t="s">
        <v>784</v>
      </c>
      <c r="D373" s="69">
        <v>35830934884</v>
      </c>
      <c r="E373" s="9">
        <v>262</v>
      </c>
      <c r="F373" s="25">
        <v>43160</v>
      </c>
      <c r="G373" s="70" t="s">
        <v>160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785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160</v>
      </c>
      <c r="H374" s="9"/>
      <c r="I374" s="8"/>
      <c r="J374" s="8"/>
      <c r="K374" s="8"/>
      <c r="L374" s="9" t="s">
        <v>279</v>
      </c>
      <c r="M374" s="8"/>
    </row>
    <row r="375" spans="1:13" x14ac:dyDescent="0.25">
      <c r="A375" s="71" t="s">
        <v>786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160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787</v>
      </c>
      <c r="B376" s="67" t="s">
        <v>788</v>
      </c>
      <c r="C376" s="73" t="s">
        <v>789</v>
      </c>
      <c r="D376" s="69" t="s">
        <v>790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791</v>
      </c>
      <c r="B377" s="67">
        <v>41104888858</v>
      </c>
      <c r="C377" s="72" t="s">
        <v>792</v>
      </c>
      <c r="D377" s="69">
        <v>35714357884</v>
      </c>
      <c r="E377" s="9">
        <v>810</v>
      </c>
      <c r="F377" s="25">
        <v>42915</v>
      </c>
      <c r="G377" s="70" t="s">
        <v>160</v>
      </c>
      <c r="H377" s="9"/>
      <c r="I377" s="8"/>
      <c r="J377" s="8"/>
      <c r="K377" s="8"/>
      <c r="L377" s="9" t="s">
        <v>279</v>
      </c>
      <c r="M377" s="8"/>
    </row>
    <row r="378" spans="1:13" x14ac:dyDescent="0.25">
      <c r="A378" s="71" t="s">
        <v>793</v>
      </c>
      <c r="B378" s="67">
        <v>34954516846</v>
      </c>
      <c r="C378" s="72" t="s">
        <v>794</v>
      </c>
      <c r="D378" s="69">
        <v>18356312825</v>
      </c>
      <c r="E378" s="9">
        <v>1824</v>
      </c>
      <c r="F378" s="25">
        <v>43091</v>
      </c>
      <c r="G378" s="70" t="s">
        <v>174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795</v>
      </c>
      <c r="B379" s="67"/>
      <c r="C379" s="29" t="s">
        <v>796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797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160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798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160</v>
      </c>
      <c r="H381" s="9"/>
      <c r="I381" s="8"/>
      <c r="J381" s="8"/>
      <c r="K381" s="8"/>
      <c r="L381" s="9" t="s">
        <v>301</v>
      </c>
      <c r="M381" s="8"/>
    </row>
    <row r="382" spans="1:13" x14ac:dyDescent="0.25">
      <c r="A382" s="71" t="s">
        <v>799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800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160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801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160</v>
      </c>
      <c r="H384" s="9"/>
      <c r="I384" s="8"/>
      <c r="J384" s="8"/>
      <c r="K384" s="8"/>
      <c r="L384" s="9" t="s">
        <v>301</v>
      </c>
      <c r="M384" s="8"/>
    </row>
    <row r="385" spans="1:13" x14ac:dyDescent="0.25">
      <c r="A385" s="15" t="s">
        <v>802</v>
      </c>
      <c r="B385" s="67">
        <v>33239238802</v>
      </c>
      <c r="C385" s="72" t="s">
        <v>803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804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805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160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806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166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807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160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808</v>
      </c>
      <c r="B390" s="67">
        <v>13486189816</v>
      </c>
      <c r="C390" s="72" t="s">
        <v>809</v>
      </c>
      <c r="D390" s="69">
        <v>15745057858</v>
      </c>
      <c r="E390" s="9">
        <v>262</v>
      </c>
      <c r="F390" s="25">
        <v>43160</v>
      </c>
      <c r="G390" s="70" t="s">
        <v>160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810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160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811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160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812</v>
      </c>
      <c r="B393" s="67">
        <v>29672702884</v>
      </c>
      <c r="C393" s="72" t="s">
        <v>813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814</v>
      </c>
      <c r="B394" s="67"/>
      <c r="C394" s="29" t="s">
        <v>270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815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160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816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160</v>
      </c>
      <c r="H396" s="9"/>
      <c r="I396" s="8"/>
      <c r="J396" s="8"/>
      <c r="K396" s="8"/>
      <c r="L396" s="9" t="s">
        <v>311</v>
      </c>
      <c r="M396" s="8"/>
    </row>
    <row r="397" spans="1:13" x14ac:dyDescent="0.25">
      <c r="A397" s="15" t="s">
        <v>817</v>
      </c>
      <c r="B397" s="67">
        <v>7030224582</v>
      </c>
      <c r="C397" s="72" t="s">
        <v>818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819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160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820</v>
      </c>
      <c r="B399" s="67">
        <v>39783437895</v>
      </c>
      <c r="C399" s="72" t="s">
        <v>821</v>
      </c>
      <c r="D399" s="69">
        <v>12062296754</v>
      </c>
      <c r="E399" s="9">
        <v>292</v>
      </c>
      <c r="F399" s="25">
        <v>43168</v>
      </c>
      <c r="G399" s="9" t="s">
        <v>160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822</v>
      </c>
      <c r="B400" s="67">
        <v>41759713864</v>
      </c>
      <c r="C400" s="72" t="s">
        <v>823</v>
      </c>
      <c r="D400" s="69">
        <v>38653116877</v>
      </c>
      <c r="E400" s="9">
        <v>1824</v>
      </c>
      <c r="F400" s="25">
        <v>43091</v>
      </c>
      <c r="G400" s="70" t="s">
        <v>160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824</v>
      </c>
      <c r="B401" s="67">
        <v>37686754839</v>
      </c>
      <c r="C401" s="72" t="s">
        <v>825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826</v>
      </c>
      <c r="B402" s="67"/>
      <c r="C402" s="29" t="s">
        <v>827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828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160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829</v>
      </c>
      <c r="B404" s="67">
        <v>44864217874</v>
      </c>
      <c r="C404" s="72" t="s">
        <v>830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831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160</v>
      </c>
      <c r="H405" s="9"/>
      <c r="I405" s="8"/>
      <c r="J405" s="8"/>
      <c r="K405" s="8"/>
      <c r="L405" s="9" t="s">
        <v>394</v>
      </c>
      <c r="M405" s="8"/>
    </row>
    <row r="406" spans="1:13" x14ac:dyDescent="0.25">
      <c r="A406" s="15" t="s">
        <v>832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160</v>
      </c>
      <c r="H406" s="9"/>
      <c r="I406" s="8"/>
      <c r="J406" s="8"/>
      <c r="K406" s="8"/>
      <c r="L406" s="9" t="s">
        <v>311</v>
      </c>
      <c r="M406" s="8"/>
    </row>
    <row r="407" spans="1:13" x14ac:dyDescent="0.25">
      <c r="A407" s="13" t="s">
        <v>833</v>
      </c>
      <c r="B407" s="67">
        <v>1329442512</v>
      </c>
      <c r="C407" s="68" t="s">
        <v>834</v>
      </c>
      <c r="D407" s="69">
        <v>1320825516</v>
      </c>
      <c r="E407" s="9">
        <v>1214</v>
      </c>
      <c r="F407" s="25">
        <v>42989</v>
      </c>
      <c r="G407" s="70" t="s">
        <v>160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835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836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837</v>
      </c>
      <c r="B410" s="67"/>
      <c r="C410" s="29" t="s">
        <v>270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838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160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839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160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840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841</v>
      </c>
      <c r="B414" s="67">
        <v>93440340520</v>
      </c>
      <c r="C414" s="68" t="s">
        <v>842</v>
      </c>
      <c r="D414" s="69">
        <v>8858333845</v>
      </c>
      <c r="E414" s="9">
        <v>1267</v>
      </c>
      <c r="F414" s="25">
        <v>42998</v>
      </c>
      <c r="G414" s="70" t="s">
        <v>160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843</v>
      </c>
      <c r="B415" s="67">
        <v>21947877801</v>
      </c>
      <c r="C415" s="29" t="s">
        <v>844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845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160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846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160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847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160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848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160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849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160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850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851</v>
      </c>
      <c r="B422" s="67">
        <v>11163355810</v>
      </c>
      <c r="C422" s="72" t="s">
        <v>852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853</v>
      </c>
      <c r="B423" s="67">
        <v>12870537859</v>
      </c>
      <c r="C423" s="72" t="s">
        <v>854</v>
      </c>
      <c r="D423" s="69">
        <v>59856912849</v>
      </c>
      <c r="E423" s="9">
        <v>1417</v>
      </c>
      <c r="F423" s="25">
        <v>43017</v>
      </c>
      <c r="G423" s="70" t="s">
        <v>160</v>
      </c>
      <c r="H423" s="9"/>
      <c r="I423" s="8"/>
      <c r="J423" s="8"/>
      <c r="K423" s="8"/>
      <c r="L423" s="9" t="s">
        <v>394</v>
      </c>
      <c r="M423" s="8"/>
    </row>
    <row r="424" spans="1:13" x14ac:dyDescent="0.25">
      <c r="A424" s="14" t="s">
        <v>855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160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856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857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160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858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160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859</v>
      </c>
      <c r="B428" s="67">
        <v>34133269888</v>
      </c>
      <c r="C428" s="72" t="s">
        <v>860</v>
      </c>
      <c r="D428" s="69">
        <v>35360635860</v>
      </c>
      <c r="E428" s="9">
        <v>1824</v>
      </c>
      <c r="F428" s="25">
        <v>43091</v>
      </c>
      <c r="G428" s="70" t="s">
        <v>160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861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160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862</v>
      </c>
      <c r="B430" s="67">
        <v>26370314846</v>
      </c>
      <c r="C430" s="72" t="s">
        <v>863</v>
      </c>
      <c r="D430" s="69">
        <v>26923862809</v>
      </c>
      <c r="E430" s="9">
        <v>117</v>
      </c>
      <c r="F430" s="25">
        <v>43117</v>
      </c>
      <c r="G430" s="70" t="s">
        <v>160</v>
      </c>
      <c r="H430" s="9"/>
      <c r="I430" s="8"/>
      <c r="J430" s="8"/>
      <c r="K430" s="8"/>
      <c r="L430" s="9" t="s">
        <v>311</v>
      </c>
      <c r="M430" s="8"/>
    </row>
    <row r="431" spans="1:13" x14ac:dyDescent="0.25">
      <c r="A431" s="71" t="s">
        <v>864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865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160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866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160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867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160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868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160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869</v>
      </c>
      <c r="B436" s="67"/>
      <c r="C436" s="29" t="s">
        <v>270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870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174</v>
      </c>
      <c r="H437" s="9"/>
      <c r="I437" s="8"/>
      <c r="J437" s="8"/>
      <c r="K437" s="8"/>
      <c r="L437" s="9" t="s">
        <v>311</v>
      </c>
      <c r="M437" s="8"/>
    </row>
    <row r="438" spans="1:13" x14ac:dyDescent="0.25">
      <c r="A438" s="71" t="s">
        <v>871</v>
      </c>
      <c r="B438" s="67">
        <v>28413241847</v>
      </c>
      <c r="C438" s="72" t="s">
        <v>872</v>
      </c>
      <c r="D438" s="69">
        <v>14661915895</v>
      </c>
      <c r="E438" s="9">
        <v>810</v>
      </c>
      <c r="F438" s="25">
        <v>42915</v>
      </c>
      <c r="G438" s="70" t="s">
        <v>160</v>
      </c>
      <c r="H438" s="9"/>
      <c r="I438" s="8"/>
      <c r="J438" s="8"/>
      <c r="K438" s="8"/>
      <c r="L438" s="9" t="s">
        <v>279</v>
      </c>
      <c r="M438" s="8"/>
    </row>
    <row r="439" spans="1:13" x14ac:dyDescent="0.25">
      <c r="A439" s="15" t="s">
        <v>873</v>
      </c>
      <c r="B439" s="67">
        <v>12898733806</v>
      </c>
      <c r="C439" s="72" t="s">
        <v>874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875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160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876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877</v>
      </c>
      <c r="B442" s="67">
        <v>667192328</v>
      </c>
      <c r="C442" s="29" t="s">
        <v>878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879</v>
      </c>
      <c r="B443" s="67">
        <v>3474339443</v>
      </c>
      <c r="C443" s="72" t="s">
        <v>880</v>
      </c>
      <c r="D443" s="69">
        <v>58073604515</v>
      </c>
      <c r="E443" s="9">
        <v>810</v>
      </c>
      <c r="F443" s="25">
        <v>42915</v>
      </c>
      <c r="G443" s="70" t="s">
        <v>160</v>
      </c>
      <c r="H443" s="9"/>
      <c r="I443" s="8"/>
      <c r="J443" s="8"/>
      <c r="K443" s="8"/>
      <c r="L443" s="9" t="s">
        <v>279</v>
      </c>
      <c r="M443" s="8"/>
    </row>
    <row r="444" spans="1:13" x14ac:dyDescent="0.25">
      <c r="A444" s="71" t="s">
        <v>881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160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882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883</v>
      </c>
      <c r="B446" s="67">
        <v>70014140349</v>
      </c>
      <c r="C446" s="72" t="s">
        <v>884</v>
      </c>
      <c r="D446" s="69">
        <v>16412436863</v>
      </c>
      <c r="E446" s="9">
        <v>1262</v>
      </c>
      <c r="F446" s="25">
        <v>42997</v>
      </c>
      <c r="G446" s="70" t="s">
        <v>160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885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886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160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887</v>
      </c>
      <c r="B449" s="67">
        <v>42230945807</v>
      </c>
      <c r="C449" s="29" t="s">
        <v>888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889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160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890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160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891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160</v>
      </c>
      <c r="H452" s="9"/>
      <c r="I452" s="8"/>
      <c r="J452" s="8"/>
      <c r="K452" s="8"/>
      <c r="L452" s="9" t="s">
        <v>301</v>
      </c>
      <c r="M452" s="8"/>
    </row>
    <row r="453" spans="1:13" x14ac:dyDescent="0.25">
      <c r="A453" s="71" t="s">
        <v>892</v>
      </c>
      <c r="B453" s="67">
        <v>7380335456</v>
      </c>
      <c r="C453" s="72" t="s">
        <v>893</v>
      </c>
      <c r="D453" s="69">
        <v>7548744439</v>
      </c>
      <c r="E453" s="9">
        <v>810</v>
      </c>
      <c r="F453" s="25">
        <v>42915</v>
      </c>
      <c r="G453" s="70" t="s">
        <v>160</v>
      </c>
      <c r="H453" s="9"/>
      <c r="I453" s="8"/>
      <c r="J453" s="8"/>
      <c r="K453" s="8"/>
      <c r="L453" s="9" t="s">
        <v>279</v>
      </c>
      <c r="M453" s="8"/>
    </row>
    <row r="454" spans="1:13" x14ac:dyDescent="0.25">
      <c r="A454" s="18" t="s">
        <v>894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895</v>
      </c>
      <c r="B455" s="67">
        <v>38529900847</v>
      </c>
      <c r="C455" s="72" t="s">
        <v>896</v>
      </c>
      <c r="D455" s="69">
        <v>36056823830</v>
      </c>
      <c r="E455" s="9">
        <v>262</v>
      </c>
      <c r="F455" s="25">
        <v>43160</v>
      </c>
      <c r="G455" s="70" t="s">
        <v>160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897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160</v>
      </c>
      <c r="H456" s="9"/>
      <c r="I456" s="8"/>
      <c r="J456" s="8"/>
      <c r="K456" s="8"/>
      <c r="L456" s="9" t="s">
        <v>394</v>
      </c>
      <c r="M456" s="8"/>
    </row>
    <row r="457" spans="1:13" x14ac:dyDescent="0.25">
      <c r="A457" s="13" t="s">
        <v>898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160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899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160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900</v>
      </c>
      <c r="B459" s="67">
        <v>11806390817</v>
      </c>
      <c r="C459" s="72" t="s">
        <v>901</v>
      </c>
      <c r="D459" s="69">
        <v>6924399860</v>
      </c>
      <c r="E459" s="9">
        <v>85</v>
      </c>
      <c r="F459" s="25">
        <v>43109</v>
      </c>
      <c r="G459" s="70" t="s">
        <v>160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902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903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160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904</v>
      </c>
      <c r="B462" s="67">
        <v>32734621835</v>
      </c>
      <c r="C462" s="77" t="s">
        <v>905</v>
      </c>
      <c r="D462" s="69" t="s">
        <v>906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907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160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908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909</v>
      </c>
      <c r="B465" s="67">
        <v>31367730805</v>
      </c>
      <c r="C465" s="68" t="s">
        <v>910</v>
      </c>
      <c r="D465" s="69">
        <v>39532354867</v>
      </c>
      <c r="E465" s="9">
        <v>1350</v>
      </c>
      <c r="F465" s="25">
        <v>43006</v>
      </c>
      <c r="G465" s="70" t="s">
        <v>160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911</v>
      </c>
      <c r="B466" s="67">
        <v>5579867611</v>
      </c>
      <c r="C466" s="72" t="s">
        <v>912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913</v>
      </c>
      <c r="B467" s="67">
        <v>17118545813</v>
      </c>
      <c r="C467" s="72" t="s">
        <v>914</v>
      </c>
      <c r="D467" s="69">
        <v>29932279803</v>
      </c>
      <c r="E467" s="9">
        <v>262</v>
      </c>
      <c r="F467" s="25">
        <v>43160</v>
      </c>
      <c r="G467" s="70" t="s">
        <v>160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915</v>
      </c>
      <c r="B468" s="67">
        <v>35031003855</v>
      </c>
      <c r="C468" s="72" t="s">
        <v>916</v>
      </c>
      <c r="D468" s="69">
        <v>41246529840</v>
      </c>
      <c r="E468" s="9">
        <v>1422</v>
      </c>
      <c r="F468" s="25">
        <v>43018</v>
      </c>
      <c r="G468" s="70" t="s">
        <v>160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917</v>
      </c>
      <c r="B469" s="67">
        <v>17803718884</v>
      </c>
      <c r="C469" s="32" t="s">
        <v>918</v>
      </c>
      <c r="D469" s="69">
        <v>364628880</v>
      </c>
      <c r="E469" s="9">
        <v>1570</v>
      </c>
      <c r="F469" s="25">
        <v>43077</v>
      </c>
      <c r="G469" s="70" t="s">
        <v>160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919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160</v>
      </c>
      <c r="H470" s="9"/>
      <c r="I470" s="8"/>
      <c r="J470" s="8"/>
      <c r="K470" s="8"/>
      <c r="L470" s="9" t="s">
        <v>311</v>
      </c>
      <c r="M470" s="8"/>
    </row>
    <row r="471" spans="1:13" x14ac:dyDescent="0.25">
      <c r="A471" s="13" t="s">
        <v>920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160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921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160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922</v>
      </c>
      <c r="B473" s="67">
        <v>22740303831</v>
      </c>
      <c r="C473" s="18" t="s">
        <v>270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923</v>
      </c>
      <c r="B474" s="67">
        <v>35482535800</v>
      </c>
      <c r="C474" s="72" t="s">
        <v>924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925</v>
      </c>
      <c r="B475" s="67">
        <v>22213116806</v>
      </c>
      <c r="C475" s="72" t="s">
        <v>926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927</v>
      </c>
      <c r="B476" s="67">
        <v>22168840814</v>
      </c>
      <c r="C476" s="29" t="s">
        <v>928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929</v>
      </c>
      <c r="B477" s="67">
        <v>30609785818</v>
      </c>
      <c r="C477" s="18" t="s">
        <v>930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931</v>
      </c>
      <c r="B478" s="67">
        <v>18515704897</v>
      </c>
      <c r="C478" s="18" t="s">
        <v>270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932</v>
      </c>
      <c r="B479" s="67">
        <v>14683022800</v>
      </c>
      <c r="C479" s="72" t="s">
        <v>933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934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935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160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936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937</v>
      </c>
      <c r="B483" s="67"/>
      <c r="C483" s="29" t="s">
        <v>270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938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160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939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160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940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160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941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160</v>
      </c>
      <c r="H487" s="9"/>
      <c r="I487" s="8"/>
      <c r="J487" s="8"/>
      <c r="K487" s="8"/>
      <c r="L487" s="9" t="s">
        <v>301</v>
      </c>
      <c r="M487" s="8"/>
    </row>
    <row r="488" spans="1:13" x14ac:dyDescent="0.25">
      <c r="A488" s="13" t="s">
        <v>942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160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943</v>
      </c>
      <c r="B489" s="67">
        <v>36664921855</v>
      </c>
      <c r="C489" s="72" t="s">
        <v>944</v>
      </c>
      <c r="D489" s="69">
        <v>28495923823</v>
      </c>
      <c r="E489" s="9">
        <v>117</v>
      </c>
      <c r="F489" s="25">
        <v>43117</v>
      </c>
      <c r="G489" s="70" t="s">
        <v>166</v>
      </c>
      <c r="H489" s="9"/>
      <c r="I489" s="8"/>
      <c r="J489" s="8"/>
      <c r="K489" s="8"/>
      <c r="L489" s="9" t="s">
        <v>311</v>
      </c>
      <c r="M489" s="8"/>
    </row>
    <row r="490" spans="1:13" x14ac:dyDescent="0.25">
      <c r="A490" s="79" t="s">
        <v>945</v>
      </c>
      <c r="B490" s="80">
        <v>22561317854</v>
      </c>
      <c r="C490" s="81" t="s">
        <v>946</v>
      </c>
      <c r="D490" s="82">
        <v>26718748803</v>
      </c>
      <c r="E490" s="47">
        <v>1106</v>
      </c>
      <c r="F490" s="48">
        <v>42965</v>
      </c>
      <c r="G490" s="83" t="s">
        <v>166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947</v>
      </c>
      <c r="B491" s="67">
        <v>34870463857</v>
      </c>
      <c r="C491" s="72" t="s">
        <v>948</v>
      </c>
      <c r="D491" s="69">
        <v>7049816531</v>
      </c>
      <c r="E491" s="9">
        <v>292</v>
      </c>
      <c r="F491" s="25">
        <v>43168</v>
      </c>
      <c r="G491" s="70" t="s">
        <v>160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949</v>
      </c>
      <c r="B492" s="67">
        <v>35225854885</v>
      </c>
      <c r="C492" s="72" t="s">
        <v>950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951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160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952</v>
      </c>
      <c r="B494" s="67">
        <v>35929092826</v>
      </c>
      <c r="C494" s="72" t="s">
        <v>953</v>
      </c>
      <c r="D494" s="69">
        <v>29462804893</v>
      </c>
      <c r="E494" s="9">
        <v>1267</v>
      </c>
      <c r="F494" s="25">
        <v>42998</v>
      </c>
      <c r="G494" s="70" t="s">
        <v>160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954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955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956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957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160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958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174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959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960</v>
      </c>
      <c r="B501" s="67">
        <v>24660726886</v>
      </c>
      <c r="C501" s="72" t="s">
        <v>961</v>
      </c>
      <c r="D501" s="69">
        <v>96400951504</v>
      </c>
      <c r="E501" s="9">
        <v>292</v>
      </c>
      <c r="F501" s="25">
        <v>43168</v>
      </c>
      <c r="G501" s="70" t="s">
        <v>166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962</v>
      </c>
      <c r="B502" s="69">
        <v>27863381827</v>
      </c>
      <c r="C502" s="71" t="s">
        <v>963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964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160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965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966</v>
      </c>
      <c r="B505" s="67">
        <v>25856034821</v>
      </c>
      <c r="C505" s="72" t="s">
        <v>967</v>
      </c>
      <c r="D505" s="69">
        <v>74821083353</v>
      </c>
      <c r="E505" s="9">
        <v>810</v>
      </c>
      <c r="F505" s="25">
        <v>42915</v>
      </c>
      <c r="G505" s="70" t="s">
        <v>160</v>
      </c>
      <c r="H505" s="9"/>
      <c r="I505" s="8"/>
      <c r="J505" s="8"/>
      <c r="K505" s="8"/>
      <c r="L505" s="9" t="s">
        <v>279</v>
      </c>
      <c r="M505" s="8"/>
    </row>
    <row r="506" spans="1:13" x14ac:dyDescent="0.25">
      <c r="A506" s="71" t="s">
        <v>968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440</v>
      </c>
      <c r="M506" s="8"/>
    </row>
    <row r="507" spans="1:13" x14ac:dyDescent="0.25">
      <c r="A507" s="71" t="s">
        <v>969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970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440</v>
      </c>
      <c r="M508" s="8"/>
    </row>
    <row r="509" spans="1:13" x14ac:dyDescent="0.25">
      <c r="A509" s="29" t="s">
        <v>971</v>
      </c>
      <c r="B509" s="67">
        <v>4802267843</v>
      </c>
      <c r="C509" s="29" t="s">
        <v>972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973</v>
      </c>
      <c r="B510" s="67">
        <v>6672502807</v>
      </c>
      <c r="C510" s="72" t="s">
        <v>974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440</v>
      </c>
      <c r="M510" s="8"/>
    </row>
    <row r="511" spans="1:13" x14ac:dyDescent="0.25">
      <c r="A511" s="18" t="s">
        <v>975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976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977</v>
      </c>
      <c r="B513" s="67">
        <v>37233245843</v>
      </c>
      <c r="C513" s="29" t="s">
        <v>978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979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980</v>
      </c>
      <c r="B515" s="67">
        <v>33456412835</v>
      </c>
      <c r="C515" s="72" t="s">
        <v>981</v>
      </c>
      <c r="D515" s="69">
        <v>9387669882</v>
      </c>
      <c r="E515" s="9">
        <v>229</v>
      </c>
      <c r="F515" s="25">
        <v>43151</v>
      </c>
      <c r="G515" s="70" t="s">
        <v>174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982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160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983</v>
      </c>
      <c r="B517" s="67">
        <v>10317452894</v>
      </c>
      <c r="C517" s="72" t="s">
        <v>984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985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160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986</v>
      </c>
      <c r="B519" s="67"/>
      <c r="C519" s="29" t="s">
        <v>987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988</v>
      </c>
      <c r="B520" s="67">
        <v>42782953591</v>
      </c>
      <c r="C520" s="72" t="s">
        <v>989</v>
      </c>
      <c r="D520" s="69">
        <v>53921186587</v>
      </c>
      <c r="E520" s="9">
        <v>85</v>
      </c>
      <c r="F520" s="25">
        <v>43109</v>
      </c>
      <c r="G520" s="70" t="s">
        <v>160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990</v>
      </c>
      <c r="B521" s="67">
        <v>3086762896</v>
      </c>
      <c r="C521" s="72" t="s">
        <v>991</v>
      </c>
      <c r="D521" s="69">
        <v>89632877853</v>
      </c>
      <c r="E521" s="9">
        <v>810</v>
      </c>
      <c r="F521" s="25">
        <v>42915</v>
      </c>
      <c r="G521" s="70" t="s">
        <v>160</v>
      </c>
      <c r="H521" s="9"/>
      <c r="I521" s="8"/>
      <c r="J521" s="8"/>
      <c r="K521" s="8"/>
      <c r="L521" s="9" t="s">
        <v>279</v>
      </c>
      <c r="M521" s="8"/>
    </row>
    <row r="522" spans="1:13" x14ac:dyDescent="0.25">
      <c r="A522" s="71" t="s">
        <v>992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160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993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160</v>
      </c>
      <c r="H523" s="9"/>
      <c r="I523" s="8"/>
      <c r="J523" s="8"/>
      <c r="K523" s="8"/>
      <c r="L523" s="9" t="s">
        <v>394</v>
      </c>
      <c r="M523" s="8"/>
    </row>
    <row r="524" spans="1:13" x14ac:dyDescent="0.25">
      <c r="A524" s="33" t="s">
        <v>994</v>
      </c>
      <c r="B524" s="67">
        <v>22624049843</v>
      </c>
      <c r="C524" s="32" t="s">
        <v>995</v>
      </c>
      <c r="D524" s="69">
        <v>32978302801</v>
      </c>
      <c r="E524" s="9">
        <v>1570</v>
      </c>
      <c r="F524" s="25">
        <v>43077</v>
      </c>
      <c r="G524" s="70" t="s">
        <v>160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996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997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160</v>
      </c>
      <c r="H526" s="9"/>
      <c r="I526" s="8"/>
      <c r="J526" s="8"/>
      <c r="K526" s="8"/>
      <c r="L526" s="9" t="s">
        <v>301</v>
      </c>
      <c r="M526" s="8"/>
    </row>
    <row r="527" spans="1:13" x14ac:dyDescent="0.25">
      <c r="A527" s="71" t="s">
        <v>998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160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999</v>
      </c>
      <c r="B528" s="67">
        <v>27112847869</v>
      </c>
      <c r="C528" s="72" t="s">
        <v>1000</v>
      </c>
      <c r="D528" s="69">
        <v>37782363420</v>
      </c>
      <c r="E528" s="9">
        <v>1106</v>
      </c>
      <c r="F528" s="25">
        <v>42965</v>
      </c>
      <c r="G528" s="70" t="s">
        <v>160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1001</v>
      </c>
      <c r="B529" s="67">
        <v>32811648895</v>
      </c>
      <c r="C529" s="72" t="s">
        <v>1002</v>
      </c>
      <c r="D529" s="69">
        <v>25428395818</v>
      </c>
      <c r="E529" s="9">
        <v>85</v>
      </c>
      <c r="F529" s="25">
        <v>43109</v>
      </c>
      <c r="G529" s="70" t="s">
        <v>160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1003</v>
      </c>
      <c r="B530" s="67">
        <v>12811159835</v>
      </c>
      <c r="C530" s="72" t="s">
        <v>1004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1005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1006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1007</v>
      </c>
      <c r="B533" s="67">
        <v>83941010468</v>
      </c>
      <c r="C533" s="18" t="s">
        <v>1008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1009</v>
      </c>
      <c r="B534" s="67">
        <v>43152462808</v>
      </c>
      <c r="C534" s="29" t="s">
        <v>1010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1011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1012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160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1013</v>
      </c>
      <c r="B537" s="67"/>
      <c r="C537" s="18" t="s">
        <v>270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1014</v>
      </c>
      <c r="B538" s="67">
        <v>41249931886</v>
      </c>
      <c r="C538" s="72" t="s">
        <v>1015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1016</v>
      </c>
      <c r="B539" s="67">
        <v>34361118809</v>
      </c>
      <c r="C539" s="72" t="s">
        <v>1017</v>
      </c>
      <c r="D539" s="69">
        <v>14784595813</v>
      </c>
      <c r="E539" s="9">
        <v>85</v>
      </c>
      <c r="F539" s="25">
        <v>43109</v>
      </c>
      <c r="G539" s="70" t="s">
        <v>160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1018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160</v>
      </c>
      <c r="H540" s="9"/>
      <c r="I540" s="8"/>
      <c r="J540" s="8"/>
      <c r="K540" s="8"/>
      <c r="L540" s="9" t="s">
        <v>643</v>
      </c>
      <c r="M540" s="8"/>
    </row>
    <row r="541" spans="1:13" x14ac:dyDescent="0.25">
      <c r="A541" s="71" t="s">
        <v>1019</v>
      </c>
      <c r="B541" s="67">
        <v>45469747875</v>
      </c>
      <c r="C541" s="72" t="s">
        <v>1020</v>
      </c>
      <c r="D541" s="69">
        <v>39042679816</v>
      </c>
      <c r="E541" s="9">
        <v>117</v>
      </c>
      <c r="F541" s="25">
        <v>43117</v>
      </c>
      <c r="G541" s="70" t="s">
        <v>160</v>
      </c>
      <c r="H541" s="9"/>
      <c r="I541" s="8"/>
      <c r="J541" s="8"/>
      <c r="K541" s="8"/>
      <c r="L541" s="9" t="s">
        <v>311</v>
      </c>
      <c r="M541" s="8"/>
    </row>
    <row r="542" spans="1:13" x14ac:dyDescent="0.25">
      <c r="A542" s="71" t="s">
        <v>1021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1022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160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1023</v>
      </c>
      <c r="B544" s="67">
        <v>33199855822</v>
      </c>
      <c r="C544" s="18" t="s">
        <v>1024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1025</v>
      </c>
      <c r="B545" s="67">
        <v>32878318870</v>
      </c>
      <c r="C545" s="18" t="s">
        <v>1026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1027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160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1028</v>
      </c>
      <c r="B547" s="67">
        <v>31328839800</v>
      </c>
      <c r="C547" s="72" t="s">
        <v>1029</v>
      </c>
      <c r="D547" s="69">
        <v>13482435898</v>
      </c>
      <c r="E547" s="9">
        <v>262</v>
      </c>
      <c r="F547" s="25">
        <v>43160</v>
      </c>
      <c r="G547" s="70" t="s">
        <v>160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1030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160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1031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160</v>
      </c>
      <c r="H549" s="9"/>
      <c r="I549" s="8"/>
      <c r="J549" s="8"/>
      <c r="K549" s="8"/>
      <c r="L549" s="9" t="s">
        <v>311</v>
      </c>
      <c r="M549" s="8"/>
    </row>
    <row r="550" spans="1:13" x14ac:dyDescent="0.25">
      <c r="A550" s="73" t="s">
        <v>1032</v>
      </c>
      <c r="B550" s="67">
        <v>33311756843</v>
      </c>
      <c r="C550" s="72" t="s">
        <v>1033</v>
      </c>
      <c r="D550" s="69">
        <v>31561945811</v>
      </c>
      <c r="E550" s="9">
        <v>1106</v>
      </c>
      <c r="F550" s="25">
        <v>42965</v>
      </c>
      <c r="G550" s="70" t="s">
        <v>160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1034</v>
      </c>
      <c r="B551" s="67" t="s">
        <v>1035</v>
      </c>
      <c r="C551" s="77" t="s">
        <v>1036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1037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160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1038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160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1039</v>
      </c>
      <c r="B554" s="67"/>
      <c r="C554" s="18" t="s">
        <v>270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1040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160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1041</v>
      </c>
      <c r="B556" s="67">
        <v>37608246847</v>
      </c>
      <c r="C556" s="68" t="s">
        <v>1042</v>
      </c>
      <c r="D556" s="69">
        <v>27976942875</v>
      </c>
      <c r="E556" s="9">
        <v>608</v>
      </c>
      <c r="F556" s="25">
        <v>43012</v>
      </c>
      <c r="G556" s="70" t="s">
        <v>160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1043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1044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1045</v>
      </c>
      <c r="B559" s="67">
        <v>39990709866</v>
      </c>
      <c r="C559" s="72" t="s">
        <v>1046</v>
      </c>
      <c r="D559" s="69">
        <v>46936249850</v>
      </c>
      <c r="E559" s="9">
        <v>229</v>
      </c>
      <c r="F559" s="25">
        <v>43151</v>
      </c>
      <c r="G559" s="70" t="s">
        <v>160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1047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1048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160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1049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160</v>
      </c>
      <c r="H562" s="9"/>
      <c r="I562" s="8"/>
      <c r="J562" s="8"/>
      <c r="K562" s="8"/>
      <c r="L562" s="9" t="s">
        <v>279</v>
      </c>
      <c r="M562" s="8"/>
    </row>
    <row r="563" spans="1:13" x14ac:dyDescent="0.25">
      <c r="A563" s="71" t="s">
        <v>1050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1051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1052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160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1053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1054</v>
      </c>
      <c r="B567" s="67">
        <v>9056201867</v>
      </c>
      <c r="C567" s="72" t="s">
        <v>1055</v>
      </c>
      <c r="D567" s="69">
        <v>59754605815</v>
      </c>
      <c r="E567" s="9">
        <v>810</v>
      </c>
      <c r="F567" s="25">
        <v>42915</v>
      </c>
      <c r="G567" s="70" t="s">
        <v>160</v>
      </c>
      <c r="H567" s="9"/>
      <c r="I567" s="8"/>
      <c r="J567" s="8"/>
      <c r="K567" s="8"/>
      <c r="L567" s="9" t="s">
        <v>279</v>
      </c>
      <c r="M567" s="8"/>
    </row>
    <row r="568" spans="1:13" x14ac:dyDescent="0.25">
      <c r="A568" s="71" t="s">
        <v>1056</v>
      </c>
      <c r="B568" s="67">
        <v>4434698656</v>
      </c>
      <c r="C568" s="72" t="s">
        <v>1057</v>
      </c>
      <c r="D568" s="69">
        <v>75851300400</v>
      </c>
      <c r="E568" s="9">
        <v>810</v>
      </c>
      <c r="F568" s="25">
        <v>42915</v>
      </c>
      <c r="G568" s="70" t="s">
        <v>160</v>
      </c>
      <c r="H568" s="9"/>
      <c r="I568" s="8"/>
      <c r="J568" s="8"/>
      <c r="K568" s="8"/>
      <c r="L568" s="9" t="s">
        <v>279</v>
      </c>
      <c r="M568" s="8"/>
    </row>
    <row r="569" spans="1:13" x14ac:dyDescent="0.25">
      <c r="A569" s="71" t="s">
        <v>1058</v>
      </c>
      <c r="B569" s="67">
        <v>27030279824</v>
      </c>
      <c r="C569" s="72" t="s">
        <v>1059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1060</v>
      </c>
      <c r="B570" s="67">
        <v>30478760884</v>
      </c>
      <c r="C570" s="77" t="s">
        <v>1061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1062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160</v>
      </c>
      <c r="H571" s="76">
        <v>43213</v>
      </c>
      <c r="I571" s="8"/>
      <c r="J571" s="8"/>
      <c r="K571" s="8"/>
      <c r="L571" s="9" t="s">
        <v>279</v>
      </c>
      <c r="M571" s="8"/>
    </row>
    <row r="572" spans="1:13" x14ac:dyDescent="0.25">
      <c r="A572" s="71" t="s">
        <v>1063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160</v>
      </c>
      <c r="H572" s="76">
        <v>43213</v>
      </c>
      <c r="I572" s="8"/>
      <c r="J572" s="8"/>
      <c r="K572" s="8"/>
      <c r="L572" s="9" t="s">
        <v>394</v>
      </c>
      <c r="M572" s="8"/>
    </row>
    <row r="573" spans="1:13" x14ac:dyDescent="0.25">
      <c r="A573" s="72" t="s">
        <v>1064</v>
      </c>
      <c r="B573" s="67">
        <v>16583214806</v>
      </c>
      <c r="C573" s="72" t="s">
        <v>1065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1066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1067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160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1068</v>
      </c>
      <c r="B576" s="67">
        <v>6882969639</v>
      </c>
      <c r="C576" s="29" t="s">
        <v>1069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1070</v>
      </c>
      <c r="B577" s="67">
        <v>22449339892</v>
      </c>
      <c r="C577" s="29" t="s">
        <v>1071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1072</v>
      </c>
      <c r="B578" s="67"/>
      <c r="C578" s="18" t="s">
        <v>270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1073</v>
      </c>
      <c r="B579" s="67">
        <v>22854740831</v>
      </c>
      <c r="C579" s="72" t="s">
        <v>1074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1075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1076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160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1077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160</v>
      </c>
      <c r="H582" s="9"/>
      <c r="I582" s="8"/>
      <c r="J582" s="8"/>
      <c r="K582" s="8"/>
      <c r="L582" s="9" t="s">
        <v>279</v>
      </c>
      <c r="M582" s="8"/>
    </row>
    <row r="583" spans="1:13" x14ac:dyDescent="0.25">
      <c r="A583" s="71" t="s">
        <v>1078</v>
      </c>
      <c r="B583" s="67">
        <v>47110994848</v>
      </c>
      <c r="C583" s="71" t="s">
        <v>1079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1080</v>
      </c>
      <c r="B584" s="67">
        <v>39353276845</v>
      </c>
      <c r="C584" s="72" t="s">
        <v>1081</v>
      </c>
      <c r="D584" s="69">
        <v>33343612847</v>
      </c>
      <c r="E584" s="9">
        <v>1417</v>
      </c>
      <c r="F584" s="25">
        <v>43017</v>
      </c>
      <c r="G584" s="70" t="s">
        <v>166</v>
      </c>
      <c r="H584" s="9"/>
      <c r="I584" s="8"/>
      <c r="J584" s="8"/>
      <c r="K584" s="8"/>
      <c r="L584" s="9" t="s">
        <v>394</v>
      </c>
      <c r="M584" s="8"/>
    </row>
    <row r="585" spans="1:13" x14ac:dyDescent="0.25">
      <c r="A585" s="13" t="s">
        <v>1082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160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1083</v>
      </c>
      <c r="B586" s="67">
        <v>39937482801</v>
      </c>
      <c r="C586" s="68" t="s">
        <v>1084</v>
      </c>
      <c r="D586" s="69">
        <v>36243454860</v>
      </c>
      <c r="E586" s="9">
        <v>1128</v>
      </c>
      <c r="F586" s="25">
        <v>42972</v>
      </c>
      <c r="G586" s="70" t="s">
        <v>160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1085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160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1086</v>
      </c>
      <c r="B588" s="67">
        <v>4090078466</v>
      </c>
      <c r="C588" s="72" t="s">
        <v>1087</v>
      </c>
      <c r="D588" s="69">
        <v>31135278806</v>
      </c>
      <c r="E588" s="9">
        <v>1555</v>
      </c>
      <c r="F588" s="25">
        <v>43049</v>
      </c>
      <c r="G588" s="70" t="s">
        <v>166</v>
      </c>
      <c r="H588" s="9"/>
      <c r="I588" s="8"/>
      <c r="J588" s="8"/>
      <c r="K588" s="8"/>
      <c r="L588" s="9" t="s">
        <v>539</v>
      </c>
      <c r="M588" s="8"/>
    </row>
    <row r="589" spans="1:13" x14ac:dyDescent="0.25">
      <c r="A589" s="72" t="s">
        <v>1088</v>
      </c>
      <c r="B589" s="67">
        <v>22857706855</v>
      </c>
      <c r="C589" s="72" t="s">
        <v>1089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1090</v>
      </c>
      <c r="B590" s="67">
        <v>30278629873</v>
      </c>
      <c r="C590" s="72" t="s">
        <v>1091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1092</v>
      </c>
      <c r="B591" s="67"/>
      <c r="C591" s="29" t="s">
        <v>1093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1094</v>
      </c>
      <c r="B592" s="67">
        <v>35569130896</v>
      </c>
      <c r="C592" s="72" t="s">
        <v>1095</v>
      </c>
      <c r="D592" s="69">
        <v>34252178878</v>
      </c>
      <c r="E592" s="9">
        <v>262</v>
      </c>
      <c r="F592" s="25">
        <v>43160</v>
      </c>
      <c r="G592" s="9" t="s">
        <v>160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1096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160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1097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160</v>
      </c>
      <c r="H594" s="9"/>
      <c r="I594" s="8"/>
      <c r="J594" s="8"/>
      <c r="K594" s="8"/>
      <c r="L594" s="9" t="s">
        <v>539</v>
      </c>
      <c r="M594" s="8"/>
    </row>
    <row r="595" spans="1:13" x14ac:dyDescent="0.25">
      <c r="A595" s="72" t="s">
        <v>1098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1099</v>
      </c>
      <c r="B596" s="67">
        <v>5704186580</v>
      </c>
      <c r="C596" s="72" t="s">
        <v>1100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1101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160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1102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160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1103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1104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160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1105</v>
      </c>
      <c r="B601" s="67">
        <v>38453816808</v>
      </c>
      <c r="C601" s="72" t="s">
        <v>1106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1107</v>
      </c>
      <c r="B602" s="67">
        <v>46366084882</v>
      </c>
      <c r="C602" s="18" t="s">
        <v>270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1108</v>
      </c>
      <c r="B603" s="67"/>
      <c r="C603" s="18" t="s">
        <v>270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1109</v>
      </c>
      <c r="B604" s="67">
        <v>40415212898</v>
      </c>
      <c r="C604" s="72" t="s">
        <v>1110</v>
      </c>
      <c r="D604" s="69">
        <v>35522659882</v>
      </c>
      <c r="E604" s="9">
        <v>262</v>
      </c>
      <c r="F604" s="25">
        <v>43160</v>
      </c>
      <c r="G604" s="70" t="s">
        <v>160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1111</v>
      </c>
      <c r="B605" s="67">
        <v>41957432810</v>
      </c>
      <c r="C605" s="72" t="s">
        <v>1112</v>
      </c>
      <c r="D605" s="69">
        <v>22992085855</v>
      </c>
      <c r="E605" s="9">
        <v>1824</v>
      </c>
      <c r="F605" s="25">
        <v>43091</v>
      </c>
      <c r="G605" s="70" t="s">
        <v>160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1113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160</v>
      </c>
      <c r="H606" s="9"/>
      <c r="I606" s="8"/>
      <c r="J606" s="8"/>
      <c r="K606" s="8"/>
      <c r="L606" s="9" t="s">
        <v>311</v>
      </c>
      <c r="M606" s="8"/>
    </row>
    <row r="607" spans="1:13" x14ac:dyDescent="0.25">
      <c r="A607" s="15" t="s">
        <v>1114</v>
      </c>
      <c r="B607" s="67">
        <v>36252717886</v>
      </c>
      <c r="C607" s="72" t="s">
        <v>1115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1116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160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1117</v>
      </c>
      <c r="B609" s="67">
        <v>23436019844</v>
      </c>
      <c r="C609" s="72" t="s">
        <v>1118</v>
      </c>
      <c r="D609" s="69">
        <v>35927095852</v>
      </c>
      <c r="E609" s="9">
        <v>810</v>
      </c>
      <c r="F609" s="25">
        <v>42915</v>
      </c>
      <c r="G609" s="70" t="s">
        <v>160</v>
      </c>
      <c r="H609" s="9"/>
      <c r="I609" s="8"/>
      <c r="J609" s="8"/>
      <c r="K609" s="8"/>
      <c r="L609" s="9" t="s">
        <v>279</v>
      </c>
      <c r="M609" s="8"/>
    </row>
    <row r="610" spans="1:13" x14ac:dyDescent="0.25">
      <c r="A610" s="71" t="s">
        <v>1119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160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1120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160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1121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160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1122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1123</v>
      </c>
      <c r="B614" s="67">
        <v>32114645819</v>
      </c>
      <c r="C614" s="72" t="s">
        <v>1124</v>
      </c>
      <c r="D614" s="69">
        <v>33183764857</v>
      </c>
      <c r="E614" s="9">
        <v>810</v>
      </c>
      <c r="F614" s="25">
        <v>42915</v>
      </c>
      <c r="G614" s="70" t="s">
        <v>160</v>
      </c>
      <c r="H614" s="9"/>
      <c r="I614" s="8"/>
      <c r="J614" s="8"/>
      <c r="K614" s="8"/>
      <c r="L614" s="9" t="s">
        <v>279</v>
      </c>
      <c r="M614" s="8"/>
    </row>
    <row r="615" spans="1:13" x14ac:dyDescent="0.25">
      <c r="A615" s="29" t="s">
        <v>1125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1126</v>
      </c>
      <c r="B616" s="67">
        <v>4836720508</v>
      </c>
      <c r="C616" s="18" t="s">
        <v>1127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1128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160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1129</v>
      </c>
      <c r="B618" s="67">
        <v>42187654800</v>
      </c>
      <c r="C618" s="29" t="s">
        <v>1130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1131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160</v>
      </c>
      <c r="H619" s="9"/>
      <c r="I619" s="8"/>
      <c r="J619" s="8"/>
      <c r="K619" s="8"/>
      <c r="L619" s="9" t="s">
        <v>643</v>
      </c>
      <c r="M619" s="8"/>
    </row>
    <row r="620" spans="1:13" x14ac:dyDescent="0.25">
      <c r="A620" s="71" t="s">
        <v>1132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1133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1134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1135</v>
      </c>
      <c r="B623" s="67">
        <v>1283631504</v>
      </c>
      <c r="C623" s="72" t="s">
        <v>1136</v>
      </c>
      <c r="D623" s="69">
        <v>62180886349</v>
      </c>
      <c r="E623" s="9">
        <v>1824</v>
      </c>
      <c r="F623" s="25">
        <v>43091</v>
      </c>
      <c r="G623" s="70" t="s">
        <v>160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1137</v>
      </c>
      <c r="B624" s="67">
        <v>5389709527</v>
      </c>
      <c r="C624" s="86" t="s">
        <v>1138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1139</v>
      </c>
      <c r="B625" s="67">
        <v>1262412528</v>
      </c>
      <c r="C625" s="68" t="s">
        <v>1140</v>
      </c>
      <c r="D625" s="69">
        <v>3045815502</v>
      </c>
      <c r="E625" s="9">
        <v>1241</v>
      </c>
      <c r="F625" s="25">
        <v>42992</v>
      </c>
      <c r="G625" s="70" t="s">
        <v>160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1141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440</v>
      </c>
      <c r="M626" s="8"/>
    </row>
    <row r="627" spans="1:13" x14ac:dyDescent="0.25">
      <c r="A627" s="71" t="s">
        <v>1142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365</v>
      </c>
      <c r="B628" s="67">
        <v>9704111460</v>
      </c>
      <c r="C628" s="72" t="s">
        <v>1143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1144</v>
      </c>
      <c r="B629" s="67">
        <v>41653576855</v>
      </c>
      <c r="C629" s="72" t="s">
        <v>1145</v>
      </c>
      <c r="D629" s="69">
        <v>33219880894</v>
      </c>
      <c r="E629" s="9">
        <v>1439</v>
      </c>
      <c r="F629" s="25">
        <v>43025</v>
      </c>
      <c r="G629" s="70" t="s">
        <v>160</v>
      </c>
      <c r="H629" s="9"/>
      <c r="I629" s="8"/>
      <c r="J629" s="8"/>
      <c r="K629" s="8"/>
      <c r="L629" s="9" t="s">
        <v>643</v>
      </c>
      <c r="M629" s="8"/>
    </row>
    <row r="630" spans="1:13" x14ac:dyDescent="0.25">
      <c r="A630" s="71" t="s">
        <v>1146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160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1147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160</v>
      </c>
      <c r="H631" s="9"/>
      <c r="I631" s="8"/>
      <c r="J631" s="8"/>
      <c r="K631" s="8"/>
      <c r="L631" s="9" t="s">
        <v>279</v>
      </c>
      <c r="M631" s="8"/>
    </row>
    <row r="632" spans="1:13" x14ac:dyDescent="0.25">
      <c r="A632" s="29" t="s">
        <v>1148</v>
      </c>
      <c r="B632" s="67">
        <v>29065742875</v>
      </c>
      <c r="C632" s="29" t="s">
        <v>1149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1150</v>
      </c>
      <c r="B633" s="67">
        <v>39491305867</v>
      </c>
      <c r="C633" s="72" t="s">
        <v>1151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1152</v>
      </c>
      <c r="B634" s="67">
        <v>35049140846</v>
      </c>
      <c r="C634" s="18" t="s">
        <v>1153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1154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160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1155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440</v>
      </c>
      <c r="M636" s="8"/>
    </row>
    <row r="637" spans="1:13" x14ac:dyDescent="0.25">
      <c r="A637" s="71" t="s">
        <v>1156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160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1157</v>
      </c>
      <c r="B638" s="67"/>
      <c r="C638" s="18" t="s">
        <v>1158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1159</v>
      </c>
      <c r="B639" s="67">
        <v>198674503</v>
      </c>
      <c r="C639" s="18" t="s">
        <v>1160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1161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1162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1163</v>
      </c>
      <c r="B642" s="67">
        <v>28074733858</v>
      </c>
      <c r="C642" s="72" t="s">
        <v>1164</v>
      </c>
      <c r="D642" s="69">
        <v>18033766867</v>
      </c>
      <c r="E642" s="9">
        <v>810</v>
      </c>
      <c r="F642" s="25">
        <v>42915</v>
      </c>
      <c r="G642" s="70" t="s">
        <v>160</v>
      </c>
      <c r="H642" s="9"/>
      <c r="I642" s="8"/>
      <c r="J642" s="8"/>
      <c r="K642" s="8"/>
      <c r="L642" s="9" t="s">
        <v>279</v>
      </c>
      <c r="M642" s="8"/>
    </row>
    <row r="643" spans="1:13" x14ac:dyDescent="0.25">
      <c r="A643" s="71" t="s">
        <v>1165</v>
      </c>
      <c r="B643" s="67">
        <v>41583475800</v>
      </c>
      <c r="C643" s="72" t="s">
        <v>1166</v>
      </c>
      <c r="D643" s="69">
        <v>47688665817</v>
      </c>
      <c r="E643" s="9">
        <v>810</v>
      </c>
      <c r="F643" s="25">
        <v>42915</v>
      </c>
      <c r="G643" s="70" t="s">
        <v>160</v>
      </c>
      <c r="H643" s="9"/>
      <c r="I643" s="8"/>
      <c r="J643" s="8"/>
      <c r="K643" s="8"/>
      <c r="L643" s="9" t="s">
        <v>279</v>
      </c>
      <c r="M643" s="8"/>
    </row>
    <row r="644" spans="1:13" x14ac:dyDescent="0.25">
      <c r="A644" s="71" t="s">
        <v>1167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160</v>
      </c>
      <c r="H644" s="9"/>
      <c r="I644" s="8"/>
      <c r="J644" s="8"/>
      <c r="K644" s="8"/>
      <c r="L644" s="9" t="s">
        <v>279</v>
      </c>
      <c r="M644" s="8"/>
    </row>
    <row r="645" spans="1:13" x14ac:dyDescent="0.25">
      <c r="A645" s="13" t="s">
        <v>1168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160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1169</v>
      </c>
      <c r="B646" s="67"/>
      <c r="C646" s="18" t="s">
        <v>270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1170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160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1171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160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1172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1173</v>
      </c>
      <c r="B650" s="67">
        <v>80234836334</v>
      </c>
      <c r="C650" s="72" t="s">
        <v>1174</v>
      </c>
      <c r="D650" s="69">
        <v>22522250841</v>
      </c>
      <c r="E650" s="9">
        <v>1267</v>
      </c>
      <c r="F650" s="25">
        <v>42998</v>
      </c>
      <c r="G650" s="70" t="s">
        <v>160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1175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160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1176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160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1177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1178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160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1179</v>
      </c>
      <c r="B655" s="67">
        <v>7385460895</v>
      </c>
      <c r="C655" s="72" t="s">
        <v>1180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1181</v>
      </c>
      <c r="B656" s="67">
        <v>31828009814</v>
      </c>
      <c r="C656" s="18" t="s">
        <v>1182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1183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160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1184</v>
      </c>
      <c r="B658" s="67">
        <v>15090098840</v>
      </c>
      <c r="C658" s="72" t="s">
        <v>1185</v>
      </c>
      <c r="D658" s="69">
        <v>3376233845</v>
      </c>
      <c r="E658" s="9">
        <v>1752</v>
      </c>
      <c r="F658" s="25">
        <v>43051</v>
      </c>
      <c r="G658" s="70" t="s">
        <v>160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1186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160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1187</v>
      </c>
      <c r="B660" s="67">
        <v>30652965865</v>
      </c>
      <c r="C660" s="72" t="s">
        <v>1188</v>
      </c>
      <c r="D660" s="69">
        <v>23330127813</v>
      </c>
      <c r="E660" s="9">
        <v>1214</v>
      </c>
      <c r="F660" s="25">
        <v>42989</v>
      </c>
      <c r="G660" s="70" t="s">
        <v>160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1189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160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1190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1191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160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1192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440</v>
      </c>
      <c r="M664" s="8"/>
    </row>
    <row r="665" spans="1:13" x14ac:dyDescent="0.25">
      <c r="A665" s="71" t="s">
        <v>1193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160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112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160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1194</v>
      </c>
      <c r="B667" s="67">
        <v>39898491825</v>
      </c>
      <c r="C667" s="72" t="s">
        <v>1195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1196</v>
      </c>
      <c r="B668" s="67">
        <v>96629428587</v>
      </c>
      <c r="C668" s="29" t="s">
        <v>1197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1198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160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1199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160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1200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1201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160</v>
      </c>
      <c r="H672" s="9"/>
      <c r="I672" s="8"/>
      <c r="J672" s="8"/>
      <c r="K672" s="8"/>
      <c r="L672" s="9" t="s">
        <v>394</v>
      </c>
      <c r="M672" s="8"/>
    </row>
    <row r="673" spans="1:13" x14ac:dyDescent="0.25">
      <c r="A673" s="71" t="s">
        <v>1202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160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1203</v>
      </c>
      <c r="B674" s="67">
        <v>11438313810</v>
      </c>
      <c r="C674" s="72" t="s">
        <v>1204</v>
      </c>
      <c r="D674" s="69">
        <v>11400812844</v>
      </c>
      <c r="E674" s="9">
        <v>292</v>
      </c>
      <c r="F674" s="25">
        <v>43168</v>
      </c>
      <c r="G674" s="70" t="s">
        <v>160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1205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1206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160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1207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160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1208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1209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1210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160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1211</v>
      </c>
      <c r="B681" s="34">
        <v>31970473894</v>
      </c>
      <c r="C681" s="17" t="s">
        <v>1212</v>
      </c>
      <c r="D681" s="35">
        <v>22945039885</v>
      </c>
      <c r="E681" s="36">
        <v>1128</v>
      </c>
      <c r="F681" s="37">
        <v>42972</v>
      </c>
      <c r="G681" s="38" t="s">
        <v>160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1213</v>
      </c>
      <c r="B682" s="67">
        <v>29486419850</v>
      </c>
      <c r="C682" s="72" t="s">
        <v>1214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1215</v>
      </c>
      <c r="B683" s="67">
        <v>73699993272</v>
      </c>
      <c r="C683" s="72" t="s">
        <v>1216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1217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160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1218</v>
      </c>
      <c r="B685" s="67">
        <v>34833459817</v>
      </c>
      <c r="C685" s="68" t="s">
        <v>1219</v>
      </c>
      <c r="D685" s="69">
        <v>32077064870</v>
      </c>
      <c r="E685" s="9">
        <v>1128</v>
      </c>
      <c r="F685" s="25">
        <v>42972</v>
      </c>
      <c r="G685" s="70" t="s">
        <v>160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1220</v>
      </c>
      <c r="B686" s="67">
        <v>15203953880</v>
      </c>
      <c r="C686" s="72" t="s">
        <v>1221</v>
      </c>
      <c r="D686" s="69">
        <v>16339364810</v>
      </c>
      <c r="E686" s="9">
        <v>229</v>
      </c>
      <c r="F686" s="25">
        <v>43151</v>
      </c>
      <c r="G686" s="70" t="s">
        <v>166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1222</v>
      </c>
      <c r="B687" s="67">
        <v>23891239882</v>
      </c>
      <c r="C687" s="72" t="s">
        <v>1223</v>
      </c>
      <c r="D687" s="69">
        <v>22474449892</v>
      </c>
      <c r="E687" s="9">
        <v>1555</v>
      </c>
      <c r="F687" s="25">
        <v>43049</v>
      </c>
      <c r="G687" s="70" t="s">
        <v>160</v>
      </c>
      <c r="H687" s="9"/>
      <c r="I687" s="8"/>
      <c r="J687" s="8"/>
      <c r="K687" s="8"/>
      <c r="L687" s="9" t="s">
        <v>539</v>
      </c>
      <c r="M687" s="8"/>
    </row>
    <row r="688" spans="1:13" x14ac:dyDescent="0.25">
      <c r="A688" s="15" t="s">
        <v>1224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160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1225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160</v>
      </c>
      <c r="H689" s="9"/>
      <c r="I689" s="8"/>
      <c r="J689" s="8"/>
      <c r="K689" s="8"/>
      <c r="L689" s="9" t="s">
        <v>279</v>
      </c>
      <c r="M689" s="8"/>
    </row>
    <row r="690" spans="1:13" x14ac:dyDescent="0.25">
      <c r="A690" s="72" t="s">
        <v>1226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440</v>
      </c>
      <c r="M690" s="8"/>
    </row>
    <row r="691" spans="1:13" x14ac:dyDescent="0.25">
      <c r="A691" s="13" t="s">
        <v>1227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160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1228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1229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160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1230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1231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160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1232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166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1233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160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1234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160</v>
      </c>
      <c r="H698" s="9"/>
      <c r="I698" s="8"/>
      <c r="J698" s="8"/>
      <c r="K698" s="8"/>
      <c r="L698" s="9" t="s">
        <v>279</v>
      </c>
      <c r="M698" s="8"/>
    </row>
    <row r="699" spans="1:13" x14ac:dyDescent="0.25">
      <c r="A699" s="71" t="s">
        <v>1235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1236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160</v>
      </c>
      <c r="H700" s="9"/>
      <c r="I700" s="8"/>
      <c r="J700" s="8"/>
      <c r="K700" s="8"/>
      <c r="L700" s="9" t="s">
        <v>301</v>
      </c>
      <c r="M700" s="8"/>
    </row>
    <row r="701" spans="1:13" x14ac:dyDescent="0.25">
      <c r="A701" s="71" t="s">
        <v>1237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1238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1239</v>
      </c>
      <c r="B703" s="67">
        <v>25698933820</v>
      </c>
      <c r="C703" s="72" t="s">
        <v>1240</v>
      </c>
      <c r="D703" s="69">
        <v>14047433837</v>
      </c>
      <c r="E703" s="9">
        <v>810</v>
      </c>
      <c r="F703" s="25">
        <v>42915</v>
      </c>
      <c r="G703" s="70" t="s">
        <v>160</v>
      </c>
      <c r="H703" s="76">
        <v>43213</v>
      </c>
      <c r="I703" s="8"/>
      <c r="J703" s="8"/>
      <c r="K703" s="8"/>
      <c r="L703" s="9" t="s">
        <v>279</v>
      </c>
      <c r="M703" s="8"/>
    </row>
    <row r="704" spans="1:13" x14ac:dyDescent="0.25">
      <c r="A704" s="71" t="s">
        <v>1241</v>
      </c>
      <c r="B704" s="67">
        <v>34806644315</v>
      </c>
      <c r="C704" s="72" t="s">
        <v>1242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1243</v>
      </c>
      <c r="B705" s="67">
        <v>33189488886</v>
      </c>
      <c r="C705" s="72" t="s">
        <v>1244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1245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160</v>
      </c>
      <c r="H706" s="76">
        <v>43213</v>
      </c>
      <c r="I706" s="8"/>
      <c r="J706" s="8"/>
      <c r="K706" s="8"/>
      <c r="L706" s="9" t="s">
        <v>279</v>
      </c>
      <c r="M706" s="8"/>
    </row>
    <row r="707" spans="1:13" x14ac:dyDescent="0.25">
      <c r="A707" s="71" t="s">
        <v>1246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160</v>
      </c>
      <c r="H707" s="76">
        <v>43213</v>
      </c>
      <c r="I707" s="8"/>
      <c r="J707" s="8"/>
      <c r="K707" s="8"/>
      <c r="L707" s="9" t="s">
        <v>539</v>
      </c>
      <c r="M707" s="8"/>
    </row>
    <row r="708" spans="1:13" x14ac:dyDescent="0.25">
      <c r="A708" s="13" t="s">
        <v>1247</v>
      </c>
      <c r="B708" s="67">
        <v>28390636549</v>
      </c>
      <c r="C708" s="72" t="s">
        <v>1248</v>
      </c>
      <c r="D708" s="69">
        <v>49042904534</v>
      </c>
      <c r="E708" s="9">
        <v>1343</v>
      </c>
      <c r="F708" s="25">
        <v>43004</v>
      </c>
      <c r="G708" s="70" t="s">
        <v>160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1249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1250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160</v>
      </c>
      <c r="H710" s="76">
        <v>43213</v>
      </c>
      <c r="I710" s="8"/>
      <c r="J710" s="8"/>
      <c r="K710" s="8"/>
      <c r="L710" s="9" t="s">
        <v>279</v>
      </c>
      <c r="M710" s="8"/>
    </row>
    <row r="711" spans="1:13" x14ac:dyDescent="0.25">
      <c r="A711" s="71" t="s">
        <v>1251</v>
      </c>
      <c r="B711" s="67">
        <v>27863123534</v>
      </c>
      <c r="C711" s="72" t="s">
        <v>1252</v>
      </c>
      <c r="D711" s="69">
        <v>33480142800</v>
      </c>
      <c r="E711" s="9">
        <v>1214</v>
      </c>
      <c r="F711" s="25">
        <v>42989</v>
      </c>
      <c r="G711" s="70" t="s">
        <v>160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1253</v>
      </c>
      <c r="B712" s="67">
        <v>39454972804</v>
      </c>
      <c r="C712" s="72" t="s">
        <v>1254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1255</v>
      </c>
      <c r="B713" s="67"/>
      <c r="C713" s="29" t="s">
        <v>1256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1257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160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1258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160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1259</v>
      </c>
      <c r="B716" s="67">
        <v>17810014803</v>
      </c>
      <c r="C716" s="72" t="s">
        <v>1260</v>
      </c>
      <c r="D716" s="69">
        <v>28934526807</v>
      </c>
      <c r="E716" s="9">
        <v>292</v>
      </c>
      <c r="F716" s="25">
        <v>43168</v>
      </c>
      <c r="G716" s="9" t="s">
        <v>160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1261</v>
      </c>
      <c r="B717" s="67">
        <v>724258574</v>
      </c>
      <c r="C717" s="72" t="s">
        <v>1262</v>
      </c>
      <c r="D717" s="69">
        <v>18303361856</v>
      </c>
      <c r="E717" s="9">
        <v>262</v>
      </c>
      <c r="F717" s="25">
        <v>43160</v>
      </c>
      <c r="G717" s="70" t="s">
        <v>160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1263</v>
      </c>
      <c r="B718" s="67">
        <v>37453999863</v>
      </c>
      <c r="C718" s="72" t="s">
        <v>1264</v>
      </c>
      <c r="D718" s="69"/>
      <c r="E718" s="9">
        <v>1241</v>
      </c>
      <c r="F718" s="25">
        <v>42992</v>
      </c>
      <c r="G718" s="70" t="s">
        <v>160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1265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1266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160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1267</v>
      </c>
      <c r="B721" s="67">
        <v>30308539850</v>
      </c>
      <c r="C721" s="72" t="s">
        <v>1268</v>
      </c>
      <c r="D721" s="69">
        <v>84739517434</v>
      </c>
      <c r="E721" s="9">
        <v>810</v>
      </c>
      <c r="F721" s="25">
        <v>42915</v>
      </c>
      <c r="G721" s="70" t="s">
        <v>160</v>
      </c>
      <c r="H721" s="9"/>
      <c r="I721" s="8"/>
      <c r="J721" s="8"/>
      <c r="K721" s="8"/>
      <c r="L721" s="9" t="s">
        <v>279</v>
      </c>
      <c r="M721" s="8"/>
    </row>
    <row r="722" spans="1:13" x14ac:dyDescent="0.25">
      <c r="A722" s="71" t="s">
        <v>1269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1270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1271</v>
      </c>
      <c r="B724" s="67">
        <v>21716687845</v>
      </c>
      <c r="C724" s="15" t="s">
        <v>1272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1273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160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1274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160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1275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160</v>
      </c>
      <c r="H727" s="9"/>
      <c r="I727" s="8"/>
      <c r="J727" s="8"/>
      <c r="K727" s="8"/>
      <c r="L727" s="9" t="s">
        <v>394</v>
      </c>
      <c r="M727" s="8"/>
    </row>
    <row r="728" spans="1:13" x14ac:dyDescent="0.25">
      <c r="A728" s="14" t="s">
        <v>1276</v>
      </c>
      <c r="B728" s="67">
        <v>99658925553</v>
      </c>
      <c r="C728" s="72" t="s">
        <v>1277</v>
      </c>
      <c r="D728" s="69">
        <v>99610108504</v>
      </c>
      <c r="E728" s="9">
        <v>262</v>
      </c>
      <c r="F728" s="25">
        <v>43160</v>
      </c>
      <c r="G728" s="70" t="s">
        <v>160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1278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160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1279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160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1280</v>
      </c>
      <c r="B731" s="67"/>
      <c r="C731" s="18" t="s">
        <v>270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1281</v>
      </c>
      <c r="B732" s="67">
        <v>25905224870</v>
      </c>
      <c r="C732" s="68" t="s">
        <v>1282</v>
      </c>
      <c r="D732" s="69">
        <v>36185256304</v>
      </c>
      <c r="E732" s="9">
        <v>1824</v>
      </c>
      <c r="F732" s="25">
        <v>43091</v>
      </c>
      <c r="G732" s="70" t="s">
        <v>160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1283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160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1284</v>
      </c>
      <c r="B734" s="67">
        <v>33160363856</v>
      </c>
      <c r="C734" s="72" t="s">
        <v>1285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1286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160</v>
      </c>
      <c r="H735" s="9"/>
      <c r="I735" s="8"/>
      <c r="J735" s="8"/>
      <c r="K735" s="8"/>
      <c r="L735" s="9" t="s">
        <v>394</v>
      </c>
      <c r="M735" s="8"/>
    </row>
    <row r="736" spans="1:13" x14ac:dyDescent="0.25">
      <c r="A736" s="15" t="s">
        <v>1287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160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1288</v>
      </c>
      <c r="B737" s="67">
        <v>71752722434</v>
      </c>
      <c r="C737" s="18" t="s">
        <v>270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1289</v>
      </c>
      <c r="B738" s="67">
        <v>8590565890</v>
      </c>
      <c r="C738" s="72" t="s">
        <v>1290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440</v>
      </c>
      <c r="M738" s="8"/>
    </row>
    <row r="739" spans="1:13" x14ac:dyDescent="0.25">
      <c r="A739" s="71" t="s">
        <v>1291</v>
      </c>
      <c r="B739" s="67">
        <v>35556660883</v>
      </c>
      <c r="C739" s="72" t="s">
        <v>1292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1293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1294</v>
      </c>
      <c r="B741" s="67">
        <v>25905305870</v>
      </c>
      <c r="C741" s="72" t="s">
        <v>1295</v>
      </c>
      <c r="D741" s="69">
        <v>11480794830</v>
      </c>
      <c r="E741" s="9">
        <v>1267</v>
      </c>
      <c r="F741" s="25">
        <v>42998</v>
      </c>
      <c r="G741" s="70" t="s">
        <v>160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1296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1297</v>
      </c>
      <c r="B743" s="67">
        <v>18360141800</v>
      </c>
      <c r="C743" s="72" t="s">
        <v>1298</v>
      </c>
      <c r="D743" s="69">
        <v>48201979591</v>
      </c>
      <c r="E743" s="9">
        <v>117</v>
      </c>
      <c r="F743" s="25">
        <v>43117</v>
      </c>
      <c r="G743" s="70" t="s">
        <v>160</v>
      </c>
      <c r="H743" s="9"/>
      <c r="I743" s="8"/>
      <c r="J743" s="8"/>
      <c r="K743" s="8"/>
      <c r="L743" s="9" t="s">
        <v>311</v>
      </c>
      <c r="M743" s="8"/>
    </row>
    <row r="744" spans="1:13" x14ac:dyDescent="0.25">
      <c r="A744" s="15" t="s">
        <v>1299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311</v>
      </c>
      <c r="M744" s="8"/>
    </row>
    <row r="745" spans="1:13" x14ac:dyDescent="0.25">
      <c r="A745" s="71" t="s">
        <v>1300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1301</v>
      </c>
      <c r="B746" s="67">
        <v>36613647829</v>
      </c>
      <c r="C746" s="72" t="s">
        <v>1302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1303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160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1304</v>
      </c>
      <c r="B748" s="67">
        <v>25332480881</v>
      </c>
      <c r="C748" s="18" t="s">
        <v>270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1305</v>
      </c>
      <c r="B749" s="67">
        <v>16365042809</v>
      </c>
      <c r="C749" s="72" t="s">
        <v>1306</v>
      </c>
      <c r="D749" s="69">
        <v>26488933850</v>
      </c>
      <c r="E749" s="9">
        <v>117</v>
      </c>
      <c r="F749" s="25">
        <v>43117</v>
      </c>
      <c r="G749" s="70" t="s">
        <v>160</v>
      </c>
      <c r="H749" s="25">
        <v>43151</v>
      </c>
      <c r="I749" s="8"/>
      <c r="J749" s="8"/>
      <c r="K749" s="8"/>
      <c r="L749" s="9" t="s">
        <v>311</v>
      </c>
      <c r="M749" s="8"/>
    </row>
    <row r="750" spans="1:13" x14ac:dyDescent="0.25">
      <c r="A750" s="15" t="s">
        <v>1307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160</v>
      </c>
      <c r="H750" s="25">
        <v>43151</v>
      </c>
      <c r="I750" s="8"/>
      <c r="J750" s="8"/>
      <c r="K750" s="8"/>
      <c r="L750" s="9" t="s">
        <v>311</v>
      </c>
      <c r="M750" s="8"/>
    </row>
    <row r="751" spans="1:13" x14ac:dyDescent="0.25">
      <c r="A751" s="71" t="s">
        <v>1308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1309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166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1310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160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1311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160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1312</v>
      </c>
      <c r="B755" s="67"/>
      <c r="C755" s="18" t="s">
        <v>270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1313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1314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160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1315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1316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279</v>
      </c>
      <c r="M759" s="8"/>
    </row>
    <row r="760" spans="1:13" x14ac:dyDescent="0.25">
      <c r="A760" s="71" t="s">
        <v>1317</v>
      </c>
      <c r="B760" s="67">
        <v>41756319847</v>
      </c>
      <c r="C760" s="72" t="s">
        <v>1318</v>
      </c>
      <c r="D760" s="69">
        <v>28780799817</v>
      </c>
      <c r="E760" s="9">
        <v>1489</v>
      </c>
      <c r="F760" s="25">
        <v>43038</v>
      </c>
      <c r="G760" s="70" t="s">
        <v>174</v>
      </c>
      <c r="H760" s="9"/>
      <c r="I760" s="8"/>
      <c r="J760" s="8"/>
      <c r="K760" s="8"/>
      <c r="L760" s="9" t="s">
        <v>301</v>
      </c>
      <c r="M760" s="8"/>
    </row>
    <row r="761" spans="1:13" x14ac:dyDescent="0.25">
      <c r="A761" s="71" t="s">
        <v>1319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160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1320</v>
      </c>
      <c r="B762" s="67"/>
      <c r="C762" s="29" t="s">
        <v>270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1321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1322</v>
      </c>
      <c r="B764" s="67">
        <v>39762019873</v>
      </c>
      <c r="C764" s="68" t="s">
        <v>1323</v>
      </c>
      <c r="D764" s="69">
        <v>28639452890</v>
      </c>
      <c r="E764" s="9">
        <v>1128</v>
      </c>
      <c r="F764" s="25">
        <v>42972</v>
      </c>
      <c r="G764" s="70" t="s">
        <v>160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1324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160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1325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1326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160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1327</v>
      </c>
      <c r="B768" s="67">
        <v>21914504828</v>
      </c>
      <c r="C768" s="72" t="s">
        <v>1328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1329</v>
      </c>
      <c r="B769" s="67">
        <v>11259745830</v>
      </c>
      <c r="C769" s="72" t="s">
        <v>1330</v>
      </c>
      <c r="D769" s="69">
        <v>49121901368</v>
      </c>
      <c r="E769" s="9">
        <v>262</v>
      </c>
      <c r="F769" s="25">
        <v>43160</v>
      </c>
      <c r="G769" s="70" t="s">
        <v>160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1331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160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1332</v>
      </c>
      <c r="B771" s="67">
        <v>22547591839</v>
      </c>
      <c r="C771" s="72" t="s">
        <v>1333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1334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1335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1336</v>
      </c>
      <c r="B774" s="67">
        <v>9881940400</v>
      </c>
      <c r="C774" s="72" t="s">
        <v>1337</v>
      </c>
      <c r="D774" s="69">
        <v>1778905501</v>
      </c>
      <c r="E774" s="9">
        <v>262</v>
      </c>
      <c r="F774" s="25">
        <v>43160</v>
      </c>
      <c r="G774" s="70" t="s">
        <v>166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1338</v>
      </c>
      <c r="B775" s="67">
        <v>18240627889</v>
      </c>
      <c r="C775" s="77" t="s">
        <v>1339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1340</v>
      </c>
      <c r="B776" s="67">
        <v>34715955890</v>
      </c>
      <c r="C776" s="72" t="s">
        <v>1341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1342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160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1343</v>
      </c>
      <c r="B778" s="67">
        <v>2413902490</v>
      </c>
      <c r="C778" s="77" t="s">
        <v>1344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1345</v>
      </c>
      <c r="B779" s="67">
        <v>30558706894</v>
      </c>
      <c r="C779" s="72" t="s">
        <v>1346</v>
      </c>
      <c r="D779" s="69">
        <v>87700352372</v>
      </c>
      <c r="E779" s="9">
        <v>810</v>
      </c>
      <c r="F779" s="25">
        <v>42915</v>
      </c>
      <c r="G779" s="70" t="s">
        <v>160</v>
      </c>
      <c r="H779" s="9"/>
      <c r="I779" s="8"/>
      <c r="J779" s="8"/>
      <c r="K779" s="8"/>
      <c r="L779" s="9" t="s">
        <v>279</v>
      </c>
      <c r="M779" s="8"/>
    </row>
    <row r="780" spans="1:13" x14ac:dyDescent="0.25">
      <c r="A780" s="71" t="s">
        <v>1347</v>
      </c>
      <c r="B780" s="67">
        <v>27926471836</v>
      </c>
      <c r="C780" s="72" t="s">
        <v>1348</v>
      </c>
      <c r="D780" s="69">
        <v>2210309484</v>
      </c>
      <c r="E780" s="9">
        <v>1439</v>
      </c>
      <c r="F780" s="25">
        <v>43025</v>
      </c>
      <c r="G780" s="70" t="s">
        <v>166</v>
      </c>
      <c r="H780" s="9"/>
      <c r="I780" s="8"/>
      <c r="J780" s="8"/>
      <c r="K780" s="8"/>
      <c r="L780" s="9" t="s">
        <v>643</v>
      </c>
      <c r="M780" s="8"/>
    </row>
    <row r="781" spans="1:13" x14ac:dyDescent="0.25">
      <c r="A781" s="15" t="s">
        <v>1349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160</v>
      </c>
      <c r="H781" s="9"/>
      <c r="I781" s="8"/>
      <c r="J781" s="8"/>
      <c r="K781" s="8"/>
      <c r="L781" s="9" t="s">
        <v>311</v>
      </c>
      <c r="M781" s="8"/>
    </row>
    <row r="782" spans="1:13" x14ac:dyDescent="0.25">
      <c r="A782" s="71" t="s">
        <v>1350</v>
      </c>
      <c r="B782" s="67">
        <v>47361352391</v>
      </c>
      <c r="C782" s="72" t="s">
        <v>1351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1352</v>
      </c>
      <c r="B783" s="67">
        <v>32763223826</v>
      </c>
      <c r="C783" s="72" t="s">
        <v>1353</v>
      </c>
      <c r="D783" s="69">
        <v>27936363807</v>
      </c>
      <c r="E783" s="9">
        <v>608</v>
      </c>
      <c r="F783" s="25">
        <v>43012</v>
      </c>
      <c r="G783" s="70" t="s">
        <v>160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1354</v>
      </c>
      <c r="B784" s="67"/>
      <c r="C784" s="18" t="s">
        <v>1355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1356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160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1357</v>
      </c>
      <c r="B786" s="67">
        <v>39068600869</v>
      </c>
      <c r="C786" s="72"/>
      <c r="D786" s="69"/>
      <c r="E786" s="9"/>
      <c r="F786" s="25"/>
      <c r="G786" s="70" t="s">
        <v>160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1358</v>
      </c>
      <c r="B787" s="67">
        <v>31875471847</v>
      </c>
      <c r="C787" s="18" t="s">
        <v>1359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1360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1361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1362</v>
      </c>
      <c r="B790" s="67">
        <v>11634805844</v>
      </c>
      <c r="C790" s="29" t="s">
        <v>270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1363</v>
      </c>
      <c r="B791" s="67">
        <v>39485124856</v>
      </c>
      <c r="C791" s="72" t="s">
        <v>1364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1365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1366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1367</v>
      </c>
      <c r="B794" s="67">
        <v>32221516877</v>
      </c>
      <c r="C794" s="72" t="s">
        <v>1368</v>
      </c>
      <c r="D794" s="69">
        <v>18338419800</v>
      </c>
      <c r="E794" s="9">
        <v>1752</v>
      </c>
      <c r="F794" s="25">
        <v>43051</v>
      </c>
      <c r="G794" s="70" t="s">
        <v>160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1369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1370</v>
      </c>
      <c r="B796" s="67">
        <v>43951626810</v>
      </c>
      <c r="C796" s="72" t="s">
        <v>1371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1372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1373</v>
      </c>
      <c r="B798" s="67">
        <v>40840895836</v>
      </c>
      <c r="C798" s="72" t="s">
        <v>1374</v>
      </c>
      <c r="D798" s="69">
        <v>39329913890</v>
      </c>
      <c r="E798" s="9">
        <v>1106</v>
      </c>
      <c r="F798" s="25">
        <v>42965</v>
      </c>
      <c r="G798" s="70" t="s">
        <v>160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1375</v>
      </c>
      <c r="B799" s="67">
        <v>30969194809</v>
      </c>
      <c r="C799" s="72" t="s">
        <v>1376</v>
      </c>
      <c r="D799" s="69">
        <v>13013456876</v>
      </c>
      <c r="E799" s="9">
        <v>810</v>
      </c>
      <c r="F799" s="25">
        <v>42915</v>
      </c>
      <c r="G799" s="70" t="s">
        <v>160</v>
      </c>
      <c r="H799" s="76">
        <v>43213</v>
      </c>
      <c r="I799" s="8"/>
      <c r="J799" s="8"/>
      <c r="K799" s="8"/>
      <c r="L799" s="9" t="s">
        <v>279</v>
      </c>
      <c r="M799" s="8"/>
    </row>
    <row r="800" spans="1:13" x14ac:dyDescent="0.25">
      <c r="A800" s="71" t="s">
        <v>1377</v>
      </c>
      <c r="B800" s="67">
        <v>33186484855</v>
      </c>
      <c r="C800" s="77" t="s">
        <v>1378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1379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160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1380</v>
      </c>
      <c r="B802" s="67">
        <v>27298776819</v>
      </c>
      <c r="C802" s="72" t="s">
        <v>1381</v>
      </c>
      <c r="D802" s="69">
        <v>31387900544</v>
      </c>
      <c r="E802" s="9">
        <v>229</v>
      </c>
      <c r="F802" s="25">
        <v>43151</v>
      </c>
      <c r="G802" s="70" t="s">
        <v>160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1382</v>
      </c>
      <c r="B803" s="67">
        <v>28802120811</v>
      </c>
      <c r="C803" s="72" t="s">
        <v>1383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1384</v>
      </c>
      <c r="B804" s="67">
        <v>34581351898</v>
      </c>
      <c r="C804" s="18" t="s">
        <v>1385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1386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1387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160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1388</v>
      </c>
      <c r="B807" s="67"/>
      <c r="C807" s="29" t="s">
        <v>270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1389</v>
      </c>
      <c r="B808" s="67">
        <v>40324052391</v>
      </c>
      <c r="C808" s="72" t="s">
        <v>1390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1391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160</v>
      </c>
      <c r="H809" s="9"/>
      <c r="I809" s="8"/>
      <c r="J809" s="8"/>
      <c r="K809" s="8"/>
      <c r="L809" s="9" t="s">
        <v>279</v>
      </c>
      <c r="M809" s="8"/>
    </row>
    <row r="810" spans="1:13" x14ac:dyDescent="0.25">
      <c r="A810" s="71" t="s">
        <v>1392</v>
      </c>
      <c r="B810" s="67">
        <v>29022777847</v>
      </c>
      <c r="C810" s="72" t="s">
        <v>1393</v>
      </c>
      <c r="D810" s="69">
        <v>33430349400</v>
      </c>
      <c r="E810" s="9">
        <v>262</v>
      </c>
      <c r="F810" s="25">
        <v>43160</v>
      </c>
      <c r="G810" s="70" t="s">
        <v>160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1394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160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1395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1396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160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1397</v>
      </c>
      <c r="B814" s="67">
        <v>43523026865</v>
      </c>
      <c r="C814" s="72" t="s">
        <v>1398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1399</v>
      </c>
      <c r="B815" s="67"/>
      <c r="C815" s="29" t="s">
        <v>270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1400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160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1401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160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1402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160</v>
      </c>
      <c r="H818" s="9"/>
      <c r="I818" s="8"/>
      <c r="J818" s="8"/>
      <c r="K818" s="8"/>
      <c r="L818" s="9" t="s">
        <v>279</v>
      </c>
      <c r="M818" s="8"/>
    </row>
    <row r="819" spans="1:13" x14ac:dyDescent="0.25">
      <c r="A819" s="71" t="s">
        <v>1403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1404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1405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160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1406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160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1407</v>
      </c>
      <c r="B823" s="67">
        <v>5102923480</v>
      </c>
      <c r="C823" s="72" t="s">
        <v>1408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1409</v>
      </c>
      <c r="B824" s="67">
        <v>7268622406</v>
      </c>
      <c r="C824" s="72" t="s">
        <v>1410</v>
      </c>
      <c r="D824" s="69">
        <v>40507630874</v>
      </c>
      <c r="E824" s="9">
        <v>1267</v>
      </c>
      <c r="F824" s="25">
        <v>42998</v>
      </c>
      <c r="G824" s="70" t="s">
        <v>160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1411</v>
      </c>
      <c r="B825" s="67" t="s">
        <v>1412</v>
      </c>
      <c r="C825" s="77" t="s">
        <v>1413</v>
      </c>
      <c r="D825" s="69" t="s">
        <v>1414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1415</v>
      </c>
      <c r="B826" s="67"/>
      <c r="C826" s="29" t="s">
        <v>270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1416</v>
      </c>
      <c r="B827" s="67">
        <v>31429224827</v>
      </c>
      <c r="C827" s="72" t="s">
        <v>1417</v>
      </c>
      <c r="D827" s="69">
        <v>27263725894</v>
      </c>
      <c r="E827" s="9">
        <v>292</v>
      </c>
      <c r="F827" s="25">
        <v>43168</v>
      </c>
      <c r="G827" s="70" t="s">
        <v>166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1418</v>
      </c>
      <c r="B828" s="67">
        <v>3753540420</v>
      </c>
      <c r="C828" s="72" t="s">
        <v>1355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1419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1420</v>
      </c>
      <c r="B830" s="67">
        <v>36723660803</v>
      </c>
      <c r="C830" s="72" t="s">
        <v>1421</v>
      </c>
      <c r="D830" s="69">
        <v>32763586899</v>
      </c>
      <c r="E830" s="9">
        <v>608</v>
      </c>
      <c r="F830" s="25">
        <v>43012</v>
      </c>
      <c r="G830" s="70" t="s">
        <v>160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1422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160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1423</v>
      </c>
      <c r="B832" s="67">
        <v>166405462</v>
      </c>
      <c r="C832" s="15" t="s">
        <v>1424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1425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160</v>
      </c>
      <c r="H833" s="9"/>
      <c r="I833" s="8"/>
      <c r="J833" s="8"/>
      <c r="K833" s="8"/>
      <c r="L833" s="9" t="s">
        <v>279</v>
      </c>
      <c r="M833" s="8"/>
    </row>
    <row r="834" spans="1:13" x14ac:dyDescent="0.25">
      <c r="A834" s="15" t="s">
        <v>1426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160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1427</v>
      </c>
      <c r="B835" s="67">
        <v>13621159835</v>
      </c>
      <c r="C835" s="72" t="s">
        <v>1428</v>
      </c>
      <c r="D835" s="69">
        <v>35124170867</v>
      </c>
      <c r="E835" s="9">
        <v>229</v>
      </c>
      <c r="F835" s="25">
        <v>43151</v>
      </c>
      <c r="G835" s="70" t="s">
        <v>160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1429</v>
      </c>
      <c r="B836" s="67">
        <v>34649647878</v>
      </c>
      <c r="C836" s="72" t="s">
        <v>1430</v>
      </c>
      <c r="D836" s="69">
        <v>17811429802</v>
      </c>
      <c r="E836" s="9">
        <v>810</v>
      </c>
      <c r="F836" s="25">
        <v>42915</v>
      </c>
      <c r="G836" s="70" t="s">
        <v>160</v>
      </c>
      <c r="H836" s="9"/>
      <c r="I836" s="8"/>
      <c r="J836" s="8"/>
      <c r="K836" s="8"/>
      <c r="L836" s="9" t="s">
        <v>279</v>
      </c>
      <c r="M836" s="8"/>
    </row>
    <row r="837" spans="1:13" x14ac:dyDescent="0.25">
      <c r="A837" s="71" t="s">
        <v>1431</v>
      </c>
      <c r="B837" s="67">
        <v>25809517846</v>
      </c>
      <c r="C837" s="73" t="s">
        <v>1432</v>
      </c>
      <c r="D837" s="69">
        <v>68856830434</v>
      </c>
      <c r="E837" s="9">
        <v>292</v>
      </c>
      <c r="F837" s="25">
        <v>43168</v>
      </c>
      <c r="G837" s="70" t="s">
        <v>166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1433</v>
      </c>
      <c r="B838" s="67">
        <v>6952730435</v>
      </c>
      <c r="C838" s="72" t="s">
        <v>1434</v>
      </c>
      <c r="D838" s="69">
        <v>8004608477</v>
      </c>
      <c r="E838" s="9">
        <v>810</v>
      </c>
      <c r="F838" s="25">
        <v>42915</v>
      </c>
      <c r="G838" s="70" t="s">
        <v>160</v>
      </c>
      <c r="H838" s="9"/>
      <c r="I838" s="8"/>
      <c r="J838" s="8"/>
      <c r="K838" s="8"/>
      <c r="L838" s="9" t="s">
        <v>279</v>
      </c>
      <c r="M838" s="8"/>
    </row>
    <row r="839" spans="1:13" x14ac:dyDescent="0.25">
      <c r="A839" s="71" t="s">
        <v>1435</v>
      </c>
      <c r="B839" s="67">
        <v>23440697800</v>
      </c>
      <c r="C839" s="72" t="s">
        <v>1436</v>
      </c>
      <c r="D839" s="69">
        <v>93690177553</v>
      </c>
      <c r="E839" s="9">
        <v>292</v>
      </c>
      <c r="F839" s="25">
        <v>43168</v>
      </c>
      <c r="G839" s="70" t="s">
        <v>160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1437</v>
      </c>
      <c r="B840" s="67">
        <v>93567421549</v>
      </c>
      <c r="C840" s="72" t="s">
        <v>1438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1439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1440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160</v>
      </c>
      <c r="H842" s="9"/>
      <c r="I842" s="8"/>
      <c r="J842" s="8"/>
      <c r="K842" s="8"/>
      <c r="L842" s="9" t="s">
        <v>311</v>
      </c>
      <c r="M842" s="8"/>
    </row>
    <row r="843" spans="1:13" x14ac:dyDescent="0.25">
      <c r="A843" s="71" t="s">
        <v>1441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160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1442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1443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160</v>
      </c>
      <c r="H845" s="9"/>
      <c r="I845" s="8"/>
      <c r="J845" s="8"/>
      <c r="K845" s="8"/>
      <c r="L845" s="9" t="s">
        <v>311</v>
      </c>
      <c r="M845" s="8"/>
    </row>
    <row r="846" spans="1:13" x14ac:dyDescent="0.25">
      <c r="A846" s="71" t="s">
        <v>1444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160</v>
      </c>
      <c r="H846" s="9"/>
      <c r="I846" s="8"/>
      <c r="J846" s="8"/>
      <c r="K846" s="8"/>
      <c r="L846" s="9" t="s">
        <v>394</v>
      </c>
      <c r="M846" s="8"/>
    </row>
    <row r="847" spans="1:13" x14ac:dyDescent="0.25">
      <c r="A847" s="71" t="s">
        <v>1445</v>
      </c>
      <c r="B847" s="67">
        <v>10762166843</v>
      </c>
      <c r="C847" s="72" t="s">
        <v>1446</v>
      </c>
      <c r="D847" s="69">
        <v>18471490811</v>
      </c>
      <c r="E847" s="9">
        <v>1752</v>
      </c>
      <c r="F847" s="25">
        <v>43051</v>
      </c>
      <c r="G847" s="83" t="s">
        <v>160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1447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1448</v>
      </c>
      <c r="B849" s="67">
        <v>38988535863</v>
      </c>
      <c r="C849" s="72" t="s">
        <v>1449</v>
      </c>
      <c r="D849" s="69">
        <v>34543536886</v>
      </c>
      <c r="E849" s="9">
        <v>1555</v>
      </c>
      <c r="F849" s="25">
        <v>43049</v>
      </c>
      <c r="G849" s="70" t="s">
        <v>160</v>
      </c>
      <c r="H849" s="9"/>
      <c r="I849" s="8"/>
      <c r="J849" s="8"/>
      <c r="K849" s="8"/>
      <c r="L849" s="9" t="s">
        <v>539</v>
      </c>
      <c r="M849" s="8"/>
    </row>
    <row r="850" spans="1:13" x14ac:dyDescent="0.25">
      <c r="A850" s="71" t="s">
        <v>1450</v>
      </c>
      <c r="B850" s="67">
        <v>81902581334</v>
      </c>
      <c r="C850" s="72" t="s">
        <v>1451</v>
      </c>
      <c r="D850" s="69">
        <v>42305020368</v>
      </c>
      <c r="E850" s="9">
        <v>1752</v>
      </c>
      <c r="F850" s="25">
        <v>43051</v>
      </c>
      <c r="G850" s="70" t="s">
        <v>160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1452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1453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160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1454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160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1455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1456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160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1457</v>
      </c>
      <c r="B856" s="67">
        <v>36135801520</v>
      </c>
      <c r="C856" s="15" t="s">
        <v>1458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1459</v>
      </c>
      <c r="B857" s="67">
        <v>43231450802</v>
      </c>
      <c r="C857" s="72" t="s">
        <v>1460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1461</v>
      </c>
      <c r="B858" s="67">
        <v>38163601817</v>
      </c>
      <c r="C858" s="72" t="s">
        <v>1462</v>
      </c>
      <c r="D858" s="69">
        <v>36840584836</v>
      </c>
      <c r="E858" s="9">
        <v>292</v>
      </c>
      <c r="F858" s="25">
        <v>43168</v>
      </c>
      <c r="G858" s="70" t="s">
        <v>160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1463</v>
      </c>
      <c r="B859" s="67">
        <v>40853154805</v>
      </c>
      <c r="C859" s="72" t="s">
        <v>1464</v>
      </c>
      <c r="D859" s="69">
        <v>23596403804</v>
      </c>
      <c r="E859" s="9">
        <v>229</v>
      </c>
      <c r="F859" s="25">
        <v>43151</v>
      </c>
      <c r="G859" s="70" t="s">
        <v>160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1465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160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1466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1467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160</v>
      </c>
      <c r="H862" s="9"/>
      <c r="I862" s="8"/>
      <c r="J862" s="8"/>
      <c r="K862" s="8"/>
      <c r="L862" s="9" t="s">
        <v>539</v>
      </c>
      <c r="M862" s="8"/>
    </row>
    <row r="863" spans="1:13" x14ac:dyDescent="0.25">
      <c r="A863" s="14" t="s">
        <v>1468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160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1469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160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1470</v>
      </c>
      <c r="B865" s="67">
        <v>30708968805</v>
      </c>
      <c r="C865" s="72" t="s">
        <v>1471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1472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1473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160</v>
      </c>
      <c r="H867" s="9"/>
      <c r="I867" s="8"/>
      <c r="J867" s="8"/>
      <c r="K867" s="8"/>
      <c r="L867" s="9" t="s">
        <v>279</v>
      </c>
      <c r="M867" s="8"/>
    </row>
    <row r="868" spans="1:13" x14ac:dyDescent="0.25">
      <c r="A868" s="71" t="s">
        <v>1474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1475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160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1476</v>
      </c>
      <c r="B870" s="67">
        <v>41379878829</v>
      </c>
      <c r="C870" s="72" t="s">
        <v>1477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1478</v>
      </c>
      <c r="B871" s="67">
        <v>31471499863</v>
      </c>
      <c r="C871" s="72" t="s">
        <v>1479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1480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160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1481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160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1482</v>
      </c>
      <c r="B874" s="67">
        <v>27878860866</v>
      </c>
      <c r="C874" s="72" t="s">
        <v>1483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1484</v>
      </c>
      <c r="B875" s="67">
        <v>25002291813</v>
      </c>
      <c r="C875" s="72" t="s">
        <v>1485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1486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1487</v>
      </c>
      <c r="B877" s="67"/>
      <c r="C877" s="29" t="s">
        <v>1488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1489</v>
      </c>
      <c r="B878" s="67">
        <v>7205116589</v>
      </c>
      <c r="C878" s="72" t="s">
        <v>1490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1491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1492</v>
      </c>
      <c r="B880" s="67">
        <v>82084602491</v>
      </c>
      <c r="C880" s="72" t="s">
        <v>1493</v>
      </c>
      <c r="D880" s="69">
        <v>74937758420</v>
      </c>
      <c r="E880" s="9">
        <v>292</v>
      </c>
      <c r="F880" s="25">
        <v>43168</v>
      </c>
      <c r="G880" s="9" t="s">
        <v>160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1494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1495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1496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160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1497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160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1498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1499</v>
      </c>
      <c r="B886" s="67">
        <v>63234904553</v>
      </c>
      <c r="C886" s="68" t="s">
        <v>1500</v>
      </c>
      <c r="D886" s="69">
        <v>1193464870</v>
      </c>
      <c r="E886" s="9">
        <v>1128</v>
      </c>
      <c r="F886" s="25">
        <v>42972</v>
      </c>
      <c r="G886" s="70" t="s">
        <v>160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1501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1502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1503</v>
      </c>
      <c r="B889" s="67">
        <v>30967680808</v>
      </c>
      <c r="C889" s="18" t="s">
        <v>1504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1505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160</v>
      </c>
      <c r="H890" s="9"/>
      <c r="I890" s="8"/>
      <c r="J890" s="8"/>
      <c r="K890" s="8"/>
      <c r="L890" s="9" t="s">
        <v>279</v>
      </c>
      <c r="M890" s="8"/>
    </row>
    <row r="891" spans="1:13" x14ac:dyDescent="0.25">
      <c r="A891" s="15" t="s">
        <v>1506</v>
      </c>
      <c r="B891" s="67">
        <v>3570397696</v>
      </c>
      <c r="C891" s="72" t="s">
        <v>1507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1508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1509</v>
      </c>
      <c r="B893" s="67">
        <v>1170658547</v>
      </c>
      <c r="C893" s="72" t="s">
        <v>1510</v>
      </c>
      <c r="D893" s="69">
        <v>2695281560</v>
      </c>
      <c r="E893" s="9">
        <v>1824</v>
      </c>
      <c r="F893" s="25">
        <v>43091</v>
      </c>
      <c r="G893" s="70" t="s">
        <v>166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1511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160</v>
      </c>
      <c r="H894" s="9"/>
      <c r="I894" s="8"/>
      <c r="J894" s="8"/>
      <c r="K894" s="8"/>
      <c r="L894" s="9" t="s">
        <v>279</v>
      </c>
      <c r="M894" s="8"/>
    </row>
    <row r="895" spans="1:13" x14ac:dyDescent="0.25">
      <c r="A895" s="71" t="s">
        <v>1512</v>
      </c>
      <c r="B895" s="67">
        <v>29927032811</v>
      </c>
      <c r="C895" s="72" t="s">
        <v>1513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1514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1515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160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1516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160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1517</v>
      </c>
      <c r="B899" s="67">
        <v>37064427877</v>
      </c>
      <c r="C899" s="68" t="s">
        <v>1518</v>
      </c>
      <c r="D899" s="69">
        <v>34881680854</v>
      </c>
      <c r="E899" s="9">
        <v>1128</v>
      </c>
      <c r="F899" s="25">
        <v>42972</v>
      </c>
      <c r="G899" s="70" t="s">
        <v>160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1519</v>
      </c>
      <c r="B900" s="67">
        <v>34712023821</v>
      </c>
      <c r="C900" s="72" t="s">
        <v>1520</v>
      </c>
      <c r="D900" s="69">
        <v>80700918868</v>
      </c>
      <c r="E900" s="9">
        <v>117</v>
      </c>
      <c r="F900" s="25">
        <v>43117</v>
      </c>
      <c r="G900" s="70" t="s">
        <v>160</v>
      </c>
      <c r="H900" s="9"/>
      <c r="I900" s="8"/>
      <c r="J900" s="8"/>
      <c r="K900" s="8"/>
      <c r="L900" s="9" t="s">
        <v>311</v>
      </c>
      <c r="M900" s="8"/>
    </row>
    <row r="901" spans="1:13" x14ac:dyDescent="0.25">
      <c r="A901" s="71" t="s">
        <v>1521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160</v>
      </c>
      <c r="H901" s="9"/>
      <c r="I901" s="8"/>
      <c r="J901" s="8"/>
      <c r="K901" s="8"/>
      <c r="L901" s="9" t="s">
        <v>279</v>
      </c>
      <c r="M901" s="8"/>
    </row>
    <row r="902" spans="1:13" x14ac:dyDescent="0.25">
      <c r="A902" s="71" t="s">
        <v>1522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1523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160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1524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160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1525</v>
      </c>
      <c r="B905" s="67">
        <v>42517278865</v>
      </c>
      <c r="C905" s="72" t="s">
        <v>1526</v>
      </c>
      <c r="D905" s="69">
        <v>45677965863</v>
      </c>
      <c r="E905" s="9">
        <v>117</v>
      </c>
      <c r="F905" s="25">
        <v>43117</v>
      </c>
      <c r="G905" s="70" t="s">
        <v>160</v>
      </c>
      <c r="H905" s="9"/>
      <c r="I905" s="8"/>
      <c r="J905" s="8"/>
      <c r="K905" s="8"/>
      <c r="L905" s="9" t="s">
        <v>311</v>
      </c>
      <c r="M905" s="8"/>
    </row>
    <row r="906" spans="1:13" x14ac:dyDescent="0.25">
      <c r="A906" s="18" t="s">
        <v>1527</v>
      </c>
      <c r="B906" s="67">
        <v>34053574897</v>
      </c>
      <c r="C906" s="8" t="s">
        <v>1528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1529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160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1530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160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1531</v>
      </c>
      <c r="B909" s="67">
        <v>32391122802</v>
      </c>
      <c r="C909" s="72" t="s">
        <v>1532</v>
      </c>
      <c r="D909" s="69">
        <v>21653624825</v>
      </c>
      <c r="E909" s="9">
        <v>262</v>
      </c>
      <c r="F909" s="25">
        <v>43160</v>
      </c>
      <c r="G909" s="9" t="s">
        <v>160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1533</v>
      </c>
      <c r="B910" s="67"/>
      <c r="C910" s="29" t="s">
        <v>1534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1535</v>
      </c>
      <c r="B911" s="67">
        <v>39641812858</v>
      </c>
      <c r="C911" s="72" t="s">
        <v>1536</v>
      </c>
      <c r="D911" s="69">
        <v>23425114859</v>
      </c>
      <c r="E911" s="9">
        <v>262</v>
      </c>
      <c r="F911" s="25">
        <v>43160</v>
      </c>
      <c r="G911" s="70" t="s">
        <v>160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1537</v>
      </c>
      <c r="B912" s="67">
        <v>7664892481</v>
      </c>
      <c r="C912" s="72" t="s">
        <v>1538</v>
      </c>
      <c r="D912" s="69">
        <v>37120937804</v>
      </c>
      <c r="E912" s="9">
        <v>1570</v>
      </c>
      <c r="F912" s="25">
        <v>43077</v>
      </c>
      <c r="G912" s="70" t="s">
        <v>160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1539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160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1540</v>
      </c>
      <c r="B914" s="67">
        <v>35535310883</v>
      </c>
      <c r="C914" s="72" t="s">
        <v>1541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1542</v>
      </c>
      <c r="B915" s="67">
        <v>40993785867</v>
      </c>
      <c r="C915" s="72" t="s">
        <v>1543</v>
      </c>
      <c r="D915" s="69">
        <v>39284894883</v>
      </c>
      <c r="E915" s="9">
        <v>262</v>
      </c>
      <c r="F915" s="25">
        <v>43160</v>
      </c>
      <c r="G915" s="70" t="s">
        <v>160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1544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160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1545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160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1546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160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1547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160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1548</v>
      </c>
      <c r="B920" s="67">
        <v>39485589816</v>
      </c>
      <c r="C920" s="72" t="s">
        <v>1549</v>
      </c>
      <c r="D920" s="69">
        <v>6884648589</v>
      </c>
      <c r="E920" s="9">
        <v>85</v>
      </c>
      <c r="F920" s="25">
        <v>43109</v>
      </c>
      <c r="G920" s="70" t="s">
        <v>160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1550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1551</v>
      </c>
      <c r="B922" s="67">
        <v>39454700804</v>
      </c>
      <c r="C922" s="72" t="s">
        <v>1552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1553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1554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1555</v>
      </c>
      <c r="B925" s="67">
        <v>19681993810</v>
      </c>
      <c r="C925" s="72" t="s">
        <v>1556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1557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160</v>
      </c>
      <c r="H926" s="9"/>
      <c r="I926" s="8"/>
      <c r="J926" s="8"/>
      <c r="K926" s="8"/>
      <c r="L926" s="9" t="s">
        <v>279</v>
      </c>
      <c r="M926" s="8"/>
    </row>
    <row r="927" spans="1:13" x14ac:dyDescent="0.25">
      <c r="A927" s="71" t="s">
        <v>1558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1559</v>
      </c>
      <c r="B928" s="67">
        <v>32424255881</v>
      </c>
      <c r="C928" s="72" t="s">
        <v>1560</v>
      </c>
      <c r="D928" s="69">
        <v>4615874596</v>
      </c>
      <c r="E928" s="9">
        <v>229</v>
      </c>
      <c r="F928" s="25">
        <v>43151</v>
      </c>
      <c r="G928" s="70" t="s">
        <v>160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1561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160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1562</v>
      </c>
      <c r="B930" s="67">
        <v>77663551591</v>
      </c>
      <c r="C930" s="72" t="s">
        <v>1563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1564</v>
      </c>
      <c r="B931" s="67">
        <v>30768670837</v>
      </c>
      <c r="C931" s="72" t="s">
        <v>1565</v>
      </c>
      <c r="D931" s="69">
        <v>17858599860</v>
      </c>
      <c r="E931" s="9">
        <v>810</v>
      </c>
      <c r="F931" s="25">
        <v>42915</v>
      </c>
      <c r="G931" s="70" t="s">
        <v>160</v>
      </c>
      <c r="H931" s="9"/>
      <c r="I931" s="8"/>
      <c r="J931" s="8"/>
      <c r="K931" s="8"/>
      <c r="L931" s="9" t="s">
        <v>279</v>
      </c>
      <c r="M931" s="8"/>
    </row>
    <row r="932" spans="1:13" x14ac:dyDescent="0.25">
      <c r="A932" s="71" t="s">
        <v>1566</v>
      </c>
      <c r="B932" s="67">
        <v>40801562864</v>
      </c>
      <c r="C932" s="72" t="s">
        <v>1567</v>
      </c>
      <c r="D932" s="69">
        <v>40630792879</v>
      </c>
      <c r="E932" s="9">
        <v>117</v>
      </c>
      <c r="F932" s="25">
        <v>43117</v>
      </c>
      <c r="G932" s="70" t="s">
        <v>166</v>
      </c>
      <c r="H932" s="9"/>
      <c r="I932" s="8"/>
      <c r="J932" s="8"/>
      <c r="K932" s="8"/>
      <c r="L932" s="9" t="s">
        <v>311</v>
      </c>
      <c r="M932" s="8"/>
    </row>
    <row r="933" spans="1:13" x14ac:dyDescent="0.25">
      <c r="A933" s="71" t="s">
        <v>1568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160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1569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160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1570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1571</v>
      </c>
      <c r="B936" s="67">
        <v>33897782847</v>
      </c>
      <c r="C936" s="72" t="s">
        <v>1572</v>
      </c>
      <c r="D936" s="69">
        <v>22207136876</v>
      </c>
      <c r="E936" s="9">
        <v>1267</v>
      </c>
      <c r="F936" s="25">
        <v>42998</v>
      </c>
      <c r="G936" s="70" t="s">
        <v>160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1573</v>
      </c>
      <c r="B937" s="67">
        <v>31219124885</v>
      </c>
      <c r="C937" s="72" t="s">
        <v>1574</v>
      </c>
      <c r="D937" s="69">
        <v>53808967315</v>
      </c>
      <c r="E937" s="9">
        <v>292</v>
      </c>
      <c r="F937" s="25">
        <v>43168</v>
      </c>
      <c r="G937" s="70" t="s">
        <v>160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1575</v>
      </c>
      <c r="B938" s="67">
        <v>32332935851</v>
      </c>
      <c r="C938" s="18" t="s">
        <v>1576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1577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1578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174</v>
      </c>
      <c r="H940" s="47"/>
      <c r="I940" s="49"/>
      <c r="J940" s="49"/>
      <c r="K940" s="49"/>
      <c r="L940" s="9" t="s">
        <v>311</v>
      </c>
      <c r="M940" s="49"/>
    </row>
    <row r="941" spans="1:13" x14ac:dyDescent="0.25">
      <c r="A941" s="71" t="s">
        <v>1579</v>
      </c>
      <c r="B941" s="67">
        <v>35124692804</v>
      </c>
      <c r="C941" s="72" t="s">
        <v>1580</v>
      </c>
      <c r="D941" s="69">
        <v>17091274814</v>
      </c>
      <c r="E941" s="9">
        <v>262</v>
      </c>
      <c r="F941" s="25">
        <v>43160</v>
      </c>
      <c r="G941" s="70" t="s">
        <v>160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1581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1582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1583</v>
      </c>
      <c r="B944" s="67">
        <v>35271393895</v>
      </c>
      <c r="C944" s="72" t="s">
        <v>1584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1585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160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1586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440</v>
      </c>
      <c r="M946" s="8"/>
    </row>
    <row r="947" spans="1:13" x14ac:dyDescent="0.25">
      <c r="A947" s="71" t="s">
        <v>1587</v>
      </c>
      <c r="B947" s="67">
        <v>899199399</v>
      </c>
      <c r="C947" s="72" t="s">
        <v>1588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1589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160</v>
      </c>
      <c r="H948" s="9"/>
      <c r="I948" s="8"/>
      <c r="J948" s="8"/>
      <c r="K948" s="8"/>
      <c r="L948" s="9" t="s">
        <v>279</v>
      </c>
      <c r="M948" s="8"/>
    </row>
    <row r="949" spans="1:13" x14ac:dyDescent="0.25">
      <c r="A949" s="15" t="s">
        <v>1590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1591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160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1592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166</v>
      </c>
      <c r="H951" s="9"/>
      <c r="I951" s="8"/>
      <c r="J951" s="8"/>
      <c r="K951" s="8"/>
      <c r="L951" s="9" t="s">
        <v>311</v>
      </c>
      <c r="M951" s="8"/>
    </row>
    <row r="952" spans="1:13" x14ac:dyDescent="0.25">
      <c r="A952" s="15" t="s">
        <v>1593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160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1594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160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1595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160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1596</v>
      </c>
      <c r="B955" s="67">
        <v>19584308890</v>
      </c>
      <c r="C955" s="72" t="s">
        <v>1597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1598</v>
      </c>
      <c r="B956" s="67">
        <v>3220872441</v>
      </c>
      <c r="C956" s="72" t="s">
        <v>1599</v>
      </c>
      <c r="D956" s="69">
        <v>11805166808</v>
      </c>
      <c r="E956" s="9">
        <v>810</v>
      </c>
      <c r="F956" s="25">
        <v>42915</v>
      </c>
      <c r="G956" s="70" t="s">
        <v>160</v>
      </c>
      <c r="H956" s="9"/>
      <c r="I956" s="8"/>
      <c r="J956" s="8"/>
      <c r="K956" s="8"/>
      <c r="L956" s="9" t="s">
        <v>279</v>
      </c>
      <c r="M956" s="8"/>
    </row>
    <row r="957" spans="1:13" x14ac:dyDescent="0.25">
      <c r="A957" s="73" t="s">
        <v>1600</v>
      </c>
      <c r="B957" s="67">
        <v>29773950832</v>
      </c>
      <c r="C957" s="72" t="s">
        <v>1601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1602</v>
      </c>
      <c r="B958" s="78" t="s">
        <v>1603</v>
      </c>
      <c r="C958" s="72" t="s">
        <v>1604</v>
      </c>
      <c r="D958" s="69">
        <v>84102780300</v>
      </c>
      <c r="E958" s="9">
        <v>292</v>
      </c>
      <c r="F958" s="25">
        <v>43168</v>
      </c>
      <c r="G958" s="9" t="s">
        <v>160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1605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160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1606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1607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160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1608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160</v>
      </c>
      <c r="H962" s="9"/>
      <c r="I962" s="8"/>
      <c r="J962" s="8"/>
      <c r="K962" s="8"/>
      <c r="L962" s="9" t="s">
        <v>539</v>
      </c>
      <c r="M962" s="8"/>
    </row>
    <row r="963" spans="1:13" x14ac:dyDescent="0.25">
      <c r="A963" s="15" t="s">
        <v>1609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160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1610</v>
      </c>
      <c r="B964" s="67">
        <v>46248420300</v>
      </c>
      <c r="C964" s="72" t="s">
        <v>1611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1612</v>
      </c>
      <c r="B965" s="67">
        <v>84090294304</v>
      </c>
      <c r="C965" s="72" t="s">
        <v>1613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1614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1615</v>
      </c>
      <c r="B967" s="67">
        <v>918071313</v>
      </c>
      <c r="C967" s="72" t="s">
        <v>1616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1617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160</v>
      </c>
      <c r="H968" s="9"/>
      <c r="I968" s="8"/>
      <c r="J968" s="8"/>
      <c r="K968" s="8"/>
      <c r="L968" s="9" t="s">
        <v>311</v>
      </c>
      <c r="M968" s="8"/>
    </row>
    <row r="969" spans="1:13" x14ac:dyDescent="0.25">
      <c r="A969" s="71" t="s">
        <v>1618</v>
      </c>
      <c r="B969" s="67">
        <v>86465651300</v>
      </c>
      <c r="C969" s="72" t="s">
        <v>1619</v>
      </c>
      <c r="D969" s="69">
        <v>7091216792</v>
      </c>
      <c r="E969" s="9">
        <v>1350</v>
      </c>
      <c r="F969" s="25">
        <v>43006</v>
      </c>
      <c r="G969" s="70" t="s">
        <v>160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1620</v>
      </c>
      <c r="B970" s="67">
        <v>22893362893</v>
      </c>
      <c r="C970" s="72" t="s">
        <v>1621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1622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160</v>
      </c>
      <c r="H971" s="9"/>
      <c r="I971" s="8"/>
      <c r="J971" s="8"/>
      <c r="K971" s="8"/>
      <c r="L971" s="9" t="s">
        <v>394</v>
      </c>
      <c r="M971" s="8"/>
    </row>
    <row r="972" spans="1:13" x14ac:dyDescent="0.25">
      <c r="A972" s="29" t="s">
        <v>1623</v>
      </c>
      <c r="B972" s="67">
        <v>9964640854</v>
      </c>
      <c r="C972" s="18" t="s">
        <v>270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1624</v>
      </c>
      <c r="B973" s="67">
        <v>46593499854</v>
      </c>
      <c r="C973" s="29" t="s">
        <v>1625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1626</v>
      </c>
      <c r="B974" s="67">
        <v>34412339807</v>
      </c>
      <c r="C974" s="72" t="s">
        <v>1627</v>
      </c>
      <c r="D974" s="69">
        <v>30849792860</v>
      </c>
      <c r="E974" s="9">
        <v>1824</v>
      </c>
      <c r="F974" s="25">
        <v>43091</v>
      </c>
      <c r="G974" s="70" t="s">
        <v>160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1628</v>
      </c>
      <c r="B975" s="67">
        <v>63905825449</v>
      </c>
      <c r="C975" s="72" t="s">
        <v>1629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1630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160</v>
      </c>
      <c r="H976" s="9"/>
      <c r="I976" s="8"/>
      <c r="J976" s="8"/>
      <c r="K976" s="8"/>
      <c r="L976" s="9" t="s">
        <v>279</v>
      </c>
      <c r="M976" s="8"/>
    </row>
    <row r="977" spans="1:13" x14ac:dyDescent="0.25">
      <c r="A977" s="71" t="s">
        <v>1631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160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1632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160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1633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160</v>
      </c>
      <c r="H979" s="9"/>
      <c r="I979" s="8"/>
      <c r="J979" s="8"/>
      <c r="K979" s="8"/>
      <c r="L979" s="9" t="s">
        <v>279</v>
      </c>
      <c r="M979" s="8"/>
    </row>
    <row r="980" spans="1:13" x14ac:dyDescent="0.25">
      <c r="A980" s="18" t="s">
        <v>1634</v>
      </c>
      <c r="B980" s="67">
        <v>18473037812</v>
      </c>
      <c r="C980" s="18" t="s">
        <v>1635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1636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1637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160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1638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1639</v>
      </c>
      <c r="B984" s="67">
        <v>30458696889</v>
      </c>
      <c r="C984" s="68" t="s">
        <v>1640</v>
      </c>
      <c r="D984" s="69">
        <v>25196748814</v>
      </c>
      <c r="E984" s="9">
        <v>1267</v>
      </c>
      <c r="F984" s="25">
        <v>42998</v>
      </c>
      <c r="G984" s="70" t="s">
        <v>166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1641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160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1642</v>
      </c>
      <c r="B986" s="67"/>
      <c r="C986" s="29" t="s">
        <v>1643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1644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1645</v>
      </c>
      <c r="B988" s="67" t="s">
        <v>1646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1647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1648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1649</v>
      </c>
      <c r="B991" s="67"/>
      <c r="C991" s="18" t="s">
        <v>270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1650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1651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1652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160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1653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1654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160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1655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1656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1657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1658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160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1659</v>
      </c>
      <c r="B1001" s="67">
        <v>39651975334</v>
      </c>
      <c r="C1001" s="72" t="s">
        <v>1660</v>
      </c>
      <c r="D1001" s="69">
        <v>35104799808</v>
      </c>
      <c r="E1001" s="9">
        <v>229</v>
      </c>
      <c r="F1001" s="25">
        <v>43151</v>
      </c>
      <c r="G1001" s="70" t="s">
        <v>160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1661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160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1662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160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1663</v>
      </c>
      <c r="B1004" s="67">
        <v>46226383801</v>
      </c>
      <c r="C1004" s="72" t="s">
        <v>1664</v>
      </c>
      <c r="D1004" s="69">
        <v>46166460821</v>
      </c>
      <c r="E1004" s="9">
        <v>292</v>
      </c>
      <c r="F1004" s="25">
        <v>43168</v>
      </c>
      <c r="G1004" s="70" t="s">
        <v>160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1665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160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1666</v>
      </c>
      <c r="B1006" s="67">
        <v>37051448803</v>
      </c>
      <c r="C1006" s="72" t="s">
        <v>1667</v>
      </c>
      <c r="D1006" s="69">
        <v>22442223813</v>
      </c>
      <c r="E1006" s="9">
        <v>1489</v>
      </c>
      <c r="F1006" s="25">
        <v>43038</v>
      </c>
      <c r="G1006" s="70" t="s">
        <v>160</v>
      </c>
      <c r="H1006" s="9"/>
      <c r="I1006" s="8"/>
      <c r="J1006" s="8"/>
      <c r="K1006" s="8"/>
      <c r="L1006" s="9" t="s">
        <v>301</v>
      </c>
      <c r="M1006" s="8"/>
    </row>
    <row r="1007" spans="1:13" x14ac:dyDescent="0.25">
      <c r="A1007" s="71" t="s">
        <v>1668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1669</v>
      </c>
      <c r="B1008" s="67">
        <v>50092450865</v>
      </c>
      <c r="C1008" s="72" t="s">
        <v>1670</v>
      </c>
      <c r="D1008" s="69">
        <v>34366320827</v>
      </c>
      <c r="E1008" s="9">
        <v>608</v>
      </c>
      <c r="F1008" s="25">
        <v>43012</v>
      </c>
      <c r="G1008" s="70" t="s">
        <v>160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1671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160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1672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160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1673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160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1674</v>
      </c>
      <c r="B1012" s="67">
        <v>36501110807</v>
      </c>
      <c r="C1012" s="72" t="s">
        <v>1675</v>
      </c>
      <c r="D1012" s="69">
        <v>36592467860</v>
      </c>
      <c r="E1012" s="9">
        <v>262</v>
      </c>
      <c r="F1012" s="25">
        <v>43160</v>
      </c>
      <c r="G1012" s="70" t="s">
        <v>160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1676</v>
      </c>
      <c r="B1013" s="67">
        <v>34470374822</v>
      </c>
      <c r="C1013" s="29" t="s">
        <v>1677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1678</v>
      </c>
      <c r="B1014" s="67">
        <v>40814125883</v>
      </c>
      <c r="C1014" s="72" t="s">
        <v>1679</v>
      </c>
      <c r="D1014" s="69">
        <v>27095684898</v>
      </c>
      <c r="E1014" s="9">
        <v>810</v>
      </c>
      <c r="F1014" s="25">
        <v>42915</v>
      </c>
      <c r="G1014" s="70" t="s">
        <v>160</v>
      </c>
      <c r="H1014" s="9"/>
      <c r="I1014" s="8"/>
      <c r="J1014" s="8"/>
      <c r="K1014" s="8"/>
      <c r="L1014" s="9" t="s">
        <v>279</v>
      </c>
      <c r="M1014" s="8"/>
    </row>
    <row r="1015" spans="1:13" x14ac:dyDescent="0.25">
      <c r="A1015" s="71" t="s">
        <v>1680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1681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160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1682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1683</v>
      </c>
      <c r="B1018" s="67"/>
      <c r="C1018" s="18" t="s">
        <v>270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1684</v>
      </c>
      <c r="B1019" s="67">
        <v>26492754808</v>
      </c>
      <c r="C1019" s="9" t="s">
        <v>270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1685</v>
      </c>
      <c r="B1020" s="67">
        <v>526417595</v>
      </c>
      <c r="C1020" s="72" t="s">
        <v>1686</v>
      </c>
      <c r="D1020" s="69">
        <v>25810630847</v>
      </c>
      <c r="E1020" s="9">
        <v>262</v>
      </c>
      <c r="F1020" s="25">
        <v>43160</v>
      </c>
      <c r="G1020" s="9" t="s">
        <v>160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1687</v>
      </c>
      <c r="B1021" s="67">
        <v>26362064852</v>
      </c>
      <c r="C1021" s="77" t="s">
        <v>1688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440</v>
      </c>
      <c r="M1021" s="8"/>
    </row>
    <row r="1022" spans="1:13" x14ac:dyDescent="0.25">
      <c r="A1022" s="71" t="s">
        <v>1689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160</v>
      </c>
      <c r="H1022" s="9"/>
      <c r="I1022" s="8"/>
      <c r="J1022" s="8"/>
      <c r="K1022" s="8"/>
      <c r="L1022" s="9" t="s">
        <v>301</v>
      </c>
      <c r="M1022" s="8"/>
    </row>
    <row r="1023" spans="1:13" x14ac:dyDescent="0.25">
      <c r="A1023" s="71" t="s">
        <v>1690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160</v>
      </c>
      <c r="H1023" s="9"/>
      <c r="I1023" s="8"/>
      <c r="J1023" s="8"/>
      <c r="K1023" s="8"/>
      <c r="L1023" s="9" t="s">
        <v>279</v>
      </c>
      <c r="M1023" s="8"/>
    </row>
    <row r="1024" spans="1:13" x14ac:dyDescent="0.25">
      <c r="A1024" s="71" t="s">
        <v>1691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1692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1693</v>
      </c>
      <c r="B1026" s="67">
        <v>41791708846</v>
      </c>
      <c r="C1026" s="72" t="s">
        <v>1694</v>
      </c>
      <c r="D1026" s="69">
        <v>41003253806</v>
      </c>
      <c r="E1026" s="9">
        <v>262</v>
      </c>
      <c r="F1026" s="25">
        <v>43160</v>
      </c>
      <c r="G1026" s="70" t="s">
        <v>160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1695</v>
      </c>
      <c r="B1027" s="67"/>
      <c r="C1027" s="29" t="s">
        <v>1696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1697</v>
      </c>
      <c r="B1028" s="67">
        <v>34575373800</v>
      </c>
      <c r="C1028" s="72" t="s">
        <v>1698</v>
      </c>
      <c r="D1028" s="69">
        <v>22427117846</v>
      </c>
      <c r="E1028" s="9">
        <v>1350</v>
      </c>
      <c r="F1028" s="25">
        <v>43006</v>
      </c>
      <c r="G1028" s="70" t="s">
        <v>160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1699</v>
      </c>
      <c r="B1029" s="67">
        <v>79215262334</v>
      </c>
      <c r="C1029" s="72" t="s">
        <v>1700</v>
      </c>
      <c r="D1029" s="69">
        <v>76370372315</v>
      </c>
      <c r="E1029" s="9">
        <v>1451</v>
      </c>
      <c r="F1029" s="25">
        <v>43027</v>
      </c>
      <c r="G1029" s="70" t="s">
        <v>166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1701</v>
      </c>
      <c r="B1030" s="67">
        <v>15208922843</v>
      </c>
      <c r="C1030" s="72" t="s">
        <v>1702</v>
      </c>
      <c r="D1030" s="69">
        <v>34068960810</v>
      </c>
      <c r="E1030" s="9">
        <v>229</v>
      </c>
      <c r="F1030" s="25">
        <v>43151</v>
      </c>
      <c r="G1030" s="70" t="s">
        <v>174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1703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1704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1705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160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1706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440</v>
      </c>
      <c r="M1034" s="8"/>
    </row>
    <row r="1035" spans="1:13" x14ac:dyDescent="0.25">
      <c r="A1035" s="71" t="s">
        <v>1707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1708</v>
      </c>
      <c r="B1036" s="67">
        <v>99570467304</v>
      </c>
      <c r="C1036" s="72" t="s">
        <v>1709</v>
      </c>
      <c r="D1036" s="69">
        <v>7702980877</v>
      </c>
      <c r="E1036" s="9">
        <v>229</v>
      </c>
      <c r="F1036" s="25">
        <v>43151</v>
      </c>
      <c r="G1036" s="70" t="s">
        <v>160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1710</v>
      </c>
      <c r="B1037" s="67">
        <v>18710956549</v>
      </c>
      <c r="C1037" s="72" t="s">
        <v>1711</v>
      </c>
      <c r="D1037" s="69">
        <v>85859141572</v>
      </c>
      <c r="E1037" s="9">
        <v>1417</v>
      </c>
      <c r="F1037" s="25">
        <v>43017</v>
      </c>
      <c r="G1037" s="70" t="s">
        <v>160</v>
      </c>
      <c r="H1037" s="76">
        <v>43213</v>
      </c>
      <c r="I1037" s="8"/>
      <c r="J1037" s="8"/>
      <c r="K1037" s="8"/>
      <c r="L1037" s="9" t="s">
        <v>394</v>
      </c>
      <c r="M1037" s="8"/>
    </row>
    <row r="1038" spans="1:13" x14ac:dyDescent="0.25">
      <c r="A1038" s="71" t="s">
        <v>1712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1713</v>
      </c>
      <c r="B1039" s="67">
        <v>42748662890</v>
      </c>
      <c r="C1039" s="18" t="s">
        <v>1714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1715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160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1716</v>
      </c>
      <c r="B1041" s="67">
        <v>23367537829</v>
      </c>
      <c r="C1041" s="72" t="s">
        <v>1717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1718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160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1719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1720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160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1721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160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1722</v>
      </c>
      <c r="B1046" s="67">
        <v>74603671415</v>
      </c>
      <c r="C1046" s="72" t="s">
        <v>1723</v>
      </c>
      <c r="D1046" s="69">
        <v>28040569885</v>
      </c>
      <c r="E1046" s="9">
        <v>1267</v>
      </c>
      <c r="F1046" s="25">
        <v>42998</v>
      </c>
      <c r="G1046" s="70" t="s">
        <v>166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1724</v>
      </c>
      <c r="B1047" s="67">
        <v>41590060865</v>
      </c>
      <c r="C1047" s="72" t="s">
        <v>1725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1726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160</v>
      </c>
      <c r="H1048" s="9"/>
      <c r="I1048" s="8"/>
      <c r="J1048" s="8"/>
      <c r="K1048" s="8"/>
      <c r="L1048" s="9" t="s">
        <v>279</v>
      </c>
      <c r="M1048" s="8"/>
    </row>
    <row r="1049" spans="1:13" x14ac:dyDescent="0.25">
      <c r="A1049" s="13" t="s">
        <v>1727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160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1728</v>
      </c>
      <c r="B1050" s="67">
        <v>35741867898</v>
      </c>
      <c r="C1050" s="72" t="s">
        <v>1729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1730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1731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1732</v>
      </c>
      <c r="B1053" s="67">
        <v>27928359820</v>
      </c>
      <c r="C1053" s="72" t="s">
        <v>1733</v>
      </c>
      <c r="D1053" s="69">
        <v>61803766468</v>
      </c>
      <c r="E1053" s="9">
        <v>810</v>
      </c>
      <c r="F1053" s="25">
        <v>42915</v>
      </c>
      <c r="G1053" s="70" t="s">
        <v>160</v>
      </c>
      <c r="H1053" s="9"/>
      <c r="I1053" s="8"/>
      <c r="J1053" s="8"/>
      <c r="K1053" s="8"/>
      <c r="L1053" s="9" t="s">
        <v>279</v>
      </c>
      <c r="M1053" s="8"/>
    </row>
    <row r="1054" spans="1:13" x14ac:dyDescent="0.25">
      <c r="A1054" s="71" t="s">
        <v>1734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160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1735</v>
      </c>
      <c r="B1055" s="67">
        <v>59431920506</v>
      </c>
      <c r="C1055" s="18" t="s">
        <v>270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1736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160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1737</v>
      </c>
      <c r="B1057" s="67" t="s">
        <v>1738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1739</v>
      </c>
      <c r="B1058" s="67">
        <v>34366747880</v>
      </c>
      <c r="C1058" s="77" t="s">
        <v>1740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440</v>
      </c>
      <c r="M1058" s="8"/>
    </row>
    <row r="1059" spans="1:13" x14ac:dyDescent="0.25">
      <c r="A1059" s="71" t="s">
        <v>1741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160</v>
      </c>
      <c r="H1059" s="9"/>
      <c r="I1059" s="8"/>
      <c r="J1059" s="8"/>
      <c r="K1059" s="8"/>
      <c r="L1059" s="9" t="s">
        <v>301</v>
      </c>
      <c r="M1059" s="8"/>
    </row>
    <row r="1060" spans="1:13" x14ac:dyDescent="0.25">
      <c r="A1060" s="14" t="s">
        <v>1742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160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1743</v>
      </c>
      <c r="B1061" s="67">
        <v>19580560811</v>
      </c>
      <c r="C1061" s="68" t="s">
        <v>1744</v>
      </c>
      <c r="D1061" s="69">
        <v>28925414848</v>
      </c>
      <c r="E1061" s="9">
        <v>1359</v>
      </c>
      <c r="F1061" s="25">
        <v>43006</v>
      </c>
      <c r="G1061" s="70" t="s">
        <v>166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1745</v>
      </c>
      <c r="B1062" s="67">
        <v>34230472838</v>
      </c>
      <c r="C1062" s="9" t="s">
        <v>270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1746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1747</v>
      </c>
      <c r="B1064" s="67">
        <v>42398811883</v>
      </c>
      <c r="C1064" s="72" t="s">
        <v>1748</v>
      </c>
      <c r="D1064" s="69">
        <v>33876650836</v>
      </c>
      <c r="E1064" s="9">
        <v>117</v>
      </c>
      <c r="F1064" s="25">
        <v>43117</v>
      </c>
      <c r="G1064" s="70" t="s">
        <v>166</v>
      </c>
      <c r="H1064" s="9"/>
      <c r="I1064" s="8"/>
      <c r="J1064" s="8"/>
      <c r="K1064" s="8"/>
      <c r="L1064" s="9" t="s">
        <v>311</v>
      </c>
      <c r="M1064" s="8"/>
    </row>
    <row r="1065" spans="1:13" x14ac:dyDescent="0.25">
      <c r="A1065" s="13" t="s">
        <v>1749</v>
      </c>
      <c r="B1065" s="67">
        <v>3876363829</v>
      </c>
      <c r="C1065" s="72" t="s">
        <v>1750</v>
      </c>
      <c r="D1065" s="69">
        <v>9491364847</v>
      </c>
      <c r="E1065" s="9">
        <v>1359</v>
      </c>
      <c r="F1065" s="25">
        <v>43006</v>
      </c>
      <c r="G1065" s="70" t="s">
        <v>160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1751</v>
      </c>
      <c r="B1066" s="67">
        <v>27340044884</v>
      </c>
      <c r="C1066" s="72" t="s">
        <v>1752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1753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1754</v>
      </c>
      <c r="B1068" s="67">
        <v>38422303892</v>
      </c>
      <c r="C1068" s="72" t="s">
        <v>1755</v>
      </c>
      <c r="D1068" s="69">
        <v>33753889857</v>
      </c>
      <c r="E1068" s="9">
        <v>608</v>
      </c>
      <c r="F1068" s="25">
        <v>43012</v>
      </c>
      <c r="G1068" s="70" t="s">
        <v>160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1756</v>
      </c>
      <c r="B1069" s="67">
        <v>36171676837</v>
      </c>
      <c r="C1069" s="68" t="s">
        <v>1757</v>
      </c>
      <c r="D1069" s="69">
        <v>1470162580</v>
      </c>
      <c r="E1069" s="9">
        <v>1128</v>
      </c>
      <c r="F1069" s="25">
        <v>42972</v>
      </c>
      <c r="G1069" s="70" t="s">
        <v>160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1758</v>
      </c>
      <c r="B1070" s="67">
        <v>42047014859</v>
      </c>
      <c r="C1070" s="72" t="s">
        <v>1759</v>
      </c>
      <c r="D1070" s="69">
        <v>9300065424</v>
      </c>
      <c r="E1070" s="9">
        <v>1417</v>
      </c>
      <c r="F1070" s="25">
        <v>43017</v>
      </c>
      <c r="G1070" s="70" t="s">
        <v>166</v>
      </c>
      <c r="H1070" s="9"/>
      <c r="I1070" s="8"/>
      <c r="J1070" s="8"/>
      <c r="K1070" s="8"/>
      <c r="L1070" s="9" t="s">
        <v>394</v>
      </c>
      <c r="M1070" s="8"/>
    </row>
    <row r="1071" spans="1:13" x14ac:dyDescent="0.25">
      <c r="A1071" s="29" t="s">
        <v>1760</v>
      </c>
      <c r="B1071" s="67">
        <v>34822545830</v>
      </c>
      <c r="C1071" s="18" t="s">
        <v>270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1761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1762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160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1763</v>
      </c>
      <c r="B1074" s="67">
        <v>1737249308</v>
      </c>
      <c r="C1074" s="72" t="s">
        <v>1764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1765</v>
      </c>
      <c r="B1075" s="67">
        <v>3844142576</v>
      </c>
      <c r="C1075" s="72" t="s">
        <v>1766</v>
      </c>
      <c r="D1075" s="69">
        <v>35502503801</v>
      </c>
      <c r="E1075" s="9">
        <v>810</v>
      </c>
      <c r="F1075" s="25">
        <v>42915</v>
      </c>
      <c r="G1075" s="70" t="s">
        <v>160</v>
      </c>
      <c r="H1075" s="9"/>
      <c r="I1075" s="8"/>
      <c r="J1075" s="8"/>
      <c r="K1075" s="8"/>
      <c r="L1075" s="9" t="s">
        <v>279</v>
      </c>
      <c r="M1075" s="8"/>
    </row>
    <row r="1076" spans="1:13" x14ac:dyDescent="0.25">
      <c r="A1076" s="71" t="s">
        <v>1767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1768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160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1769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1770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160</v>
      </c>
      <c r="H1079" s="9"/>
      <c r="I1079" s="8"/>
      <c r="J1079" s="8"/>
      <c r="K1079" s="8"/>
      <c r="L1079" s="9" t="s">
        <v>311</v>
      </c>
      <c r="M1079" s="8"/>
    </row>
    <row r="1080" spans="1:13" x14ac:dyDescent="0.25">
      <c r="A1080" s="18" t="s">
        <v>1771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1772</v>
      </c>
      <c r="B1081" s="67">
        <v>44410556843</v>
      </c>
      <c r="C1081" s="72" t="s">
        <v>1773</v>
      </c>
      <c r="D1081" s="69">
        <v>39436457898</v>
      </c>
      <c r="E1081" s="9">
        <v>262</v>
      </c>
      <c r="F1081" s="25">
        <v>43160</v>
      </c>
      <c r="G1081" s="70" t="s">
        <v>160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1774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160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1775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1776</v>
      </c>
      <c r="B1084" s="67">
        <v>7838810884</v>
      </c>
      <c r="C1084" s="72" t="s">
        <v>1777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1778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160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1779</v>
      </c>
      <c r="B1086" s="67">
        <v>18239878857</v>
      </c>
      <c r="C1086" s="72" t="s">
        <v>1780</v>
      </c>
      <c r="D1086" s="69">
        <v>18871709870</v>
      </c>
      <c r="E1086" s="9">
        <v>85</v>
      </c>
      <c r="F1086" s="25">
        <v>43109</v>
      </c>
      <c r="G1086" s="70" t="s">
        <v>160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1781</v>
      </c>
      <c r="B1087" s="67">
        <v>33213821802</v>
      </c>
      <c r="C1087" s="18" t="s">
        <v>270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1782</v>
      </c>
      <c r="B1088" s="67">
        <v>39075719833</v>
      </c>
      <c r="C1088" s="72" t="s">
        <v>1783</v>
      </c>
      <c r="D1088" s="69">
        <v>29754975809</v>
      </c>
      <c r="E1088" s="9">
        <v>810</v>
      </c>
      <c r="F1088" s="25">
        <v>42915</v>
      </c>
      <c r="G1088" s="70" t="s">
        <v>166</v>
      </c>
      <c r="H1088" s="9"/>
      <c r="I1088" s="8"/>
      <c r="J1088" s="8"/>
      <c r="K1088" s="8"/>
      <c r="L1088" s="9" t="s">
        <v>279</v>
      </c>
      <c r="M1088" s="8"/>
    </row>
    <row r="1089" spans="1:13" x14ac:dyDescent="0.25">
      <c r="A1089" s="71" t="s">
        <v>1784</v>
      </c>
      <c r="B1089" s="67">
        <v>22599824842</v>
      </c>
      <c r="C1089" s="73" t="s">
        <v>1785</v>
      </c>
      <c r="D1089" s="69" t="s">
        <v>1786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1787</v>
      </c>
      <c r="B1090" s="67">
        <v>41719739889</v>
      </c>
      <c r="C1090" s="72" t="s">
        <v>1788</v>
      </c>
      <c r="D1090" s="69">
        <v>35883252800</v>
      </c>
      <c r="E1090" s="9">
        <v>1752</v>
      </c>
      <c r="F1090" s="25">
        <v>43051</v>
      </c>
      <c r="G1090" s="70" t="s">
        <v>160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1789</v>
      </c>
      <c r="B1091" s="67">
        <v>31524778800</v>
      </c>
      <c r="C1091" s="72" t="s">
        <v>1790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1791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1792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1793</v>
      </c>
      <c r="B1094" s="67">
        <v>6614830376</v>
      </c>
      <c r="C1094" s="72" t="s">
        <v>1794</v>
      </c>
      <c r="D1094" s="69">
        <v>6372277352</v>
      </c>
      <c r="E1094" s="9">
        <v>229</v>
      </c>
      <c r="F1094" s="25">
        <v>43151</v>
      </c>
      <c r="G1094" s="70" t="s">
        <v>160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1795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1796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160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1797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1798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160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1799</v>
      </c>
      <c r="B1099" s="67">
        <v>23047254818</v>
      </c>
      <c r="C1099" s="18" t="s">
        <v>270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1800</v>
      </c>
      <c r="B1100" s="69">
        <v>15755371504</v>
      </c>
      <c r="C1100" s="71" t="s">
        <v>1801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1802</v>
      </c>
      <c r="B1101" s="67"/>
      <c r="C1101" s="29" t="s">
        <v>270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1803</v>
      </c>
      <c r="B1102" s="67">
        <v>37975016845</v>
      </c>
      <c r="C1102" s="72" t="s">
        <v>1804</v>
      </c>
      <c r="D1102" s="69">
        <v>31274964865</v>
      </c>
      <c r="E1102" s="9">
        <v>810</v>
      </c>
      <c r="F1102" s="25">
        <v>42915</v>
      </c>
      <c r="G1102" s="70" t="s">
        <v>160</v>
      </c>
      <c r="H1102" s="9"/>
      <c r="I1102" s="8"/>
      <c r="J1102" s="8"/>
      <c r="K1102" s="8"/>
      <c r="L1102" s="9" t="s">
        <v>279</v>
      </c>
      <c r="M1102" s="8"/>
    </row>
    <row r="1103" spans="1:13" x14ac:dyDescent="0.25">
      <c r="A1103" s="71" t="s">
        <v>1805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1806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1807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160</v>
      </c>
      <c r="H1105" s="9"/>
      <c r="I1105" s="8"/>
      <c r="J1105" s="8"/>
      <c r="K1105" s="8"/>
      <c r="L1105" s="9" t="s">
        <v>311</v>
      </c>
      <c r="M1105" s="8"/>
    </row>
    <row r="1106" spans="1:13" x14ac:dyDescent="0.25">
      <c r="A1106" s="14" t="s">
        <v>1808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160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1809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1810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160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1811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1812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1813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160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1814</v>
      </c>
      <c r="B1112" s="67"/>
      <c r="C1112" s="29" t="s">
        <v>1815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1816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1817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1818</v>
      </c>
      <c r="B1115" s="67">
        <v>31228148899</v>
      </c>
      <c r="C1115" s="18" t="s">
        <v>1819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1820</v>
      </c>
      <c r="B1116" s="67">
        <v>28077309810</v>
      </c>
      <c r="C1116" s="72" t="s">
        <v>1821</v>
      </c>
      <c r="D1116" s="69">
        <v>62568370530</v>
      </c>
      <c r="E1116" s="9">
        <v>229</v>
      </c>
      <c r="F1116" s="25">
        <v>43151</v>
      </c>
      <c r="G1116" s="70" t="s">
        <v>160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1822</v>
      </c>
      <c r="B1117" s="67">
        <v>43681754845</v>
      </c>
      <c r="C1117" s="72" t="s">
        <v>1823</v>
      </c>
      <c r="D1117" s="69">
        <v>51120226805</v>
      </c>
      <c r="E1117" s="9">
        <v>1555</v>
      </c>
      <c r="F1117" s="25">
        <v>43049</v>
      </c>
      <c r="G1117" s="70" t="s">
        <v>160</v>
      </c>
      <c r="H1117" s="9"/>
      <c r="I1117" s="8"/>
      <c r="J1117" s="8"/>
      <c r="K1117" s="8"/>
      <c r="L1117" s="9" t="s">
        <v>539</v>
      </c>
      <c r="M1117" s="8"/>
    </row>
    <row r="1118" spans="1:13" x14ac:dyDescent="0.25">
      <c r="A1118" s="29" t="s">
        <v>1824</v>
      </c>
      <c r="B1118" s="67"/>
      <c r="C1118" s="29" t="s">
        <v>1825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1826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1827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160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1828</v>
      </c>
      <c r="B1121" s="67">
        <v>44708151870</v>
      </c>
      <c r="C1121" s="88" t="s">
        <v>1829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1830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1831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1832</v>
      </c>
      <c r="B1124" s="67">
        <v>8368671817</v>
      </c>
      <c r="C1124" s="72" t="s">
        <v>1833</v>
      </c>
      <c r="D1124" s="69">
        <v>19184424877</v>
      </c>
      <c r="E1124" s="9">
        <v>292</v>
      </c>
      <c r="F1124" s="25">
        <v>43168</v>
      </c>
      <c r="G1124" s="70" t="s">
        <v>160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1834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160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1835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160</v>
      </c>
      <c r="H1126" s="9"/>
      <c r="I1126" s="8"/>
      <c r="J1126" s="8"/>
      <c r="K1126" s="8"/>
      <c r="L1126" s="9" t="s">
        <v>279</v>
      </c>
      <c r="M1126" s="8"/>
    </row>
    <row r="1127" spans="1:13" x14ac:dyDescent="0.25">
      <c r="A1127" s="18" t="s">
        <v>1836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1837</v>
      </c>
      <c r="B1128" s="67">
        <v>45127604825</v>
      </c>
      <c r="C1128" s="72" t="s">
        <v>1838</v>
      </c>
      <c r="D1128" s="69" t="s">
        <v>1839</v>
      </c>
      <c r="E1128" s="9">
        <v>229</v>
      </c>
      <c r="F1128" s="25">
        <v>43151</v>
      </c>
      <c r="G1128" s="70" t="s">
        <v>174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1840</v>
      </c>
      <c r="B1129" s="67">
        <v>42987674856</v>
      </c>
      <c r="C1129" s="72" t="s">
        <v>1841</v>
      </c>
      <c r="D1129" s="69">
        <v>38745840890</v>
      </c>
      <c r="E1129" s="9">
        <v>85</v>
      </c>
      <c r="F1129" s="25">
        <v>43109</v>
      </c>
      <c r="G1129" s="70" t="s">
        <v>160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1842</v>
      </c>
      <c r="B1130" s="67">
        <v>36406558855</v>
      </c>
      <c r="C1130" s="72" t="s">
        <v>1843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1844</v>
      </c>
      <c r="B1131" s="67">
        <v>22758320843</v>
      </c>
      <c r="C1131" s="72" t="s">
        <v>1845</v>
      </c>
      <c r="D1131" s="69">
        <v>14229403810</v>
      </c>
      <c r="E1131" s="9">
        <v>1752</v>
      </c>
      <c r="F1131" s="25">
        <v>43051</v>
      </c>
      <c r="G1131" s="70" t="s">
        <v>160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1846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1847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160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1848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160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1849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160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1850</v>
      </c>
      <c r="B1136" s="67">
        <v>32518683810</v>
      </c>
      <c r="C1136" s="72" t="s">
        <v>1851</v>
      </c>
      <c r="D1136" s="69">
        <v>32570919829</v>
      </c>
      <c r="E1136" s="9">
        <v>262</v>
      </c>
      <c r="F1136" s="25">
        <v>43160</v>
      </c>
      <c r="G1136" s="70" t="s">
        <v>166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1852</v>
      </c>
      <c r="B1137" s="67">
        <v>35723911805</v>
      </c>
      <c r="C1137" s="18" t="s">
        <v>270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1853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160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1854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160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1855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160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1856</v>
      </c>
      <c r="B1141" s="67">
        <v>9527670667</v>
      </c>
      <c r="C1141" s="18" t="s">
        <v>1857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1858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160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1859</v>
      </c>
      <c r="B1143" s="80">
        <v>15404916842</v>
      </c>
      <c r="C1143" s="81" t="s">
        <v>1860</v>
      </c>
      <c r="D1143" s="82">
        <v>26437120487</v>
      </c>
      <c r="E1143" s="47">
        <v>1752</v>
      </c>
      <c r="F1143" s="48">
        <v>43051</v>
      </c>
      <c r="G1143" s="83" t="s">
        <v>174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1861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160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1862</v>
      </c>
      <c r="B1145" s="67">
        <v>16618981816</v>
      </c>
      <c r="C1145" s="77" t="s">
        <v>1863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1864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160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1865</v>
      </c>
      <c r="B1147" s="67">
        <v>14396561857</v>
      </c>
      <c r="C1147" s="72" t="s">
        <v>1866</v>
      </c>
      <c r="D1147" s="69">
        <v>26877955854</v>
      </c>
      <c r="E1147" s="9">
        <v>1350</v>
      </c>
      <c r="F1147" s="25">
        <v>43006</v>
      </c>
      <c r="G1147" s="70" t="s">
        <v>160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1867</v>
      </c>
      <c r="B1148" s="67">
        <v>89014774591</v>
      </c>
      <c r="C1148" s="72" t="s">
        <v>1868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1869</v>
      </c>
      <c r="B1149" s="67">
        <v>36708561883</v>
      </c>
      <c r="C1149" s="72" t="s">
        <v>1870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1871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160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1872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160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1873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160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1874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1875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1876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160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1877</v>
      </c>
      <c r="B1156" s="67">
        <v>35706404852</v>
      </c>
      <c r="C1156" s="72"/>
      <c r="D1156" s="69"/>
      <c r="E1156" s="9">
        <v>117</v>
      </c>
      <c r="F1156" s="25"/>
      <c r="G1156" s="70" t="s">
        <v>174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1878</v>
      </c>
      <c r="B1157" s="67">
        <v>2044062348</v>
      </c>
      <c r="C1157" s="72" t="s">
        <v>1879</v>
      </c>
      <c r="D1157" s="69">
        <v>61505005353</v>
      </c>
      <c r="E1157" s="9">
        <v>1214</v>
      </c>
      <c r="F1157" s="25">
        <v>42989</v>
      </c>
      <c r="G1157" s="70" t="s">
        <v>160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1880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160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1881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1882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160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1883</v>
      </c>
      <c r="B1161" s="67">
        <v>11126789801</v>
      </c>
      <c r="C1161" s="72" t="s">
        <v>1884</v>
      </c>
      <c r="D1161" s="69">
        <v>13442330823</v>
      </c>
      <c r="E1161" s="9">
        <v>85</v>
      </c>
      <c r="F1161" s="25">
        <v>43109</v>
      </c>
      <c r="G1161" s="70" t="s">
        <v>160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1885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160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1886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160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1887</v>
      </c>
      <c r="B1164" s="67">
        <v>42134258861</v>
      </c>
      <c r="C1164" s="72" t="s">
        <v>1888</v>
      </c>
      <c r="D1164" s="69">
        <v>36485490817</v>
      </c>
      <c r="E1164" s="9">
        <v>262</v>
      </c>
      <c r="F1164" s="25">
        <v>43160</v>
      </c>
      <c r="G1164" s="9" t="s">
        <v>160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1889</v>
      </c>
      <c r="B1165" s="67">
        <v>1772681318</v>
      </c>
      <c r="C1165" s="72" t="s">
        <v>1890</v>
      </c>
      <c r="D1165" s="69">
        <v>88109810306</v>
      </c>
      <c r="E1165" s="9">
        <v>85</v>
      </c>
      <c r="F1165" s="25">
        <v>43109</v>
      </c>
      <c r="G1165" s="70" t="s">
        <v>160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1891</v>
      </c>
      <c r="B1166" s="67">
        <v>88244881291</v>
      </c>
      <c r="C1166" s="72" t="s">
        <v>1892</v>
      </c>
      <c r="D1166" s="69">
        <v>71885609272</v>
      </c>
      <c r="E1166" s="9">
        <v>292</v>
      </c>
      <c r="F1166" s="25">
        <v>43168</v>
      </c>
      <c r="G1166" s="9" t="s">
        <v>160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1893</v>
      </c>
      <c r="B1167" s="67">
        <v>33535539838</v>
      </c>
      <c r="C1167" s="72" t="s">
        <v>1894</v>
      </c>
      <c r="D1167" s="69">
        <v>19438586830</v>
      </c>
      <c r="E1167" s="9">
        <v>85</v>
      </c>
      <c r="F1167" s="25">
        <v>43109</v>
      </c>
      <c r="G1167" s="70" t="s">
        <v>160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1895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160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1896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160</v>
      </c>
      <c r="H1169" s="9"/>
      <c r="I1169" s="8"/>
      <c r="J1169" s="8"/>
      <c r="K1169" s="8"/>
      <c r="L1169" s="9" t="s">
        <v>311</v>
      </c>
      <c r="M1169" s="8"/>
    </row>
    <row r="1170" spans="1:13" x14ac:dyDescent="0.25">
      <c r="A1170" s="71" t="s">
        <v>1897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1898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160</v>
      </c>
      <c r="H1171" s="9"/>
      <c r="I1171" s="8"/>
      <c r="J1171" s="8"/>
      <c r="K1171" s="8"/>
      <c r="L1171" s="9" t="s">
        <v>279</v>
      </c>
      <c r="M1171" s="8"/>
    </row>
    <row r="1172" spans="1:13" x14ac:dyDescent="0.25">
      <c r="A1172" s="71" t="s">
        <v>1899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160</v>
      </c>
      <c r="H1172" s="9"/>
      <c r="I1172" s="8"/>
      <c r="J1172" s="8"/>
      <c r="K1172" s="8"/>
      <c r="L1172" s="9" t="s">
        <v>539</v>
      </c>
      <c r="M1172" s="8"/>
    </row>
    <row r="1173" spans="1:13" x14ac:dyDescent="0.25">
      <c r="A1173" s="72" t="s">
        <v>1900</v>
      </c>
      <c r="B1173" s="67">
        <v>42160981850</v>
      </c>
      <c r="C1173" s="72" t="s">
        <v>1901</v>
      </c>
      <c r="D1173" s="69">
        <v>40077808894</v>
      </c>
      <c r="E1173" s="9">
        <v>608</v>
      </c>
      <c r="F1173" s="25">
        <v>43012</v>
      </c>
      <c r="G1173" s="70" t="s">
        <v>160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1902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166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1903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1904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440</v>
      </c>
      <c r="M1176" s="8"/>
    </row>
    <row r="1177" spans="1:13" x14ac:dyDescent="0.25">
      <c r="A1177" s="29" t="s">
        <v>1905</v>
      </c>
      <c r="B1177" s="67"/>
      <c r="C1177" s="29" t="s">
        <v>1906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1907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1908</v>
      </c>
      <c r="B1179" s="67">
        <v>11754585469</v>
      </c>
      <c r="C1179" s="77" t="s">
        <v>1909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440</v>
      </c>
      <c r="M1179" s="8"/>
    </row>
    <row r="1180" spans="1:13" x14ac:dyDescent="0.25">
      <c r="A1180" s="29" t="s">
        <v>1910</v>
      </c>
      <c r="B1180" s="67">
        <v>7621874503</v>
      </c>
      <c r="C1180" s="29" t="s">
        <v>1911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1912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160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1913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160</v>
      </c>
      <c r="H1182" s="9"/>
      <c r="I1182" s="8"/>
      <c r="J1182" s="8"/>
      <c r="K1182" s="8"/>
      <c r="L1182" s="9" t="s">
        <v>539</v>
      </c>
      <c r="M1182" s="8"/>
    </row>
    <row r="1183" spans="1:13" x14ac:dyDescent="0.25">
      <c r="A1183" s="29" t="s">
        <v>1914</v>
      </c>
      <c r="B1183" s="67">
        <v>29913700841</v>
      </c>
      <c r="C1183" s="18" t="s">
        <v>270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1915</v>
      </c>
      <c r="B1184" s="67">
        <v>28907743843</v>
      </c>
      <c r="C1184" s="29" t="s">
        <v>1916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1917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160</v>
      </c>
      <c r="H1185" s="9"/>
      <c r="I1185" s="8"/>
      <c r="J1185" s="8"/>
      <c r="K1185" s="8"/>
      <c r="L1185" s="9" t="s">
        <v>279</v>
      </c>
      <c r="M1185" s="8"/>
    </row>
    <row r="1186" spans="1:13" x14ac:dyDescent="0.25">
      <c r="A1186" s="29" t="s">
        <v>1918</v>
      </c>
      <c r="B1186" s="67"/>
      <c r="C1186" s="18" t="s">
        <v>270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1919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160</v>
      </c>
      <c r="H1187" s="9"/>
      <c r="I1187" s="8"/>
      <c r="J1187" s="8"/>
      <c r="K1187" s="8"/>
      <c r="L1187" s="9" t="s">
        <v>279</v>
      </c>
      <c r="M1187" s="8"/>
    </row>
    <row r="1188" spans="1:13" x14ac:dyDescent="0.25">
      <c r="A1188" s="73" t="s">
        <v>1920</v>
      </c>
      <c r="B1188" s="67">
        <v>1198397500</v>
      </c>
      <c r="C1188" s="72" t="s">
        <v>1921</v>
      </c>
      <c r="D1188" s="69">
        <v>87142503572</v>
      </c>
      <c r="E1188" s="9">
        <v>810</v>
      </c>
      <c r="F1188" s="25">
        <v>42915</v>
      </c>
      <c r="G1188" s="70" t="s">
        <v>160</v>
      </c>
      <c r="H1188" s="9"/>
      <c r="I1188" s="8"/>
      <c r="J1188" s="8"/>
      <c r="K1188" s="8"/>
      <c r="L1188" s="9" t="s">
        <v>279</v>
      </c>
      <c r="M1188" s="8"/>
    </row>
    <row r="1189" spans="1:13" x14ac:dyDescent="0.25">
      <c r="A1189" s="29" t="s">
        <v>1922</v>
      </c>
      <c r="B1189" s="67">
        <v>17487364852</v>
      </c>
      <c r="C1189" s="29" t="s">
        <v>1923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1924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160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1925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1926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1927</v>
      </c>
      <c r="B1193" s="67">
        <v>32993187805</v>
      </c>
      <c r="C1193" s="72" t="s">
        <v>1928</v>
      </c>
      <c r="D1193" s="69">
        <v>2605272460</v>
      </c>
      <c r="E1193" s="9">
        <v>1439</v>
      </c>
      <c r="F1193" s="25">
        <v>43025</v>
      </c>
      <c r="G1193" s="70" t="s">
        <v>160</v>
      </c>
      <c r="H1193" s="9"/>
      <c r="I1193" s="8"/>
      <c r="J1193" s="8"/>
      <c r="K1193" s="8"/>
      <c r="L1193" s="9" t="s">
        <v>643</v>
      </c>
      <c r="M1193" s="8"/>
    </row>
    <row r="1194" spans="1:13" x14ac:dyDescent="0.25">
      <c r="A1194" s="71" t="s">
        <v>1929</v>
      </c>
      <c r="B1194" s="67">
        <v>33182368885</v>
      </c>
      <c r="C1194" s="77" t="s">
        <v>1930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1931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160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1932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160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1933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160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1934</v>
      </c>
      <c r="B1198" s="67">
        <v>32557609846</v>
      </c>
      <c r="C1198" s="72" t="s">
        <v>1935</v>
      </c>
      <c r="D1198" s="69">
        <v>19150806904</v>
      </c>
      <c r="E1198" s="9">
        <v>1241</v>
      </c>
      <c r="F1198" s="25">
        <v>42992</v>
      </c>
      <c r="G1198" s="70" t="s">
        <v>160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1936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160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1937</v>
      </c>
      <c r="B1200" s="67">
        <v>38236980871</v>
      </c>
      <c r="C1200" s="72" t="s">
        <v>1938</v>
      </c>
      <c r="D1200" s="69">
        <v>5177834360</v>
      </c>
      <c r="E1200" s="9">
        <v>262</v>
      </c>
      <c r="F1200" s="25">
        <v>43160</v>
      </c>
      <c r="G1200" s="70" t="s">
        <v>160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1939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160</v>
      </c>
      <c r="H1201" s="9"/>
      <c r="I1201" s="8"/>
      <c r="J1201" s="8"/>
      <c r="K1201" s="8"/>
      <c r="L1201" s="9" t="s">
        <v>279</v>
      </c>
      <c r="M1201" s="8"/>
    </row>
    <row r="1202" spans="1:13" x14ac:dyDescent="0.25">
      <c r="A1202" s="72" t="s">
        <v>1940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1941</v>
      </c>
      <c r="B1203" s="67">
        <v>177446102</v>
      </c>
      <c r="C1203" s="72" t="s">
        <v>1942</v>
      </c>
      <c r="D1203" s="69">
        <v>31301235806</v>
      </c>
      <c r="E1203" s="9">
        <v>229</v>
      </c>
      <c r="F1203" s="25">
        <v>43151</v>
      </c>
      <c r="G1203" s="70" t="s">
        <v>160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1943</v>
      </c>
      <c r="B1204" s="67"/>
      <c r="C1204" s="29" t="s">
        <v>270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1944</v>
      </c>
      <c r="B1205" s="67">
        <v>22394984805</v>
      </c>
      <c r="C1205" s="72" t="s">
        <v>1945</v>
      </c>
      <c r="D1205" s="69">
        <v>29161087858</v>
      </c>
      <c r="E1205" s="9">
        <v>1106</v>
      </c>
      <c r="F1205" s="25">
        <v>42965</v>
      </c>
      <c r="G1205" s="70" t="s">
        <v>160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1946</v>
      </c>
      <c r="B1206" s="67">
        <v>22495577806</v>
      </c>
      <c r="C1206" s="72" t="s">
        <v>1947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1948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1949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1950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160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1951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1952</v>
      </c>
      <c r="B1211" s="67">
        <v>37304527897</v>
      </c>
      <c r="C1211" s="72" t="s">
        <v>1953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1954</v>
      </c>
      <c r="B1212" s="67">
        <v>11328067807</v>
      </c>
      <c r="C1212" s="72" t="s">
        <v>1955</v>
      </c>
      <c r="D1212" s="69">
        <v>60769793800</v>
      </c>
      <c r="E1212" s="9">
        <v>262</v>
      </c>
      <c r="F1212" s="25">
        <v>43160</v>
      </c>
      <c r="G1212" s="70" t="s">
        <v>160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1956</v>
      </c>
      <c r="B1213" s="67">
        <v>4007781575</v>
      </c>
      <c r="C1213" s="72" t="s">
        <v>1957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1958</v>
      </c>
      <c r="B1214" s="67">
        <v>38448111842</v>
      </c>
      <c r="C1214" s="72" t="s">
        <v>1959</v>
      </c>
      <c r="D1214" s="69">
        <v>38350911824</v>
      </c>
      <c r="E1214" s="9"/>
      <c r="F1214" s="25"/>
      <c r="G1214" s="70" t="s">
        <v>160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1960</v>
      </c>
      <c r="B1215" s="67"/>
      <c r="C1215" s="18" t="s">
        <v>270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1961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160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1962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160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1963</v>
      </c>
      <c r="B1218" s="67">
        <v>29040829802</v>
      </c>
      <c r="C1218" s="68" t="s">
        <v>1964</v>
      </c>
      <c r="D1218" s="69">
        <v>17804755864</v>
      </c>
      <c r="E1218" s="9">
        <v>1128</v>
      </c>
      <c r="F1218" s="25">
        <v>42972</v>
      </c>
      <c r="G1218" s="70" t="s">
        <v>160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1965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1966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160</v>
      </c>
      <c r="H1220" s="9"/>
      <c r="I1220" s="8"/>
      <c r="J1220" s="8"/>
      <c r="K1220" s="8"/>
      <c r="L1220" s="9" t="s">
        <v>394</v>
      </c>
      <c r="M1220" s="8"/>
    </row>
    <row r="1221" spans="1:13" x14ac:dyDescent="0.25">
      <c r="A1221" s="14" t="s">
        <v>1967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1968</v>
      </c>
      <c r="B1222" s="67">
        <v>22614376841</v>
      </c>
      <c r="C1222" s="18" t="s">
        <v>270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1969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1970</v>
      </c>
      <c r="B1224" s="67">
        <v>95023003515</v>
      </c>
      <c r="C1224" s="72" t="s">
        <v>1971</v>
      </c>
      <c r="D1224" s="69">
        <v>2283584507</v>
      </c>
      <c r="E1224" s="9">
        <v>117</v>
      </c>
      <c r="F1224" s="25">
        <v>43117</v>
      </c>
      <c r="G1224" s="70" t="s">
        <v>160</v>
      </c>
      <c r="H1224" s="9"/>
      <c r="I1224" s="8"/>
      <c r="J1224" s="8"/>
      <c r="K1224" s="8"/>
      <c r="L1224" s="9" t="s">
        <v>311</v>
      </c>
      <c r="M1224" s="8"/>
    </row>
    <row r="1225" spans="1:13" x14ac:dyDescent="0.25">
      <c r="A1225" s="15" t="s">
        <v>1972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160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1973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1974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160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1975</v>
      </c>
      <c r="B1228" s="67">
        <v>40584610807</v>
      </c>
      <c r="C1228" s="72" t="s">
        <v>1976</v>
      </c>
      <c r="D1228" s="69">
        <v>29182543801</v>
      </c>
      <c r="E1228" s="9">
        <v>810</v>
      </c>
      <c r="F1228" s="25">
        <v>42915</v>
      </c>
      <c r="G1228" s="70" t="s">
        <v>160</v>
      </c>
      <c r="H1228" s="9"/>
      <c r="I1228" s="8"/>
      <c r="J1228" s="8"/>
      <c r="K1228" s="8"/>
      <c r="L1228" s="9" t="s">
        <v>279</v>
      </c>
      <c r="M1228" s="8"/>
    </row>
    <row r="1229" spans="1:13" x14ac:dyDescent="0.25">
      <c r="A1229" s="71" t="s">
        <v>1977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160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1978</v>
      </c>
      <c r="B1230" s="67">
        <v>2330650590</v>
      </c>
      <c r="C1230" s="18" t="s">
        <v>533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1979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440</v>
      </c>
      <c r="M1231" s="8"/>
    </row>
    <row r="1232" spans="1:13" x14ac:dyDescent="0.25">
      <c r="A1232" s="71" t="s">
        <v>1980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160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1981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1982</v>
      </c>
      <c r="B1234" s="67">
        <v>35116318826</v>
      </c>
      <c r="C1234" s="72" t="s">
        <v>1983</v>
      </c>
      <c r="D1234" s="69">
        <v>22432837860</v>
      </c>
      <c r="E1234" s="9">
        <v>1824</v>
      </c>
      <c r="F1234" s="25">
        <v>43091</v>
      </c>
      <c r="G1234" s="70" t="s">
        <v>160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1984</v>
      </c>
      <c r="B1235" s="67">
        <v>40048912808</v>
      </c>
      <c r="C1235" s="72" t="s">
        <v>1985</v>
      </c>
      <c r="D1235" s="69">
        <v>43519054841</v>
      </c>
      <c r="E1235" s="9">
        <v>262</v>
      </c>
      <c r="F1235" s="25">
        <v>43160</v>
      </c>
      <c r="G1235" s="70" t="s">
        <v>160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1986</v>
      </c>
      <c r="B1236" s="67">
        <v>26016197831</v>
      </c>
      <c r="C1236" s="15" t="s">
        <v>1987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1988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160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1989</v>
      </c>
      <c r="B1238" s="67">
        <v>40121535878</v>
      </c>
      <c r="C1238" s="72" t="s">
        <v>1990</v>
      </c>
      <c r="D1238" s="69">
        <v>33343601802</v>
      </c>
      <c r="E1238" s="9">
        <v>292</v>
      </c>
      <c r="F1238" s="25">
        <v>43168</v>
      </c>
      <c r="G1238" s="70" t="s">
        <v>160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1991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160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1992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160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1993</v>
      </c>
      <c r="B1241" s="67">
        <v>31029975892</v>
      </c>
      <c r="C1241" s="72" t="s">
        <v>1994</v>
      </c>
      <c r="D1241" s="69">
        <v>36873004472</v>
      </c>
      <c r="E1241" s="9">
        <v>1106</v>
      </c>
      <c r="F1241" s="25">
        <v>42965</v>
      </c>
      <c r="G1241" s="9" t="s">
        <v>160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1995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160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1996</v>
      </c>
      <c r="B1243" s="67">
        <v>36051592814</v>
      </c>
      <c r="C1243" s="72" t="s">
        <v>1997</v>
      </c>
      <c r="D1243" s="69">
        <v>13109522847</v>
      </c>
      <c r="E1243" s="9">
        <v>810</v>
      </c>
      <c r="F1243" s="25">
        <v>42915</v>
      </c>
      <c r="G1243" s="70" t="s">
        <v>160</v>
      </c>
      <c r="H1243" s="9"/>
      <c r="I1243" s="8"/>
      <c r="J1243" s="8"/>
      <c r="K1243" s="8"/>
      <c r="L1243" s="9" t="s">
        <v>279</v>
      </c>
      <c r="M1243" s="8"/>
    </row>
    <row r="1244" spans="1:13" x14ac:dyDescent="0.25">
      <c r="A1244" s="71" t="s">
        <v>1998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1999</v>
      </c>
      <c r="B1245" s="67">
        <v>28142782820</v>
      </c>
      <c r="C1245" s="18" t="s">
        <v>2000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2001</v>
      </c>
      <c r="B1246" s="67">
        <v>30088939880</v>
      </c>
      <c r="C1246" s="72" t="s">
        <v>2002</v>
      </c>
      <c r="D1246" s="69">
        <v>2051861579</v>
      </c>
      <c r="E1246" s="9">
        <v>292</v>
      </c>
      <c r="F1246" s="25">
        <v>43168</v>
      </c>
      <c r="G1246" s="9" t="s">
        <v>160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2003</v>
      </c>
      <c r="B1247" s="67">
        <v>11525085476</v>
      </c>
      <c r="C1247" s="72" t="s">
        <v>2004</v>
      </c>
      <c r="D1247" s="69">
        <v>9293576473</v>
      </c>
      <c r="E1247" s="9">
        <v>262</v>
      </c>
      <c r="F1247" s="25">
        <v>43160</v>
      </c>
      <c r="G1247" s="70" t="s">
        <v>160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2005</v>
      </c>
      <c r="B1248" s="67"/>
      <c r="C1248" s="29" t="s">
        <v>2006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2007</v>
      </c>
      <c r="B1249" s="67">
        <v>31265129843</v>
      </c>
      <c r="C1249" s="68" t="s">
        <v>2008</v>
      </c>
      <c r="D1249" s="69">
        <v>2078435546</v>
      </c>
      <c r="E1249" s="9">
        <v>1241</v>
      </c>
      <c r="F1249" s="25">
        <v>42992</v>
      </c>
      <c r="G1249" s="70" t="s">
        <v>160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2009</v>
      </c>
      <c r="B1250" s="67">
        <v>22524200817</v>
      </c>
      <c r="C1250" s="72" t="s">
        <v>2010</v>
      </c>
      <c r="D1250" s="69">
        <v>22961531861</v>
      </c>
      <c r="E1250" s="9">
        <v>229</v>
      </c>
      <c r="F1250" s="25">
        <v>43151</v>
      </c>
      <c r="G1250" s="70" t="s">
        <v>166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2011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160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2012</v>
      </c>
      <c r="B1252" s="67">
        <v>29736807860</v>
      </c>
      <c r="C1252" s="72" t="s">
        <v>2013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2014</v>
      </c>
      <c r="B1253" s="67">
        <v>4890860398</v>
      </c>
      <c r="C1253" s="72" t="s">
        <v>2015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2016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160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2017</v>
      </c>
      <c r="B1255" s="67">
        <v>35336343889</v>
      </c>
      <c r="C1255" s="18" t="s">
        <v>2018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2019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440</v>
      </c>
      <c r="M1256" s="8"/>
    </row>
    <row r="1257" spans="1:13" x14ac:dyDescent="0.25">
      <c r="A1257" s="14" t="s">
        <v>2020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2021</v>
      </c>
      <c r="B1258" s="67">
        <v>39107511809</v>
      </c>
      <c r="C1258" s="72" t="s">
        <v>2022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2023</v>
      </c>
      <c r="B1259" s="67">
        <v>6652314584</v>
      </c>
      <c r="C1259" s="72" t="s">
        <v>2024</v>
      </c>
      <c r="D1259" s="69">
        <v>4945754500</v>
      </c>
      <c r="E1259" s="9">
        <v>85</v>
      </c>
      <c r="F1259" s="25">
        <v>43109</v>
      </c>
      <c r="G1259" s="70" t="s">
        <v>166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2025</v>
      </c>
      <c r="B1260" s="67">
        <v>43135974847</v>
      </c>
      <c r="C1260" s="73" t="s">
        <v>2026</v>
      </c>
      <c r="D1260" s="69" t="s">
        <v>2027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440</v>
      </c>
      <c r="M1260" s="8"/>
    </row>
    <row r="1261" spans="1:13" x14ac:dyDescent="0.25">
      <c r="A1261" s="13" t="s">
        <v>2028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160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2029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440</v>
      </c>
      <c r="M1262" s="8"/>
    </row>
    <row r="1263" spans="1:13" x14ac:dyDescent="0.25">
      <c r="A1263" s="14" t="s">
        <v>2030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160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2031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2032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166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2033</v>
      </c>
      <c r="B1266" s="67">
        <v>1748350943</v>
      </c>
      <c r="C1266" s="72" t="s">
        <v>2034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2035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2036</v>
      </c>
      <c r="B1268" s="67">
        <v>23502610851</v>
      </c>
      <c r="C1268" s="73" t="s">
        <v>2037</v>
      </c>
      <c r="D1268" s="69" t="s">
        <v>2038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2039</v>
      </c>
      <c r="B1269" s="67">
        <v>48857598896</v>
      </c>
      <c r="C1269" s="72" t="s">
        <v>2040</v>
      </c>
      <c r="D1269" s="69">
        <v>36223394896</v>
      </c>
      <c r="E1269" s="9">
        <v>262</v>
      </c>
      <c r="F1269" s="25">
        <v>43160</v>
      </c>
      <c r="G1269" s="46" t="s">
        <v>166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2041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2042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2043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160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2044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440</v>
      </c>
      <c r="M1273" s="8"/>
    </row>
    <row r="1274" spans="1:13" x14ac:dyDescent="0.25">
      <c r="A1274" s="71" t="s">
        <v>2045</v>
      </c>
      <c r="B1274" s="78" t="s">
        <v>2046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2047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160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2048</v>
      </c>
      <c r="B1276" s="67">
        <v>16354483876</v>
      </c>
      <c r="C1276" s="68" t="s">
        <v>2049</v>
      </c>
      <c r="D1276" s="69">
        <v>2853992845</v>
      </c>
      <c r="E1276" s="9">
        <v>1267</v>
      </c>
      <c r="F1276" s="25">
        <v>42998</v>
      </c>
      <c r="G1276" s="70" t="s">
        <v>160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2050</v>
      </c>
      <c r="B1277" s="67">
        <v>40753885816</v>
      </c>
      <c r="C1277" s="72" t="s">
        <v>2051</v>
      </c>
      <c r="D1277" s="69">
        <v>35877507850</v>
      </c>
      <c r="E1277" s="9">
        <v>85</v>
      </c>
      <c r="F1277" s="25">
        <v>43109</v>
      </c>
      <c r="G1277" s="70" t="s">
        <v>160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2052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160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2053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160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2054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2055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160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2056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2057</v>
      </c>
      <c r="B1283" s="67">
        <v>44632196800</v>
      </c>
      <c r="C1283" s="72" t="s">
        <v>2058</v>
      </c>
      <c r="D1283" s="69">
        <v>38901506831</v>
      </c>
      <c r="E1283" s="9">
        <v>1359</v>
      </c>
      <c r="F1283" s="25">
        <v>43006</v>
      </c>
      <c r="G1283" s="9" t="s">
        <v>160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2059</v>
      </c>
      <c r="B1284" s="67"/>
      <c r="C1284" s="18" t="s">
        <v>2060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2061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160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2062</v>
      </c>
      <c r="B1286" s="67">
        <v>7354753505</v>
      </c>
      <c r="C1286" s="72" t="s">
        <v>2063</v>
      </c>
      <c r="D1286" s="69">
        <v>26646541876</v>
      </c>
      <c r="E1286" s="9">
        <v>117</v>
      </c>
      <c r="F1286" s="25">
        <v>43117</v>
      </c>
      <c r="G1286" s="70" t="s">
        <v>160</v>
      </c>
      <c r="H1286" s="9"/>
      <c r="I1286" s="8"/>
      <c r="J1286" s="8"/>
      <c r="K1286" s="8"/>
      <c r="L1286" s="9" t="s">
        <v>311</v>
      </c>
      <c r="M1286" s="8"/>
    </row>
    <row r="1287" spans="1:13" x14ac:dyDescent="0.25">
      <c r="A1287" s="71" t="s">
        <v>2064</v>
      </c>
      <c r="B1287" s="67">
        <v>45378515890</v>
      </c>
      <c r="C1287" s="72" t="s">
        <v>2065</v>
      </c>
      <c r="D1287" s="69">
        <v>35635754520</v>
      </c>
      <c r="E1287" s="9">
        <v>1752</v>
      </c>
      <c r="F1287" s="25">
        <v>43051</v>
      </c>
      <c r="G1287" s="70" t="s">
        <v>160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2066</v>
      </c>
      <c r="B1288" s="67">
        <v>41274505844</v>
      </c>
      <c r="C1288" s="18" t="s">
        <v>2067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2068</v>
      </c>
      <c r="B1289" s="67">
        <v>46583836831</v>
      </c>
      <c r="C1289" s="72" t="s">
        <v>2069</v>
      </c>
      <c r="D1289" s="69">
        <v>39199167867</v>
      </c>
      <c r="E1289" s="9">
        <v>292</v>
      </c>
      <c r="F1289" s="25">
        <v>43168</v>
      </c>
      <c r="G1289" s="9" t="s">
        <v>160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2070</v>
      </c>
      <c r="B1290" s="67"/>
      <c r="C1290" s="29" t="s">
        <v>2071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2072</v>
      </c>
      <c r="B1291" s="67">
        <v>37483362847</v>
      </c>
      <c r="C1291" s="29" t="s">
        <v>2073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2074</v>
      </c>
      <c r="B1292" s="67">
        <v>43663899837</v>
      </c>
      <c r="C1292" s="18" t="s">
        <v>2075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2076</v>
      </c>
      <c r="B1293" s="67">
        <v>39203446850</v>
      </c>
      <c r="C1293" s="72" t="s">
        <v>2077</v>
      </c>
      <c r="D1293" s="69">
        <v>39255518836</v>
      </c>
      <c r="E1293" s="9">
        <v>292</v>
      </c>
      <c r="F1293" s="25">
        <v>43168</v>
      </c>
      <c r="G1293" s="70" t="s">
        <v>160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2078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2079</v>
      </c>
      <c r="B1295" s="67">
        <v>45722318850</v>
      </c>
      <c r="C1295" s="72" t="s">
        <v>2080</v>
      </c>
      <c r="D1295" s="69">
        <v>61122102313</v>
      </c>
      <c r="E1295" s="9">
        <v>229</v>
      </c>
      <c r="F1295" s="25">
        <v>43151</v>
      </c>
      <c r="G1295" s="70" t="s">
        <v>160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2081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160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2082</v>
      </c>
      <c r="B1297" s="67">
        <v>47697684861</v>
      </c>
      <c r="C1297" s="72" t="s">
        <v>2083</v>
      </c>
      <c r="D1297" s="69">
        <v>42642601838</v>
      </c>
      <c r="E1297" s="9">
        <v>229</v>
      </c>
      <c r="F1297" s="25">
        <v>43151</v>
      </c>
      <c r="G1297" s="70" t="s">
        <v>160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2084</v>
      </c>
      <c r="B1298" s="67">
        <v>97503479515</v>
      </c>
      <c r="C1298" s="15" t="s">
        <v>2085</v>
      </c>
      <c r="D1298" s="69">
        <v>28269015830</v>
      </c>
      <c r="E1298" s="9">
        <v>262</v>
      </c>
      <c r="F1298" s="25">
        <v>43160</v>
      </c>
      <c r="G1298" s="70" t="s">
        <v>160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2086</v>
      </c>
      <c r="B1299" s="67">
        <v>84327510491</v>
      </c>
      <c r="C1299" s="72" t="s">
        <v>2087</v>
      </c>
      <c r="D1299" s="69">
        <v>17305875856</v>
      </c>
      <c r="E1299" s="9">
        <v>292</v>
      </c>
      <c r="F1299" s="25">
        <v>43168</v>
      </c>
      <c r="G1299" s="70" t="s">
        <v>160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2088</v>
      </c>
      <c r="B1300" s="67">
        <v>24870791854</v>
      </c>
      <c r="C1300" s="68" t="s">
        <v>2089</v>
      </c>
      <c r="D1300" s="69">
        <v>4398744835</v>
      </c>
      <c r="E1300" s="9">
        <v>1128</v>
      </c>
      <c r="F1300" s="25">
        <v>42972</v>
      </c>
      <c r="G1300" s="70" t="s">
        <v>160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2090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160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2091</v>
      </c>
      <c r="B1302" s="67"/>
      <c r="C1302" s="18" t="s">
        <v>270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2092</v>
      </c>
      <c r="B1303" s="67">
        <v>25533246851</v>
      </c>
      <c r="C1303" s="72" t="s">
        <v>2093</v>
      </c>
      <c r="D1303" s="69">
        <v>2336832836</v>
      </c>
      <c r="E1303" s="9">
        <v>810</v>
      </c>
      <c r="F1303" s="25">
        <v>42915</v>
      </c>
      <c r="G1303" s="70" t="s">
        <v>160</v>
      </c>
      <c r="H1303" s="9"/>
      <c r="I1303" s="8"/>
      <c r="J1303" s="8"/>
      <c r="K1303" s="8"/>
      <c r="L1303" s="9" t="s">
        <v>279</v>
      </c>
      <c r="M1303" s="8"/>
    </row>
    <row r="1304" spans="1:13" x14ac:dyDescent="0.25">
      <c r="A1304" s="71" t="s">
        <v>2094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160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2095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2096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2097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2098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2099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2100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2101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160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2102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160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2103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2104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2105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160</v>
      </c>
      <c r="H1315" s="9"/>
      <c r="I1315" s="8"/>
      <c r="J1315" s="8"/>
      <c r="K1315" s="8"/>
      <c r="L1315" s="9" t="s">
        <v>394</v>
      </c>
      <c r="M1315" s="8"/>
    </row>
    <row r="1316" spans="1:13" x14ac:dyDescent="0.25">
      <c r="A1316" s="71" t="s">
        <v>2106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160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2107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2108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160</v>
      </c>
      <c r="H1318" s="9"/>
      <c r="I1318" s="8"/>
      <c r="J1318" s="8"/>
      <c r="K1318" s="8"/>
      <c r="L1318" s="9" t="s">
        <v>643</v>
      </c>
      <c r="M1318" s="8"/>
    </row>
    <row r="1319" spans="1:13" x14ac:dyDescent="0.25">
      <c r="A1319" s="15" t="s">
        <v>2109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2110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2111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160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2112</v>
      </c>
      <c r="B1322" s="67">
        <v>10519320921</v>
      </c>
      <c r="C1322" s="77" t="s">
        <v>2113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2114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160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2115</v>
      </c>
      <c r="B1324" s="67"/>
      <c r="C1324" s="18" t="s">
        <v>270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2116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2117</v>
      </c>
      <c r="B1326" s="67"/>
      <c r="C1326" s="29" t="s">
        <v>270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2118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160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2119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2120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160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2121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2122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160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2123</v>
      </c>
      <c r="B1332" s="67">
        <v>27211072830</v>
      </c>
      <c r="C1332" s="72" t="s">
        <v>2124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2125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2126</v>
      </c>
      <c r="B1334" s="67">
        <v>35197770880</v>
      </c>
      <c r="C1334" s="72" t="s">
        <v>2127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2128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2129</v>
      </c>
      <c r="B1336" s="67">
        <v>35236970857</v>
      </c>
      <c r="C1336" s="68" t="s">
        <v>2130</v>
      </c>
      <c r="D1336" s="69">
        <v>41901199894</v>
      </c>
      <c r="E1336" s="9">
        <v>1417</v>
      </c>
      <c r="F1336" s="25">
        <v>43017</v>
      </c>
      <c r="G1336" s="70" t="s">
        <v>160</v>
      </c>
      <c r="H1336" s="76">
        <v>43213</v>
      </c>
      <c r="I1336" s="8"/>
      <c r="J1336" s="8"/>
      <c r="K1336" s="8"/>
      <c r="L1336" s="9" t="s">
        <v>394</v>
      </c>
      <c r="M1336" s="8"/>
    </row>
    <row r="1337" spans="1:13" x14ac:dyDescent="0.25">
      <c r="A1337" s="71" t="s">
        <v>2131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160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2132</v>
      </c>
      <c r="B1338" s="67"/>
      <c r="C1338" s="29" t="s">
        <v>270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2133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160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2134</v>
      </c>
      <c r="B1340" s="67">
        <v>5263835850</v>
      </c>
      <c r="C1340" s="72" t="s">
        <v>2135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2136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160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2137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160</v>
      </c>
      <c r="H1342" s="76">
        <v>43213</v>
      </c>
      <c r="I1342" s="8"/>
      <c r="J1342" s="8"/>
      <c r="K1342" s="8"/>
      <c r="L1342" s="9" t="s">
        <v>311</v>
      </c>
      <c r="M1342" s="8"/>
    </row>
    <row r="1343" spans="1:13" x14ac:dyDescent="0.25">
      <c r="A1343" s="29" t="s">
        <v>2138</v>
      </c>
      <c r="B1343" s="67">
        <v>31148209808</v>
      </c>
      <c r="C1343" s="18" t="s">
        <v>270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2139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2140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160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2141</v>
      </c>
      <c r="B1346" s="67">
        <v>85794398507</v>
      </c>
      <c r="C1346" s="72" t="s">
        <v>2142</v>
      </c>
      <c r="D1346" s="69">
        <v>59689188534</v>
      </c>
      <c r="E1346" s="9">
        <v>292</v>
      </c>
      <c r="F1346" s="25">
        <v>43168</v>
      </c>
      <c r="G1346" s="70" t="s">
        <v>160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2143</v>
      </c>
      <c r="B1347" s="67">
        <v>2770765442</v>
      </c>
      <c r="C1347" s="72" t="s">
        <v>2144</v>
      </c>
      <c r="D1347" s="69">
        <v>24730161866</v>
      </c>
      <c r="E1347" s="9">
        <v>229</v>
      </c>
      <c r="F1347" s="25">
        <v>43151</v>
      </c>
      <c r="G1347" s="70" t="s">
        <v>160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2145</v>
      </c>
      <c r="B1348" s="67">
        <v>1295044838</v>
      </c>
      <c r="C1348" s="72" t="s">
        <v>2146</v>
      </c>
      <c r="D1348" s="69">
        <v>29976206860</v>
      </c>
      <c r="E1348" s="9">
        <v>485</v>
      </c>
      <c r="F1348" s="25">
        <v>43196</v>
      </c>
      <c r="G1348" s="70" t="s">
        <v>166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2147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160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2148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2149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2150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160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2151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160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2152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2153</v>
      </c>
      <c r="B1355" s="67">
        <v>75678772520</v>
      </c>
      <c r="C1355" s="72" t="s">
        <v>2154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2155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2156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2157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160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2158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160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2159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160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2160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160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2161</v>
      </c>
      <c r="B1362" s="67"/>
      <c r="C1362" s="18" t="s">
        <v>270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2162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2163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2164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160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2165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160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2166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2167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160</v>
      </c>
      <c r="H1368" s="9"/>
      <c r="I1368" s="8"/>
      <c r="J1368" s="8"/>
      <c r="K1368" s="8"/>
      <c r="L1368" s="9" t="s">
        <v>311</v>
      </c>
      <c r="M1368" s="8"/>
    </row>
    <row r="1369" spans="1:13" x14ac:dyDescent="0.25">
      <c r="A1369" s="29" t="s">
        <v>2168</v>
      </c>
      <c r="B1369" s="67"/>
      <c r="C1369" s="29" t="s">
        <v>270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2169</v>
      </c>
      <c r="B1370" s="67">
        <v>87915170520</v>
      </c>
      <c r="C1370" s="72" t="s">
        <v>2170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2171</v>
      </c>
      <c r="B1371" s="67">
        <v>30693970855</v>
      </c>
      <c r="C1371" s="72" t="s">
        <v>2172</v>
      </c>
      <c r="D1371" s="69">
        <v>6402681610</v>
      </c>
      <c r="E1371" s="9">
        <v>608</v>
      </c>
      <c r="F1371" s="25">
        <v>43012</v>
      </c>
      <c r="G1371" s="70" t="s">
        <v>166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2173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2174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2175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2176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160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2177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160</v>
      </c>
      <c r="H1376" s="9"/>
      <c r="I1376" s="8"/>
      <c r="J1376" s="8"/>
      <c r="K1376" s="8"/>
      <c r="L1376" s="9" t="s">
        <v>279</v>
      </c>
      <c r="M1376" s="8"/>
    </row>
    <row r="1377" spans="1:13" x14ac:dyDescent="0.25">
      <c r="A1377" s="71" t="s">
        <v>2178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160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2179</v>
      </c>
      <c r="B1378" s="78" t="s">
        <v>2180</v>
      </c>
      <c r="C1378" s="72"/>
      <c r="D1378" s="69"/>
      <c r="E1378" s="9">
        <v>292</v>
      </c>
      <c r="F1378" s="25">
        <v>43168</v>
      </c>
      <c r="G1378" s="9" t="s">
        <v>160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2181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2182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160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2183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160</v>
      </c>
      <c r="H1381" s="9"/>
      <c r="I1381" s="8"/>
      <c r="J1381" s="8"/>
      <c r="K1381" s="8"/>
      <c r="L1381" s="9" t="s">
        <v>539</v>
      </c>
      <c r="M1381" s="8"/>
    </row>
    <row r="1382" spans="1:13" x14ac:dyDescent="0.25">
      <c r="A1382" s="71" t="s">
        <v>2184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2185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2186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160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2187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160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2188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160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2189</v>
      </c>
      <c r="B1387" s="67">
        <v>5753509894</v>
      </c>
      <c r="C1387" s="9" t="s">
        <v>270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2190</v>
      </c>
      <c r="B1388" s="67"/>
      <c r="C1388" s="18" t="s">
        <v>2191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2192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2193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160</v>
      </c>
      <c r="H1390" s="9"/>
      <c r="I1390" s="8"/>
      <c r="J1390" s="8"/>
      <c r="K1390" s="8"/>
      <c r="L1390" s="9" t="s">
        <v>279</v>
      </c>
      <c r="M1390" s="8"/>
    </row>
    <row r="1391" spans="1:13" x14ac:dyDescent="0.25">
      <c r="A1391" s="71" t="s">
        <v>2194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160</v>
      </c>
      <c r="H1391" s="9"/>
      <c r="I1391" s="8"/>
      <c r="J1391" s="8"/>
      <c r="K1391" s="8"/>
      <c r="L1391" s="9" t="s">
        <v>279</v>
      </c>
      <c r="M1391" s="8"/>
    </row>
    <row r="1392" spans="1:13" x14ac:dyDescent="0.25">
      <c r="A1392" s="13" t="s">
        <v>2195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160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2196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166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2197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2198</v>
      </c>
      <c r="B1395" s="67">
        <v>61260606449</v>
      </c>
      <c r="C1395" s="72" t="s">
        <v>2199</v>
      </c>
      <c r="D1395" s="69">
        <v>73505854468</v>
      </c>
      <c r="E1395" s="9">
        <v>608</v>
      </c>
      <c r="F1395" s="25">
        <v>43012</v>
      </c>
      <c r="G1395" s="70" t="s">
        <v>160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2200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160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2201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2202</v>
      </c>
      <c r="B1398" s="67">
        <v>68516274853</v>
      </c>
      <c r="C1398" s="18" t="s">
        <v>270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2203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160</v>
      </c>
      <c r="H1399" s="9"/>
      <c r="I1399" s="8"/>
      <c r="J1399" s="8"/>
      <c r="K1399" s="8"/>
      <c r="L1399" s="9" t="s">
        <v>301</v>
      </c>
      <c r="M1399" s="8"/>
    </row>
    <row r="1400" spans="1:13" x14ac:dyDescent="0.25">
      <c r="A1400" s="15" t="s">
        <v>2204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160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2205</v>
      </c>
      <c r="B1401" s="67">
        <v>85576492820</v>
      </c>
      <c r="C1401" s="72" t="s">
        <v>2206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2207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2208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160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2209</v>
      </c>
      <c r="B1404" s="67">
        <v>27903916882</v>
      </c>
      <c r="C1404" s="32" t="s">
        <v>2210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2211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160</v>
      </c>
      <c r="H1405" s="9"/>
      <c r="I1405" s="8"/>
      <c r="J1405" s="8"/>
      <c r="K1405" s="8"/>
      <c r="L1405" s="9" t="s">
        <v>301</v>
      </c>
      <c r="M1405" s="8"/>
    </row>
    <row r="1406" spans="1:13" x14ac:dyDescent="0.25">
      <c r="A1406" s="71" t="s">
        <v>2212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166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2213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160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2214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160</v>
      </c>
      <c r="H1408" s="9"/>
      <c r="I1408" s="8"/>
      <c r="J1408" s="8"/>
      <c r="K1408" s="8"/>
      <c r="L1408" s="9" t="s">
        <v>279</v>
      </c>
      <c r="M1408" s="8"/>
    </row>
    <row r="1409" spans="1:13" x14ac:dyDescent="0.25">
      <c r="A1409" s="15" t="s">
        <v>2215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160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2216</v>
      </c>
      <c r="B1410" s="67">
        <v>754731863</v>
      </c>
      <c r="C1410" s="72" t="s">
        <v>2217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2218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160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2219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160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2220</v>
      </c>
      <c r="B1413" s="67" t="s">
        <v>2221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2222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160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2223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160</v>
      </c>
      <c r="H1415" s="9"/>
      <c r="I1415" s="8"/>
      <c r="J1415" s="8"/>
      <c r="K1415" s="8"/>
      <c r="L1415" s="9" t="s">
        <v>279</v>
      </c>
      <c r="M1415" s="8"/>
    </row>
    <row r="1416" spans="1:13" x14ac:dyDescent="0.25">
      <c r="A1416" s="71" t="s">
        <v>2224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160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2225</v>
      </c>
      <c r="B1417" s="67">
        <v>32045988880</v>
      </c>
      <c r="C1417" s="72" t="s">
        <v>2226</v>
      </c>
      <c r="D1417" s="69">
        <v>28522432880</v>
      </c>
      <c r="E1417" s="9">
        <v>85</v>
      </c>
      <c r="F1417" s="25">
        <v>43109</v>
      </c>
      <c r="G1417" s="70" t="s">
        <v>160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2227</v>
      </c>
      <c r="B1418" s="67">
        <v>14692639806</v>
      </c>
      <c r="C1418" s="18" t="s">
        <v>270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2228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2229</v>
      </c>
      <c r="B1420" s="67">
        <v>25745713801</v>
      </c>
      <c r="C1420" s="29" t="s">
        <v>2230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2231</v>
      </c>
      <c r="B1421" s="67">
        <v>10373973802</v>
      </c>
      <c r="C1421" s="72" t="s">
        <v>2232</v>
      </c>
      <c r="D1421" s="69">
        <v>3613530813</v>
      </c>
      <c r="E1421" s="9">
        <v>1752</v>
      </c>
      <c r="F1421" s="25">
        <v>43051</v>
      </c>
      <c r="G1421" s="70" t="s">
        <v>160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2233</v>
      </c>
      <c r="B1422" s="67">
        <v>25397304859</v>
      </c>
      <c r="C1422" s="29" t="s">
        <v>2234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2235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2236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160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2237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2238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2239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160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2240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160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2241</v>
      </c>
      <c r="B1429" s="67">
        <v>31115215833</v>
      </c>
      <c r="C1429" s="72" t="s">
        <v>2242</v>
      </c>
      <c r="D1429" s="69">
        <v>54134781515</v>
      </c>
      <c r="E1429" s="9">
        <v>608</v>
      </c>
      <c r="F1429" s="25">
        <v>43012</v>
      </c>
      <c r="G1429" s="70" t="s">
        <v>160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2243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160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2244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160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2245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160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2246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160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2247</v>
      </c>
      <c r="B1434" s="67">
        <v>35198444863</v>
      </c>
      <c r="C1434" s="72" t="s">
        <v>2248</v>
      </c>
      <c r="D1434" s="69">
        <v>30956969810</v>
      </c>
      <c r="E1434" s="9">
        <v>1489</v>
      </c>
      <c r="F1434" s="25">
        <v>43038</v>
      </c>
      <c r="G1434" s="70" t="s">
        <v>160</v>
      </c>
      <c r="H1434" s="9"/>
      <c r="I1434" s="8"/>
      <c r="J1434" s="8"/>
      <c r="K1434" s="8"/>
      <c r="L1434" s="9" t="s">
        <v>301</v>
      </c>
      <c r="M1434" s="8"/>
    </row>
    <row r="1435" spans="1:13" x14ac:dyDescent="0.25">
      <c r="A1435" s="72" t="s">
        <v>2249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2250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160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2251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160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2252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160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2253</v>
      </c>
      <c r="B1439" s="67">
        <v>1930099517</v>
      </c>
      <c r="C1439" s="68" t="s">
        <v>2254</v>
      </c>
      <c r="D1439" s="69">
        <v>91788226534</v>
      </c>
      <c r="E1439" s="9">
        <v>1752</v>
      </c>
      <c r="F1439" s="25">
        <v>43051</v>
      </c>
      <c r="G1439" s="70" t="s">
        <v>160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2255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2256</v>
      </c>
      <c r="B1441" s="67">
        <v>31068143819</v>
      </c>
      <c r="C1441" s="72" t="s">
        <v>2257</v>
      </c>
      <c r="D1441" s="69">
        <v>27121002809</v>
      </c>
      <c r="E1441" s="9">
        <v>608</v>
      </c>
      <c r="F1441" s="25">
        <v>43012</v>
      </c>
      <c r="G1441" s="70" t="s">
        <v>166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2258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160</v>
      </c>
      <c r="H1442" s="9"/>
      <c r="I1442" s="8"/>
      <c r="J1442" s="8"/>
      <c r="K1442" s="8"/>
      <c r="L1442" s="9" t="s">
        <v>643</v>
      </c>
      <c r="M1442" s="8"/>
    </row>
    <row r="1443" spans="1:13" x14ac:dyDescent="0.25">
      <c r="A1443" s="15" t="s">
        <v>2259</v>
      </c>
      <c r="B1443" s="67">
        <v>33100600800</v>
      </c>
      <c r="C1443" s="72" t="s">
        <v>2260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2261</v>
      </c>
      <c r="B1444" s="67">
        <v>23284980865</v>
      </c>
      <c r="C1444" s="72" t="s">
        <v>2262</v>
      </c>
      <c r="D1444" s="69">
        <v>8170993792</v>
      </c>
      <c r="E1444" s="9">
        <v>1214</v>
      </c>
      <c r="F1444" s="25">
        <v>42989</v>
      </c>
      <c r="G1444" s="70" t="s">
        <v>160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2263</v>
      </c>
      <c r="B1445" s="67">
        <v>27235231874</v>
      </c>
      <c r="C1445" s="72" t="s">
        <v>2264</v>
      </c>
      <c r="D1445" s="69">
        <v>36182133520</v>
      </c>
      <c r="E1445" s="9">
        <v>1106</v>
      </c>
      <c r="F1445" s="25">
        <v>42965</v>
      </c>
      <c r="G1445" s="70" t="s">
        <v>160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2265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2266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160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2267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2268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2269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2270</v>
      </c>
      <c r="B1451" s="67">
        <v>774242809</v>
      </c>
      <c r="C1451" s="72" t="s">
        <v>2271</v>
      </c>
      <c r="D1451" s="69">
        <v>16619607829</v>
      </c>
      <c r="E1451" s="9">
        <v>1824</v>
      </c>
      <c r="F1451" s="25">
        <v>43091</v>
      </c>
      <c r="G1451" s="70" t="s">
        <v>160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2272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160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2273</v>
      </c>
      <c r="B1453" s="67">
        <v>34817829850</v>
      </c>
      <c r="C1453" s="72" t="s">
        <v>2274</v>
      </c>
      <c r="D1453" s="69">
        <v>8025534863</v>
      </c>
      <c r="E1453" s="9">
        <v>1241</v>
      </c>
      <c r="F1453" s="25">
        <v>42992</v>
      </c>
      <c r="G1453" s="70" t="s">
        <v>174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2275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2276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160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2277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160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2278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440</v>
      </c>
      <c r="M1457" s="8"/>
    </row>
    <row r="1458" spans="1:13" x14ac:dyDescent="0.25">
      <c r="A1458" s="14" t="s">
        <v>2279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160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2280</v>
      </c>
      <c r="B1459" s="67">
        <v>32547457873</v>
      </c>
      <c r="C1459" s="72" t="s">
        <v>2281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2282</v>
      </c>
      <c r="B1460" s="67">
        <v>16784597800</v>
      </c>
      <c r="C1460" s="72" t="s">
        <v>2283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1330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2284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160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2285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2286</v>
      </c>
      <c r="B1464" s="67">
        <v>2467378403</v>
      </c>
      <c r="C1464" s="72" t="s">
        <v>2287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2288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2289</v>
      </c>
      <c r="B1466" s="67">
        <v>34247512862</v>
      </c>
      <c r="C1466" s="77" t="s">
        <v>2290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440</v>
      </c>
      <c r="M1466" s="8"/>
    </row>
    <row r="1467" spans="1:13" x14ac:dyDescent="0.25">
      <c r="A1467" s="71" t="s">
        <v>2291</v>
      </c>
      <c r="B1467" s="67" t="s">
        <v>2292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2293</v>
      </c>
      <c r="B1468" s="67">
        <v>47168211889</v>
      </c>
      <c r="C1468" s="72" t="s">
        <v>2294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2295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160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2296</v>
      </c>
      <c r="B1470" s="67">
        <v>1532239521</v>
      </c>
      <c r="C1470" s="72" t="s">
        <v>2297</v>
      </c>
      <c r="D1470" s="69">
        <v>37104060804</v>
      </c>
      <c r="E1470" s="9">
        <v>810</v>
      </c>
      <c r="F1470" s="25">
        <v>42915</v>
      </c>
      <c r="G1470" s="70" t="s">
        <v>160</v>
      </c>
      <c r="H1470" s="9"/>
      <c r="I1470" s="8"/>
      <c r="J1470" s="8"/>
      <c r="K1470" s="8"/>
      <c r="L1470" s="9" t="s">
        <v>279</v>
      </c>
      <c r="M1470" s="8"/>
    </row>
    <row r="1471" spans="1:13" x14ac:dyDescent="0.25">
      <c r="A1471" s="15" t="s">
        <v>2298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160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2299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160</v>
      </c>
      <c r="H1472" s="9"/>
      <c r="I1472" s="8"/>
      <c r="J1472" s="8"/>
      <c r="K1472" s="8"/>
      <c r="L1472" s="9" t="s">
        <v>279</v>
      </c>
      <c r="M1472" s="8"/>
    </row>
    <row r="1473" spans="1:13" x14ac:dyDescent="0.25">
      <c r="A1473" s="71" t="s">
        <v>2300</v>
      </c>
      <c r="B1473" s="67">
        <v>37117512881</v>
      </c>
      <c r="C1473" s="75" t="s">
        <v>2301</v>
      </c>
      <c r="D1473" s="69">
        <v>39740259871</v>
      </c>
      <c r="E1473" s="9">
        <v>1106</v>
      </c>
      <c r="F1473" s="25">
        <v>42965</v>
      </c>
      <c r="G1473" s="70" t="s">
        <v>160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2302</v>
      </c>
      <c r="B1474" s="67">
        <v>39967942827</v>
      </c>
      <c r="C1474" s="72" t="s">
        <v>2303</v>
      </c>
      <c r="D1474" s="69">
        <v>32777947848</v>
      </c>
      <c r="E1474" s="9">
        <v>1267</v>
      </c>
      <c r="F1474" s="25">
        <v>42998</v>
      </c>
      <c r="G1474" s="70" t="s">
        <v>160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2304</v>
      </c>
      <c r="B1475" s="67">
        <v>18464307802</v>
      </c>
      <c r="C1475" s="72" t="s">
        <v>2305</v>
      </c>
      <c r="D1475" s="69">
        <v>13642437842</v>
      </c>
      <c r="E1475" s="9">
        <v>608</v>
      </c>
      <c r="F1475" s="25">
        <v>43012</v>
      </c>
      <c r="G1475" s="70" t="s">
        <v>166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2306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160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2307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160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2308</v>
      </c>
      <c r="B1478" s="67">
        <v>91413168515</v>
      </c>
      <c r="C1478" s="72" t="s">
        <v>2309</v>
      </c>
      <c r="D1478" s="69">
        <v>12713438861</v>
      </c>
      <c r="E1478" s="9">
        <v>810</v>
      </c>
      <c r="F1478" s="25">
        <v>42915</v>
      </c>
      <c r="G1478" s="70" t="s">
        <v>160</v>
      </c>
      <c r="H1478" s="9"/>
      <c r="I1478" s="8"/>
      <c r="J1478" s="8"/>
      <c r="K1478" s="8"/>
      <c r="L1478" s="9" t="s">
        <v>279</v>
      </c>
      <c r="M1478" s="8"/>
    </row>
    <row r="1479" spans="1:13" x14ac:dyDescent="0.25">
      <c r="A1479" s="72" t="s">
        <v>2310</v>
      </c>
      <c r="B1479" s="67">
        <v>13554461806</v>
      </c>
      <c r="C1479" s="72" t="s">
        <v>2311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2312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160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2313</v>
      </c>
      <c r="B1481" s="67">
        <v>23473313882</v>
      </c>
      <c r="C1481" s="72" t="s">
        <v>2314</v>
      </c>
      <c r="D1481" s="69">
        <v>51042797404</v>
      </c>
      <c r="E1481" s="9">
        <v>485</v>
      </c>
      <c r="F1481" s="25">
        <v>43196</v>
      </c>
      <c r="G1481" s="70" t="s">
        <v>166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2315</v>
      </c>
      <c r="B1482" s="67">
        <v>7753877895</v>
      </c>
      <c r="C1482" s="68" t="s">
        <v>2316</v>
      </c>
      <c r="D1482" s="69">
        <v>66725372872</v>
      </c>
      <c r="E1482" s="9">
        <v>1214</v>
      </c>
      <c r="F1482" s="25">
        <v>42989</v>
      </c>
      <c r="G1482" s="70" t="s">
        <v>160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2317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2318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160</v>
      </c>
      <c r="H1484" s="9"/>
      <c r="I1484" s="8"/>
      <c r="J1484" s="8"/>
      <c r="K1484" s="8"/>
      <c r="L1484" s="9" t="s">
        <v>279</v>
      </c>
      <c r="M1484" s="8"/>
    </row>
    <row r="1485" spans="1:13" x14ac:dyDescent="0.25">
      <c r="A1485" s="71" t="s">
        <v>2319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160</v>
      </c>
      <c r="H1485" s="9"/>
      <c r="I1485" s="8"/>
      <c r="J1485" s="8"/>
      <c r="K1485" s="8"/>
      <c r="L1485" s="9" t="s">
        <v>279</v>
      </c>
      <c r="M1485" s="8"/>
    </row>
    <row r="1486" spans="1:13" x14ac:dyDescent="0.25">
      <c r="A1486" s="13" t="s">
        <v>2320</v>
      </c>
      <c r="B1486" s="67">
        <v>40779583850</v>
      </c>
      <c r="C1486" s="68" t="s">
        <v>2321</v>
      </c>
      <c r="D1486" s="69">
        <v>36411481890</v>
      </c>
      <c r="E1486" s="9">
        <v>1343</v>
      </c>
      <c r="F1486" s="25">
        <v>43004</v>
      </c>
      <c r="G1486" s="70" t="s">
        <v>160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2322</v>
      </c>
      <c r="B1487" s="67"/>
      <c r="C1487" s="29" t="s">
        <v>270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2323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2324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160</v>
      </c>
      <c r="H1489" s="9"/>
      <c r="I1489" s="8"/>
      <c r="J1489" s="8"/>
      <c r="K1489" s="8"/>
      <c r="L1489" s="9" t="s">
        <v>279</v>
      </c>
      <c r="M1489" s="8"/>
    </row>
    <row r="1490" spans="1:13" x14ac:dyDescent="0.25">
      <c r="A1490" s="15" t="s">
        <v>2325</v>
      </c>
      <c r="B1490" s="67">
        <v>45854900866</v>
      </c>
      <c r="C1490" s="72" t="s">
        <v>2326</v>
      </c>
      <c r="D1490" s="69">
        <v>23474048813</v>
      </c>
      <c r="E1490" s="9">
        <v>229</v>
      </c>
      <c r="F1490" s="25">
        <v>43151</v>
      </c>
      <c r="G1490" s="70" t="s">
        <v>160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2327</v>
      </c>
      <c r="B1491" s="67">
        <v>40870285858</v>
      </c>
      <c r="C1491" s="72" t="s">
        <v>2328</v>
      </c>
      <c r="D1491" s="69">
        <v>39638342854</v>
      </c>
      <c r="E1491" s="9">
        <v>229</v>
      </c>
      <c r="F1491" s="25">
        <v>43151</v>
      </c>
      <c r="G1491" s="70" t="s">
        <v>174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2329</v>
      </c>
      <c r="B1492" s="67">
        <v>43053164809</v>
      </c>
      <c r="C1492" s="71" t="s">
        <v>2330</v>
      </c>
      <c r="D1492" s="69">
        <v>35649973857</v>
      </c>
      <c r="E1492" s="9">
        <v>292</v>
      </c>
      <c r="F1492" s="25">
        <v>43168</v>
      </c>
      <c r="G1492" s="70" t="s">
        <v>166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2331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2332</v>
      </c>
      <c r="B1494" s="67">
        <v>34727823829</v>
      </c>
      <c r="C1494" s="72" t="s">
        <v>2333</v>
      </c>
      <c r="D1494" s="69">
        <v>33790197807</v>
      </c>
      <c r="E1494" s="9">
        <v>262</v>
      </c>
      <c r="F1494" s="25">
        <v>43160</v>
      </c>
      <c r="G1494" s="70" t="s">
        <v>166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2334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2335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160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2336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2337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160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2338</v>
      </c>
      <c r="B1499" s="67">
        <v>13576812830</v>
      </c>
      <c r="C1499" s="72" t="s">
        <v>2339</v>
      </c>
      <c r="D1499" s="69">
        <v>1075554845</v>
      </c>
      <c r="E1499" s="9">
        <v>1489</v>
      </c>
      <c r="F1499" s="25">
        <v>43038</v>
      </c>
      <c r="G1499" s="70" t="s">
        <v>160</v>
      </c>
      <c r="H1499" s="9"/>
      <c r="I1499" s="8"/>
      <c r="J1499" s="8"/>
      <c r="K1499" s="8"/>
      <c r="L1499" s="9" t="s">
        <v>301</v>
      </c>
      <c r="M1499" s="8"/>
    </row>
    <row r="1500" spans="1:13" x14ac:dyDescent="0.25">
      <c r="A1500" s="71" t="s">
        <v>2340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2341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2342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160</v>
      </c>
      <c r="H1502" s="9"/>
      <c r="I1502" s="8"/>
      <c r="J1502" s="8"/>
      <c r="K1502" s="8"/>
      <c r="L1502" s="9" t="s">
        <v>279</v>
      </c>
      <c r="M1502" s="8"/>
    </row>
    <row r="1503" spans="1:13" x14ac:dyDescent="0.25">
      <c r="A1503" s="71" t="s">
        <v>2343</v>
      </c>
      <c r="B1503" s="67">
        <v>42490041800</v>
      </c>
      <c r="C1503" s="71" t="s">
        <v>2344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2345</v>
      </c>
      <c r="B1504" s="67">
        <v>37150144829</v>
      </c>
      <c r="C1504" s="72" t="s">
        <v>2346</v>
      </c>
      <c r="D1504" s="69">
        <v>33420633866</v>
      </c>
      <c r="E1504" s="9">
        <v>1417</v>
      </c>
      <c r="F1504" s="25">
        <v>43017</v>
      </c>
      <c r="G1504" s="70" t="s">
        <v>174</v>
      </c>
      <c r="H1504" s="9"/>
      <c r="I1504" s="8"/>
      <c r="J1504" s="8"/>
      <c r="K1504" s="8"/>
      <c r="L1504" s="9" t="s">
        <v>394</v>
      </c>
      <c r="M1504" s="8"/>
    </row>
    <row r="1505" spans="1:13" x14ac:dyDescent="0.25">
      <c r="A1505" s="71" t="s">
        <v>2347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2348</v>
      </c>
      <c r="B1506" s="67">
        <v>95482300544</v>
      </c>
      <c r="C1506" s="72" t="s">
        <v>2349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2350</v>
      </c>
      <c r="B1507" s="67">
        <v>3915987590</v>
      </c>
      <c r="C1507" s="72" t="s">
        <v>2351</v>
      </c>
      <c r="D1507" s="69">
        <v>1733607501</v>
      </c>
      <c r="E1507" s="9">
        <v>85</v>
      </c>
      <c r="F1507" s="25">
        <v>43109</v>
      </c>
      <c r="G1507" s="70" t="s">
        <v>160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2352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160</v>
      </c>
      <c r="H1508" s="9"/>
      <c r="I1508" s="8"/>
      <c r="J1508" s="8"/>
      <c r="K1508" s="8"/>
      <c r="L1508" s="9" t="s">
        <v>643</v>
      </c>
      <c r="M1508" s="8"/>
    </row>
    <row r="1509" spans="1:13" x14ac:dyDescent="0.25">
      <c r="A1509" s="71" t="s">
        <v>2353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160</v>
      </c>
      <c r="H1509" s="9"/>
      <c r="I1509" s="8"/>
      <c r="J1509" s="8"/>
      <c r="K1509" s="8"/>
      <c r="L1509" s="9" t="s">
        <v>311</v>
      </c>
      <c r="M1509" s="8"/>
    </row>
    <row r="1510" spans="1:13" x14ac:dyDescent="0.25">
      <c r="A1510" s="29" t="s">
        <v>2354</v>
      </c>
      <c r="B1510" s="67"/>
      <c r="C1510" s="18" t="s">
        <v>270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2355</v>
      </c>
      <c r="B1511" s="80">
        <v>39490354864</v>
      </c>
      <c r="C1511" s="81" t="s">
        <v>2356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2357</v>
      </c>
      <c r="B1512" s="67">
        <v>36190827829</v>
      </c>
      <c r="C1512" s="72" t="s">
        <v>2358</v>
      </c>
      <c r="D1512" s="69">
        <v>6501914809</v>
      </c>
      <c r="E1512" s="9">
        <v>1489</v>
      </c>
      <c r="F1512" s="25">
        <v>43038</v>
      </c>
      <c r="G1512" s="70" t="s">
        <v>160</v>
      </c>
      <c r="H1512" s="9"/>
      <c r="I1512" s="8"/>
      <c r="J1512" s="8"/>
      <c r="K1512" s="8"/>
      <c r="L1512" s="9" t="s">
        <v>301</v>
      </c>
      <c r="M1512" s="8"/>
    </row>
    <row r="1513" spans="1:13" x14ac:dyDescent="0.25">
      <c r="A1513" s="71" t="s">
        <v>2359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160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2360</v>
      </c>
      <c r="B1514" s="67">
        <v>37978221890</v>
      </c>
      <c r="C1514" s="15" t="s">
        <v>2361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2362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440</v>
      </c>
      <c r="M1515" s="8"/>
    </row>
    <row r="1516" spans="1:13" x14ac:dyDescent="0.25">
      <c r="A1516" s="71" t="s">
        <v>2363</v>
      </c>
      <c r="B1516" s="67">
        <v>23341671854</v>
      </c>
      <c r="C1516" s="72" t="s">
        <v>2364</v>
      </c>
      <c r="D1516" s="69">
        <v>34413431820</v>
      </c>
      <c r="E1516" s="9">
        <v>810</v>
      </c>
      <c r="F1516" s="25">
        <v>42915</v>
      </c>
      <c r="G1516" s="83" t="s">
        <v>160</v>
      </c>
      <c r="H1516" s="9"/>
      <c r="I1516" s="8"/>
      <c r="J1516" s="8"/>
      <c r="K1516" s="8"/>
      <c r="L1516" s="9" t="s">
        <v>279</v>
      </c>
      <c r="M1516" s="8"/>
    </row>
    <row r="1517" spans="1:13" x14ac:dyDescent="0.25">
      <c r="A1517" s="71" t="s">
        <v>2365</v>
      </c>
      <c r="B1517" s="67">
        <v>35934079816</v>
      </c>
      <c r="C1517" s="72" t="s">
        <v>2366</v>
      </c>
      <c r="D1517" s="69">
        <v>2511538512</v>
      </c>
      <c r="E1517" s="9">
        <v>262</v>
      </c>
      <c r="F1517" s="25">
        <v>43160</v>
      </c>
      <c r="G1517" s="70" t="s">
        <v>160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2367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160</v>
      </c>
      <c r="H1518" s="9"/>
      <c r="I1518" s="8"/>
      <c r="J1518" s="8"/>
      <c r="K1518" s="8"/>
      <c r="L1518" s="9" t="s">
        <v>311</v>
      </c>
      <c r="M1518" s="8"/>
    </row>
    <row r="1519" spans="1:13" x14ac:dyDescent="0.25">
      <c r="A1519" s="71" t="s">
        <v>2368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160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2369</v>
      </c>
      <c r="B1520" s="67">
        <v>37395316819</v>
      </c>
      <c r="C1520" s="72" t="s">
        <v>2370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2371</v>
      </c>
      <c r="B1521" s="80">
        <v>47168651854</v>
      </c>
      <c r="C1521" s="50" t="s">
        <v>2372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2373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2374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160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2375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160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2376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2377</v>
      </c>
      <c r="B1526" s="67">
        <v>36776791848</v>
      </c>
      <c r="C1526" s="72" t="s">
        <v>2378</v>
      </c>
      <c r="D1526" s="69">
        <v>23340578869</v>
      </c>
      <c r="E1526" s="9">
        <v>608</v>
      </c>
      <c r="F1526" s="25">
        <v>43012</v>
      </c>
      <c r="G1526" s="70" t="s">
        <v>160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2379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2380</v>
      </c>
      <c r="B1528" s="67">
        <v>32561817830</v>
      </c>
      <c r="C1528" s="72" t="s">
        <v>2381</v>
      </c>
      <c r="D1528" s="69">
        <v>30328335827</v>
      </c>
      <c r="E1528" s="9">
        <v>1824</v>
      </c>
      <c r="F1528" s="25">
        <v>43091</v>
      </c>
      <c r="G1528" s="70" t="s">
        <v>166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2382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160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2383</v>
      </c>
      <c r="B1530" s="67">
        <v>36044847829</v>
      </c>
      <c r="C1530" s="72" t="s">
        <v>2384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2385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2386</v>
      </c>
      <c r="B1532" s="67">
        <v>35070422820</v>
      </c>
      <c r="C1532" s="72" t="s">
        <v>2387</v>
      </c>
      <c r="D1532" s="69">
        <v>24871235831</v>
      </c>
      <c r="E1532" s="9">
        <v>292</v>
      </c>
      <c r="F1532" s="25">
        <v>43168</v>
      </c>
      <c r="G1532" s="70" t="s">
        <v>160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2388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440</v>
      </c>
      <c r="M1533" s="8"/>
    </row>
    <row r="1534" spans="1:13" x14ac:dyDescent="0.25">
      <c r="A1534" s="15" t="s">
        <v>2389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2390</v>
      </c>
      <c r="B1535" s="67"/>
      <c r="C1535" s="29" t="s">
        <v>2391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2392</v>
      </c>
      <c r="B1536" s="67">
        <v>47240915840</v>
      </c>
      <c r="C1536" s="72"/>
      <c r="D1536" s="69"/>
      <c r="E1536" s="9"/>
      <c r="F1536" s="25"/>
      <c r="G1536" s="70" t="s">
        <v>160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2393</v>
      </c>
      <c r="B1537" s="67"/>
      <c r="C1537" s="18" t="s">
        <v>270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2394</v>
      </c>
      <c r="B1538" s="67">
        <v>42424051895</v>
      </c>
      <c r="C1538" s="72" t="s">
        <v>2395</v>
      </c>
      <c r="D1538" s="69">
        <v>34920392869</v>
      </c>
      <c r="E1538" s="9">
        <v>1214</v>
      </c>
      <c r="F1538" s="25">
        <v>42989</v>
      </c>
      <c r="G1538" s="70" t="s">
        <v>160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2396</v>
      </c>
      <c r="B1539" s="67">
        <v>45298965873</v>
      </c>
      <c r="C1539" s="18" t="s">
        <v>270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2397</v>
      </c>
      <c r="B1540" s="67">
        <v>48176009857</v>
      </c>
      <c r="C1540" s="18" t="s">
        <v>270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2398</v>
      </c>
      <c r="B1541" s="67">
        <v>32645353860</v>
      </c>
      <c r="C1541" s="71" t="s">
        <v>2399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2400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160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2401</v>
      </c>
      <c r="B1543" s="67">
        <v>34899686897</v>
      </c>
      <c r="C1543" s="72" t="s">
        <v>2402</v>
      </c>
      <c r="D1543" s="69">
        <v>34782852835</v>
      </c>
      <c r="E1543" s="9">
        <v>810</v>
      </c>
      <c r="F1543" s="25">
        <v>42915</v>
      </c>
      <c r="G1543" s="70" t="s">
        <v>160</v>
      </c>
      <c r="H1543" s="76">
        <v>43213</v>
      </c>
      <c r="I1543" s="8"/>
      <c r="J1543" s="8"/>
      <c r="K1543" s="8"/>
      <c r="L1543" s="9" t="s">
        <v>279</v>
      </c>
      <c r="M1543" s="8"/>
    </row>
    <row r="1544" spans="1:13" x14ac:dyDescent="0.25">
      <c r="A1544" s="71" t="s">
        <v>2403</v>
      </c>
      <c r="B1544" s="67">
        <v>39778910812</v>
      </c>
      <c r="C1544" s="68" t="s">
        <v>2404</v>
      </c>
      <c r="D1544" s="69">
        <v>34703237806</v>
      </c>
      <c r="E1544" s="9">
        <v>1128</v>
      </c>
      <c r="F1544" s="25">
        <v>42972</v>
      </c>
      <c r="G1544" s="70" t="s">
        <v>160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2405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440</v>
      </c>
      <c r="M1545" s="8"/>
    </row>
    <row r="1546" spans="1:13" x14ac:dyDescent="0.25">
      <c r="A1546" s="72" t="s">
        <v>2406</v>
      </c>
      <c r="B1546" s="67">
        <v>22429349884</v>
      </c>
      <c r="C1546" s="72" t="s">
        <v>2407</v>
      </c>
      <c r="D1546" s="69">
        <v>32307277897</v>
      </c>
      <c r="E1546" s="9">
        <v>1417</v>
      </c>
      <c r="F1546" s="25">
        <v>43017</v>
      </c>
      <c r="G1546" s="70" t="s">
        <v>160</v>
      </c>
      <c r="H1546" s="9"/>
      <c r="I1546" s="8"/>
      <c r="J1546" s="8"/>
      <c r="K1546" s="8"/>
      <c r="L1546" s="9" t="s">
        <v>394</v>
      </c>
      <c r="M1546" s="8"/>
    </row>
    <row r="1547" spans="1:13" x14ac:dyDescent="0.25">
      <c r="A1547" s="13" t="s">
        <v>2408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160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2409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440</v>
      </c>
      <c r="M1548" s="8"/>
    </row>
    <row r="1549" spans="1:13" x14ac:dyDescent="0.25">
      <c r="A1549" s="15" t="s">
        <v>2410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160</v>
      </c>
      <c r="H1549" s="9"/>
      <c r="I1549" s="8"/>
      <c r="J1549" s="8"/>
      <c r="K1549" s="8"/>
      <c r="L1549" s="9" t="s">
        <v>311</v>
      </c>
      <c r="M1549" s="8"/>
    </row>
    <row r="1550" spans="1:13" x14ac:dyDescent="0.25">
      <c r="A1550" s="15" t="s">
        <v>2411</v>
      </c>
      <c r="B1550" s="67">
        <v>7081215432</v>
      </c>
      <c r="C1550" s="15" t="s">
        <v>2412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440</v>
      </c>
      <c r="M1550" s="8"/>
    </row>
    <row r="1551" spans="1:13" x14ac:dyDescent="0.25">
      <c r="A1551" s="71" t="s">
        <v>2413</v>
      </c>
      <c r="B1551" s="67">
        <v>37104895809</v>
      </c>
      <c r="C1551" s="72" t="s">
        <v>2414</v>
      </c>
      <c r="D1551" s="69">
        <v>34256763856</v>
      </c>
      <c r="E1551" s="9">
        <v>1752</v>
      </c>
      <c r="F1551" s="25">
        <v>43051</v>
      </c>
      <c r="G1551" s="70" t="s">
        <v>174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2415</v>
      </c>
      <c r="B1552" s="67"/>
      <c r="C1552" s="29" t="s">
        <v>270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2416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440</v>
      </c>
      <c r="M1553" s="8"/>
    </row>
    <row r="1554" spans="1:13" x14ac:dyDescent="0.25">
      <c r="A1554" s="14" t="s">
        <v>2417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160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2418</v>
      </c>
      <c r="B1555" s="67">
        <v>45862437835</v>
      </c>
      <c r="C1555" s="72" t="s">
        <v>2419</v>
      </c>
      <c r="D1555" s="69">
        <v>2301226280</v>
      </c>
      <c r="E1555" s="9">
        <v>1752</v>
      </c>
      <c r="F1555" s="25">
        <v>43051</v>
      </c>
      <c r="G1555" s="70" t="s">
        <v>160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2420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160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2421</v>
      </c>
      <c r="B1557" s="67"/>
      <c r="C1557" s="29" t="s">
        <v>2422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2423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2424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440</v>
      </c>
      <c r="M1559" s="8"/>
    </row>
    <row r="1560" spans="1:13" x14ac:dyDescent="0.25">
      <c r="A1560" s="71" t="s">
        <v>2425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160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2426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160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2427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160</v>
      </c>
      <c r="H1562" s="9"/>
      <c r="I1562" s="8"/>
      <c r="J1562" s="8"/>
      <c r="K1562" s="8"/>
      <c r="L1562" s="9" t="s">
        <v>279</v>
      </c>
      <c r="M1562" s="8"/>
    </row>
    <row r="1563" spans="1:13" x14ac:dyDescent="0.25">
      <c r="A1563" s="15" t="s">
        <v>2428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160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2429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160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2430</v>
      </c>
      <c r="B1565" s="67">
        <v>33390811826</v>
      </c>
      <c r="C1565" s="72" t="s">
        <v>2431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2432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160</v>
      </c>
      <c r="H1566" s="9"/>
      <c r="I1566" s="8"/>
      <c r="J1566" s="8"/>
      <c r="K1566" s="8"/>
      <c r="L1566" s="9" t="s">
        <v>394</v>
      </c>
      <c r="M1566" s="8"/>
    </row>
    <row r="1567" spans="1:13" x14ac:dyDescent="0.25">
      <c r="A1567" s="29" t="s">
        <v>2433</v>
      </c>
      <c r="B1567" s="67">
        <v>22173656813</v>
      </c>
      <c r="C1567" s="18" t="s">
        <v>270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2434</v>
      </c>
      <c r="B1568" s="67">
        <v>30690514808</v>
      </c>
      <c r="C1568" s="72" t="s">
        <v>2435</v>
      </c>
      <c r="D1568" s="69">
        <v>22622085818</v>
      </c>
      <c r="E1568" s="9">
        <v>423</v>
      </c>
      <c r="F1568" s="25">
        <v>43182</v>
      </c>
      <c r="G1568" s="9" t="s">
        <v>160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2436</v>
      </c>
      <c r="B1569" s="67">
        <v>43901748865</v>
      </c>
      <c r="C1569" s="72" t="s">
        <v>2437</v>
      </c>
      <c r="D1569" s="69">
        <v>34818027812</v>
      </c>
      <c r="E1569" s="9">
        <v>1824</v>
      </c>
      <c r="F1569" s="25">
        <v>43091</v>
      </c>
      <c r="G1569" s="70" t="s">
        <v>160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2438</v>
      </c>
      <c r="B1570" s="67"/>
      <c r="C1570" s="18" t="s">
        <v>270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2439</v>
      </c>
      <c r="B1571" s="67">
        <v>5212444390</v>
      </c>
      <c r="C1571" s="15" t="s">
        <v>2440</v>
      </c>
      <c r="D1571" s="69">
        <v>2231738350</v>
      </c>
      <c r="E1571" s="9">
        <v>292</v>
      </c>
      <c r="F1571" s="25">
        <v>43168</v>
      </c>
      <c r="G1571" s="70" t="s">
        <v>160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2441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2442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160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2443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2444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160</v>
      </c>
      <c r="H1575" s="9"/>
      <c r="I1575" s="8"/>
      <c r="J1575" s="8"/>
      <c r="K1575" s="8"/>
      <c r="L1575" s="9" t="s">
        <v>279</v>
      </c>
      <c r="M1575" s="8"/>
    </row>
    <row r="1576" spans="1:13" x14ac:dyDescent="0.25">
      <c r="A1576" s="71" t="s">
        <v>2445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160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2446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2447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2448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2449</v>
      </c>
      <c r="B1580" s="67">
        <v>88436144520</v>
      </c>
      <c r="C1580" s="29" t="s">
        <v>270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2450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2451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160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2452</v>
      </c>
      <c r="B1583" s="67">
        <v>4967493580</v>
      </c>
      <c r="C1583" s="15" t="s">
        <v>2453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2454</v>
      </c>
      <c r="B1584" s="67">
        <v>28043649847</v>
      </c>
      <c r="C1584" s="72" t="s">
        <v>2455</v>
      </c>
      <c r="D1584" s="69">
        <v>37064432870</v>
      </c>
      <c r="E1584" s="9">
        <v>117</v>
      </c>
      <c r="F1584" s="25">
        <v>43117</v>
      </c>
      <c r="G1584" s="70" t="s">
        <v>160</v>
      </c>
      <c r="H1584" s="9"/>
      <c r="I1584" s="8"/>
      <c r="J1584" s="8"/>
      <c r="K1584" s="8"/>
      <c r="L1584" s="9" t="s">
        <v>311</v>
      </c>
      <c r="M1584" s="8"/>
    </row>
    <row r="1585" spans="1:13" x14ac:dyDescent="0.25">
      <c r="A1585" s="71" t="s">
        <v>2456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160</v>
      </c>
      <c r="H1585" s="9"/>
      <c r="I1585" s="8"/>
      <c r="J1585" s="8"/>
      <c r="K1585" s="8"/>
      <c r="L1585" s="9" t="s">
        <v>279</v>
      </c>
      <c r="M1585" s="8"/>
    </row>
    <row r="1586" spans="1:13" x14ac:dyDescent="0.25">
      <c r="A1586" s="73" t="s">
        <v>2457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160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2458</v>
      </c>
      <c r="B1587" s="67">
        <v>45671290325</v>
      </c>
      <c r="C1587" s="72" t="s">
        <v>2459</v>
      </c>
      <c r="D1587" s="69">
        <v>13019071895</v>
      </c>
      <c r="E1587" s="9">
        <v>117</v>
      </c>
      <c r="F1587" s="25">
        <v>43117</v>
      </c>
      <c r="G1587" s="70" t="s">
        <v>174</v>
      </c>
      <c r="H1587" s="9"/>
      <c r="I1587" s="8"/>
      <c r="J1587" s="8"/>
      <c r="K1587" s="8"/>
      <c r="L1587" s="9" t="s">
        <v>311</v>
      </c>
      <c r="M1587" s="8"/>
    </row>
    <row r="1588" spans="1:13" x14ac:dyDescent="0.25">
      <c r="A1588" s="13" t="s">
        <v>2460</v>
      </c>
      <c r="B1588" s="67">
        <v>7677424864</v>
      </c>
      <c r="C1588" s="72" t="s">
        <v>2461</v>
      </c>
      <c r="D1588" s="69">
        <v>6128186831</v>
      </c>
      <c r="E1588" s="9">
        <v>1570</v>
      </c>
      <c r="F1588" s="25">
        <v>43077</v>
      </c>
      <c r="G1588" s="70" t="s">
        <v>160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2462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2463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160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2464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160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2465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2466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160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2467</v>
      </c>
      <c r="B1594" s="67"/>
      <c r="C1594" s="29" t="s">
        <v>270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2468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160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2469</v>
      </c>
      <c r="B1596" s="67">
        <v>47555303850</v>
      </c>
      <c r="C1596" s="18" t="s">
        <v>270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2470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160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2471</v>
      </c>
      <c r="B1598" s="67">
        <v>25966733805</v>
      </c>
      <c r="C1598" s="72" t="s">
        <v>2472</v>
      </c>
      <c r="D1598" s="69">
        <v>19681706854</v>
      </c>
      <c r="E1598" s="9">
        <v>1752</v>
      </c>
      <c r="F1598" s="25">
        <v>43051</v>
      </c>
      <c r="G1598" s="70" t="s">
        <v>166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2473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160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2474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160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2475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2476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160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2477</v>
      </c>
      <c r="B1603" s="67">
        <v>32448230846</v>
      </c>
      <c r="C1603" s="18" t="s">
        <v>2478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2479</v>
      </c>
      <c r="B1604" s="67">
        <v>56151250559</v>
      </c>
      <c r="C1604" s="18" t="s">
        <v>2480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2481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160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2482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2483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160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2484</v>
      </c>
      <c r="B1608" s="67">
        <v>36713930840</v>
      </c>
      <c r="C1608" s="68" t="s">
        <v>2485</v>
      </c>
      <c r="D1608" s="69">
        <v>30171047885</v>
      </c>
      <c r="E1608" s="9">
        <v>1128</v>
      </c>
      <c r="F1608" s="25">
        <v>42972</v>
      </c>
      <c r="G1608" s="70" t="s">
        <v>160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2486</v>
      </c>
      <c r="B1609" s="67">
        <v>37138221827</v>
      </c>
      <c r="C1609" s="29" t="s">
        <v>2487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2488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160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2489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160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2490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160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2491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2492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160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2493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160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2494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160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2495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2496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160</v>
      </c>
      <c r="H1618" s="9"/>
      <c r="I1618" s="8"/>
      <c r="J1618" s="8"/>
      <c r="K1618" s="8"/>
      <c r="L1618" s="9" t="s">
        <v>279</v>
      </c>
      <c r="M1618" s="8"/>
    </row>
    <row r="1619" spans="1:13" x14ac:dyDescent="0.25">
      <c r="A1619" s="71" t="s">
        <v>2497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160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2498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160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2499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2500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2501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160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2502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2503</v>
      </c>
      <c r="B1625" s="67">
        <v>37338189897</v>
      </c>
      <c r="C1625" s="72" t="s">
        <v>2504</v>
      </c>
      <c r="D1625" s="69">
        <v>27359655897</v>
      </c>
      <c r="E1625" s="9">
        <v>1824</v>
      </c>
      <c r="F1625" s="25">
        <v>43091</v>
      </c>
      <c r="G1625" s="70" t="s">
        <v>160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2505</v>
      </c>
      <c r="B1626" s="67">
        <v>45632601854</v>
      </c>
      <c r="C1626" s="32" t="s">
        <v>2506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440</v>
      </c>
      <c r="M1626" s="8"/>
    </row>
    <row r="1627" spans="1:13" x14ac:dyDescent="0.25">
      <c r="A1627" s="29" t="s">
        <v>2507</v>
      </c>
      <c r="B1627" s="67"/>
      <c r="C1627" s="29" t="s">
        <v>2508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2509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2510</v>
      </c>
      <c r="B1629" s="67">
        <v>38150547886</v>
      </c>
      <c r="C1629" s="72" t="s">
        <v>2511</v>
      </c>
      <c r="D1629" s="69">
        <v>36270820871</v>
      </c>
      <c r="E1629" s="9">
        <v>262</v>
      </c>
      <c r="F1629" s="25">
        <v>43160</v>
      </c>
      <c r="G1629" s="9" t="s">
        <v>160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2512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2513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2514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2515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2516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160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2517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160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2518</v>
      </c>
      <c r="B1636" s="67">
        <v>44852605858</v>
      </c>
      <c r="C1636" s="15" t="s">
        <v>2519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2520</v>
      </c>
      <c r="B1637" s="67">
        <v>42130610862</v>
      </c>
      <c r="C1637" s="29" t="s">
        <v>2521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2522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160</v>
      </c>
      <c r="H1638" s="9"/>
      <c r="I1638" s="8"/>
      <c r="J1638" s="8"/>
      <c r="K1638" s="8"/>
      <c r="L1638" s="9" t="s">
        <v>311</v>
      </c>
      <c r="M1638" s="8"/>
    </row>
    <row r="1639" spans="1:13" x14ac:dyDescent="0.25">
      <c r="A1639" s="15" t="s">
        <v>2523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2524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160</v>
      </c>
      <c r="H1640" s="9"/>
      <c r="I1640" s="8"/>
      <c r="J1640" s="8"/>
      <c r="K1640" s="8"/>
      <c r="L1640" s="9" t="s">
        <v>311</v>
      </c>
      <c r="M1640" s="8"/>
    </row>
    <row r="1641" spans="1:13" x14ac:dyDescent="0.25">
      <c r="A1641" s="71" t="s">
        <v>2525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160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2526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2527</v>
      </c>
      <c r="B1643" s="67">
        <v>25399089858</v>
      </c>
      <c r="C1643" s="18" t="s">
        <v>2528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2529</v>
      </c>
      <c r="B1644" s="67">
        <v>36758489817</v>
      </c>
      <c r="C1644" s="72" t="s">
        <v>2530</v>
      </c>
      <c r="D1644" s="69">
        <v>15602238808</v>
      </c>
      <c r="E1644" s="9">
        <v>117</v>
      </c>
      <c r="F1644" s="25">
        <v>43117</v>
      </c>
      <c r="G1644" s="70" t="s">
        <v>160</v>
      </c>
      <c r="H1644" s="9"/>
      <c r="I1644" s="8"/>
      <c r="J1644" s="8"/>
      <c r="K1644" s="8"/>
      <c r="L1644" s="9" t="s">
        <v>311</v>
      </c>
      <c r="M1644" s="8"/>
    </row>
    <row r="1645" spans="1:13" x14ac:dyDescent="0.25">
      <c r="A1645" s="71" t="s">
        <v>2531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160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2532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2533</v>
      </c>
      <c r="B1647" s="67">
        <v>3051791440</v>
      </c>
      <c r="C1647" s="72" t="s">
        <v>2534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2535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160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2536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2537</v>
      </c>
      <c r="B1650" s="67">
        <v>8774817841</v>
      </c>
      <c r="C1650" s="18" t="s">
        <v>270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2538</v>
      </c>
      <c r="B1651" s="67">
        <v>15730438850</v>
      </c>
      <c r="C1651" s="72" t="s">
        <v>2539</v>
      </c>
      <c r="D1651" s="69">
        <v>11253544883</v>
      </c>
      <c r="E1651" s="9">
        <v>1628</v>
      </c>
      <c r="F1651" s="25">
        <v>43077</v>
      </c>
      <c r="G1651" s="70" t="s">
        <v>160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2540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2541</v>
      </c>
      <c r="B1653" s="67">
        <v>16416601800</v>
      </c>
      <c r="C1653" s="72" t="s">
        <v>2542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2543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2544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160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2545</v>
      </c>
      <c r="B1656" s="67">
        <v>6595999617</v>
      </c>
      <c r="C1656" s="68" t="s">
        <v>2546</v>
      </c>
      <c r="D1656" s="69">
        <v>9929242430</v>
      </c>
      <c r="E1656" s="9">
        <v>1128</v>
      </c>
      <c r="F1656" s="25">
        <v>42972</v>
      </c>
      <c r="G1656" s="70" t="s">
        <v>160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2547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160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2548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2549</v>
      </c>
      <c r="B1659" s="67">
        <v>28785359874</v>
      </c>
      <c r="C1659" s="72" t="s">
        <v>2550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2551</v>
      </c>
      <c r="B1660" s="67">
        <v>36460261890</v>
      </c>
      <c r="C1660" s="72" t="s">
        <v>2552</v>
      </c>
      <c r="D1660" s="69">
        <v>7468402841</v>
      </c>
      <c r="E1660" s="9">
        <v>608</v>
      </c>
      <c r="F1660" s="25">
        <v>43012</v>
      </c>
      <c r="G1660" s="70" t="s">
        <v>160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2553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160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2554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160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2555</v>
      </c>
      <c r="B1663" s="67">
        <v>34385358826</v>
      </c>
      <c r="C1663" s="72" t="s">
        <v>2556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2557</v>
      </c>
      <c r="B1664" s="67">
        <v>24820428870</v>
      </c>
      <c r="C1664" s="72" t="s">
        <v>2558</v>
      </c>
      <c r="D1664" s="69">
        <v>22012255833</v>
      </c>
      <c r="E1664" s="9">
        <v>1417</v>
      </c>
      <c r="F1664" s="25">
        <v>43017</v>
      </c>
      <c r="G1664" s="70" t="s">
        <v>160</v>
      </c>
      <c r="H1664" s="9"/>
      <c r="I1664" s="8"/>
      <c r="J1664" s="8"/>
      <c r="K1664" s="8"/>
      <c r="L1664" s="9" t="s">
        <v>394</v>
      </c>
      <c r="M1664" s="8"/>
    </row>
    <row r="1665" spans="1:13" x14ac:dyDescent="0.25">
      <c r="A1665" s="29" t="s">
        <v>2559</v>
      </c>
      <c r="B1665" s="67">
        <v>31148609822</v>
      </c>
      <c r="C1665" s="29" t="s">
        <v>2560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2561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174</v>
      </c>
      <c r="H1666" s="9"/>
      <c r="I1666" s="8"/>
      <c r="J1666" s="8"/>
      <c r="K1666" s="8"/>
      <c r="L1666" s="9" t="s">
        <v>311</v>
      </c>
      <c r="M1666" s="8"/>
    </row>
    <row r="1667" spans="1:13" x14ac:dyDescent="0.25">
      <c r="A1667" s="14" t="s">
        <v>2562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2562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160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2563</v>
      </c>
      <c r="B1669" s="67">
        <v>44772896856</v>
      </c>
      <c r="C1669" s="72" t="s">
        <v>2564</v>
      </c>
      <c r="D1669" s="69">
        <v>39313729873</v>
      </c>
      <c r="E1669" s="9">
        <v>117</v>
      </c>
      <c r="F1669" s="25">
        <v>43117</v>
      </c>
      <c r="G1669" s="70" t="s">
        <v>160</v>
      </c>
      <c r="H1669" s="9"/>
      <c r="I1669" s="8"/>
      <c r="J1669" s="8"/>
      <c r="K1669" s="8"/>
      <c r="L1669" s="9" t="s">
        <v>311</v>
      </c>
      <c r="M1669" s="8"/>
    </row>
    <row r="1670" spans="1:13" x14ac:dyDescent="0.25">
      <c r="A1670" s="29" t="s">
        <v>2565</v>
      </c>
      <c r="B1670" s="67">
        <v>28501359840</v>
      </c>
      <c r="C1670" s="29" t="s">
        <v>2566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2567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2568</v>
      </c>
      <c r="B1672" s="67">
        <v>30131142828</v>
      </c>
      <c r="C1672" s="77" t="s">
        <v>2569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2570</v>
      </c>
      <c r="B1673" s="67"/>
      <c r="C1673" s="29" t="s">
        <v>270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2571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160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2572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160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2573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160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2574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160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2575</v>
      </c>
      <c r="B1678" s="67">
        <v>30319988805</v>
      </c>
      <c r="C1678" s="29" t="s">
        <v>270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2576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2577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160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2578</v>
      </c>
      <c r="B1681" s="67">
        <v>1565236122</v>
      </c>
      <c r="C1681" s="72" t="s">
        <v>2579</v>
      </c>
      <c r="D1681" s="69">
        <v>218506589</v>
      </c>
      <c r="E1681" s="9">
        <v>1241</v>
      </c>
      <c r="F1681" s="25">
        <v>42992</v>
      </c>
      <c r="G1681" s="70" t="s">
        <v>160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2580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2581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160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2582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2583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2584</v>
      </c>
      <c r="B1686" s="67">
        <v>28842233803</v>
      </c>
      <c r="C1686" s="72" t="s">
        <v>2585</v>
      </c>
      <c r="D1686" s="69">
        <v>39207708892</v>
      </c>
      <c r="E1686" s="9">
        <v>262</v>
      </c>
      <c r="F1686" s="25">
        <v>43160</v>
      </c>
      <c r="G1686" s="70" t="s">
        <v>166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2586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160</v>
      </c>
      <c r="H1687" s="9"/>
      <c r="I1687" s="8"/>
      <c r="J1687" s="8"/>
      <c r="K1687" s="8"/>
      <c r="L1687" s="9" t="s">
        <v>279</v>
      </c>
      <c r="M1687" s="8"/>
    </row>
    <row r="1688" spans="1:13" x14ac:dyDescent="0.25">
      <c r="A1688" s="71" t="s">
        <v>2587</v>
      </c>
      <c r="B1688" s="67">
        <v>39111957883</v>
      </c>
      <c r="C1688" s="72" t="s">
        <v>2588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2589</v>
      </c>
      <c r="B1689" s="67">
        <v>26763450877</v>
      </c>
      <c r="C1689" s="72" t="s">
        <v>2590</v>
      </c>
      <c r="D1689" s="69">
        <v>23405053803</v>
      </c>
      <c r="E1689" s="9">
        <v>292</v>
      </c>
      <c r="F1689" s="25">
        <v>43168</v>
      </c>
      <c r="G1689" s="70" t="s">
        <v>160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2591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160</v>
      </c>
      <c r="H1690" s="9"/>
      <c r="I1690" s="8"/>
      <c r="J1690" s="8"/>
      <c r="K1690" s="8"/>
      <c r="L1690" s="9" t="s">
        <v>311</v>
      </c>
      <c r="M1690" s="8"/>
    </row>
    <row r="1691" spans="1:13" x14ac:dyDescent="0.25">
      <c r="A1691" s="29" t="s">
        <v>2592</v>
      </c>
      <c r="B1691" s="67">
        <v>41696411831</v>
      </c>
      <c r="C1691" s="29" t="s">
        <v>2593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2594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2595</v>
      </c>
      <c r="B1693" s="67"/>
      <c r="C1693" s="18" t="s">
        <v>270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2596</v>
      </c>
      <c r="B1694" s="67">
        <v>8946062479</v>
      </c>
      <c r="C1694" s="15" t="s">
        <v>2597</v>
      </c>
      <c r="D1694" s="69">
        <v>9671165460</v>
      </c>
      <c r="E1694" s="9">
        <v>292</v>
      </c>
      <c r="F1694" s="25">
        <v>43168</v>
      </c>
      <c r="G1694" s="70" t="s">
        <v>166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2598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160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2599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160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2600</v>
      </c>
      <c r="B1697" s="67"/>
      <c r="C1697" s="18" t="s">
        <v>270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2601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160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2602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2603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2604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2605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2606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2607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2608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2609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160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2610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160</v>
      </c>
      <c r="H1707" s="9"/>
      <c r="I1707" s="8"/>
      <c r="J1707" s="8"/>
      <c r="K1707" s="8"/>
      <c r="L1707" s="9" t="s">
        <v>394</v>
      </c>
      <c r="M1707" s="8"/>
    </row>
    <row r="1708" spans="1:13" x14ac:dyDescent="0.25">
      <c r="A1708" s="13" t="s">
        <v>2611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160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2612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2613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2614</v>
      </c>
      <c r="B1711" s="67"/>
      <c r="C1711" s="18" t="s">
        <v>270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2615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160</v>
      </c>
      <c r="H1712" s="9"/>
      <c r="I1712" s="8"/>
      <c r="J1712" s="8"/>
      <c r="K1712" s="8"/>
      <c r="L1712" s="9" t="s">
        <v>311</v>
      </c>
      <c r="M1712" s="8"/>
    </row>
    <row r="1713" spans="1:13" x14ac:dyDescent="0.25">
      <c r="A1713" s="71" t="s">
        <v>2616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160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2617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160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2618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2619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160</v>
      </c>
      <c r="H1716" s="9"/>
      <c r="I1716" s="8"/>
      <c r="J1716" s="8"/>
      <c r="K1716" s="8"/>
      <c r="L1716" s="9" t="s">
        <v>279</v>
      </c>
      <c r="M1716" s="8"/>
    </row>
    <row r="1717" spans="1:13" x14ac:dyDescent="0.25">
      <c r="A1717" s="71" t="s">
        <v>2620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2621</v>
      </c>
      <c r="B1718" s="67">
        <v>26903961810</v>
      </c>
      <c r="C1718" s="72" t="s">
        <v>2622</v>
      </c>
      <c r="D1718" s="69">
        <v>40904229904</v>
      </c>
      <c r="E1718" s="9">
        <v>1555</v>
      </c>
      <c r="F1718" s="25">
        <v>43049</v>
      </c>
      <c r="G1718" s="70" t="s">
        <v>160</v>
      </c>
      <c r="H1718" s="9"/>
      <c r="I1718" s="8"/>
      <c r="J1718" s="8"/>
      <c r="K1718" s="8"/>
      <c r="L1718" s="9" t="s">
        <v>539</v>
      </c>
      <c r="M1718" s="8"/>
    </row>
    <row r="1719" spans="1:13" x14ac:dyDescent="0.25">
      <c r="A1719" s="18" t="s">
        <v>2623</v>
      </c>
      <c r="B1719" s="67">
        <v>31611651875</v>
      </c>
      <c r="C1719" s="18" t="s">
        <v>2624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2625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160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2626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2627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160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2628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2629</v>
      </c>
      <c r="B1724" s="69">
        <v>22580790802</v>
      </c>
      <c r="C1724" s="71" t="s">
        <v>2630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2631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2632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2633</v>
      </c>
      <c r="B1727" s="69">
        <v>88565386520</v>
      </c>
      <c r="C1727" s="15" t="s">
        <v>2634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2635</v>
      </c>
      <c r="B1728" s="67">
        <v>1147816565</v>
      </c>
      <c r="C1728" s="72" t="s">
        <v>2636</v>
      </c>
      <c r="D1728" s="69">
        <v>24692193883</v>
      </c>
      <c r="E1728" s="9">
        <v>262</v>
      </c>
      <c r="F1728" s="25">
        <v>43160</v>
      </c>
      <c r="G1728" s="70" t="s">
        <v>160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2637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160</v>
      </c>
      <c r="H1729" s="9"/>
      <c r="I1729" s="8"/>
      <c r="J1729" s="8"/>
      <c r="K1729" s="8"/>
      <c r="L1729" s="9" t="s">
        <v>279</v>
      </c>
      <c r="M1729" s="8"/>
    </row>
    <row r="1730" spans="1:13" x14ac:dyDescent="0.25">
      <c r="A1730" s="14" t="s">
        <v>2638</v>
      </c>
      <c r="B1730" s="67">
        <v>7039189402</v>
      </c>
      <c r="C1730" s="72" t="s">
        <v>2639</v>
      </c>
      <c r="D1730" s="69">
        <v>5531291558</v>
      </c>
      <c r="E1730" s="9">
        <v>262</v>
      </c>
      <c r="F1730" s="25">
        <v>43160</v>
      </c>
      <c r="G1730" s="70" t="s">
        <v>160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2640</v>
      </c>
      <c r="B1731" s="67">
        <v>34602647804</v>
      </c>
      <c r="C1731" s="72" t="s">
        <v>2641</v>
      </c>
      <c r="D1731" s="69">
        <v>27640163870</v>
      </c>
      <c r="E1731" s="9">
        <v>229</v>
      </c>
      <c r="F1731" s="25">
        <v>43151</v>
      </c>
      <c r="G1731" s="70" t="s">
        <v>160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2642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160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2643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160</v>
      </c>
      <c r="H1733" s="9"/>
      <c r="I1733" s="8"/>
      <c r="J1733" s="8"/>
      <c r="K1733" s="8"/>
      <c r="L1733" s="9" t="s">
        <v>643</v>
      </c>
      <c r="M1733" s="8"/>
    </row>
    <row r="1734" spans="1:13" x14ac:dyDescent="0.25">
      <c r="A1734" s="71" t="s">
        <v>2644</v>
      </c>
      <c r="B1734" s="67">
        <v>4656282570</v>
      </c>
      <c r="C1734" s="72" t="s">
        <v>2645</v>
      </c>
      <c r="D1734" s="69">
        <v>85025780578</v>
      </c>
      <c r="E1734" s="9">
        <v>85</v>
      </c>
      <c r="F1734" s="25">
        <v>43109</v>
      </c>
      <c r="G1734" s="70" t="s">
        <v>160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2646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2647</v>
      </c>
      <c r="B1736" s="67">
        <v>44808773805</v>
      </c>
      <c r="C1736" s="72" t="s">
        <v>2648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2649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160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2650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2651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160</v>
      </c>
      <c r="H1739" s="9"/>
      <c r="I1739" s="8"/>
      <c r="J1739" s="8"/>
      <c r="K1739" s="8"/>
      <c r="L1739" s="9" t="s">
        <v>279</v>
      </c>
      <c r="M1739" s="8"/>
    </row>
    <row r="1740" spans="1:13" x14ac:dyDescent="0.25">
      <c r="A1740" s="71" t="s">
        <v>2652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174</v>
      </c>
      <c r="H1740" s="9"/>
      <c r="I1740" s="8"/>
      <c r="J1740" s="8"/>
      <c r="K1740" s="8"/>
      <c r="L1740" s="9" t="s">
        <v>394</v>
      </c>
      <c r="M1740" s="8"/>
    </row>
    <row r="1741" spans="1:13" x14ac:dyDescent="0.25">
      <c r="A1741" s="15" t="s">
        <v>2653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160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2654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2655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2656</v>
      </c>
      <c r="B1744" s="67">
        <v>19129440491</v>
      </c>
      <c r="C1744" s="72" t="s">
        <v>2657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2658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160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2659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160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2660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160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2661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160</v>
      </c>
      <c r="H1748" s="9"/>
      <c r="I1748" s="8"/>
      <c r="J1748" s="8"/>
      <c r="K1748" s="8"/>
      <c r="L1748" s="9" t="s">
        <v>539</v>
      </c>
      <c r="M1748" s="8"/>
    </row>
    <row r="1749" spans="1:13" x14ac:dyDescent="0.25">
      <c r="A1749" s="13" t="s">
        <v>2662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160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2663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2664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160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2665</v>
      </c>
      <c r="B1752" s="67">
        <v>15634351871</v>
      </c>
      <c r="C1752" s="72" t="s">
        <v>2666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2667</v>
      </c>
      <c r="B1753" s="67">
        <v>35994306835</v>
      </c>
      <c r="C1753" s="72" t="s">
        <v>2668</v>
      </c>
      <c r="D1753" s="69">
        <v>25021610880</v>
      </c>
      <c r="E1753" s="9">
        <v>262</v>
      </c>
      <c r="F1753" s="25">
        <v>43160</v>
      </c>
      <c r="G1753" s="70" t="s">
        <v>160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2669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160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2670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2671</v>
      </c>
      <c r="B1756" s="67">
        <v>32525046854</v>
      </c>
      <c r="C1756" s="29" t="s">
        <v>270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2672</v>
      </c>
      <c r="B1757" s="67">
        <v>23704553816</v>
      </c>
      <c r="C1757" s="77" t="s">
        <v>2673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440</v>
      </c>
      <c r="M1757" s="8"/>
    </row>
    <row r="1758" spans="1:13" x14ac:dyDescent="0.25">
      <c r="A1758" s="71" t="s">
        <v>2674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160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2675</v>
      </c>
      <c r="B1759" s="67">
        <v>3180351543</v>
      </c>
      <c r="C1759" s="72" t="s">
        <v>2676</v>
      </c>
      <c r="D1759" s="69">
        <v>38259838893</v>
      </c>
      <c r="E1759" s="9">
        <v>1752</v>
      </c>
      <c r="F1759" s="25">
        <v>43051</v>
      </c>
      <c r="G1759" s="70" t="s">
        <v>160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2677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160</v>
      </c>
      <c r="H1760" s="9"/>
      <c r="I1760" s="8"/>
      <c r="J1760" s="8"/>
      <c r="K1760" s="8"/>
      <c r="L1760" s="9" t="s">
        <v>279</v>
      </c>
      <c r="M1760" s="8"/>
    </row>
    <row r="1761" spans="1:13" x14ac:dyDescent="0.25">
      <c r="A1761" s="71" t="s">
        <v>2678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160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2679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2680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160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2681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160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2682</v>
      </c>
      <c r="B1765" s="80">
        <v>27034088896</v>
      </c>
      <c r="C1765" s="81" t="s">
        <v>2683</v>
      </c>
      <c r="D1765" s="82">
        <v>31801530831</v>
      </c>
      <c r="E1765" s="47">
        <v>1267</v>
      </c>
      <c r="F1765" s="48">
        <v>42998</v>
      </c>
      <c r="G1765" s="83" t="s">
        <v>166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2684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2685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2686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160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2687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160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2688</v>
      </c>
      <c r="B1770" s="67">
        <v>13035980861</v>
      </c>
      <c r="C1770" s="72" t="s">
        <v>2689</v>
      </c>
      <c r="D1770" s="69">
        <v>60623608553</v>
      </c>
      <c r="E1770" s="9">
        <v>1752</v>
      </c>
      <c r="F1770" s="25">
        <v>43051</v>
      </c>
      <c r="G1770" s="70" t="s">
        <v>160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2690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2691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160</v>
      </c>
      <c r="H1772" s="9"/>
      <c r="I1772" s="8"/>
      <c r="J1772" s="8"/>
      <c r="K1772" s="8"/>
      <c r="L1772" s="9" t="s">
        <v>279</v>
      </c>
      <c r="M1772" s="8"/>
    </row>
    <row r="1773" spans="1:13" x14ac:dyDescent="0.25">
      <c r="A1773" s="29" t="s">
        <v>2692</v>
      </c>
      <c r="B1773" s="67">
        <v>7965453401</v>
      </c>
      <c r="C1773" s="29" t="s">
        <v>2693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2694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160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2695</v>
      </c>
      <c r="B1775" s="67">
        <v>29335127850</v>
      </c>
      <c r="C1775" s="68" t="s">
        <v>2696</v>
      </c>
      <c r="D1775" s="69">
        <v>18384225877</v>
      </c>
      <c r="E1775" s="9">
        <v>1214</v>
      </c>
      <c r="F1775" s="25">
        <v>42989</v>
      </c>
      <c r="G1775" s="70" t="s">
        <v>160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2697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160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2698</v>
      </c>
      <c r="B1777" s="67">
        <v>22530539880</v>
      </c>
      <c r="C1777" s="72" t="s">
        <v>2699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2700</v>
      </c>
      <c r="B1778" s="67">
        <v>22135571873</v>
      </c>
      <c r="C1778" s="72" t="s">
        <v>2701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2702</v>
      </c>
      <c r="B1779" s="67">
        <v>29928831823</v>
      </c>
      <c r="C1779" s="72" t="s">
        <v>2703</v>
      </c>
      <c r="D1779" s="69">
        <v>9500916428</v>
      </c>
      <c r="E1779" s="9">
        <v>810</v>
      </c>
      <c r="F1779" s="25">
        <v>42915</v>
      </c>
      <c r="G1779" s="70" t="s">
        <v>160</v>
      </c>
      <c r="H1779" s="9"/>
      <c r="I1779" s="8"/>
      <c r="J1779" s="8"/>
      <c r="K1779" s="8"/>
      <c r="L1779" s="9" t="s">
        <v>279</v>
      </c>
      <c r="M1779" s="8"/>
    </row>
    <row r="1780" spans="1:13" x14ac:dyDescent="0.25">
      <c r="A1780" s="72" t="s">
        <v>2704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2705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160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2706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2707</v>
      </c>
      <c r="B1783" s="67"/>
      <c r="C1783" s="29" t="s">
        <v>270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2708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160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2709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160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2710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160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2711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160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2712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160</v>
      </c>
      <c r="H1788" s="9"/>
      <c r="I1788" s="8"/>
      <c r="J1788" s="8"/>
      <c r="K1788" s="8"/>
      <c r="L1788" s="9" t="s">
        <v>279</v>
      </c>
      <c r="M1788" s="8"/>
    </row>
    <row r="1789" spans="1:13" x14ac:dyDescent="0.25">
      <c r="A1789" s="71" t="s">
        <v>2713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160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2714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160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2715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160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2716</v>
      </c>
      <c r="B1792" s="67">
        <v>29652104825</v>
      </c>
      <c r="C1792" s="68" t="s">
        <v>2717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2718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160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2719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2720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2721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160</v>
      </c>
      <c r="H1796" s="9"/>
      <c r="I1796" s="8"/>
      <c r="J1796" s="8"/>
      <c r="K1796" s="8"/>
      <c r="L1796" s="9" t="s">
        <v>643</v>
      </c>
      <c r="M1796" s="8"/>
    </row>
    <row r="1797" spans="1:13" x14ac:dyDescent="0.25">
      <c r="A1797" s="71" t="s">
        <v>2722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160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2723</v>
      </c>
      <c r="B1798" s="67">
        <v>6896659890</v>
      </c>
      <c r="C1798" s="29" t="s">
        <v>2724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2725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160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2726</v>
      </c>
      <c r="B1800" s="67">
        <v>60230380506</v>
      </c>
      <c r="C1800" s="72" t="s">
        <v>2727</v>
      </c>
      <c r="D1800" s="69">
        <v>30853536821</v>
      </c>
      <c r="E1800" s="9">
        <v>1570</v>
      </c>
      <c r="F1800" s="25">
        <v>43051</v>
      </c>
      <c r="G1800" s="70" t="s">
        <v>166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2728</v>
      </c>
      <c r="B1801" s="67">
        <v>44556393817</v>
      </c>
      <c r="C1801" s="72" t="s">
        <v>2729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2730</v>
      </c>
      <c r="B1802" s="67">
        <v>35780076847</v>
      </c>
      <c r="C1802" s="29" t="s">
        <v>2731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2732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160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2733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160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2734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2735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2736</v>
      </c>
      <c r="B1807" s="67">
        <v>8265497806</v>
      </c>
      <c r="C1807" s="18" t="s">
        <v>270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2737</v>
      </c>
      <c r="B1808" s="67">
        <v>27435732877</v>
      </c>
      <c r="C1808" s="29" t="s">
        <v>270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2738</v>
      </c>
      <c r="B1809" s="67">
        <v>17620421858</v>
      </c>
      <c r="C1809" s="72" t="s">
        <v>2739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2740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160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2741</v>
      </c>
      <c r="B1811" s="78" t="s">
        <v>2742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2743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160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2744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2745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2746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160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2747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440</v>
      </c>
      <c r="M1816" s="8"/>
    </row>
    <row r="1817" spans="1:13" x14ac:dyDescent="0.25">
      <c r="A1817" s="14" t="s">
        <v>2748</v>
      </c>
      <c r="B1817" s="67">
        <v>24655581883</v>
      </c>
      <c r="C1817" s="72" t="s">
        <v>2749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2750</v>
      </c>
      <c r="B1818" s="67">
        <v>6455171861</v>
      </c>
      <c r="C1818" s="72" t="s">
        <v>2751</v>
      </c>
      <c r="D1818" s="69">
        <v>34375910534</v>
      </c>
      <c r="E1818" s="9">
        <v>1417</v>
      </c>
      <c r="F1818" s="25">
        <v>43017</v>
      </c>
      <c r="G1818" s="70" t="s">
        <v>160</v>
      </c>
      <c r="H1818" s="9"/>
      <c r="I1818" s="8"/>
      <c r="J1818" s="8"/>
      <c r="K1818" s="8"/>
      <c r="L1818" s="9" t="s">
        <v>394</v>
      </c>
      <c r="M1818" s="8"/>
    </row>
    <row r="1819" spans="1:13" x14ac:dyDescent="0.25">
      <c r="A1819" s="71" t="s">
        <v>2752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160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2753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160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2754</v>
      </c>
      <c r="B1821" s="67">
        <v>16417318850</v>
      </c>
      <c r="C1821" s="72" t="s">
        <v>2755</v>
      </c>
      <c r="D1821" s="69">
        <v>18195940846</v>
      </c>
      <c r="E1821" s="9">
        <v>810</v>
      </c>
      <c r="F1821" s="25">
        <v>42915</v>
      </c>
      <c r="G1821" s="70" t="s">
        <v>166</v>
      </c>
      <c r="H1821" s="9"/>
      <c r="I1821" s="8"/>
      <c r="J1821" s="8"/>
      <c r="K1821" s="8"/>
      <c r="L1821" s="9" t="s">
        <v>279</v>
      </c>
      <c r="M1821" s="8"/>
    </row>
    <row r="1822" spans="1:13" x14ac:dyDescent="0.25">
      <c r="A1822" s="14" t="s">
        <v>2756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160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2757</v>
      </c>
      <c r="B1823" s="67">
        <v>14369207878</v>
      </c>
      <c r="C1823" s="72" t="s">
        <v>2758</v>
      </c>
      <c r="D1823" s="69">
        <v>7358923421</v>
      </c>
      <c r="E1823" s="9">
        <v>292</v>
      </c>
      <c r="F1823" s="25">
        <v>43168</v>
      </c>
      <c r="G1823" s="9" t="s">
        <v>160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2759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2759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2760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160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2761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2762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2763</v>
      </c>
      <c r="B1829" s="67" t="s">
        <v>2764</v>
      </c>
      <c r="C1829" s="72" t="s">
        <v>2765</v>
      </c>
      <c r="D1829" s="69">
        <v>43860821822</v>
      </c>
      <c r="E1829" s="9">
        <v>1752</v>
      </c>
      <c r="F1829" s="25">
        <v>43051</v>
      </c>
      <c r="G1829" s="70" t="s">
        <v>160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2763</v>
      </c>
      <c r="B1830" s="67"/>
      <c r="C1830" s="18" t="s">
        <v>270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2766</v>
      </c>
      <c r="B1831" s="67">
        <v>32969576856</v>
      </c>
      <c r="C1831" s="72" t="s">
        <v>2767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2768</v>
      </c>
      <c r="B1832" s="67">
        <v>23651706842</v>
      </c>
      <c r="C1832" s="18" t="s">
        <v>2769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2770</v>
      </c>
      <c r="B1833" s="67"/>
      <c r="C1833" s="29" t="s">
        <v>2771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2772</v>
      </c>
      <c r="B1834" s="67">
        <v>24891699809</v>
      </c>
      <c r="C1834" s="72" t="s">
        <v>2773</v>
      </c>
      <c r="D1834" s="69">
        <v>17610300861</v>
      </c>
      <c r="E1834" s="9">
        <v>262</v>
      </c>
      <c r="F1834" s="25">
        <v>43160</v>
      </c>
      <c r="G1834" s="70" t="s">
        <v>166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2774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160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2775</v>
      </c>
      <c r="B1836" s="67">
        <v>79465617687</v>
      </c>
      <c r="C1836" s="77" t="s">
        <v>2776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440</v>
      </c>
      <c r="M1836" s="8"/>
    </row>
    <row r="1837" spans="1:13" x14ac:dyDescent="0.25">
      <c r="A1837" s="29" t="s">
        <v>2777</v>
      </c>
      <c r="B1837" s="67"/>
      <c r="C1837" s="29" t="s">
        <v>270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2778</v>
      </c>
      <c r="B1838" s="67" t="s">
        <v>2779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2780</v>
      </c>
      <c r="B1839" s="67">
        <v>8545670893</v>
      </c>
      <c r="C1839" s="18" t="s">
        <v>2781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2780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160</v>
      </c>
      <c r="H1840" s="9"/>
      <c r="I1840" s="8"/>
      <c r="J1840" s="8"/>
      <c r="K1840" s="8"/>
      <c r="L1840" s="9" t="s">
        <v>279</v>
      </c>
      <c r="M1840" s="8"/>
    </row>
    <row r="1841" spans="1:13" x14ac:dyDescent="0.25">
      <c r="A1841" s="72" t="s">
        <v>2782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2783</v>
      </c>
      <c r="B1842" s="67"/>
      <c r="C1842" s="29" t="s">
        <v>270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2784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160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2785</v>
      </c>
      <c r="B1844" s="69">
        <v>84920157487</v>
      </c>
      <c r="C1844" s="71" t="s">
        <v>2786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2787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2788</v>
      </c>
      <c r="B1846" s="67">
        <v>35331745814</v>
      </c>
      <c r="C1846" s="75" t="s">
        <v>2789</v>
      </c>
      <c r="D1846" s="69">
        <v>33184459837</v>
      </c>
      <c r="E1846" s="9">
        <v>1106</v>
      </c>
      <c r="F1846" s="25">
        <v>42965</v>
      </c>
      <c r="G1846" s="70" t="s">
        <v>160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2790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160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2791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2792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160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2793</v>
      </c>
      <c r="B1850" s="67">
        <v>14686278805</v>
      </c>
      <c r="C1850" s="18" t="s">
        <v>270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2794</v>
      </c>
      <c r="B1851" s="67">
        <v>14857592851</v>
      </c>
      <c r="C1851" s="72" t="s">
        <v>2795</v>
      </c>
      <c r="D1851" s="69">
        <v>35142215885</v>
      </c>
      <c r="E1851" s="9">
        <v>1106</v>
      </c>
      <c r="F1851" s="25">
        <v>42965</v>
      </c>
      <c r="G1851" s="70" t="s">
        <v>160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2796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160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2797</v>
      </c>
      <c r="B1853" s="67">
        <v>35714112857</v>
      </c>
      <c r="C1853" s="72" t="s">
        <v>2798</v>
      </c>
      <c r="D1853" s="69">
        <v>32342783850</v>
      </c>
      <c r="E1853" s="9">
        <v>810</v>
      </c>
      <c r="F1853" s="25">
        <v>42915</v>
      </c>
      <c r="G1853" s="70" t="s">
        <v>160</v>
      </c>
      <c r="H1853" s="9"/>
      <c r="I1853" s="8"/>
      <c r="J1853" s="8"/>
      <c r="K1853" s="8"/>
      <c r="L1853" s="9" t="s">
        <v>279</v>
      </c>
      <c r="M1853" s="8"/>
    </row>
    <row r="1854" spans="1:13" x14ac:dyDescent="0.25">
      <c r="A1854" s="15" t="s">
        <v>2799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2800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160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2801</v>
      </c>
      <c r="B1856" s="67">
        <v>22009621859</v>
      </c>
      <c r="C1856" s="72" t="s">
        <v>2802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2803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160</v>
      </c>
      <c r="H1857" s="9"/>
      <c r="I1857" s="8"/>
      <c r="J1857" s="8"/>
      <c r="K1857" s="8"/>
      <c r="L1857" s="9" t="s">
        <v>279</v>
      </c>
      <c r="M1857" s="8"/>
    </row>
    <row r="1858" spans="1:13" x14ac:dyDescent="0.25">
      <c r="A1858" s="71" t="s">
        <v>2804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160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2805</v>
      </c>
      <c r="B1859" s="67">
        <v>32752183879</v>
      </c>
      <c r="C1859" s="72" t="s">
        <v>2806</v>
      </c>
      <c r="D1859" s="69">
        <v>15202346867</v>
      </c>
      <c r="E1859" s="9">
        <v>85</v>
      </c>
      <c r="F1859" s="25">
        <v>43109</v>
      </c>
      <c r="G1859" s="70" t="s">
        <v>160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2807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2808</v>
      </c>
      <c r="B1861" s="67">
        <v>13622732873</v>
      </c>
      <c r="C1861" s="68"/>
      <c r="D1861" s="69"/>
      <c r="E1861" s="9"/>
      <c r="F1861" s="25"/>
      <c r="G1861" s="70" t="s">
        <v>160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2809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2810</v>
      </c>
      <c r="B1863" s="67">
        <v>17094778813</v>
      </c>
      <c r="C1863" s="72" t="s">
        <v>2811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2812</v>
      </c>
      <c r="B1864" s="67"/>
      <c r="C1864" s="72" t="s">
        <v>2813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2814</v>
      </c>
      <c r="B1865" s="67">
        <v>43289674878</v>
      </c>
      <c r="C1865" s="72" t="s">
        <v>2815</v>
      </c>
      <c r="D1865" s="69">
        <v>39726735823</v>
      </c>
      <c r="E1865" s="9">
        <v>810</v>
      </c>
      <c r="F1865" s="25">
        <v>42915</v>
      </c>
      <c r="G1865" s="70" t="s">
        <v>160</v>
      </c>
      <c r="H1865" s="9"/>
      <c r="I1865" s="8"/>
      <c r="J1865" s="8"/>
      <c r="K1865" s="8"/>
      <c r="L1865" s="9" t="s">
        <v>279</v>
      </c>
      <c r="M1865" s="8"/>
    </row>
    <row r="1866" spans="1:13" x14ac:dyDescent="0.25">
      <c r="A1866" s="29" t="s">
        <v>2816</v>
      </c>
      <c r="B1866" s="67">
        <v>3778856812</v>
      </c>
      <c r="C1866" s="18" t="s">
        <v>270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2817</v>
      </c>
      <c r="B1867" s="67">
        <v>36074731888</v>
      </c>
      <c r="C1867" s="29" t="s">
        <v>270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2818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2819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160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2820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440</v>
      </c>
      <c r="M1870" s="8"/>
    </row>
    <row r="1871" spans="1:13" x14ac:dyDescent="0.25">
      <c r="A1871" s="71" t="s">
        <v>2821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2822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160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2823</v>
      </c>
      <c r="B1873" s="67">
        <v>35885861803</v>
      </c>
      <c r="C1873" s="72" t="s">
        <v>2824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2825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2826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160</v>
      </c>
      <c r="H1875" s="9"/>
      <c r="I1875" s="8"/>
      <c r="J1875" s="8"/>
      <c r="K1875" s="8"/>
      <c r="L1875" s="9" t="s">
        <v>279</v>
      </c>
      <c r="M1875" s="8"/>
    </row>
    <row r="1876" spans="1:13" x14ac:dyDescent="0.25">
      <c r="A1876" s="13" t="s">
        <v>2827</v>
      </c>
      <c r="B1876" s="67">
        <v>14888258821</v>
      </c>
      <c r="C1876" s="72" t="s">
        <v>2828</v>
      </c>
      <c r="D1876" s="69">
        <v>9173891827</v>
      </c>
      <c r="E1876" s="9">
        <v>229</v>
      </c>
      <c r="F1876" s="25">
        <v>43151</v>
      </c>
      <c r="G1876" s="70" t="s">
        <v>160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2829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160</v>
      </c>
      <c r="H1877" s="9"/>
      <c r="I1877" s="8"/>
      <c r="J1877" s="8"/>
      <c r="K1877" s="8"/>
      <c r="L1877" s="9" t="s">
        <v>643</v>
      </c>
      <c r="M1877" s="8"/>
    </row>
    <row r="1878" spans="1:13" x14ac:dyDescent="0.25">
      <c r="A1878" s="73" t="s">
        <v>2830</v>
      </c>
      <c r="B1878" s="67">
        <v>36238125870</v>
      </c>
      <c r="C1878" s="72" t="s">
        <v>2831</v>
      </c>
      <c r="D1878" s="69">
        <v>44321368391</v>
      </c>
      <c r="E1878" s="9">
        <v>1106</v>
      </c>
      <c r="F1878" s="25">
        <v>42965</v>
      </c>
      <c r="G1878" s="70" t="s">
        <v>160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2832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160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2833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2834</v>
      </c>
      <c r="B1881" s="67">
        <v>25970465836</v>
      </c>
      <c r="C1881" s="29" t="s">
        <v>2835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2836</v>
      </c>
      <c r="B1882" s="67">
        <v>26569869825</v>
      </c>
      <c r="C1882" s="15" t="s">
        <v>2837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2838</v>
      </c>
      <c r="B1883" s="67">
        <v>87835053349</v>
      </c>
      <c r="C1883" s="72" t="s">
        <v>2839</v>
      </c>
      <c r="D1883" s="69">
        <v>18172850840</v>
      </c>
      <c r="E1883" s="9">
        <v>1106</v>
      </c>
      <c r="F1883" s="25">
        <v>42965</v>
      </c>
      <c r="G1883" s="70" t="s">
        <v>160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2840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440</v>
      </c>
      <c r="M1884" s="8"/>
    </row>
    <row r="1885" spans="1:13" x14ac:dyDescent="0.25">
      <c r="A1885" s="72" t="s">
        <v>2841</v>
      </c>
      <c r="B1885" s="67">
        <v>32747471810</v>
      </c>
      <c r="C1885" s="72" t="s">
        <v>2842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2843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2844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160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2845</v>
      </c>
      <c r="B1888" s="67">
        <v>31413965822</v>
      </c>
      <c r="C1888" s="72" t="s">
        <v>2846</v>
      </c>
      <c r="D1888" s="69">
        <v>17486425882</v>
      </c>
      <c r="E1888" s="9">
        <v>1106</v>
      </c>
      <c r="F1888" s="25">
        <v>42965</v>
      </c>
      <c r="G1888" s="70" t="s">
        <v>160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2847</v>
      </c>
      <c r="B1889" s="67">
        <v>35736302861</v>
      </c>
      <c r="C1889" s="72" t="s">
        <v>2848</v>
      </c>
      <c r="D1889" s="69">
        <v>39355200854</v>
      </c>
      <c r="E1889" s="9">
        <v>229</v>
      </c>
      <c r="F1889" s="25">
        <v>43151</v>
      </c>
      <c r="G1889" s="70" t="s">
        <v>160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2849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160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2850</v>
      </c>
      <c r="B1891" s="67">
        <v>16364261825</v>
      </c>
      <c r="C1891" s="72" t="s">
        <v>2851</v>
      </c>
      <c r="D1891" s="69">
        <v>3293003427</v>
      </c>
      <c r="E1891" s="9">
        <v>117</v>
      </c>
      <c r="F1891" s="25">
        <v>43117</v>
      </c>
      <c r="G1891" s="70" t="s">
        <v>160</v>
      </c>
      <c r="H1891" s="9"/>
      <c r="I1891" s="8"/>
      <c r="J1891" s="8"/>
      <c r="K1891" s="8"/>
      <c r="L1891" s="9" t="s">
        <v>311</v>
      </c>
      <c r="M1891" s="8"/>
    </row>
    <row r="1892" spans="1:13" x14ac:dyDescent="0.25">
      <c r="A1892" s="84" t="s">
        <v>2852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2853</v>
      </c>
      <c r="B1893" s="67">
        <v>33729129856</v>
      </c>
      <c r="C1893" s="72" t="s">
        <v>2854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2855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160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2856</v>
      </c>
      <c r="B1895" s="67">
        <v>6579182458</v>
      </c>
      <c r="C1895" s="72" t="s">
        <v>2857</v>
      </c>
      <c r="D1895" s="69">
        <v>7424068490</v>
      </c>
      <c r="E1895" s="9">
        <v>810</v>
      </c>
      <c r="F1895" s="25">
        <v>42915</v>
      </c>
      <c r="G1895" s="70" t="s">
        <v>160</v>
      </c>
      <c r="H1895" s="9"/>
      <c r="I1895" s="8"/>
      <c r="J1895" s="8"/>
      <c r="K1895" s="8"/>
      <c r="L1895" s="9" t="s">
        <v>279</v>
      </c>
      <c r="M1895" s="8"/>
    </row>
    <row r="1896" spans="1:13" x14ac:dyDescent="0.25">
      <c r="A1896" s="71" t="s">
        <v>2858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2859</v>
      </c>
      <c r="B1897" s="67">
        <v>65195140553</v>
      </c>
      <c r="C1897" s="29" t="s">
        <v>270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2860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2860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160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2861</v>
      </c>
      <c r="B1900" s="67">
        <v>17146759806</v>
      </c>
      <c r="C1900" s="72" t="s">
        <v>2862</v>
      </c>
      <c r="D1900" s="69">
        <v>39095494896</v>
      </c>
      <c r="E1900" s="9">
        <v>1262</v>
      </c>
      <c r="F1900" s="25">
        <v>42997</v>
      </c>
      <c r="G1900" s="70" t="s">
        <v>166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2863</v>
      </c>
      <c r="B1901" s="67">
        <v>3893020403</v>
      </c>
      <c r="C1901" s="68" t="s">
        <v>2864</v>
      </c>
      <c r="D1901" s="69">
        <v>31615704809</v>
      </c>
      <c r="E1901" s="9">
        <v>1128</v>
      </c>
      <c r="F1901" s="25">
        <v>42972</v>
      </c>
      <c r="G1901" s="70" t="s">
        <v>160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2865</v>
      </c>
      <c r="B1902" s="67">
        <v>70116695404</v>
      </c>
      <c r="C1902" s="72" t="s">
        <v>2866</v>
      </c>
      <c r="D1902" s="69">
        <v>66319943491</v>
      </c>
      <c r="E1902" s="9">
        <v>1106</v>
      </c>
      <c r="F1902" s="25">
        <v>42965</v>
      </c>
      <c r="G1902" s="70" t="s">
        <v>160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2867</v>
      </c>
      <c r="B1903" s="67"/>
      <c r="C1903" s="29" t="s">
        <v>2868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2869</v>
      </c>
      <c r="B1904" s="67"/>
      <c r="C1904" s="29" t="s">
        <v>270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2870</v>
      </c>
      <c r="B1905" s="67"/>
      <c r="C1905" s="29" t="s">
        <v>2871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2872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160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2873</v>
      </c>
      <c r="B1907" s="67">
        <v>6936214436</v>
      </c>
      <c r="C1907" s="72" t="s">
        <v>2874</v>
      </c>
      <c r="D1907" s="69">
        <v>8583452423</v>
      </c>
      <c r="E1907" s="9">
        <v>85</v>
      </c>
      <c r="F1907" s="25">
        <v>43109</v>
      </c>
      <c r="G1907" s="70" t="s">
        <v>160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2875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160</v>
      </c>
      <c r="H1908" s="9"/>
      <c r="I1908" s="8"/>
      <c r="J1908" s="8"/>
      <c r="K1908" s="8"/>
      <c r="L1908" s="9" t="s">
        <v>279</v>
      </c>
      <c r="M1908" s="8"/>
    </row>
    <row r="1909" spans="1:13" x14ac:dyDescent="0.25">
      <c r="A1909" s="15" t="s">
        <v>2876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160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2877</v>
      </c>
      <c r="B1910" s="67">
        <v>35264817847</v>
      </c>
      <c r="C1910" s="29" t="s">
        <v>270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2878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2879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160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2880</v>
      </c>
      <c r="B1913" s="67">
        <v>90046226591</v>
      </c>
      <c r="C1913" s="72" t="s">
        <v>2881</v>
      </c>
      <c r="D1913" s="69">
        <v>74829505591</v>
      </c>
      <c r="E1913" s="9">
        <v>262</v>
      </c>
      <c r="F1913" s="25">
        <v>43160</v>
      </c>
      <c r="G1913" s="9" t="s">
        <v>160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2882</v>
      </c>
      <c r="B1914" s="67">
        <v>29871369867</v>
      </c>
      <c r="C1914" s="72" t="s">
        <v>2883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2884</v>
      </c>
      <c r="B1915" s="67">
        <v>26681571883</v>
      </c>
      <c r="C1915" s="71" t="s">
        <v>2885</v>
      </c>
      <c r="D1915" s="69">
        <v>18465693897</v>
      </c>
      <c r="E1915" s="9">
        <v>292</v>
      </c>
      <c r="F1915" s="25">
        <v>43168</v>
      </c>
      <c r="G1915" s="70" t="s">
        <v>160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2886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2887</v>
      </c>
      <c r="B1917" s="67">
        <v>26526680801</v>
      </c>
      <c r="C1917" s="68" t="s">
        <v>2888</v>
      </c>
      <c r="D1917" s="69">
        <v>7117205631</v>
      </c>
      <c r="E1917" s="9">
        <v>1128</v>
      </c>
      <c r="F1917" s="25">
        <v>42972</v>
      </c>
      <c r="G1917" s="70" t="s">
        <v>160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2889</v>
      </c>
      <c r="B1918" s="67">
        <v>67285902420</v>
      </c>
      <c r="C1918" s="72" t="s">
        <v>1657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440</v>
      </c>
      <c r="M1918" s="8"/>
    </row>
    <row r="1919" spans="1:13" x14ac:dyDescent="0.25">
      <c r="A1919" s="29" t="s">
        <v>2890</v>
      </c>
      <c r="B1919" s="67"/>
      <c r="C1919" s="18" t="s">
        <v>270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2891</v>
      </c>
      <c r="B1920" s="67">
        <v>1097111490</v>
      </c>
      <c r="C1920" s="77" t="s">
        <v>2892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440</v>
      </c>
      <c r="M1920" s="8"/>
    </row>
    <row r="1921" spans="1:13" x14ac:dyDescent="0.25">
      <c r="A1921" s="71" t="s">
        <v>2893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160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2894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160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2895</v>
      </c>
      <c r="B1923" s="67">
        <v>16756911856</v>
      </c>
      <c r="C1923" s="72" t="s">
        <v>2896</v>
      </c>
      <c r="D1923" s="69">
        <v>10411415808</v>
      </c>
      <c r="E1923" s="9">
        <v>1752</v>
      </c>
      <c r="F1923" s="25">
        <v>43051</v>
      </c>
      <c r="G1923" s="70" t="s">
        <v>160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2897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2898</v>
      </c>
      <c r="B1925" s="67"/>
      <c r="C1925" s="72" t="s">
        <v>2899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2900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166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2901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2902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160</v>
      </c>
      <c r="H1928" s="9"/>
      <c r="I1928" s="8"/>
      <c r="J1928" s="8"/>
      <c r="K1928" s="8"/>
      <c r="L1928" s="9" t="s">
        <v>643</v>
      </c>
      <c r="M1928" s="8"/>
    </row>
    <row r="1929" spans="1:13" x14ac:dyDescent="0.25">
      <c r="A1929" s="29" t="s">
        <v>2903</v>
      </c>
      <c r="B1929" s="67"/>
      <c r="C1929" s="29" t="s">
        <v>270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2904</v>
      </c>
      <c r="B1930" s="67"/>
      <c r="C1930" s="29" t="s">
        <v>2905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2906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160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2907</v>
      </c>
      <c r="B1932" s="67">
        <v>30900118830</v>
      </c>
      <c r="C1932" s="72" t="s">
        <v>2908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2909</v>
      </c>
      <c r="B1933" s="67">
        <v>64217299400</v>
      </c>
      <c r="C1933" s="18" t="s">
        <v>2910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2911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2912</v>
      </c>
      <c r="B1935" s="67">
        <v>95875409487</v>
      </c>
      <c r="C1935" s="72" t="s">
        <v>2913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2914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2915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160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2916</v>
      </c>
      <c r="B1938" s="67">
        <v>26655730325</v>
      </c>
      <c r="C1938" s="72" t="s">
        <v>2917</v>
      </c>
      <c r="D1938" s="69">
        <v>59222891520</v>
      </c>
      <c r="E1938" s="9">
        <v>262</v>
      </c>
      <c r="F1938" s="25">
        <v>43160</v>
      </c>
      <c r="G1938" s="70" t="s">
        <v>160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2918</v>
      </c>
      <c r="B1939" s="67">
        <v>15696788807</v>
      </c>
      <c r="C1939" s="72" t="s">
        <v>2919</v>
      </c>
      <c r="D1939" s="69">
        <v>4231184801</v>
      </c>
      <c r="E1939" s="9">
        <v>1555</v>
      </c>
      <c r="F1939" s="25">
        <v>43049</v>
      </c>
      <c r="G1939" s="70" t="s">
        <v>160</v>
      </c>
      <c r="H1939" s="9"/>
      <c r="I1939" s="8"/>
      <c r="J1939" s="8"/>
      <c r="K1939" s="8"/>
      <c r="L1939" s="9" t="s">
        <v>539</v>
      </c>
      <c r="M1939" s="8"/>
    </row>
    <row r="1940" spans="1:13" x14ac:dyDescent="0.25">
      <c r="A1940" s="71" t="s">
        <v>2920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166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2921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160</v>
      </c>
      <c r="H1941" s="9"/>
      <c r="I1941" s="8"/>
      <c r="J1941" s="8"/>
      <c r="K1941" s="8"/>
      <c r="L1941" s="9" t="s">
        <v>311</v>
      </c>
      <c r="M1941" s="8"/>
    </row>
    <row r="1942" spans="1:13" x14ac:dyDescent="0.25">
      <c r="A1942" s="71" t="s">
        <v>2922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160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2923</v>
      </c>
      <c r="B1943" s="67">
        <v>1280254688</v>
      </c>
      <c r="C1943" s="72" t="s">
        <v>2924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2925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160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2926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2927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2928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160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2929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2929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160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2929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160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2930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2931</v>
      </c>
      <c r="B1952" s="67">
        <v>33635659843</v>
      </c>
      <c r="C1952" s="29" t="s">
        <v>2932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2933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160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2933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440</v>
      </c>
      <c r="M1954" s="8"/>
    </row>
    <row r="1955" spans="1:13" x14ac:dyDescent="0.25">
      <c r="A1955" s="71" t="s">
        <v>2934</v>
      </c>
      <c r="B1955" s="67">
        <v>36841231880</v>
      </c>
      <c r="C1955" s="77" t="s">
        <v>2935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2936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160</v>
      </c>
      <c r="H1956" s="9"/>
      <c r="I1956" s="8"/>
      <c r="J1956" s="8"/>
      <c r="K1956" s="8"/>
      <c r="L1956" s="9" t="s">
        <v>301</v>
      </c>
      <c r="M1956" s="8"/>
    </row>
    <row r="1957" spans="1:13" x14ac:dyDescent="0.25">
      <c r="A1957" s="29" t="s">
        <v>2937</v>
      </c>
      <c r="B1957" s="67"/>
      <c r="C1957" s="29" t="s">
        <v>270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2938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160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2939</v>
      </c>
      <c r="B1959" s="67"/>
      <c r="C1959" s="29" t="s">
        <v>2940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2941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2942</v>
      </c>
      <c r="B1961" s="67">
        <v>64404714734</v>
      </c>
      <c r="C1961" s="29" t="s">
        <v>2943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2944</v>
      </c>
      <c r="B1962" s="67">
        <v>29783527878</v>
      </c>
      <c r="C1962" s="29" t="s">
        <v>2945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2946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160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2947</v>
      </c>
      <c r="B1964" s="67">
        <v>70155356372</v>
      </c>
      <c r="C1964" s="18" t="s">
        <v>2948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2949</v>
      </c>
      <c r="B1965" s="67">
        <v>4350125337</v>
      </c>
      <c r="C1965" s="72" t="s">
        <v>2950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2951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174</v>
      </c>
      <c r="H1966" s="9"/>
      <c r="I1966" s="8"/>
      <c r="J1966" s="8"/>
      <c r="K1966" s="8"/>
      <c r="L1966" s="9" t="s">
        <v>394</v>
      </c>
      <c r="M1966" s="8"/>
    </row>
    <row r="1967" spans="1:13" x14ac:dyDescent="0.25">
      <c r="A1967" s="72" t="s">
        <v>2952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160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2953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2954</v>
      </c>
      <c r="B1969" s="67"/>
      <c r="C1969" s="29" t="s">
        <v>270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2955</v>
      </c>
      <c r="B1970" s="67">
        <v>49628474812</v>
      </c>
      <c r="C1970" s="72" t="s">
        <v>2956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2957</v>
      </c>
      <c r="B1971" s="67">
        <v>37473032852</v>
      </c>
      <c r="C1971" s="72" t="s">
        <v>2958</v>
      </c>
      <c r="D1971" s="69">
        <v>21894541820</v>
      </c>
      <c r="E1971" s="9">
        <v>1824</v>
      </c>
      <c r="F1971" s="25">
        <v>43091</v>
      </c>
      <c r="G1971" s="70" t="s">
        <v>174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2959</v>
      </c>
      <c r="B1972" s="67">
        <v>36383878875</v>
      </c>
      <c r="C1972" s="72" t="s">
        <v>2960</v>
      </c>
      <c r="D1972" s="69">
        <v>39907872849</v>
      </c>
      <c r="E1972" s="9">
        <v>117</v>
      </c>
      <c r="F1972" s="25">
        <v>43117</v>
      </c>
      <c r="G1972" s="70" t="s">
        <v>166</v>
      </c>
      <c r="H1972" s="9"/>
      <c r="I1972" s="8"/>
      <c r="J1972" s="8"/>
      <c r="K1972" s="8"/>
      <c r="L1972" s="9" t="s">
        <v>311</v>
      </c>
      <c r="M1972" s="8"/>
    </row>
    <row r="1973" spans="1:13" x14ac:dyDescent="0.25">
      <c r="A1973" s="71" t="s">
        <v>2961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160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2962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160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2962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160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2962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160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2963</v>
      </c>
      <c r="B1977" s="80">
        <v>87102331487</v>
      </c>
      <c r="C1977" s="81" t="s">
        <v>2964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279</v>
      </c>
      <c r="M1977" s="49"/>
    </row>
    <row r="1978" spans="1:13" x14ac:dyDescent="0.25">
      <c r="A1978" s="15" t="s">
        <v>2965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160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2966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160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2967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160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2968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160</v>
      </c>
      <c r="H1981" s="9"/>
      <c r="I1981" s="8"/>
      <c r="J1981" s="8"/>
      <c r="K1981" s="8"/>
      <c r="L1981" s="9" t="s">
        <v>311</v>
      </c>
      <c r="M1981" s="8"/>
    </row>
    <row r="1982" spans="1:13" x14ac:dyDescent="0.25">
      <c r="A1982" s="71" t="s">
        <v>2969</v>
      </c>
      <c r="B1982" s="67">
        <v>18360384886</v>
      </c>
      <c r="C1982" s="72" t="s">
        <v>2970</v>
      </c>
      <c r="D1982" s="69">
        <v>28828648848</v>
      </c>
      <c r="E1982" s="9">
        <v>1214</v>
      </c>
      <c r="F1982" s="25">
        <v>42989</v>
      </c>
      <c r="G1982" s="70" t="s">
        <v>160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2971</v>
      </c>
      <c r="B1983" s="67">
        <v>8224204812</v>
      </c>
      <c r="C1983" s="72" t="s">
        <v>2972</v>
      </c>
      <c r="D1983" s="69">
        <v>5373139823</v>
      </c>
      <c r="E1983" s="9">
        <v>1752</v>
      </c>
      <c r="F1983" s="25">
        <v>43051</v>
      </c>
      <c r="G1983" s="70" t="s">
        <v>160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2973</v>
      </c>
      <c r="B1984" s="67">
        <v>61232386200</v>
      </c>
      <c r="C1984" s="72" t="s">
        <v>2974</v>
      </c>
      <c r="D1984" s="69">
        <v>30971900310</v>
      </c>
      <c r="E1984" s="9">
        <v>1267</v>
      </c>
      <c r="F1984" s="25">
        <v>42998</v>
      </c>
      <c r="G1984" s="70" t="s">
        <v>160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2975</v>
      </c>
      <c r="B1985" s="67">
        <v>68688210420</v>
      </c>
      <c r="C1985" s="32" t="s">
        <v>2976</v>
      </c>
      <c r="D1985" s="69">
        <v>3241531805</v>
      </c>
      <c r="E1985" s="9">
        <v>1570</v>
      </c>
      <c r="F1985" s="25">
        <v>43077</v>
      </c>
      <c r="G1985" s="70" t="s">
        <v>160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2977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160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2978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160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2979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2980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160</v>
      </c>
      <c r="H1989" s="9"/>
      <c r="I1989" s="8"/>
      <c r="J1989" s="8"/>
      <c r="K1989" s="8"/>
      <c r="L1989" s="9" t="s">
        <v>279</v>
      </c>
      <c r="M1989" s="8"/>
    </row>
    <row r="1990" spans="1:13" x14ac:dyDescent="0.25">
      <c r="A1990" s="71" t="s">
        <v>2981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160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2982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2983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2984</v>
      </c>
      <c r="B1993" s="67">
        <v>22566146896</v>
      </c>
      <c r="C1993" s="72" t="s">
        <v>2985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2986</v>
      </c>
      <c r="B1994" s="67">
        <v>27957199836</v>
      </c>
      <c r="C1994" s="72" t="s">
        <v>2987</v>
      </c>
      <c r="D1994" s="69">
        <v>14369564808</v>
      </c>
      <c r="E1994" s="9">
        <v>292</v>
      </c>
      <c r="F1994" s="25">
        <v>43168</v>
      </c>
      <c r="G1994" s="70" t="s">
        <v>160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2988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160</v>
      </c>
      <c r="H1995" s="9"/>
      <c r="I1995" s="8"/>
      <c r="J1995" s="8"/>
      <c r="K1995" s="8"/>
      <c r="L1995" s="9" t="s">
        <v>539</v>
      </c>
      <c r="M1995" s="8"/>
    </row>
    <row r="1996" spans="1:13" x14ac:dyDescent="0.25">
      <c r="A1996" s="18" t="s">
        <v>2989</v>
      </c>
      <c r="B1996" s="67"/>
      <c r="C1996" s="18" t="s">
        <v>2990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2991</v>
      </c>
      <c r="B1997" s="67">
        <v>12723195805</v>
      </c>
      <c r="C1997" s="72" t="s">
        <v>2992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2993</v>
      </c>
      <c r="B1998" s="67">
        <v>15731373833</v>
      </c>
      <c r="C1998" s="75" t="s">
        <v>2994</v>
      </c>
      <c r="D1998" s="69">
        <v>12858074801</v>
      </c>
      <c r="E1998" s="9">
        <v>1106</v>
      </c>
      <c r="F1998" s="25">
        <v>42965</v>
      </c>
      <c r="G1998" s="70" t="s">
        <v>166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2995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160</v>
      </c>
      <c r="H1999" s="9"/>
      <c r="I1999" s="8"/>
      <c r="J1999" s="8"/>
      <c r="K1999" s="8"/>
      <c r="L1999" s="9" t="s">
        <v>279</v>
      </c>
      <c r="M1999" s="8"/>
    </row>
    <row r="2000" spans="1:13" x14ac:dyDescent="0.25">
      <c r="A2000" s="71" t="s">
        <v>2996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2997</v>
      </c>
      <c r="B2001" s="67">
        <v>38402878806</v>
      </c>
      <c r="C2001" s="72" t="s">
        <v>2998</v>
      </c>
      <c r="D2001" s="69">
        <v>23700547862</v>
      </c>
      <c r="E2001" s="9">
        <v>262</v>
      </c>
      <c r="F2001" s="25">
        <v>43160</v>
      </c>
      <c r="G2001" s="9" t="s">
        <v>160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2999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3000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3001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3002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3003</v>
      </c>
      <c r="B2006" s="67">
        <v>27023833862</v>
      </c>
      <c r="C2006" s="29" t="s">
        <v>3004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3005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3006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160</v>
      </c>
      <c r="H2008" s="9"/>
      <c r="I2008" s="8"/>
      <c r="J2008" s="8"/>
      <c r="K2008" s="8"/>
      <c r="L2008" s="9" t="s">
        <v>311</v>
      </c>
      <c r="M2008" s="8"/>
    </row>
    <row r="2009" spans="1:13" x14ac:dyDescent="0.25">
      <c r="A2009" s="71" t="s">
        <v>3007</v>
      </c>
      <c r="B2009" s="67">
        <v>38815800344</v>
      </c>
      <c r="C2009" s="72" t="s">
        <v>3008</v>
      </c>
      <c r="D2009" s="69">
        <v>39085252334</v>
      </c>
      <c r="E2009" s="9">
        <v>85</v>
      </c>
      <c r="F2009" s="25">
        <v>43109</v>
      </c>
      <c r="G2009" s="70" t="s">
        <v>160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3009</v>
      </c>
      <c r="B2010" s="67">
        <v>36154299826</v>
      </c>
      <c r="C2010" s="72" t="s">
        <v>3010</v>
      </c>
      <c r="D2010" s="69">
        <v>34489273843</v>
      </c>
      <c r="E2010" s="9">
        <v>1267</v>
      </c>
      <c r="F2010" s="25">
        <v>42998</v>
      </c>
      <c r="G2010" s="70" t="s">
        <v>166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3011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160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3012</v>
      </c>
      <c r="B2012" s="67"/>
      <c r="C2012" s="18" t="s">
        <v>270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3013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3014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160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3015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160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3016</v>
      </c>
      <c r="B2016" s="67">
        <v>64174182434</v>
      </c>
      <c r="C2016" s="72" t="s">
        <v>3017</v>
      </c>
      <c r="D2016" s="69">
        <v>98105183587</v>
      </c>
      <c r="E2016" s="9">
        <v>262</v>
      </c>
      <c r="F2016" s="25">
        <v>43160</v>
      </c>
      <c r="G2016" s="70" t="s">
        <v>160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3018</v>
      </c>
      <c r="B2017" s="67">
        <v>4148505485</v>
      </c>
      <c r="C2017" s="29" t="s">
        <v>3019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3020</v>
      </c>
      <c r="B2018" s="67">
        <v>39364828372</v>
      </c>
      <c r="C2018" s="72" t="s">
        <v>3021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3022</v>
      </c>
      <c r="B2019" s="67">
        <v>82046042468</v>
      </c>
      <c r="C2019" s="72" t="s">
        <v>3023</v>
      </c>
      <c r="D2019" s="69">
        <v>88251098491</v>
      </c>
      <c r="E2019" s="9">
        <v>85</v>
      </c>
      <c r="F2019" s="25">
        <v>43109</v>
      </c>
      <c r="G2019" s="70" t="s">
        <v>160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3024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160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3025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160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3026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160</v>
      </c>
      <c r="H2022" s="9"/>
      <c r="I2022" s="8"/>
      <c r="J2022" s="8"/>
      <c r="K2022" s="8"/>
      <c r="L2022" s="9" t="s">
        <v>394</v>
      </c>
      <c r="M2022" s="8"/>
    </row>
    <row r="2023" spans="1:13" x14ac:dyDescent="0.25">
      <c r="A2023" s="72" t="s">
        <v>3027</v>
      </c>
      <c r="B2023" s="67">
        <v>37806851836</v>
      </c>
      <c r="C2023" s="72" t="s">
        <v>3028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3029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3030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3031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3032</v>
      </c>
      <c r="B2027" s="67">
        <v>27506021811</v>
      </c>
      <c r="C2027" s="72" t="s">
        <v>3033</v>
      </c>
      <c r="D2027" s="69">
        <v>13130281851</v>
      </c>
      <c r="E2027" s="9">
        <v>810</v>
      </c>
      <c r="F2027" s="25">
        <v>42915</v>
      </c>
      <c r="G2027" s="70" t="s">
        <v>160</v>
      </c>
      <c r="H2027" s="9"/>
      <c r="I2027" s="8"/>
      <c r="J2027" s="8"/>
      <c r="K2027" s="8"/>
      <c r="L2027" s="9" t="s">
        <v>279</v>
      </c>
      <c r="M2027" s="8"/>
    </row>
    <row r="2028" spans="1:13" x14ac:dyDescent="0.25">
      <c r="A2028" s="15" t="s">
        <v>3034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160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3035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160</v>
      </c>
      <c r="H2029" s="9"/>
      <c r="I2029" s="8"/>
      <c r="J2029" s="8"/>
      <c r="K2029" s="8"/>
      <c r="L2029" s="9" t="s">
        <v>394</v>
      </c>
      <c r="M2029" s="8"/>
    </row>
    <row r="2030" spans="1:13" x14ac:dyDescent="0.25">
      <c r="A2030" s="15" t="s">
        <v>3036</v>
      </c>
      <c r="B2030" s="67">
        <v>660919346</v>
      </c>
      <c r="C2030" s="72" t="s">
        <v>3037</v>
      </c>
      <c r="D2030" s="69">
        <v>296516384</v>
      </c>
      <c r="E2030" s="9">
        <v>262</v>
      </c>
      <c r="F2030" s="25">
        <v>43160</v>
      </c>
      <c r="G2030" s="70" t="s">
        <v>166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3038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160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3039</v>
      </c>
      <c r="B2032" s="67">
        <v>55075746500</v>
      </c>
      <c r="C2032" s="72" t="s">
        <v>3040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3041</v>
      </c>
      <c r="B2033" s="67">
        <v>34549590807</v>
      </c>
      <c r="C2033" s="72" t="s">
        <v>3042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3043</v>
      </c>
      <c r="B2034" s="67"/>
      <c r="C2034" s="18" t="s">
        <v>270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3044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3045</v>
      </c>
      <c r="B2036" s="67">
        <v>41292199873</v>
      </c>
      <c r="C2036" s="72" t="s">
        <v>3046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3047</v>
      </c>
      <c r="B2037" s="67"/>
      <c r="C2037" s="29" t="s">
        <v>270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3048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3049</v>
      </c>
      <c r="B2039" s="67">
        <v>42318039860</v>
      </c>
      <c r="C2039" s="72" t="s">
        <v>3050</v>
      </c>
      <c r="D2039" s="69">
        <v>23059375801</v>
      </c>
      <c r="E2039" s="9">
        <v>85</v>
      </c>
      <c r="F2039" s="25">
        <v>43109</v>
      </c>
      <c r="G2039" s="70" t="s">
        <v>160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3051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160</v>
      </c>
      <c r="H2040" s="9"/>
      <c r="I2040" s="8"/>
      <c r="J2040" s="8"/>
      <c r="K2040" s="8"/>
      <c r="L2040" s="9" t="s">
        <v>279</v>
      </c>
      <c r="M2040" s="8"/>
    </row>
    <row r="2041" spans="1:13" x14ac:dyDescent="0.25">
      <c r="A2041" s="71" t="s">
        <v>3052</v>
      </c>
      <c r="B2041" s="67">
        <v>2693234573</v>
      </c>
      <c r="C2041" s="71" t="s">
        <v>3053</v>
      </c>
      <c r="D2041" s="69">
        <v>36131987890</v>
      </c>
      <c r="E2041" s="9">
        <v>292</v>
      </c>
      <c r="F2041" s="25">
        <v>43168</v>
      </c>
      <c r="G2041" s="9" t="s">
        <v>160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3054</v>
      </c>
      <c r="B2042" s="67">
        <v>19677621807</v>
      </c>
      <c r="C2042" s="72" t="s">
        <v>3055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3056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160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3057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3058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160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3059</v>
      </c>
      <c r="B2046" s="67">
        <v>22583603825</v>
      </c>
      <c r="C2046" s="72" t="s">
        <v>3060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3061</v>
      </c>
      <c r="B2047" s="67">
        <v>14858077861</v>
      </c>
      <c r="C2047" s="15" t="s">
        <v>3062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3063</v>
      </c>
      <c r="B2048" s="67">
        <v>32291860879</v>
      </c>
      <c r="C2048" s="29" t="s">
        <v>3064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3065</v>
      </c>
      <c r="B2049" s="67">
        <v>76396126320</v>
      </c>
      <c r="C2049" s="72" t="s">
        <v>3066</v>
      </c>
      <c r="D2049" s="69">
        <v>62133390510</v>
      </c>
      <c r="E2049" s="9">
        <v>1262</v>
      </c>
      <c r="F2049" s="25">
        <v>42997</v>
      </c>
      <c r="G2049" s="70" t="s">
        <v>160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3067</v>
      </c>
      <c r="B2050" s="67">
        <v>34303186880</v>
      </c>
      <c r="C2050" s="72" t="s">
        <v>3068</v>
      </c>
      <c r="D2050" s="69">
        <v>39695431852</v>
      </c>
      <c r="E2050" s="9">
        <v>1570</v>
      </c>
      <c r="F2050" s="25">
        <v>43077</v>
      </c>
      <c r="G2050" s="70" t="s">
        <v>160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3069</v>
      </c>
      <c r="B2051" s="67">
        <v>14331980880</v>
      </c>
      <c r="C2051" s="8" t="s">
        <v>3070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3069</v>
      </c>
      <c r="B2052" s="67">
        <v>14331980880</v>
      </c>
      <c r="C2052" s="77" t="s">
        <v>3070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3071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3072</v>
      </c>
      <c r="B2054" s="67"/>
      <c r="C2054" s="29" t="s">
        <v>3073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3074</v>
      </c>
      <c r="B2055" s="67">
        <v>31662836848</v>
      </c>
      <c r="C2055" s="72" t="s">
        <v>3075</v>
      </c>
      <c r="D2055" s="69">
        <v>12871784809</v>
      </c>
      <c r="E2055" s="9">
        <v>1570</v>
      </c>
      <c r="F2055" s="25">
        <v>43077</v>
      </c>
      <c r="G2055" s="70" t="s">
        <v>160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3076</v>
      </c>
      <c r="B2056" s="67">
        <v>39000389372</v>
      </c>
      <c r="C2056" s="72" t="s">
        <v>3077</v>
      </c>
      <c r="D2056" s="69">
        <v>14683732858</v>
      </c>
      <c r="E2056" s="9">
        <v>1417</v>
      </c>
      <c r="F2056" s="25">
        <v>43017</v>
      </c>
      <c r="G2056" s="70" t="s">
        <v>160</v>
      </c>
      <c r="H2056" s="9"/>
      <c r="I2056" s="8"/>
      <c r="J2056" s="8"/>
      <c r="K2056" s="8"/>
      <c r="L2056" s="9" t="s">
        <v>394</v>
      </c>
      <c r="M2056" s="8"/>
    </row>
    <row r="2057" spans="1:13" x14ac:dyDescent="0.25">
      <c r="A2057" s="18" t="s">
        <v>3078</v>
      </c>
      <c r="B2057" s="67">
        <v>10349044856</v>
      </c>
      <c r="C2057" s="18" t="s">
        <v>2349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3079</v>
      </c>
      <c r="B2058" s="67">
        <v>25058845873</v>
      </c>
      <c r="C2058" s="71" t="s">
        <v>3080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3081</v>
      </c>
      <c r="B2059" s="67"/>
      <c r="C2059" s="29" t="s">
        <v>3082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3083</v>
      </c>
      <c r="B2060" s="67">
        <v>5088717431</v>
      </c>
      <c r="C2060" s="72" t="s">
        <v>3084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440</v>
      </c>
      <c r="M2060" s="8"/>
    </row>
    <row r="2061" spans="1:13" x14ac:dyDescent="0.25">
      <c r="A2061" s="13" t="s">
        <v>3085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160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3086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3087</v>
      </c>
      <c r="B2063" s="67">
        <v>33517044881</v>
      </c>
      <c r="C2063" s="72" t="s">
        <v>3088</v>
      </c>
      <c r="D2063" s="69">
        <v>28076571847</v>
      </c>
      <c r="E2063" s="9">
        <v>85</v>
      </c>
      <c r="F2063" s="25">
        <v>43109</v>
      </c>
      <c r="G2063" s="93" t="s">
        <v>166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3089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160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3090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3091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160</v>
      </c>
      <c r="H2066" s="9"/>
      <c r="I2066" s="8"/>
      <c r="J2066" s="8"/>
      <c r="K2066" s="8"/>
      <c r="L2066" s="9" t="s">
        <v>539</v>
      </c>
      <c r="M2066" s="8"/>
    </row>
    <row r="2067" spans="1:13" x14ac:dyDescent="0.25">
      <c r="A2067" s="71" t="s">
        <v>3092</v>
      </c>
      <c r="B2067" s="67">
        <v>16488724843</v>
      </c>
      <c r="C2067" s="73" t="s">
        <v>3093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3094</v>
      </c>
      <c r="B2068" s="67">
        <v>22230898876</v>
      </c>
      <c r="C2068" s="18" t="s">
        <v>270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3095</v>
      </c>
      <c r="B2069" s="67">
        <v>1218219866</v>
      </c>
      <c r="C2069" s="18" t="s">
        <v>270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3096</v>
      </c>
      <c r="B2070" s="67">
        <v>75696312772</v>
      </c>
      <c r="C2070" s="77" t="s">
        <v>3097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3098</v>
      </c>
      <c r="B2071" s="67">
        <v>12772099873</v>
      </c>
      <c r="C2071" s="29" t="s">
        <v>3099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3100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440</v>
      </c>
      <c r="M2072" s="8"/>
    </row>
    <row r="2073" spans="1:13" x14ac:dyDescent="0.25">
      <c r="A2073" s="18" t="s">
        <v>558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558</v>
      </c>
      <c r="B2074" s="67">
        <v>40312801491</v>
      </c>
      <c r="C2074" s="72" t="s">
        <v>3101</v>
      </c>
      <c r="D2074" s="69">
        <v>36270235823</v>
      </c>
      <c r="E2074" s="9">
        <v>810</v>
      </c>
      <c r="F2074" s="25">
        <v>42915</v>
      </c>
      <c r="G2074" s="70" t="s">
        <v>160</v>
      </c>
      <c r="H2074" s="9"/>
      <c r="I2074" s="8"/>
      <c r="J2074" s="8"/>
      <c r="K2074" s="8"/>
      <c r="L2074" s="9" t="s">
        <v>279</v>
      </c>
      <c r="M2074" s="8"/>
    </row>
    <row r="2075" spans="1:13" x14ac:dyDescent="0.25">
      <c r="A2075" s="71" t="s">
        <v>558</v>
      </c>
      <c r="B2075" s="67">
        <v>13016641895</v>
      </c>
      <c r="C2075" s="72" t="s">
        <v>3102</v>
      </c>
      <c r="D2075" s="69">
        <v>2681565731</v>
      </c>
      <c r="E2075" s="9">
        <v>810</v>
      </c>
      <c r="F2075" s="25">
        <v>42915</v>
      </c>
      <c r="G2075" s="70" t="s">
        <v>160</v>
      </c>
      <c r="H2075" s="9"/>
      <c r="I2075" s="8"/>
      <c r="J2075" s="8"/>
      <c r="K2075" s="8"/>
      <c r="L2075" s="9" t="s">
        <v>279</v>
      </c>
      <c r="M2075" s="8"/>
    </row>
    <row r="2076" spans="1:13" x14ac:dyDescent="0.25">
      <c r="A2076" s="71" t="s">
        <v>3103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3104</v>
      </c>
      <c r="B2077" s="67">
        <v>18472653838</v>
      </c>
      <c r="C2077" s="72" t="s">
        <v>3105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3106</v>
      </c>
      <c r="B2078" s="67"/>
      <c r="C2078" s="18" t="s">
        <v>270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3107</v>
      </c>
      <c r="B2079" s="67">
        <v>21531362885</v>
      </c>
      <c r="C2079" s="72" t="s">
        <v>3108</v>
      </c>
      <c r="D2079" s="69">
        <v>27454333850</v>
      </c>
      <c r="E2079" s="9">
        <v>117</v>
      </c>
      <c r="F2079" s="25">
        <v>43117</v>
      </c>
      <c r="G2079" s="70" t="s">
        <v>160</v>
      </c>
      <c r="H2079" s="9"/>
      <c r="I2079" s="8"/>
      <c r="J2079" s="8"/>
      <c r="K2079" s="8"/>
      <c r="L2079" s="9" t="s">
        <v>311</v>
      </c>
      <c r="M2079" s="8"/>
    </row>
    <row r="2080" spans="1:13" x14ac:dyDescent="0.25">
      <c r="A2080" s="13" t="s">
        <v>3107</v>
      </c>
      <c r="B2080" s="67">
        <v>35537854899</v>
      </c>
      <c r="C2080" s="72" t="s">
        <v>3109</v>
      </c>
      <c r="D2080" s="69">
        <v>35365081897</v>
      </c>
      <c r="E2080" s="9">
        <v>1128</v>
      </c>
      <c r="F2080" s="25">
        <v>42972</v>
      </c>
      <c r="G2080" s="70" t="s">
        <v>160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3110</v>
      </c>
      <c r="B2081" s="67"/>
      <c r="C2081" s="29" t="s">
        <v>3111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3112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160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3113</v>
      </c>
      <c r="B2083" s="67">
        <v>35483702840</v>
      </c>
      <c r="C2083" s="72" t="s">
        <v>3114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3115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160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3116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440</v>
      </c>
      <c r="M2085" s="8"/>
    </row>
    <row r="2086" spans="1:13" x14ac:dyDescent="0.25">
      <c r="A2086" s="72" t="s">
        <v>3117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3118</v>
      </c>
      <c r="B2087" s="67">
        <v>3322258440</v>
      </c>
      <c r="C2087" s="18" t="s">
        <v>3119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3120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3121</v>
      </c>
      <c r="B2089" s="67"/>
      <c r="C2089" s="18" t="s">
        <v>270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3122</v>
      </c>
      <c r="B2090" s="67">
        <v>25564758897</v>
      </c>
      <c r="C2090" s="72" t="s">
        <v>3123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3124</v>
      </c>
      <c r="B2091" s="67">
        <v>9722276875</v>
      </c>
      <c r="C2091" s="72" t="s">
        <v>3125</v>
      </c>
      <c r="D2091" s="69">
        <v>7777516825</v>
      </c>
      <c r="E2091" s="9">
        <v>810</v>
      </c>
      <c r="F2091" s="25">
        <v>42915</v>
      </c>
      <c r="G2091" s="70" t="s">
        <v>160</v>
      </c>
      <c r="H2091" s="9"/>
      <c r="I2091" s="8"/>
      <c r="J2091" s="8"/>
      <c r="K2091" s="8"/>
      <c r="L2091" s="9" t="s">
        <v>279</v>
      </c>
      <c r="M2091" s="8"/>
    </row>
    <row r="2092" spans="1:13" x14ac:dyDescent="0.25">
      <c r="A2092" s="71" t="s">
        <v>3126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3127</v>
      </c>
      <c r="B2093" s="67">
        <v>27192176893</v>
      </c>
      <c r="C2093" s="68" t="s">
        <v>3128</v>
      </c>
      <c r="D2093" s="69">
        <v>8367664825</v>
      </c>
      <c r="E2093" s="9">
        <v>608</v>
      </c>
      <c r="F2093" s="25">
        <v>43012</v>
      </c>
      <c r="G2093" s="70" t="s">
        <v>160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3129</v>
      </c>
      <c r="B2094" s="67">
        <v>16514255825</v>
      </c>
      <c r="C2094" s="18" t="s">
        <v>3130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3131</v>
      </c>
      <c r="B2095" s="67">
        <v>4809644324</v>
      </c>
      <c r="C2095" s="72" t="s">
        <v>3132</v>
      </c>
      <c r="D2095" s="69">
        <v>31827963808</v>
      </c>
      <c r="E2095" s="9">
        <v>1214</v>
      </c>
      <c r="F2095" s="25">
        <v>42989</v>
      </c>
      <c r="G2095" s="70" t="s">
        <v>160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3133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160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3134</v>
      </c>
      <c r="B2097" s="67">
        <v>11894918428</v>
      </c>
      <c r="C2097" s="72" t="s">
        <v>3135</v>
      </c>
      <c r="D2097" s="69">
        <v>37623185810</v>
      </c>
      <c r="E2097" s="9">
        <v>810</v>
      </c>
      <c r="F2097" s="25">
        <v>42915</v>
      </c>
      <c r="G2097" s="70" t="s">
        <v>160</v>
      </c>
      <c r="H2097" s="9"/>
      <c r="I2097" s="8"/>
      <c r="J2097" s="8"/>
      <c r="K2097" s="8"/>
      <c r="L2097" s="9" t="s">
        <v>279</v>
      </c>
      <c r="M2097" s="8"/>
    </row>
    <row r="2098" spans="1:13" x14ac:dyDescent="0.25">
      <c r="A2098" s="15" t="s">
        <v>3136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160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3137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3138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440</v>
      </c>
      <c r="M2100" s="8"/>
    </row>
    <row r="2101" spans="1:13" x14ac:dyDescent="0.25">
      <c r="A2101" s="15" t="s">
        <v>3139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3140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160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3141</v>
      </c>
      <c r="B2103" s="67"/>
      <c r="C2103" s="29" t="s">
        <v>270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3142</v>
      </c>
      <c r="B2104" s="67">
        <v>4241745377</v>
      </c>
      <c r="C2104" s="72" t="s">
        <v>3143</v>
      </c>
      <c r="D2104" s="69">
        <v>4417028303</v>
      </c>
      <c r="E2104" s="9">
        <v>85</v>
      </c>
      <c r="F2104" s="25">
        <v>43109</v>
      </c>
      <c r="G2104" s="70" t="s">
        <v>160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3144</v>
      </c>
      <c r="B2105" s="67"/>
      <c r="C2105" s="29" t="s">
        <v>3145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3146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160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3147</v>
      </c>
      <c r="B2107" s="67">
        <v>2182682708</v>
      </c>
      <c r="C2107" s="72" t="s">
        <v>3148</v>
      </c>
      <c r="D2107" s="69">
        <v>1409950727</v>
      </c>
      <c r="E2107" s="9">
        <v>810</v>
      </c>
      <c r="F2107" s="25">
        <v>42915</v>
      </c>
      <c r="G2107" s="70" t="s">
        <v>174</v>
      </c>
      <c r="H2107" s="9"/>
      <c r="I2107" s="8"/>
      <c r="J2107" s="8"/>
      <c r="K2107" s="8"/>
      <c r="L2107" s="9" t="s">
        <v>279</v>
      </c>
      <c r="M2107" s="8"/>
    </row>
    <row r="2108" spans="1:13" x14ac:dyDescent="0.25">
      <c r="A2108" s="71" t="s">
        <v>3149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3150</v>
      </c>
      <c r="B2109" s="67">
        <v>11694151808</v>
      </c>
      <c r="C2109" s="72" t="s">
        <v>3151</v>
      </c>
      <c r="D2109" s="69">
        <v>29721167800</v>
      </c>
      <c r="E2109" s="9">
        <v>485</v>
      </c>
      <c r="F2109" s="25">
        <v>43196</v>
      </c>
      <c r="G2109" s="70" t="s">
        <v>166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3152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160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3153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3154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160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3155</v>
      </c>
      <c r="B2113" s="67">
        <v>24613427843</v>
      </c>
      <c r="C2113" s="72" t="s">
        <v>3156</v>
      </c>
      <c r="D2113" s="69">
        <v>6003706821</v>
      </c>
      <c r="E2113" s="9">
        <v>810</v>
      </c>
      <c r="F2113" s="25">
        <v>42915</v>
      </c>
      <c r="G2113" s="70" t="s">
        <v>160</v>
      </c>
      <c r="H2113" s="76">
        <v>43213</v>
      </c>
      <c r="I2113" s="8"/>
      <c r="J2113" s="8"/>
      <c r="K2113" s="8"/>
      <c r="L2113" s="9" t="s">
        <v>279</v>
      </c>
      <c r="M2113" s="8"/>
    </row>
    <row r="2114" spans="1:13" x14ac:dyDescent="0.25">
      <c r="A2114" s="72" t="s">
        <v>3157</v>
      </c>
      <c r="B2114" s="67">
        <v>61234508400</v>
      </c>
      <c r="C2114" s="72" t="s">
        <v>3158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3159</v>
      </c>
      <c r="B2115" s="67"/>
      <c r="C2115" s="18" t="s">
        <v>270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3160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160</v>
      </c>
      <c r="H2116" s="76">
        <v>43213</v>
      </c>
      <c r="I2116" s="8"/>
      <c r="J2116" s="8"/>
      <c r="K2116" s="8"/>
      <c r="L2116" s="9" t="s">
        <v>279</v>
      </c>
      <c r="M2116" s="8"/>
    </row>
    <row r="2117" spans="1:13" x14ac:dyDescent="0.25">
      <c r="A2117" s="71" t="s">
        <v>3161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174</v>
      </c>
      <c r="H2117" s="76">
        <v>43213</v>
      </c>
      <c r="I2117" s="8"/>
      <c r="J2117" s="8"/>
      <c r="K2117" s="8"/>
      <c r="L2117" s="9" t="s">
        <v>539</v>
      </c>
      <c r="M2117" s="8"/>
    </row>
    <row r="2118" spans="1:13" x14ac:dyDescent="0.25">
      <c r="A2118" s="71" t="s">
        <v>3162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3163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3164</v>
      </c>
      <c r="B2120" s="67">
        <v>3493507364</v>
      </c>
      <c r="C2120" s="72" t="s">
        <v>3165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3166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160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3167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160</v>
      </c>
      <c r="H2122" s="9"/>
      <c r="I2122" s="8"/>
      <c r="J2122" s="8"/>
      <c r="K2122" s="8"/>
      <c r="L2122" s="9" t="s">
        <v>279</v>
      </c>
      <c r="M2122" s="8"/>
    </row>
    <row r="2123" spans="1:13" x14ac:dyDescent="0.25">
      <c r="A2123" s="71" t="s">
        <v>3168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3169</v>
      </c>
      <c r="B2124" s="67">
        <v>31365484858</v>
      </c>
      <c r="C2124" s="71" t="s">
        <v>3170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3171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160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3172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160</v>
      </c>
      <c r="H2126" s="9"/>
      <c r="I2126" s="8"/>
      <c r="J2126" s="8"/>
      <c r="K2126" s="8"/>
      <c r="L2126" s="9" t="s">
        <v>279</v>
      </c>
      <c r="M2126" s="8"/>
    </row>
    <row r="2127" spans="1:13" x14ac:dyDescent="0.25">
      <c r="A2127" s="14" t="s">
        <v>3173</v>
      </c>
      <c r="B2127" s="67">
        <v>69813043504</v>
      </c>
      <c r="C2127" s="72" t="s">
        <v>3174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3175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3176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160</v>
      </c>
      <c r="H2129" s="9"/>
      <c r="I2129" s="8"/>
      <c r="J2129" s="8"/>
      <c r="K2129" s="8"/>
      <c r="L2129" s="9" t="s">
        <v>311</v>
      </c>
      <c r="M2129" s="8"/>
    </row>
    <row r="2130" spans="1:13" x14ac:dyDescent="0.25">
      <c r="A2130" s="18" t="s">
        <v>3177</v>
      </c>
      <c r="B2130" s="67">
        <v>15800175845</v>
      </c>
      <c r="C2130" s="18" t="s">
        <v>3178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3179</v>
      </c>
      <c r="B2131" s="67">
        <v>13018290801</v>
      </c>
      <c r="C2131" s="72" t="s">
        <v>3180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3181</v>
      </c>
      <c r="B2132" s="67">
        <v>61505078318</v>
      </c>
      <c r="C2132" s="18" t="s">
        <v>3182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3183</v>
      </c>
      <c r="B2133" s="67">
        <v>6097323824</v>
      </c>
      <c r="C2133" s="72" t="s">
        <v>3184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3185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160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3186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160</v>
      </c>
      <c r="H2135" s="76">
        <v>43213</v>
      </c>
      <c r="I2135" s="8"/>
      <c r="J2135" s="8"/>
      <c r="K2135" s="8"/>
      <c r="L2135" s="9" t="s">
        <v>279</v>
      </c>
      <c r="M2135" s="8"/>
    </row>
    <row r="2136" spans="1:13" x14ac:dyDescent="0.25">
      <c r="A2136" s="71" t="s">
        <v>3187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160</v>
      </c>
      <c r="H2136" s="76">
        <v>43213</v>
      </c>
      <c r="I2136" s="8"/>
      <c r="J2136" s="8"/>
      <c r="K2136" s="8"/>
      <c r="L2136" s="9" t="s">
        <v>279</v>
      </c>
      <c r="M2136" s="8"/>
    </row>
    <row r="2137" spans="1:13" x14ac:dyDescent="0.25">
      <c r="A2137" s="71" t="s">
        <v>3188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160</v>
      </c>
      <c r="H2137" s="76">
        <v>43213</v>
      </c>
      <c r="I2137" s="8"/>
      <c r="J2137" s="8"/>
      <c r="K2137" s="8"/>
      <c r="L2137" s="9" t="s">
        <v>279</v>
      </c>
      <c r="M2137" s="8"/>
    </row>
    <row r="2138" spans="1:13" x14ac:dyDescent="0.25">
      <c r="A2138" s="71" t="s">
        <v>3189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3190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160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3191</v>
      </c>
      <c r="B2140" s="67">
        <v>33005130819</v>
      </c>
      <c r="C2140" s="72" t="s">
        <v>3192</v>
      </c>
      <c r="D2140" s="69">
        <v>29843431820</v>
      </c>
      <c r="E2140" s="9">
        <v>117</v>
      </c>
      <c r="F2140" s="25">
        <v>43117</v>
      </c>
      <c r="G2140" s="70" t="s">
        <v>160</v>
      </c>
      <c r="H2140" s="76">
        <v>43213</v>
      </c>
      <c r="I2140" s="8"/>
      <c r="J2140" s="8"/>
      <c r="K2140" s="8"/>
      <c r="L2140" s="9" t="s">
        <v>311</v>
      </c>
      <c r="M2140" s="8"/>
    </row>
    <row r="2141" spans="1:13" x14ac:dyDescent="0.25">
      <c r="A2141" s="71" t="s">
        <v>3193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160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3194</v>
      </c>
      <c r="B2142" s="67">
        <v>42840674866</v>
      </c>
      <c r="C2142" s="72" t="s">
        <v>3195</v>
      </c>
      <c r="D2142" s="69">
        <v>33066015866</v>
      </c>
      <c r="E2142" s="9">
        <v>117</v>
      </c>
      <c r="F2142" s="25">
        <v>43117</v>
      </c>
      <c r="G2142" s="70" t="s">
        <v>160</v>
      </c>
      <c r="H2142" s="9"/>
      <c r="I2142" s="8"/>
      <c r="J2142" s="8"/>
      <c r="K2142" s="8"/>
      <c r="L2142" s="9" t="s">
        <v>311</v>
      </c>
      <c r="M2142" s="8"/>
    </row>
    <row r="2143" spans="1:13" x14ac:dyDescent="0.25">
      <c r="A2143" s="71" t="s">
        <v>3196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3197</v>
      </c>
      <c r="B2144" s="67">
        <v>2312065851</v>
      </c>
      <c r="C2144" s="73" t="s">
        <v>3198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3199</v>
      </c>
      <c r="B2145" s="67">
        <v>48549010472</v>
      </c>
      <c r="C2145" s="72" t="s">
        <v>3200</v>
      </c>
      <c r="D2145" s="69">
        <v>7796014830</v>
      </c>
      <c r="E2145" s="9">
        <v>1267</v>
      </c>
      <c r="F2145" s="25">
        <v>42998</v>
      </c>
      <c r="G2145" s="70" t="s">
        <v>160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3201</v>
      </c>
      <c r="B2146" s="67"/>
      <c r="C2146" s="18" t="s">
        <v>270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3201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3202</v>
      </c>
      <c r="B2148" s="67">
        <v>38348922890</v>
      </c>
      <c r="C2148" s="72" t="s">
        <v>3203</v>
      </c>
      <c r="D2148" s="69">
        <v>22580367802</v>
      </c>
      <c r="E2148" s="9">
        <v>810</v>
      </c>
      <c r="F2148" s="25">
        <v>42915</v>
      </c>
      <c r="G2148" s="70" t="s">
        <v>160</v>
      </c>
      <c r="H2148" s="9"/>
      <c r="I2148" s="8"/>
      <c r="J2148" s="8"/>
      <c r="K2148" s="8"/>
      <c r="L2148" s="9" t="s">
        <v>279</v>
      </c>
      <c r="M2148" s="8"/>
    </row>
    <row r="2149" spans="1:13" x14ac:dyDescent="0.25">
      <c r="A2149" s="72" t="s">
        <v>3204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160</v>
      </c>
      <c r="H2149" s="9"/>
      <c r="I2149" s="8"/>
      <c r="J2149" s="8"/>
      <c r="K2149" s="8"/>
      <c r="L2149" s="9" t="s">
        <v>311</v>
      </c>
      <c r="M2149" s="8"/>
    </row>
    <row r="2150" spans="1:13" x14ac:dyDescent="0.25">
      <c r="A2150" s="71" t="s">
        <v>3205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3206</v>
      </c>
      <c r="B2151" s="67">
        <v>36691354800</v>
      </c>
      <c r="C2151" s="72" t="s">
        <v>3207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3208</v>
      </c>
      <c r="B2152" s="67">
        <v>2599679559</v>
      </c>
      <c r="C2152" s="72" t="s">
        <v>3209</v>
      </c>
      <c r="D2152" s="69">
        <v>99002051549</v>
      </c>
      <c r="E2152" s="9">
        <v>1824</v>
      </c>
      <c r="F2152" s="25">
        <v>43091</v>
      </c>
      <c r="G2152" s="70" t="s">
        <v>174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3210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3211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160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3212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160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3213</v>
      </c>
      <c r="B2156" s="67">
        <v>94813078591</v>
      </c>
      <c r="C2156" s="18" t="s">
        <v>3214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3215</v>
      </c>
      <c r="B2157" s="67">
        <v>6522038846</v>
      </c>
      <c r="C2157" s="72" t="s">
        <v>3216</v>
      </c>
      <c r="D2157" s="69">
        <v>390582808</v>
      </c>
      <c r="E2157" s="9">
        <v>292</v>
      </c>
      <c r="F2157" s="25">
        <v>43168</v>
      </c>
      <c r="G2157" s="70" t="s">
        <v>160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3217</v>
      </c>
      <c r="B2158" s="67">
        <v>70986847402</v>
      </c>
      <c r="C2158" s="72" t="s">
        <v>3218</v>
      </c>
      <c r="D2158" s="69">
        <v>39640099899</v>
      </c>
      <c r="E2158" s="9">
        <v>229</v>
      </c>
      <c r="F2158" s="25">
        <v>43151</v>
      </c>
      <c r="G2158" s="70" t="s">
        <v>160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3219</v>
      </c>
      <c r="B2159" s="67">
        <v>37737032878</v>
      </c>
      <c r="C2159" s="72" t="s">
        <v>3220</v>
      </c>
      <c r="D2159" s="69">
        <v>24659778819</v>
      </c>
      <c r="E2159" s="9">
        <v>1417</v>
      </c>
      <c r="F2159" s="25">
        <v>43017</v>
      </c>
      <c r="G2159" s="70" t="s">
        <v>166</v>
      </c>
      <c r="H2159" s="9"/>
      <c r="I2159" s="8"/>
      <c r="J2159" s="8"/>
      <c r="K2159" s="8"/>
      <c r="L2159" s="9" t="s">
        <v>394</v>
      </c>
      <c r="M2159" s="8"/>
    </row>
    <row r="2160" spans="1:13" x14ac:dyDescent="0.25">
      <c r="A2160" s="71" t="s">
        <v>3221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3222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160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3223</v>
      </c>
      <c r="B2162" s="67">
        <v>15716959822</v>
      </c>
      <c r="C2162" s="72" t="s">
        <v>3224</v>
      </c>
      <c r="D2162" s="69">
        <v>10451985877</v>
      </c>
      <c r="E2162" s="9">
        <v>262</v>
      </c>
      <c r="F2162" s="25">
        <v>43160</v>
      </c>
      <c r="G2162" s="70" t="s">
        <v>160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3225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3226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160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3227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160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3228</v>
      </c>
      <c r="B2166" s="67">
        <v>32241408875</v>
      </c>
      <c r="C2166" s="72" t="s">
        <v>3229</v>
      </c>
      <c r="D2166" s="69">
        <v>7164250413</v>
      </c>
      <c r="E2166" s="9">
        <v>1824</v>
      </c>
      <c r="F2166" s="25">
        <v>43091</v>
      </c>
      <c r="G2166" s="70" t="s">
        <v>160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3230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160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3231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160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3232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3233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3234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160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3235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160</v>
      </c>
      <c r="H2172" s="9"/>
      <c r="I2172" s="8"/>
      <c r="J2172" s="8"/>
      <c r="K2172" s="8"/>
      <c r="L2172" s="9" t="s">
        <v>394</v>
      </c>
      <c r="M2172" s="8"/>
    </row>
    <row r="2173" spans="1:13" x14ac:dyDescent="0.25">
      <c r="A2173" s="71" t="s">
        <v>3236</v>
      </c>
      <c r="B2173" s="67">
        <v>8983229870</v>
      </c>
      <c r="C2173" s="72" t="s">
        <v>3237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3238</v>
      </c>
      <c r="B2174" s="67">
        <v>9269199894</v>
      </c>
      <c r="C2174" s="72" t="s">
        <v>3239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3240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160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3241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160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3242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160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3243</v>
      </c>
      <c r="B2178" s="67">
        <v>34641758808</v>
      </c>
      <c r="C2178" s="72" t="s">
        <v>3244</v>
      </c>
      <c r="D2178" s="69">
        <v>30083315802</v>
      </c>
      <c r="E2178" s="9">
        <v>810</v>
      </c>
      <c r="F2178" s="25">
        <v>42915</v>
      </c>
      <c r="G2178" s="70" t="s">
        <v>160</v>
      </c>
      <c r="H2178" s="9"/>
      <c r="I2178" s="8"/>
      <c r="J2178" s="8"/>
      <c r="K2178" s="8"/>
      <c r="L2178" s="9" t="s">
        <v>279</v>
      </c>
      <c r="M2178" s="8"/>
    </row>
    <row r="2179" spans="1:13" x14ac:dyDescent="0.25">
      <c r="A2179" s="71" t="s">
        <v>3245</v>
      </c>
      <c r="B2179" s="67">
        <v>1335459383</v>
      </c>
      <c r="C2179" s="71" t="s">
        <v>3246</v>
      </c>
      <c r="D2179" s="69">
        <v>2369426381</v>
      </c>
      <c r="E2179" s="9">
        <v>292</v>
      </c>
      <c r="F2179" s="25">
        <v>43168</v>
      </c>
      <c r="G2179" s="70" t="s">
        <v>160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3247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160</v>
      </c>
      <c r="H2180" s="9"/>
      <c r="I2180" s="8"/>
      <c r="J2180" s="8"/>
      <c r="K2180" s="8"/>
      <c r="L2180" s="9" t="s">
        <v>311</v>
      </c>
      <c r="M2180" s="8"/>
    </row>
    <row r="2181" spans="1:13" x14ac:dyDescent="0.25">
      <c r="A2181" s="71" t="s">
        <v>3248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160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3249</v>
      </c>
      <c r="B2182" s="67">
        <v>38248770826</v>
      </c>
      <c r="C2182" s="29" t="s">
        <v>3250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3251</v>
      </c>
      <c r="B2183" s="67">
        <v>32857847840</v>
      </c>
      <c r="C2183" s="72" t="s">
        <v>3252</v>
      </c>
      <c r="D2183" s="69">
        <v>33885204886</v>
      </c>
      <c r="E2183" s="9">
        <v>810</v>
      </c>
      <c r="F2183" s="25">
        <v>42915</v>
      </c>
      <c r="G2183" s="70" t="s">
        <v>160</v>
      </c>
      <c r="H2183" s="9"/>
      <c r="I2183" s="8"/>
      <c r="J2183" s="8"/>
      <c r="K2183" s="8"/>
      <c r="L2183" s="9" t="s">
        <v>279</v>
      </c>
      <c r="M2183" s="8"/>
    </row>
    <row r="2184" spans="1:13" x14ac:dyDescent="0.25">
      <c r="A2184" s="14" t="s">
        <v>3253</v>
      </c>
      <c r="B2184" s="67">
        <v>25367069827</v>
      </c>
      <c r="C2184" s="72" t="s">
        <v>3254</v>
      </c>
      <c r="D2184" s="69">
        <v>28922275855</v>
      </c>
      <c r="E2184" s="9">
        <v>262</v>
      </c>
      <c r="F2184" s="25">
        <v>43160</v>
      </c>
      <c r="G2184" s="70" t="s">
        <v>166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3255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160</v>
      </c>
      <c r="H2185" s="9"/>
      <c r="I2185" s="8"/>
      <c r="J2185" s="8"/>
      <c r="K2185" s="8"/>
      <c r="L2185" s="9" t="s">
        <v>311</v>
      </c>
      <c r="M2185" s="8"/>
    </row>
    <row r="2186" spans="1:13" x14ac:dyDescent="0.25">
      <c r="A2186" s="71" t="s">
        <v>3256</v>
      </c>
      <c r="B2186" s="67">
        <v>29652533866</v>
      </c>
      <c r="C2186" s="72" t="s">
        <v>3257</v>
      </c>
      <c r="D2186" s="69">
        <v>21898199892</v>
      </c>
      <c r="E2186" s="9">
        <v>1752</v>
      </c>
      <c r="F2186" s="25">
        <v>43051</v>
      </c>
      <c r="G2186" s="70" t="s">
        <v>160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3258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160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3259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160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3260</v>
      </c>
      <c r="B2189" s="67">
        <v>34777966836</v>
      </c>
      <c r="C2189" s="72" t="s">
        <v>3261</v>
      </c>
      <c r="D2189" s="69">
        <v>33600648870</v>
      </c>
      <c r="E2189" s="9">
        <v>117</v>
      </c>
      <c r="F2189" s="25">
        <v>43117</v>
      </c>
      <c r="G2189" s="70" t="s">
        <v>160</v>
      </c>
      <c r="H2189" s="9"/>
      <c r="I2189" s="8"/>
      <c r="J2189" s="8"/>
      <c r="K2189" s="8"/>
      <c r="L2189" s="9" t="s">
        <v>311</v>
      </c>
      <c r="M2189" s="8"/>
    </row>
    <row r="2190" spans="1:13" x14ac:dyDescent="0.25">
      <c r="A2190" s="29" t="s">
        <v>3262</v>
      </c>
      <c r="B2190" s="67"/>
      <c r="C2190" s="29" t="s">
        <v>3263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3264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160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3265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3266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160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3267</v>
      </c>
      <c r="B2194" s="67">
        <v>27082581840</v>
      </c>
      <c r="C2194" s="77" t="s">
        <v>3268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3269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3270</v>
      </c>
      <c r="B2196" s="67">
        <v>40878539859</v>
      </c>
      <c r="C2196" s="72" t="s">
        <v>3271</v>
      </c>
      <c r="D2196" s="69"/>
      <c r="E2196" s="9">
        <v>1489</v>
      </c>
      <c r="F2196" s="25">
        <v>43038</v>
      </c>
      <c r="G2196" s="70" t="s">
        <v>160</v>
      </c>
      <c r="H2196" s="9"/>
      <c r="I2196" s="8"/>
      <c r="J2196" s="8"/>
      <c r="K2196" s="8"/>
      <c r="L2196" s="9" t="s">
        <v>301</v>
      </c>
      <c r="M2196" s="8"/>
    </row>
    <row r="2197" spans="1:13" x14ac:dyDescent="0.25">
      <c r="A2197" s="71" t="s">
        <v>3272</v>
      </c>
      <c r="B2197" s="67">
        <v>35643661802</v>
      </c>
      <c r="C2197" s="68" t="s">
        <v>3273</v>
      </c>
      <c r="D2197" s="69">
        <v>34613571898</v>
      </c>
      <c r="E2197" s="9">
        <v>1128</v>
      </c>
      <c r="F2197" s="25">
        <v>42972</v>
      </c>
      <c r="G2197" s="70" t="s">
        <v>160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3274</v>
      </c>
      <c r="B2198" s="67">
        <v>89251660549</v>
      </c>
      <c r="C2198" s="18" t="s">
        <v>270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3275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160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3276</v>
      </c>
      <c r="B2200" s="67">
        <v>28280731814</v>
      </c>
      <c r="C2200" s="68" t="s">
        <v>3277</v>
      </c>
      <c r="D2200" s="69">
        <v>36523032884</v>
      </c>
      <c r="E2200" s="9">
        <v>1128</v>
      </c>
      <c r="F2200" s="25">
        <v>42972</v>
      </c>
      <c r="G2200" s="70" t="s">
        <v>160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3278</v>
      </c>
      <c r="B2201" s="67">
        <v>12525223802</v>
      </c>
      <c r="C2201" s="68" t="s">
        <v>3279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3280</v>
      </c>
      <c r="B2202" s="67">
        <v>37014825860</v>
      </c>
      <c r="C2202" s="72" t="s">
        <v>3281</v>
      </c>
      <c r="D2202" s="69">
        <v>38869051870</v>
      </c>
      <c r="E2202" s="9">
        <v>1752</v>
      </c>
      <c r="F2202" s="25">
        <v>43051</v>
      </c>
      <c r="G2202" s="70" t="s">
        <v>160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3282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160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3283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160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3284</v>
      </c>
      <c r="B2205" s="67">
        <v>15095801825</v>
      </c>
      <c r="C2205" s="72" t="s">
        <v>3285</v>
      </c>
      <c r="D2205" s="69">
        <v>16417229831</v>
      </c>
      <c r="E2205" s="9">
        <v>85</v>
      </c>
      <c r="F2205" s="25">
        <v>43109</v>
      </c>
      <c r="G2205" s="70" t="s">
        <v>160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3286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3287</v>
      </c>
      <c r="B2207" s="67">
        <v>58037845249</v>
      </c>
      <c r="C2207" s="72" t="s">
        <v>3288</v>
      </c>
      <c r="D2207" s="69">
        <v>496500333</v>
      </c>
      <c r="E2207" s="9">
        <v>117</v>
      </c>
      <c r="F2207" s="25">
        <v>43117</v>
      </c>
      <c r="G2207" s="70" t="s">
        <v>160</v>
      </c>
      <c r="H2207" s="9"/>
      <c r="I2207" s="8"/>
      <c r="J2207" s="8"/>
      <c r="K2207" s="8"/>
      <c r="L2207" s="9" t="s">
        <v>311</v>
      </c>
      <c r="M2207" s="8"/>
    </row>
    <row r="2208" spans="1:13" x14ac:dyDescent="0.25">
      <c r="A2208" s="84" t="s">
        <v>3289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3290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3291</v>
      </c>
      <c r="B2210" s="67">
        <v>4416847858</v>
      </c>
      <c r="C2210" s="72" t="s">
        <v>3292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3293</v>
      </c>
      <c r="B2211" s="67"/>
      <c r="C2211" s="18" t="s">
        <v>270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3294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160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3295</v>
      </c>
      <c r="B2213" s="67">
        <v>35325197800</v>
      </c>
      <c r="C2213" s="72" t="s">
        <v>3296</v>
      </c>
      <c r="D2213" s="69">
        <v>38159378840</v>
      </c>
      <c r="E2213" s="9">
        <v>810</v>
      </c>
      <c r="F2213" s="25">
        <v>42915</v>
      </c>
      <c r="G2213" s="70" t="s">
        <v>160</v>
      </c>
      <c r="H2213" s="9"/>
      <c r="I2213" s="8"/>
      <c r="J2213" s="8"/>
      <c r="K2213" s="8"/>
      <c r="L2213" s="9" t="s">
        <v>279</v>
      </c>
      <c r="M2213" s="8"/>
    </row>
    <row r="2214" spans="1:13" x14ac:dyDescent="0.25">
      <c r="A2214" s="71" t="s">
        <v>3297</v>
      </c>
      <c r="B2214" s="67">
        <v>37527821884</v>
      </c>
      <c r="C2214" s="72" t="s">
        <v>3298</v>
      </c>
      <c r="D2214" s="69">
        <v>69447810420</v>
      </c>
      <c r="E2214" s="9">
        <v>262</v>
      </c>
      <c r="F2214" s="25">
        <v>43160</v>
      </c>
      <c r="G2214" s="70" t="s">
        <v>160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3299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160</v>
      </c>
      <c r="H2215" s="9"/>
      <c r="I2215" s="8"/>
      <c r="J2215" s="8"/>
      <c r="K2215" s="8"/>
      <c r="L2215" s="9" t="s">
        <v>311</v>
      </c>
      <c r="M2215" s="8"/>
    </row>
    <row r="2216" spans="1:13" x14ac:dyDescent="0.25">
      <c r="A2216" s="15" t="s">
        <v>3300</v>
      </c>
      <c r="B2216" s="67">
        <v>85281050672</v>
      </c>
      <c r="C2216" s="72" t="s">
        <v>3301</v>
      </c>
      <c r="D2216" s="69">
        <v>5490696664</v>
      </c>
      <c r="E2216" s="9">
        <v>229</v>
      </c>
      <c r="F2216" s="25">
        <v>43151</v>
      </c>
      <c r="G2216" s="70" t="s">
        <v>160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3302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160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3303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166</v>
      </c>
      <c r="H2218" s="9"/>
      <c r="I2218" s="8"/>
      <c r="J2218" s="8"/>
      <c r="K2218" s="8"/>
      <c r="L2218" s="9" t="s">
        <v>311</v>
      </c>
      <c r="M2218" s="8"/>
    </row>
    <row r="2219" spans="1:13" x14ac:dyDescent="0.25">
      <c r="A2219" s="71" t="s">
        <v>3304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3305</v>
      </c>
      <c r="B2220" s="67">
        <v>27851461820</v>
      </c>
      <c r="C2220" s="72" t="s">
        <v>3306</v>
      </c>
      <c r="D2220" s="69">
        <v>27264565882</v>
      </c>
      <c r="E2220" s="9">
        <v>117</v>
      </c>
      <c r="F2220" s="25">
        <v>43117</v>
      </c>
      <c r="G2220" s="70" t="s">
        <v>160</v>
      </c>
      <c r="H2220" s="9"/>
      <c r="I2220" s="8"/>
      <c r="J2220" s="8"/>
      <c r="K2220" s="8"/>
      <c r="L2220" s="9" t="s">
        <v>311</v>
      </c>
      <c r="M2220" s="8"/>
    </row>
    <row r="2221" spans="1:13" x14ac:dyDescent="0.25">
      <c r="A2221" s="71" t="s">
        <v>3307</v>
      </c>
      <c r="B2221" s="67">
        <v>32960731832</v>
      </c>
      <c r="C2221" s="77" t="s">
        <v>3308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3309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3310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160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3311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160</v>
      </c>
      <c r="H2224" s="9"/>
      <c r="I2224" s="8"/>
      <c r="J2224" s="8"/>
      <c r="K2224" s="8"/>
      <c r="L2224" s="9" t="s">
        <v>301</v>
      </c>
      <c r="M2224" s="8"/>
    </row>
    <row r="2225" spans="1:13" x14ac:dyDescent="0.25">
      <c r="A2225" s="71" t="s">
        <v>3312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160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3313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160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3314</v>
      </c>
      <c r="B2227" s="67"/>
      <c r="C2227" s="18" t="s">
        <v>270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3315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160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3316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160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3317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3318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160</v>
      </c>
      <c r="H2231" s="9"/>
      <c r="I2231" s="8"/>
      <c r="J2231" s="8"/>
      <c r="K2231" s="8"/>
      <c r="L2231" s="9" t="s">
        <v>311</v>
      </c>
      <c r="M2231" s="8"/>
    </row>
    <row r="2232" spans="1:13" x14ac:dyDescent="0.25">
      <c r="A2232" s="14" t="s">
        <v>3319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3320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160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3321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3322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3323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3324</v>
      </c>
      <c r="B2237" s="67">
        <v>22548549844</v>
      </c>
      <c r="C2237" s="77" t="s">
        <v>3325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3326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160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3327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160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3328</v>
      </c>
      <c r="B2240" s="67">
        <v>27757716888</v>
      </c>
      <c r="C2240" s="77" t="s">
        <v>3329</v>
      </c>
      <c r="D2240" s="69" t="s">
        <v>3330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3331</v>
      </c>
      <c r="B2241" s="67">
        <v>30926413880</v>
      </c>
      <c r="C2241" s="72" t="s">
        <v>3332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440</v>
      </c>
      <c r="M2241" s="8"/>
    </row>
    <row r="2242" spans="1:13" x14ac:dyDescent="0.25">
      <c r="A2242" s="71" t="s">
        <v>3333</v>
      </c>
      <c r="B2242" s="67">
        <v>32954076810</v>
      </c>
      <c r="C2242" s="72" t="s">
        <v>3334</v>
      </c>
      <c r="D2242" s="69">
        <v>82353131468</v>
      </c>
      <c r="E2242" s="9">
        <v>292</v>
      </c>
      <c r="F2242" s="25">
        <v>43168</v>
      </c>
      <c r="G2242" s="70" t="s">
        <v>160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3335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166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3336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160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3337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160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3338</v>
      </c>
      <c r="B2246" s="67">
        <v>23171032805</v>
      </c>
      <c r="C2246" s="72" t="s">
        <v>3339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3340</v>
      </c>
      <c r="B2247" s="67">
        <v>33375182813</v>
      </c>
      <c r="C2247" s="75" t="s">
        <v>3341</v>
      </c>
      <c r="D2247" s="69">
        <v>30178836800</v>
      </c>
      <c r="E2247" s="9">
        <v>1106</v>
      </c>
      <c r="F2247" s="25">
        <v>42965</v>
      </c>
      <c r="G2247" s="70" t="s">
        <v>160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3342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160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3343</v>
      </c>
      <c r="B2249" s="67">
        <v>15712243865</v>
      </c>
      <c r="C2249" s="72" t="s">
        <v>3344</v>
      </c>
      <c r="D2249" s="69">
        <v>501095705</v>
      </c>
      <c r="E2249" s="9">
        <v>1752</v>
      </c>
      <c r="F2249" s="25">
        <v>43051</v>
      </c>
      <c r="G2249" s="70" t="s">
        <v>160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3345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160</v>
      </c>
      <c r="H2250" s="9"/>
      <c r="I2250" s="8"/>
      <c r="J2250" s="8"/>
      <c r="K2250" s="8"/>
      <c r="L2250" s="9" t="s">
        <v>279</v>
      </c>
      <c r="M2250" s="8"/>
    </row>
    <row r="2251" spans="1:13" x14ac:dyDescent="0.25">
      <c r="A2251" s="15" t="s">
        <v>3346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160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3347</v>
      </c>
      <c r="B2252" s="67">
        <v>22403927899</v>
      </c>
      <c r="C2252" s="72" t="s">
        <v>3348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3349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160</v>
      </c>
      <c r="H2253" s="9"/>
      <c r="I2253" s="8"/>
      <c r="J2253" s="8"/>
      <c r="K2253" s="8"/>
      <c r="L2253" s="9" t="s">
        <v>311</v>
      </c>
      <c r="M2253" s="8"/>
    </row>
    <row r="2254" spans="1:13" x14ac:dyDescent="0.25">
      <c r="A2254" s="14" t="s">
        <v>3350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3351</v>
      </c>
      <c r="B2255" s="67">
        <v>32624504800</v>
      </c>
      <c r="C2255" s="72" t="s">
        <v>3352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3353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160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3354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166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3355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3356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160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3357</v>
      </c>
      <c r="B2260" s="67">
        <v>14688456832</v>
      </c>
      <c r="C2260" s="72" t="s">
        <v>3358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3359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160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3360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160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3361</v>
      </c>
      <c r="B2263" s="67">
        <v>38726646897</v>
      </c>
      <c r="C2263" s="18" t="s">
        <v>3362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3363</v>
      </c>
      <c r="B2264" s="67">
        <v>45171952876</v>
      </c>
      <c r="C2264" s="29" t="s">
        <v>3364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3365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160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3366</v>
      </c>
      <c r="B2266" s="67">
        <v>36695082871</v>
      </c>
      <c r="C2266" s="72" t="s">
        <v>3367</v>
      </c>
      <c r="D2266" s="69">
        <v>36736721857</v>
      </c>
      <c r="E2266" s="9">
        <v>1241</v>
      </c>
      <c r="F2266" s="25">
        <v>42992</v>
      </c>
      <c r="G2266" s="70" t="s">
        <v>160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3368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3369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3370</v>
      </c>
      <c r="B2269" s="67">
        <v>42141950864</v>
      </c>
      <c r="C2269" s="72" t="s">
        <v>3371</v>
      </c>
      <c r="D2269" s="69"/>
      <c r="E2269" s="9">
        <v>1214</v>
      </c>
      <c r="F2269" s="25">
        <v>42989</v>
      </c>
      <c r="G2269" s="70" t="s">
        <v>160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3372</v>
      </c>
      <c r="B2270" s="67">
        <v>47270275858</v>
      </c>
      <c r="C2270" s="72" t="s">
        <v>3373</v>
      </c>
      <c r="D2270" s="69">
        <v>34861975840</v>
      </c>
      <c r="E2270" s="9">
        <v>1824</v>
      </c>
      <c r="F2270" s="25">
        <v>43091</v>
      </c>
      <c r="G2270" s="70" t="s">
        <v>160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3374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160</v>
      </c>
      <c r="H2271" s="9"/>
      <c r="I2271" s="8"/>
      <c r="J2271" s="8"/>
      <c r="K2271" s="8"/>
      <c r="L2271" s="9" t="s">
        <v>311</v>
      </c>
      <c r="M2271" s="8"/>
    </row>
    <row r="2272" spans="1:13" x14ac:dyDescent="0.25">
      <c r="A2272" s="29" t="s">
        <v>3375</v>
      </c>
      <c r="B2272" s="67">
        <v>22899917838</v>
      </c>
      <c r="C2272" s="18" t="s">
        <v>270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3376</v>
      </c>
      <c r="B2273" s="67"/>
      <c r="C2273" s="29" t="s">
        <v>270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3377</v>
      </c>
      <c r="B2274" s="67">
        <v>45477385804</v>
      </c>
      <c r="C2274" s="72" t="s">
        <v>3378</v>
      </c>
      <c r="D2274" s="69">
        <v>40972166866</v>
      </c>
      <c r="E2274" s="9">
        <v>1417</v>
      </c>
      <c r="F2274" s="25">
        <v>43017</v>
      </c>
      <c r="G2274" s="70" t="s">
        <v>160</v>
      </c>
      <c r="H2274" s="9"/>
      <c r="I2274" s="8"/>
      <c r="J2274" s="8"/>
      <c r="K2274" s="8"/>
      <c r="L2274" s="9" t="s">
        <v>394</v>
      </c>
      <c r="M2274" s="8"/>
    </row>
    <row r="2275" spans="1:13" x14ac:dyDescent="0.25">
      <c r="A2275" s="71" t="s">
        <v>3379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160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3380</v>
      </c>
      <c r="B2276" s="67"/>
      <c r="C2276" s="29" t="s">
        <v>3381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3382</v>
      </c>
      <c r="B2277" s="67">
        <v>8990461855</v>
      </c>
      <c r="C2277" s="15" t="s">
        <v>3221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3383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3384</v>
      </c>
      <c r="B2279" s="67"/>
      <c r="C2279" s="29" t="s">
        <v>3385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3386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160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3387</v>
      </c>
      <c r="B2281" s="67">
        <v>38917984827</v>
      </c>
      <c r="C2281" s="72" t="s">
        <v>3388</v>
      </c>
      <c r="D2281" s="69">
        <v>42231603896</v>
      </c>
      <c r="E2281" s="9">
        <v>229</v>
      </c>
      <c r="F2281" s="25">
        <v>43151</v>
      </c>
      <c r="G2281" s="70" t="s">
        <v>160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3389</v>
      </c>
      <c r="B2282" s="67">
        <v>37870673889</v>
      </c>
      <c r="C2282" s="72" t="s">
        <v>3390</v>
      </c>
      <c r="D2282" s="69">
        <v>2786569516</v>
      </c>
      <c r="E2282" s="9">
        <v>262</v>
      </c>
      <c r="F2282" s="25">
        <v>43160</v>
      </c>
      <c r="G2282" s="70" t="s">
        <v>160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3391</v>
      </c>
      <c r="B2283" s="67">
        <v>10441616801</v>
      </c>
      <c r="C2283" s="72" t="s">
        <v>3392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3393</v>
      </c>
      <c r="B2284" s="67">
        <v>11702039811</v>
      </c>
      <c r="C2284" s="32" t="s">
        <v>3394</v>
      </c>
      <c r="D2284" s="69">
        <v>14689396884</v>
      </c>
      <c r="E2284" s="9">
        <v>1350</v>
      </c>
      <c r="F2284" s="25">
        <v>43006</v>
      </c>
      <c r="G2284" s="70" t="s">
        <v>160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3395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160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3396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3397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3398</v>
      </c>
      <c r="B2288" s="67">
        <v>46959766842</v>
      </c>
      <c r="C2288" s="72" t="s">
        <v>3399</v>
      </c>
      <c r="D2288" s="69">
        <v>40096022876</v>
      </c>
      <c r="E2288" s="9">
        <v>1350</v>
      </c>
      <c r="F2288" s="25">
        <v>43006</v>
      </c>
      <c r="G2288" s="70" t="s">
        <v>160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3400</v>
      </c>
      <c r="B2289" s="67">
        <v>15147799869</v>
      </c>
      <c r="C2289" s="72" t="s">
        <v>3401</v>
      </c>
      <c r="D2289" s="69">
        <v>18304595893</v>
      </c>
      <c r="E2289" s="9">
        <v>1824</v>
      </c>
      <c r="F2289" s="25">
        <v>43091</v>
      </c>
      <c r="G2289" s="70" t="s">
        <v>160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3402</v>
      </c>
      <c r="B2290" s="67">
        <v>29012884802</v>
      </c>
      <c r="C2290" s="72" t="s">
        <v>3403</v>
      </c>
      <c r="D2290" s="69">
        <v>16761377854</v>
      </c>
      <c r="E2290" s="9">
        <v>85</v>
      </c>
      <c r="F2290" s="25">
        <v>43109</v>
      </c>
      <c r="G2290" s="70" t="s">
        <v>160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3404</v>
      </c>
      <c r="B2291" s="67">
        <v>13009518854</v>
      </c>
      <c r="C2291" s="72" t="s">
        <v>3405</v>
      </c>
      <c r="D2291" s="69">
        <v>59636467749</v>
      </c>
      <c r="E2291" s="9">
        <v>1267</v>
      </c>
      <c r="F2291" s="25">
        <v>42998</v>
      </c>
      <c r="G2291" s="70" t="s">
        <v>174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3406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3407</v>
      </c>
      <c r="B2293" s="67">
        <v>38605259809</v>
      </c>
      <c r="C2293" s="72" t="s">
        <v>3408</v>
      </c>
      <c r="D2293" s="69">
        <v>1090388519</v>
      </c>
      <c r="E2293" s="9">
        <v>117</v>
      </c>
      <c r="F2293" s="25">
        <v>43117</v>
      </c>
      <c r="G2293" s="70" t="s">
        <v>160</v>
      </c>
      <c r="H2293" s="9"/>
      <c r="I2293" s="8"/>
      <c r="J2293" s="8"/>
      <c r="K2293" s="8"/>
      <c r="L2293" s="9" t="s">
        <v>311</v>
      </c>
      <c r="M2293" s="8"/>
    </row>
    <row r="2294" spans="1:13" x14ac:dyDescent="0.25">
      <c r="A2294" s="15" t="s">
        <v>3409</v>
      </c>
      <c r="B2294" s="67">
        <v>9333321810</v>
      </c>
      <c r="C2294" s="72" t="s">
        <v>3410</v>
      </c>
      <c r="D2294" s="69">
        <v>16122645818</v>
      </c>
      <c r="E2294" s="9">
        <v>117</v>
      </c>
      <c r="F2294" s="25">
        <v>43117</v>
      </c>
      <c r="G2294" s="70" t="s">
        <v>160</v>
      </c>
      <c r="H2294" s="9"/>
      <c r="I2294" s="8"/>
      <c r="J2294" s="8"/>
      <c r="K2294" s="8"/>
      <c r="L2294" s="9" t="s">
        <v>311</v>
      </c>
      <c r="M2294" s="8"/>
    </row>
    <row r="2295" spans="1:13" x14ac:dyDescent="0.25">
      <c r="A2295" s="71" t="s">
        <v>3411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160</v>
      </c>
      <c r="H2295" s="9"/>
      <c r="I2295" s="8"/>
      <c r="J2295" s="8"/>
      <c r="K2295" s="8"/>
      <c r="L2295" s="9" t="s">
        <v>279</v>
      </c>
      <c r="M2295" s="8"/>
    </row>
    <row r="2296" spans="1:13" x14ac:dyDescent="0.25">
      <c r="A2296" s="71" t="s">
        <v>3412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3413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3414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3415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3416</v>
      </c>
      <c r="B2300" s="67">
        <v>35810601839</v>
      </c>
      <c r="C2300" s="18" t="s">
        <v>3417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3418</v>
      </c>
      <c r="B2301" s="67">
        <v>32203433841</v>
      </c>
      <c r="C2301" s="72" t="s">
        <v>3419</v>
      </c>
      <c r="D2301" s="69">
        <v>36256617890</v>
      </c>
      <c r="E2301" s="9">
        <v>810</v>
      </c>
      <c r="F2301" s="25">
        <v>42915</v>
      </c>
      <c r="G2301" s="70" t="s">
        <v>160</v>
      </c>
      <c r="H2301" s="9"/>
      <c r="I2301" s="8"/>
      <c r="J2301" s="8"/>
      <c r="K2301" s="8"/>
      <c r="L2301" s="9" t="s">
        <v>279</v>
      </c>
      <c r="M2301" s="8"/>
    </row>
    <row r="2302" spans="1:13" x14ac:dyDescent="0.25">
      <c r="A2302" s="72" t="s">
        <v>3420</v>
      </c>
      <c r="B2302" s="67">
        <v>29816586894</v>
      </c>
      <c r="C2302" s="72" t="s">
        <v>3421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3422</v>
      </c>
      <c r="B2303" s="67">
        <v>3087797545</v>
      </c>
      <c r="C2303" s="71" t="s">
        <v>3423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3424</v>
      </c>
      <c r="B2304" s="67">
        <v>44135110851</v>
      </c>
      <c r="C2304" s="18" t="s">
        <v>3425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3426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160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3427</v>
      </c>
      <c r="B2306" s="67">
        <v>5416929847</v>
      </c>
      <c r="C2306" s="72" t="s">
        <v>3428</v>
      </c>
      <c r="D2306" s="69">
        <v>69220670887</v>
      </c>
      <c r="E2306" s="9">
        <v>292</v>
      </c>
      <c r="F2306" s="25">
        <v>43168</v>
      </c>
      <c r="G2306" s="70" t="s">
        <v>166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3429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160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3430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3431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160</v>
      </c>
      <c r="H2309" s="70"/>
      <c r="I2309" s="8"/>
      <c r="J2309" s="8"/>
      <c r="K2309" s="8"/>
      <c r="L2309" s="9" t="s">
        <v>394</v>
      </c>
      <c r="M2309" s="8"/>
    </row>
    <row r="2310" spans="1:13" x14ac:dyDescent="0.25">
      <c r="A2310" s="71" t="s">
        <v>3432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160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3433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3434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160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3435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160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3436</v>
      </c>
      <c r="B2314" s="67">
        <v>60363616373</v>
      </c>
      <c r="C2314" s="72" t="s">
        <v>3437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3438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160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3439</v>
      </c>
      <c r="B2316" s="67">
        <v>6780677833</v>
      </c>
      <c r="C2316" s="29" t="s">
        <v>3440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3441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3442</v>
      </c>
      <c r="B2318" s="67"/>
      <c r="C2318" s="29" t="s">
        <v>270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3443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3444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3445</v>
      </c>
      <c r="B2321" s="67"/>
      <c r="C2321" s="18" t="s">
        <v>3446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3447</v>
      </c>
      <c r="B2322" s="67">
        <v>47104776800</v>
      </c>
      <c r="C2322" s="72" t="s">
        <v>3448</v>
      </c>
      <c r="D2322" s="69">
        <v>29524413833</v>
      </c>
      <c r="E2322" s="9">
        <v>117</v>
      </c>
      <c r="F2322" s="25">
        <v>43117</v>
      </c>
      <c r="G2322" s="70" t="s">
        <v>160</v>
      </c>
      <c r="H2322" s="70"/>
      <c r="I2322" s="8"/>
      <c r="J2322" s="8"/>
      <c r="K2322" s="8"/>
      <c r="L2322" s="9" t="s">
        <v>311</v>
      </c>
      <c r="M2322" s="8"/>
    </row>
    <row r="2323" spans="1:13" x14ac:dyDescent="0.25">
      <c r="A2323" s="71" t="s">
        <v>3449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160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3450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160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3451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3452</v>
      </c>
      <c r="B2326" s="67"/>
      <c r="C2326" s="29" t="s">
        <v>3453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3454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160</v>
      </c>
      <c r="H2327" s="9"/>
      <c r="I2327" s="8"/>
      <c r="J2327" s="8"/>
      <c r="K2327" s="8"/>
      <c r="L2327" s="9" t="s">
        <v>311</v>
      </c>
      <c r="M2327" s="8"/>
    </row>
    <row r="2328" spans="1:13" x14ac:dyDescent="0.25">
      <c r="A2328" s="71" t="s">
        <v>3455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3456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3457</v>
      </c>
      <c r="B2330" s="67">
        <v>44920823878</v>
      </c>
      <c r="C2330" s="72" t="s">
        <v>3458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3459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3460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3461</v>
      </c>
      <c r="B2333" s="67">
        <v>8665698809</v>
      </c>
      <c r="C2333" s="72" t="s">
        <v>3462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3463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160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3464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3465</v>
      </c>
      <c r="B2336" s="67">
        <v>37383675860</v>
      </c>
      <c r="C2336" s="72" t="s">
        <v>3466</v>
      </c>
      <c r="D2336" s="69">
        <v>37457320814</v>
      </c>
      <c r="E2336" s="9">
        <v>1824</v>
      </c>
      <c r="F2336" s="25">
        <v>43091</v>
      </c>
      <c r="G2336" s="70" t="s">
        <v>160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3467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160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3468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160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3469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3470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3471</v>
      </c>
      <c r="B2341" s="67">
        <v>36394093882</v>
      </c>
      <c r="C2341" s="72" t="s">
        <v>3472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3473</v>
      </c>
      <c r="B2342" s="80">
        <v>38327155687</v>
      </c>
      <c r="C2342" s="81" t="s">
        <v>3474</v>
      </c>
      <c r="D2342" s="82">
        <v>20534089879</v>
      </c>
      <c r="E2342" s="47">
        <v>1824</v>
      </c>
      <c r="F2342" s="48">
        <v>43091</v>
      </c>
      <c r="G2342" s="83" t="s">
        <v>174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3475</v>
      </c>
      <c r="B2343" s="67">
        <v>36553625875</v>
      </c>
      <c r="C2343" s="72" t="s">
        <v>3476</v>
      </c>
      <c r="D2343" s="69">
        <v>34615418850</v>
      </c>
      <c r="E2343" s="9">
        <v>608</v>
      </c>
      <c r="F2343" s="25">
        <v>43012</v>
      </c>
      <c r="G2343" s="70" t="s">
        <v>160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3477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160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3478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160</v>
      </c>
      <c r="H2345" s="9"/>
      <c r="I2345" s="8"/>
      <c r="J2345" s="8"/>
      <c r="K2345" s="8"/>
      <c r="L2345" s="9" t="s">
        <v>279</v>
      </c>
      <c r="M2345" s="8"/>
    </row>
    <row r="2346" spans="1:13" x14ac:dyDescent="0.25">
      <c r="A2346" s="13" t="s">
        <v>3479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160</v>
      </c>
      <c r="H2346" s="9"/>
      <c r="I2346" s="8"/>
      <c r="J2346" s="8"/>
      <c r="K2346" s="8"/>
      <c r="L2346" s="9" t="s">
        <v>301</v>
      </c>
      <c r="M2346" s="8"/>
    </row>
    <row r="2347" spans="1:13" x14ac:dyDescent="0.25">
      <c r="A2347" s="71" t="s">
        <v>3480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3481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160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3482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160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3483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160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3484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160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3485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3486</v>
      </c>
      <c r="B2353" s="67">
        <v>2267811863</v>
      </c>
      <c r="C2353" s="68" t="s">
        <v>3487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3488</v>
      </c>
      <c r="B2354" s="67">
        <v>4640546726</v>
      </c>
      <c r="C2354" s="72" t="s">
        <v>3489</v>
      </c>
      <c r="D2354" s="69">
        <v>72849215791</v>
      </c>
      <c r="E2354" s="9">
        <v>262</v>
      </c>
      <c r="F2354" s="25">
        <v>43160</v>
      </c>
      <c r="G2354" s="70" t="s">
        <v>160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3490</v>
      </c>
      <c r="B2355" s="67">
        <v>11862093806</v>
      </c>
      <c r="C2355" s="18" t="s">
        <v>270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3491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160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3492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160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3493</v>
      </c>
      <c r="B2358" s="67">
        <v>12983214842</v>
      </c>
      <c r="C2358" s="72" t="s">
        <v>3494</v>
      </c>
      <c r="D2358" s="69">
        <v>33776403802</v>
      </c>
      <c r="E2358" s="9">
        <v>85</v>
      </c>
      <c r="F2358" s="25">
        <v>43109</v>
      </c>
      <c r="G2358" s="70" t="s">
        <v>160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3495</v>
      </c>
      <c r="B2359" s="67">
        <v>3343521507</v>
      </c>
      <c r="C2359" s="15" t="s">
        <v>3496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3497</v>
      </c>
      <c r="B2360" s="67">
        <v>41812689500</v>
      </c>
      <c r="C2360" s="72" t="s">
        <v>3498</v>
      </c>
      <c r="D2360" s="69">
        <v>14037047837</v>
      </c>
      <c r="E2360" s="9">
        <v>1106</v>
      </c>
      <c r="F2360" s="25">
        <v>42965</v>
      </c>
      <c r="G2360" s="70" t="s">
        <v>160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3499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3500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160</v>
      </c>
      <c r="H2362" s="9"/>
      <c r="I2362" s="8"/>
      <c r="J2362" s="8"/>
      <c r="K2362" s="8"/>
      <c r="L2362" s="9" t="s">
        <v>279</v>
      </c>
      <c r="M2362" s="8"/>
    </row>
    <row r="2363" spans="1:13" x14ac:dyDescent="0.25">
      <c r="A2363" s="71" t="s">
        <v>3501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3502</v>
      </c>
      <c r="B2364" s="67">
        <v>45479391879</v>
      </c>
      <c r="C2364" s="30" t="s">
        <v>3503</v>
      </c>
      <c r="D2364" s="67">
        <v>35624185820</v>
      </c>
      <c r="E2364" s="9">
        <v>1350</v>
      </c>
      <c r="F2364" s="25">
        <v>43006</v>
      </c>
      <c r="G2364" s="70" t="s">
        <v>160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3504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174</v>
      </c>
      <c r="H2365" s="9"/>
      <c r="I2365" s="8"/>
      <c r="J2365" s="8"/>
      <c r="K2365" s="8"/>
      <c r="L2365" s="9" t="s">
        <v>643</v>
      </c>
      <c r="M2365" s="8"/>
    </row>
    <row r="2366" spans="1:13" x14ac:dyDescent="0.25">
      <c r="A2366" s="15" t="s">
        <v>3505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160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3506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3507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3508</v>
      </c>
      <c r="B2369" s="67">
        <v>36159577840</v>
      </c>
      <c r="C2369" s="72" t="s">
        <v>3509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3510</v>
      </c>
      <c r="B2370" s="67">
        <v>39308828842</v>
      </c>
      <c r="C2370" s="72" t="s">
        <v>3511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3512</v>
      </c>
      <c r="B2371" s="67">
        <v>6619801897</v>
      </c>
      <c r="C2371" s="29" t="s">
        <v>3513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3514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3515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160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3516</v>
      </c>
      <c r="B2374" s="67">
        <v>36138056850</v>
      </c>
      <c r="C2374" s="72" t="s">
        <v>3517</v>
      </c>
      <c r="D2374" s="69">
        <v>56721897504</v>
      </c>
      <c r="E2374" s="9">
        <v>262</v>
      </c>
      <c r="F2374" s="25">
        <v>43160</v>
      </c>
      <c r="G2374" s="70" t="s">
        <v>160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3518</v>
      </c>
      <c r="B2375" s="67">
        <v>22365509878</v>
      </c>
      <c r="C2375" s="72" t="s">
        <v>3519</v>
      </c>
      <c r="D2375" s="69">
        <v>9353681839</v>
      </c>
      <c r="E2375" s="9">
        <v>810</v>
      </c>
      <c r="F2375" s="25">
        <v>42915</v>
      </c>
      <c r="G2375" s="70" t="s">
        <v>160</v>
      </c>
      <c r="H2375" s="9"/>
      <c r="I2375" s="8"/>
      <c r="J2375" s="8"/>
      <c r="K2375" s="8"/>
      <c r="L2375" s="9" t="s">
        <v>279</v>
      </c>
      <c r="M2375" s="8"/>
    </row>
    <row r="2376" spans="1:13" x14ac:dyDescent="0.25">
      <c r="A2376" s="72" t="s">
        <v>3520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3521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160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3522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3523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160</v>
      </c>
      <c r="H2379" s="9"/>
      <c r="I2379" s="8"/>
      <c r="J2379" s="8"/>
      <c r="K2379" s="8"/>
      <c r="L2379" s="9" t="s">
        <v>539</v>
      </c>
      <c r="M2379" s="8"/>
    </row>
    <row r="2380" spans="1:13" x14ac:dyDescent="0.25">
      <c r="A2380" s="71" t="s">
        <v>3524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160</v>
      </c>
      <c r="H2380" s="9"/>
      <c r="I2380" s="8"/>
      <c r="J2380" s="8"/>
      <c r="K2380" s="8"/>
      <c r="L2380" s="9" t="s">
        <v>311</v>
      </c>
      <c r="M2380" s="8"/>
    </row>
    <row r="2381" spans="1:13" x14ac:dyDescent="0.25">
      <c r="A2381" s="71" t="s">
        <v>3525</v>
      </c>
      <c r="B2381" s="67">
        <v>40878398856</v>
      </c>
      <c r="C2381" s="72" t="s">
        <v>3526</v>
      </c>
      <c r="D2381" s="69">
        <v>73226718568</v>
      </c>
      <c r="E2381" s="9">
        <v>262</v>
      </c>
      <c r="F2381" s="25">
        <v>43160</v>
      </c>
      <c r="G2381" s="70" t="s">
        <v>160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3527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160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3528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160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3529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160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3530</v>
      </c>
      <c r="B2385" s="67">
        <v>33475393387</v>
      </c>
      <c r="C2385" s="72" t="s">
        <v>3531</v>
      </c>
      <c r="D2385" s="69">
        <v>21580260306</v>
      </c>
      <c r="E2385" s="9">
        <v>292</v>
      </c>
      <c r="F2385" s="25">
        <v>43168</v>
      </c>
      <c r="G2385" s="70" t="s">
        <v>160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3532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3533</v>
      </c>
      <c r="B2387" s="67">
        <v>15114386816</v>
      </c>
      <c r="C2387" s="29" t="s">
        <v>3534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3535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160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3536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160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3537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3538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3539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3540</v>
      </c>
      <c r="B2393" s="67">
        <v>38754982839</v>
      </c>
      <c r="C2393" s="72" t="s">
        <v>3541</v>
      </c>
      <c r="D2393" s="69">
        <v>34941494881</v>
      </c>
      <c r="E2393" s="9">
        <v>85</v>
      </c>
      <c r="F2393" s="25">
        <v>43109</v>
      </c>
      <c r="G2393" s="70" t="s">
        <v>174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3542</v>
      </c>
      <c r="B2394" s="67">
        <v>33401168819</v>
      </c>
      <c r="C2394" s="72" t="s">
        <v>3543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3544</v>
      </c>
      <c r="B2395" s="67">
        <v>42116294843</v>
      </c>
      <c r="C2395" s="72" t="s">
        <v>3545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3546</v>
      </c>
      <c r="B2396" s="67">
        <v>12648968679</v>
      </c>
      <c r="C2396" s="72" t="s">
        <v>3547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3548</v>
      </c>
      <c r="B2397" s="67">
        <v>34361698899</v>
      </c>
      <c r="C2397" s="72" t="s">
        <v>3549</v>
      </c>
      <c r="D2397" s="69">
        <v>21266025839</v>
      </c>
      <c r="E2397" s="9">
        <v>1489</v>
      </c>
      <c r="F2397" s="25">
        <v>43038</v>
      </c>
      <c r="G2397" s="70" t="s">
        <v>160</v>
      </c>
      <c r="H2397" s="9"/>
      <c r="I2397" s="8"/>
      <c r="J2397" s="8"/>
      <c r="K2397" s="8"/>
      <c r="L2397" s="9" t="s">
        <v>301</v>
      </c>
      <c r="M2397" s="8"/>
    </row>
    <row r="2398" spans="1:13" x14ac:dyDescent="0.25">
      <c r="A2398" s="71" t="s">
        <v>3550</v>
      </c>
      <c r="B2398" s="67">
        <v>12835905812</v>
      </c>
      <c r="C2398" s="72" t="s">
        <v>3551</v>
      </c>
      <c r="D2398" s="69">
        <v>26821342890</v>
      </c>
      <c r="E2398" s="9">
        <v>262</v>
      </c>
      <c r="F2398" s="25">
        <v>43160</v>
      </c>
      <c r="G2398" s="70" t="s">
        <v>166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3552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160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3553</v>
      </c>
      <c r="B2400" s="67">
        <v>22713517826</v>
      </c>
      <c r="C2400" s="72" t="s">
        <v>3554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3555</v>
      </c>
      <c r="B2401" s="67">
        <v>28467390808</v>
      </c>
      <c r="C2401" s="72" t="s">
        <v>3556</v>
      </c>
      <c r="D2401" s="69">
        <v>90847547</v>
      </c>
      <c r="E2401" s="9">
        <v>810</v>
      </c>
      <c r="F2401" s="25">
        <v>42915</v>
      </c>
      <c r="G2401" s="70" t="s">
        <v>160</v>
      </c>
      <c r="H2401" s="9"/>
      <c r="I2401" s="8"/>
      <c r="J2401" s="8"/>
      <c r="K2401" s="8"/>
      <c r="L2401" s="9" t="s">
        <v>279</v>
      </c>
      <c r="M2401" s="8"/>
    </row>
    <row r="2402" spans="1:13" x14ac:dyDescent="0.25">
      <c r="A2402" s="71" t="s">
        <v>3557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160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3558</v>
      </c>
      <c r="B2403" s="67">
        <v>32033541878</v>
      </c>
      <c r="C2403" s="72" t="s">
        <v>3559</v>
      </c>
      <c r="D2403" s="69">
        <v>19674006877</v>
      </c>
      <c r="E2403" s="9">
        <v>1752</v>
      </c>
      <c r="F2403" s="25">
        <v>43051</v>
      </c>
      <c r="G2403" s="70" t="s">
        <v>160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3560</v>
      </c>
      <c r="B2404" s="67">
        <v>23241720896</v>
      </c>
      <c r="C2404" s="18" t="s">
        <v>3561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3562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3563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160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3564</v>
      </c>
      <c r="B2407" s="67">
        <v>1889333360</v>
      </c>
      <c r="C2407" s="72" t="s">
        <v>3565</v>
      </c>
      <c r="D2407" s="69">
        <v>580003302</v>
      </c>
      <c r="E2407" s="9">
        <v>1241</v>
      </c>
      <c r="F2407" s="25">
        <v>42992</v>
      </c>
      <c r="G2407" s="70" t="s">
        <v>160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3566</v>
      </c>
      <c r="B2408" s="67">
        <v>40321655800</v>
      </c>
      <c r="C2408" s="72" t="s">
        <v>3567</v>
      </c>
      <c r="D2408" s="69">
        <v>37378835803</v>
      </c>
      <c r="E2408" s="9">
        <v>810</v>
      </c>
      <c r="F2408" s="25">
        <v>42915</v>
      </c>
      <c r="G2408" s="70" t="s">
        <v>160</v>
      </c>
      <c r="H2408" s="9"/>
      <c r="I2408" s="8"/>
      <c r="J2408" s="8"/>
      <c r="K2408" s="8"/>
      <c r="L2408" s="9" t="s">
        <v>279</v>
      </c>
      <c r="M2408" s="8"/>
    </row>
    <row r="2409" spans="1:13" x14ac:dyDescent="0.25">
      <c r="A2409" s="14" t="s">
        <v>3568</v>
      </c>
      <c r="B2409" s="67">
        <v>5117256557</v>
      </c>
      <c r="C2409" s="72" t="s">
        <v>3569</v>
      </c>
      <c r="D2409" s="69">
        <v>5063737544</v>
      </c>
      <c r="E2409" s="9">
        <v>262</v>
      </c>
      <c r="F2409" s="25">
        <v>43160</v>
      </c>
      <c r="G2409" s="70" t="s">
        <v>166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3570</v>
      </c>
      <c r="B2410" s="67">
        <v>21863985832</v>
      </c>
      <c r="C2410" s="72" t="s">
        <v>3571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3572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160</v>
      </c>
      <c r="H2411" s="9"/>
      <c r="I2411" s="8"/>
      <c r="J2411" s="8"/>
      <c r="K2411" s="8"/>
      <c r="L2411" s="9" t="s">
        <v>394</v>
      </c>
      <c r="M2411" s="8"/>
    </row>
    <row r="2412" spans="1:13" x14ac:dyDescent="0.25">
      <c r="A2412" s="18" t="s">
        <v>3573</v>
      </c>
      <c r="B2412" s="67">
        <v>31694477851</v>
      </c>
      <c r="C2412" s="18" t="s">
        <v>3574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3575</v>
      </c>
      <c r="B2413" s="67">
        <v>14690610827</v>
      </c>
      <c r="C2413" s="72" t="s">
        <v>3576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3577</v>
      </c>
      <c r="B2414" s="67">
        <v>1740803523</v>
      </c>
      <c r="C2414" s="72" t="s">
        <v>3578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3579</v>
      </c>
      <c r="B2415" s="67">
        <v>23328195840</v>
      </c>
      <c r="C2415" s="72" t="s">
        <v>3580</v>
      </c>
      <c r="D2415" s="69">
        <v>770249310</v>
      </c>
      <c r="E2415" s="9">
        <v>810</v>
      </c>
      <c r="F2415" s="25">
        <v>42915</v>
      </c>
      <c r="G2415" s="70" t="s">
        <v>160</v>
      </c>
      <c r="H2415" s="9"/>
      <c r="I2415" s="8"/>
      <c r="J2415" s="8"/>
      <c r="K2415" s="8"/>
      <c r="L2415" s="9" t="s">
        <v>279</v>
      </c>
      <c r="M2415" s="8"/>
    </row>
    <row r="2416" spans="1:13" x14ac:dyDescent="0.25">
      <c r="A2416" s="71" t="s">
        <v>3581</v>
      </c>
      <c r="B2416" s="67">
        <v>28082388862</v>
      </c>
      <c r="C2416" s="72" t="s">
        <v>3582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3583</v>
      </c>
      <c r="B2417" s="67">
        <v>43054747867</v>
      </c>
      <c r="C2417" s="29" t="s">
        <v>3584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3585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3586</v>
      </c>
      <c r="B2419" s="67">
        <v>89863704504</v>
      </c>
      <c r="C2419" s="72" t="s">
        <v>3587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3588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3589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160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3590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3591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160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3592</v>
      </c>
      <c r="B2424" s="67">
        <v>33538686823</v>
      </c>
      <c r="C2424" s="72" t="s">
        <v>3593</v>
      </c>
      <c r="D2424" s="69">
        <v>37104062858</v>
      </c>
      <c r="E2424" s="9">
        <v>810</v>
      </c>
      <c r="F2424" s="25">
        <v>42915</v>
      </c>
      <c r="G2424" s="9" t="s">
        <v>160</v>
      </c>
      <c r="H2424" s="9"/>
      <c r="I2424" s="8"/>
      <c r="J2424" s="8"/>
      <c r="K2424" s="8"/>
      <c r="L2424" s="9" t="s">
        <v>279</v>
      </c>
      <c r="M2424" s="8"/>
    </row>
    <row r="2425" spans="1:13" x14ac:dyDescent="0.25">
      <c r="A2425" s="18" t="s">
        <v>3594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3595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160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3596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3597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160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3598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160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3599</v>
      </c>
      <c r="B2430" s="67"/>
      <c r="C2430" s="29" t="s">
        <v>270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3600</v>
      </c>
      <c r="B2431" s="67">
        <v>39308964860</v>
      </c>
      <c r="C2431" s="72" t="s">
        <v>3601</v>
      </c>
      <c r="D2431" s="69">
        <v>39308963898</v>
      </c>
      <c r="E2431" s="9">
        <v>229</v>
      </c>
      <c r="F2431" s="25">
        <v>43151</v>
      </c>
      <c r="G2431" s="70" t="s">
        <v>160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3602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160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3603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160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3604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3605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160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3606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3607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3608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3609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160</v>
      </c>
      <c r="H2439" s="9"/>
      <c r="I2439" s="8"/>
      <c r="J2439" s="8"/>
      <c r="K2439" s="8"/>
      <c r="L2439" s="9" t="s">
        <v>311</v>
      </c>
      <c r="M2439" s="8"/>
    </row>
    <row r="2440" spans="1:13" x14ac:dyDescent="0.25">
      <c r="A2440" s="71" t="s">
        <v>3610</v>
      </c>
      <c r="B2440" s="67">
        <v>36344864818</v>
      </c>
      <c r="C2440" s="72" t="s">
        <v>3611</v>
      </c>
      <c r="D2440" s="69">
        <v>35601867810</v>
      </c>
      <c r="E2440" s="9">
        <v>810</v>
      </c>
      <c r="F2440" s="25">
        <v>42915</v>
      </c>
      <c r="G2440" s="70" t="s">
        <v>160</v>
      </c>
      <c r="H2440" s="9"/>
      <c r="I2440" s="8"/>
      <c r="J2440" s="8"/>
      <c r="K2440" s="8"/>
      <c r="L2440" s="9" t="s">
        <v>279</v>
      </c>
      <c r="M2440" s="8"/>
    </row>
    <row r="2441" spans="1:13" x14ac:dyDescent="0.25">
      <c r="A2441" s="29" t="s">
        <v>3612</v>
      </c>
      <c r="B2441" s="67"/>
      <c r="C2441" s="29" t="s">
        <v>270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3613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160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3614</v>
      </c>
      <c r="B2443" s="67">
        <v>23969560861</v>
      </c>
      <c r="C2443" s="72" t="s">
        <v>3615</v>
      </c>
      <c r="D2443" s="69">
        <v>16141701850</v>
      </c>
      <c r="E2443" s="9">
        <v>1267</v>
      </c>
      <c r="F2443" s="25">
        <v>42998</v>
      </c>
      <c r="G2443" s="70" t="s">
        <v>160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3616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3617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160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3618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160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3619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3620</v>
      </c>
      <c r="B2448" s="67">
        <v>35193151817</v>
      </c>
      <c r="C2448" s="72" t="s">
        <v>3621</v>
      </c>
      <c r="D2448" s="69">
        <v>26084005829</v>
      </c>
      <c r="E2448" s="9">
        <v>229</v>
      </c>
      <c r="F2448" s="25">
        <v>43151</v>
      </c>
      <c r="G2448" s="70" t="s">
        <v>160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3622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3623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3624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160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3625</v>
      </c>
      <c r="B2452" s="67">
        <v>34674605857</v>
      </c>
      <c r="C2452" s="72" t="s">
        <v>3626</v>
      </c>
      <c r="D2452" s="69">
        <v>36771603830</v>
      </c>
      <c r="E2452" s="9">
        <v>810</v>
      </c>
      <c r="F2452" s="25">
        <v>42915</v>
      </c>
      <c r="G2452" s="70" t="s">
        <v>160</v>
      </c>
      <c r="H2452" s="9"/>
      <c r="I2452" s="8"/>
      <c r="J2452" s="8"/>
      <c r="K2452" s="8"/>
      <c r="L2452" s="9" t="s">
        <v>279</v>
      </c>
      <c r="M2452" s="8"/>
    </row>
    <row r="2453" spans="1:13" x14ac:dyDescent="0.25">
      <c r="A2453" s="71" t="s">
        <v>3627</v>
      </c>
      <c r="B2453" s="67">
        <v>33248807857</v>
      </c>
      <c r="C2453" s="72" t="s">
        <v>3628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3629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160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3630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160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3631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3632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160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3633</v>
      </c>
      <c r="B2458" s="67">
        <v>7143855901</v>
      </c>
      <c r="C2458" s="18" t="s">
        <v>270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3634</v>
      </c>
      <c r="B2459" s="67"/>
      <c r="C2459" s="29" t="s">
        <v>270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3635</v>
      </c>
      <c r="B2460" s="67">
        <v>5365375505</v>
      </c>
      <c r="C2460" s="68" t="s">
        <v>3636</v>
      </c>
      <c r="D2460" s="69">
        <v>34658162857</v>
      </c>
      <c r="E2460" s="9">
        <v>1128</v>
      </c>
      <c r="F2460" s="25">
        <v>42972</v>
      </c>
      <c r="G2460" s="70" t="s">
        <v>160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3637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3638</v>
      </c>
      <c r="B2462" s="67">
        <v>66691990404</v>
      </c>
      <c r="C2462" s="29" t="s">
        <v>3639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3640</v>
      </c>
      <c r="B2463" s="67">
        <v>60347000355</v>
      </c>
      <c r="C2463" s="72" t="s">
        <v>3641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3642</v>
      </c>
      <c r="B2464" s="67">
        <v>37467543808</v>
      </c>
      <c r="C2464" s="72" t="s">
        <v>3643</v>
      </c>
      <c r="D2464" s="69">
        <v>40552745804</v>
      </c>
      <c r="E2464" s="9">
        <v>229</v>
      </c>
      <c r="F2464" s="25">
        <v>43151</v>
      </c>
      <c r="G2464" s="70" t="s">
        <v>160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3644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3645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3646</v>
      </c>
      <c r="B2467" s="67"/>
      <c r="C2467" s="18" t="s">
        <v>270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3647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160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3648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3649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3650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3651</v>
      </c>
      <c r="B2472" s="67"/>
      <c r="C2472" s="18" t="s">
        <v>270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3652</v>
      </c>
      <c r="B2473" s="67">
        <v>34907942818</v>
      </c>
      <c r="C2473" s="72" t="s">
        <v>3653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3654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3655</v>
      </c>
      <c r="B2475" s="67">
        <v>40642684820</v>
      </c>
      <c r="C2475" s="72" t="s">
        <v>3656</v>
      </c>
      <c r="D2475" s="69">
        <v>43189527890</v>
      </c>
      <c r="E2475" s="9">
        <v>292</v>
      </c>
      <c r="F2475" s="25">
        <v>43168</v>
      </c>
      <c r="G2475" s="70" t="s">
        <v>160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3657</v>
      </c>
      <c r="B2476" s="67">
        <v>36401343893</v>
      </c>
      <c r="C2476" s="72" t="s">
        <v>3658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440</v>
      </c>
      <c r="M2476" s="8"/>
    </row>
    <row r="2477" spans="1:13" x14ac:dyDescent="0.25">
      <c r="A2477" s="15" t="s">
        <v>3659</v>
      </c>
      <c r="B2477" s="67">
        <v>10413301460</v>
      </c>
      <c r="C2477" s="72" t="s">
        <v>3660</v>
      </c>
      <c r="D2477" s="69">
        <v>10931047404</v>
      </c>
      <c r="E2477" s="9">
        <v>117</v>
      </c>
      <c r="F2477" s="25">
        <v>43117</v>
      </c>
      <c r="G2477" s="70" t="s">
        <v>160</v>
      </c>
      <c r="H2477" s="9"/>
      <c r="I2477" s="8"/>
      <c r="J2477" s="8"/>
      <c r="K2477" s="8"/>
      <c r="L2477" s="9" t="s">
        <v>311</v>
      </c>
      <c r="M2477" s="8"/>
    </row>
    <row r="2478" spans="1:13" x14ac:dyDescent="0.25">
      <c r="A2478" s="15" t="s">
        <v>3661</v>
      </c>
      <c r="B2478" s="67">
        <v>42030087866</v>
      </c>
      <c r="C2478" s="72" t="s">
        <v>3662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3663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3664</v>
      </c>
      <c r="B2480" s="67">
        <v>38302413801</v>
      </c>
      <c r="C2480" s="77" t="s">
        <v>3665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3666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160</v>
      </c>
      <c r="H2481" s="9"/>
      <c r="I2481" s="8"/>
      <c r="J2481" s="8"/>
      <c r="K2481" s="8"/>
      <c r="L2481" s="9" t="s">
        <v>279</v>
      </c>
      <c r="M2481" s="8"/>
    </row>
    <row r="2482" spans="1:13" x14ac:dyDescent="0.25">
      <c r="A2482" s="71" t="s">
        <v>3667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3668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166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3669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160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3670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160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3671</v>
      </c>
      <c r="B2486" s="67">
        <v>34034498315</v>
      </c>
      <c r="C2486" s="72" t="s">
        <v>3672</v>
      </c>
      <c r="D2486" s="69">
        <v>30620015349</v>
      </c>
      <c r="E2486" s="9">
        <v>1470</v>
      </c>
      <c r="F2486" s="25">
        <v>43031</v>
      </c>
      <c r="G2486" s="70" t="s">
        <v>160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3673</v>
      </c>
      <c r="B2487" s="67">
        <v>38027861810</v>
      </c>
      <c r="C2487" s="72" t="s">
        <v>3674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3675</v>
      </c>
      <c r="B2488" s="67">
        <v>34557275818</v>
      </c>
      <c r="C2488" s="72" t="s">
        <v>3676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3677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160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3678</v>
      </c>
      <c r="B2490" s="67"/>
      <c r="C2490" s="29" t="s">
        <v>3679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3680</v>
      </c>
      <c r="B2491" s="67">
        <v>40298877830</v>
      </c>
      <c r="C2491" s="72" t="s">
        <v>3681</v>
      </c>
      <c r="D2491" s="69">
        <v>5551703576</v>
      </c>
      <c r="E2491" s="9">
        <v>262</v>
      </c>
      <c r="F2491" s="25">
        <v>43160</v>
      </c>
      <c r="G2491" s="70" t="s">
        <v>160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3682</v>
      </c>
      <c r="B2492" s="67">
        <v>36295512895</v>
      </c>
      <c r="C2492" s="72" t="s">
        <v>3683</v>
      </c>
      <c r="D2492" s="69">
        <v>29129585805</v>
      </c>
      <c r="E2492" s="9">
        <v>292</v>
      </c>
      <c r="F2492" s="25">
        <v>43168</v>
      </c>
      <c r="G2492" s="70" t="s">
        <v>160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3684</v>
      </c>
      <c r="B2493" s="67">
        <v>13188101830</v>
      </c>
      <c r="C2493" s="72" t="s">
        <v>3685</v>
      </c>
      <c r="D2493" s="69">
        <v>55072399320</v>
      </c>
      <c r="E2493" s="9">
        <v>1752</v>
      </c>
      <c r="F2493" s="25">
        <v>43051</v>
      </c>
      <c r="G2493" s="70" t="s">
        <v>166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3686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3687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160</v>
      </c>
      <c r="H2495" s="9"/>
      <c r="I2495" s="8"/>
      <c r="J2495" s="8"/>
      <c r="K2495" s="8"/>
      <c r="L2495" s="9" t="s">
        <v>301</v>
      </c>
      <c r="M2495" s="8"/>
    </row>
    <row r="2496" spans="1:13" x14ac:dyDescent="0.25">
      <c r="A2496" s="71" t="s">
        <v>3688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3689</v>
      </c>
      <c r="B2497" s="67">
        <v>18468597864</v>
      </c>
      <c r="C2497" s="72" t="s">
        <v>3690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3691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160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3692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160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3693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160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3694</v>
      </c>
      <c r="B2501" s="67">
        <v>23134916843</v>
      </c>
      <c r="C2501" s="72" t="s">
        <v>3695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3696</v>
      </c>
      <c r="B2502" s="67">
        <v>60939966468</v>
      </c>
      <c r="C2502" s="72" t="s">
        <v>3697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3698</v>
      </c>
      <c r="B2503" s="67"/>
      <c r="C2503" s="29" t="s">
        <v>3699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3700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160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3701</v>
      </c>
      <c r="B2505" s="67">
        <v>33594407810</v>
      </c>
      <c r="C2505" s="68" t="s">
        <v>3702</v>
      </c>
      <c r="D2505" s="69">
        <v>5613611777</v>
      </c>
      <c r="E2505" s="9">
        <v>1128</v>
      </c>
      <c r="F2505" s="25">
        <v>42972</v>
      </c>
      <c r="G2505" s="70" t="s">
        <v>160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3703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160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3704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3705</v>
      </c>
      <c r="B2508" s="67">
        <v>38404903832</v>
      </c>
      <c r="C2508" s="72" t="s">
        <v>3706</v>
      </c>
      <c r="D2508" s="69">
        <v>35612360819</v>
      </c>
      <c r="E2508" s="9">
        <v>810</v>
      </c>
      <c r="F2508" s="25">
        <v>42915</v>
      </c>
      <c r="G2508" s="70" t="s">
        <v>160</v>
      </c>
      <c r="H2508" s="9"/>
      <c r="I2508" s="8"/>
      <c r="J2508" s="8"/>
      <c r="K2508" s="8"/>
      <c r="L2508" s="9" t="s">
        <v>279</v>
      </c>
      <c r="M2508" s="8"/>
    </row>
    <row r="2509" spans="1:13" x14ac:dyDescent="0.25">
      <c r="A2509" s="71" t="s">
        <v>3707</v>
      </c>
      <c r="B2509" s="67">
        <v>33198410843</v>
      </c>
      <c r="C2509" s="72" t="s">
        <v>3708</v>
      </c>
      <c r="D2509" s="69">
        <v>32853865843</v>
      </c>
      <c r="E2509" s="9">
        <v>810</v>
      </c>
      <c r="F2509" s="25">
        <v>42915</v>
      </c>
      <c r="G2509" s="70" t="s">
        <v>160</v>
      </c>
      <c r="H2509" s="9"/>
      <c r="I2509" s="8"/>
      <c r="J2509" s="8"/>
      <c r="K2509" s="8"/>
      <c r="L2509" s="9" t="s">
        <v>279</v>
      </c>
      <c r="M2509" s="8"/>
    </row>
    <row r="2510" spans="1:13" x14ac:dyDescent="0.25">
      <c r="A2510" s="71" t="s">
        <v>3709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160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3710</v>
      </c>
      <c r="B2511" s="67">
        <v>46962268831</v>
      </c>
      <c r="C2511" s="72" t="s">
        <v>3711</v>
      </c>
      <c r="D2511" s="69">
        <v>40564058831</v>
      </c>
      <c r="E2511" s="9">
        <v>1752</v>
      </c>
      <c r="F2511" s="25">
        <v>43051</v>
      </c>
      <c r="G2511" s="70" t="s">
        <v>174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3712</v>
      </c>
      <c r="B2512" s="67">
        <v>33337344860</v>
      </c>
      <c r="C2512" s="72" t="s">
        <v>3713</v>
      </c>
      <c r="D2512" s="69">
        <v>33436663867</v>
      </c>
      <c r="E2512" s="9">
        <v>810</v>
      </c>
      <c r="F2512" s="25">
        <v>42915</v>
      </c>
      <c r="G2512" s="70" t="s">
        <v>160</v>
      </c>
      <c r="H2512" s="9"/>
      <c r="I2512" s="8"/>
      <c r="J2512" s="8"/>
      <c r="K2512" s="8"/>
      <c r="L2512" s="9" t="s">
        <v>279</v>
      </c>
      <c r="M2512" s="8"/>
    </row>
    <row r="2513" spans="1:13" x14ac:dyDescent="0.25">
      <c r="A2513" s="14" t="s">
        <v>3714</v>
      </c>
      <c r="B2513" s="67">
        <v>11587518694</v>
      </c>
      <c r="C2513" s="72" t="s">
        <v>3715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3716</v>
      </c>
      <c r="B2514" s="67">
        <v>37957151809</v>
      </c>
      <c r="C2514" s="72" t="s">
        <v>3717</v>
      </c>
      <c r="D2514" s="69">
        <v>28342788814</v>
      </c>
      <c r="E2514" s="9">
        <v>1570</v>
      </c>
      <c r="F2514" s="25">
        <v>43077</v>
      </c>
      <c r="G2514" s="70" t="s">
        <v>160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3718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440</v>
      </c>
      <c r="M2515" s="8"/>
    </row>
    <row r="2516" spans="1:13" x14ac:dyDescent="0.25">
      <c r="A2516" s="29" t="s">
        <v>3719</v>
      </c>
      <c r="B2516" s="67">
        <v>35434226852</v>
      </c>
      <c r="C2516" s="29" t="s">
        <v>3720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3721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160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3722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160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3723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160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3724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3725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3726</v>
      </c>
      <c r="B2522" s="67">
        <v>31989585809</v>
      </c>
      <c r="C2522" s="72" t="s">
        <v>3727</v>
      </c>
      <c r="D2522" s="69">
        <v>4312861919</v>
      </c>
      <c r="E2522" s="9">
        <v>1824</v>
      </c>
      <c r="F2522" s="25">
        <v>43091</v>
      </c>
      <c r="G2522" s="70" t="s">
        <v>174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3728</v>
      </c>
      <c r="B2523" s="67">
        <v>30264611802</v>
      </c>
      <c r="C2523" s="29" t="s">
        <v>3729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3730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160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3731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160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3732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160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3733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160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3734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3735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3736</v>
      </c>
      <c r="B2530" s="67">
        <v>31117169880</v>
      </c>
      <c r="C2530" s="72" t="s">
        <v>3737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3738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160</v>
      </c>
      <c r="H2531" s="9"/>
      <c r="I2531" s="8"/>
      <c r="J2531" s="8"/>
      <c r="K2531" s="8"/>
      <c r="L2531" s="9" t="s">
        <v>311</v>
      </c>
      <c r="M2531" s="8"/>
    </row>
    <row r="2532" spans="1:13" x14ac:dyDescent="0.25">
      <c r="A2532" s="29" t="s">
        <v>3739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3740</v>
      </c>
      <c r="B2533" s="67">
        <v>34800386896</v>
      </c>
      <c r="C2533" s="72" t="s">
        <v>3741</v>
      </c>
      <c r="D2533" s="69">
        <v>33748068808</v>
      </c>
      <c r="E2533" s="9">
        <v>810</v>
      </c>
      <c r="F2533" s="25">
        <v>42915</v>
      </c>
      <c r="G2533" s="70" t="s">
        <v>160</v>
      </c>
      <c r="H2533" s="9"/>
      <c r="I2533" s="8"/>
      <c r="J2533" s="8"/>
      <c r="K2533" s="8"/>
      <c r="L2533" s="9" t="s">
        <v>279</v>
      </c>
      <c r="M2533" s="8"/>
    </row>
    <row r="2534" spans="1:13" x14ac:dyDescent="0.25">
      <c r="A2534" s="72" t="s">
        <v>3742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3743</v>
      </c>
      <c r="B2535" s="67">
        <v>38858760867</v>
      </c>
      <c r="C2535" s="68" t="s">
        <v>3744</v>
      </c>
      <c r="D2535" s="69">
        <v>37279553842</v>
      </c>
      <c r="E2535" s="9">
        <v>1128</v>
      </c>
      <c r="F2535" s="25">
        <v>42972</v>
      </c>
      <c r="G2535" s="70" t="s">
        <v>160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3745</v>
      </c>
      <c r="B2536" s="67">
        <v>43621579800</v>
      </c>
      <c r="C2536" s="29" t="s">
        <v>270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3746</v>
      </c>
      <c r="B2537" s="67">
        <v>37412192825</v>
      </c>
      <c r="C2537" s="72" t="s">
        <v>3747</v>
      </c>
      <c r="D2537" s="69">
        <v>27576214830</v>
      </c>
      <c r="E2537" s="9">
        <v>1489</v>
      </c>
      <c r="F2537" s="25">
        <v>43038</v>
      </c>
      <c r="G2537" s="70" t="s">
        <v>160</v>
      </c>
      <c r="H2537" s="9"/>
      <c r="I2537" s="8"/>
      <c r="J2537" s="8"/>
      <c r="K2537" s="8"/>
      <c r="L2537" s="9" t="s">
        <v>301</v>
      </c>
      <c r="M2537" s="8"/>
    </row>
    <row r="2538" spans="1:13" x14ac:dyDescent="0.25">
      <c r="A2538" s="71" t="s">
        <v>3748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160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3749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160</v>
      </c>
      <c r="H2539" s="9"/>
      <c r="I2539" s="8"/>
      <c r="J2539" s="8"/>
      <c r="K2539" s="8"/>
      <c r="L2539" s="9" t="s">
        <v>279</v>
      </c>
      <c r="M2539" s="8"/>
    </row>
    <row r="2540" spans="1:13" x14ac:dyDescent="0.25">
      <c r="A2540" s="71" t="s">
        <v>3750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3751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3752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3753</v>
      </c>
      <c r="B2543" s="67">
        <v>36613563803</v>
      </c>
      <c r="C2543" s="72" t="s">
        <v>3754</v>
      </c>
      <c r="D2543" s="69">
        <v>27798369899</v>
      </c>
      <c r="E2543" s="9">
        <v>292</v>
      </c>
      <c r="F2543" s="25">
        <v>43168</v>
      </c>
      <c r="G2543" s="70" t="s">
        <v>160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3755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3756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160</v>
      </c>
      <c r="H2545" s="9"/>
      <c r="I2545" s="8"/>
      <c r="J2545" s="8"/>
      <c r="K2545" s="8"/>
      <c r="L2545" s="9" t="s">
        <v>279</v>
      </c>
      <c r="M2545" s="8"/>
    </row>
    <row r="2546" spans="1:13" ht="30" x14ac:dyDescent="0.25">
      <c r="A2546" s="91" t="s">
        <v>3757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160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3758</v>
      </c>
      <c r="B2547" s="67">
        <v>2950068545</v>
      </c>
      <c r="C2547" s="15" t="s">
        <v>3759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3760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160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3761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166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3762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3763</v>
      </c>
      <c r="B2551" s="67">
        <v>44618522453</v>
      </c>
      <c r="C2551" s="68" t="s">
        <v>3764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3765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160</v>
      </c>
      <c r="H2552" s="9"/>
      <c r="I2552" s="8"/>
      <c r="J2552" s="8"/>
      <c r="K2552" s="8"/>
      <c r="L2552" s="9" t="s">
        <v>311</v>
      </c>
      <c r="M2552" s="8"/>
    </row>
    <row r="2553" spans="1:13" x14ac:dyDescent="0.25">
      <c r="A2553" s="71" t="s">
        <v>3766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160</v>
      </c>
      <c r="H2553" s="9"/>
      <c r="I2553" s="8"/>
      <c r="J2553" s="8"/>
      <c r="K2553" s="8"/>
      <c r="L2553" s="9" t="s">
        <v>394</v>
      </c>
      <c r="M2553" s="8"/>
    </row>
    <row r="2554" spans="1:13" x14ac:dyDescent="0.25">
      <c r="A2554" s="71" t="s">
        <v>3767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3768</v>
      </c>
      <c r="B2555" s="67">
        <v>26333731862</v>
      </c>
      <c r="C2555" s="72" t="s">
        <v>3769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3770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440</v>
      </c>
      <c r="M2556" s="8"/>
    </row>
    <row r="2557" spans="1:13" x14ac:dyDescent="0.25">
      <c r="A2557" s="71" t="s">
        <v>3771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160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3772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160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3773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160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3774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160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3775</v>
      </c>
      <c r="B2561" s="67">
        <v>2035513545</v>
      </c>
      <c r="C2561" s="77" t="s">
        <v>3776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3777</v>
      </c>
      <c r="B2562" s="67">
        <v>32375610881</v>
      </c>
      <c r="C2562" s="72" t="s">
        <v>3778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3779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160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3780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160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3781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3782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160</v>
      </c>
      <c r="H2566" s="9"/>
      <c r="I2566" s="8"/>
      <c r="J2566" s="8"/>
      <c r="K2566" s="8"/>
      <c r="L2566" s="9" t="s">
        <v>301</v>
      </c>
      <c r="M2566" s="8"/>
    </row>
    <row r="2567" spans="1:13" x14ac:dyDescent="0.25">
      <c r="A2567" s="71" t="s">
        <v>3783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160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3784</v>
      </c>
      <c r="B2568" s="67">
        <v>28040254892</v>
      </c>
      <c r="C2568" s="72" t="s">
        <v>3785</v>
      </c>
      <c r="D2568" s="69">
        <v>27414145808</v>
      </c>
      <c r="E2568" s="9">
        <v>810</v>
      </c>
      <c r="F2568" s="25">
        <v>42915</v>
      </c>
      <c r="G2568" s="70" t="s">
        <v>160</v>
      </c>
      <c r="H2568" s="25">
        <v>42921</v>
      </c>
      <c r="I2568" s="8"/>
      <c r="J2568" s="8"/>
      <c r="K2568" s="8"/>
      <c r="L2568" s="9" t="s">
        <v>279</v>
      </c>
      <c r="M2568" s="8"/>
    </row>
    <row r="2569" spans="1:13" x14ac:dyDescent="0.25">
      <c r="A2569" s="71" t="s">
        <v>3786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160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3787</v>
      </c>
      <c r="B2570" s="67">
        <v>19585439859</v>
      </c>
      <c r="C2570" s="72" t="s">
        <v>3788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3789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160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3790</v>
      </c>
      <c r="B2572" s="67">
        <v>33167057831</v>
      </c>
      <c r="C2572" s="18" t="s">
        <v>270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3791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160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3792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160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3793</v>
      </c>
      <c r="B2575" s="67">
        <v>41360953841</v>
      </c>
      <c r="C2575" s="72" t="s">
        <v>3794</v>
      </c>
      <c r="D2575" s="69">
        <v>39212484859</v>
      </c>
      <c r="E2575" s="9">
        <v>117</v>
      </c>
      <c r="F2575" s="25">
        <v>43117</v>
      </c>
      <c r="G2575" s="70" t="s">
        <v>160</v>
      </c>
      <c r="H2575" s="25">
        <v>43151</v>
      </c>
      <c r="I2575" s="8"/>
      <c r="J2575" s="8"/>
      <c r="K2575" s="8"/>
      <c r="L2575" s="9" t="s">
        <v>311</v>
      </c>
      <c r="M2575" s="8"/>
    </row>
    <row r="2576" spans="1:13" x14ac:dyDescent="0.25">
      <c r="A2576" s="15" t="s">
        <v>3795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160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3796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160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3797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160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3798</v>
      </c>
      <c r="B2579" s="67"/>
      <c r="C2579" s="29" t="s">
        <v>270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3799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3800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160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3801</v>
      </c>
      <c r="B2582" s="67">
        <v>39407601889</v>
      </c>
      <c r="C2582" s="72" t="s">
        <v>3802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3803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160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3804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3805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160</v>
      </c>
      <c r="H2585" s="25">
        <v>42921</v>
      </c>
      <c r="I2585" s="8"/>
      <c r="J2585" s="8"/>
      <c r="K2585" s="8"/>
      <c r="L2585" s="9" t="s">
        <v>279</v>
      </c>
      <c r="M2585" s="8"/>
    </row>
    <row r="2586" spans="1:13" x14ac:dyDescent="0.25">
      <c r="A2586" s="71" t="s">
        <v>3806</v>
      </c>
      <c r="B2586" s="67">
        <v>40831453826</v>
      </c>
      <c r="C2586" s="72" t="s">
        <v>3807</v>
      </c>
      <c r="D2586" s="69">
        <v>41787837858</v>
      </c>
      <c r="E2586" s="9">
        <v>1214</v>
      </c>
      <c r="F2586" s="25">
        <v>42989</v>
      </c>
      <c r="G2586" s="70" t="s">
        <v>160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3808</v>
      </c>
      <c r="B2587" s="67">
        <v>23043868811</v>
      </c>
      <c r="C2587" s="18" t="s">
        <v>3809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3810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160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3811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160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3812</v>
      </c>
      <c r="B2590" s="67">
        <v>11739082850</v>
      </c>
      <c r="C2590" s="72" t="s">
        <v>3813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3814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160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3815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160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3816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160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3817</v>
      </c>
      <c r="B2594" s="67">
        <v>36782552809</v>
      </c>
      <c r="C2594" s="72" t="s">
        <v>3818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3819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3820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160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3821</v>
      </c>
      <c r="B2597" s="67">
        <v>28249902874</v>
      </c>
      <c r="C2597" s="29" t="s">
        <v>3822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3823</v>
      </c>
      <c r="B2598" s="67">
        <v>36169238836</v>
      </c>
      <c r="C2598" s="77" t="s">
        <v>3824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3825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160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3826</v>
      </c>
      <c r="B2600" s="67">
        <v>30886267870</v>
      </c>
      <c r="C2600" s="29" t="s">
        <v>3827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3828</v>
      </c>
      <c r="B2601" s="67"/>
      <c r="C2601" s="29" t="s">
        <v>3829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3830</v>
      </c>
      <c r="B2602" s="67">
        <v>26107569847</v>
      </c>
      <c r="C2602" s="77" t="s">
        <v>3831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3832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160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3833</v>
      </c>
      <c r="B2604" s="67">
        <v>13516251875</v>
      </c>
      <c r="C2604" s="68" t="s">
        <v>3834</v>
      </c>
      <c r="D2604" s="69">
        <v>10146756851</v>
      </c>
      <c r="E2604" s="9">
        <v>1214</v>
      </c>
      <c r="F2604" s="25">
        <v>42989</v>
      </c>
      <c r="G2604" s="70" t="s">
        <v>160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3835</v>
      </c>
      <c r="B2605" s="67">
        <v>3597715486</v>
      </c>
      <c r="C2605" s="72" t="s">
        <v>3836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3837</v>
      </c>
      <c r="B2606" s="67">
        <v>1563161532</v>
      </c>
      <c r="C2606" s="68" t="s">
        <v>3838</v>
      </c>
      <c r="D2606" s="69">
        <v>92557732591</v>
      </c>
      <c r="E2606" s="9">
        <v>1128</v>
      </c>
      <c r="F2606" s="25">
        <v>42972</v>
      </c>
      <c r="G2606" s="70" t="s">
        <v>160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3839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3840</v>
      </c>
      <c r="B2608" s="67">
        <v>31914362861</v>
      </c>
      <c r="C2608" s="72" t="s">
        <v>3841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440</v>
      </c>
      <c r="M2608" s="8"/>
    </row>
    <row r="2609" spans="1:13" x14ac:dyDescent="0.25">
      <c r="A2609" s="18" t="s">
        <v>3842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3843</v>
      </c>
      <c r="B2610" s="67">
        <v>35218693855</v>
      </c>
      <c r="C2610" s="72" t="s">
        <v>3844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3845</v>
      </c>
      <c r="B2611" s="67">
        <v>30947166874</v>
      </c>
      <c r="C2611" s="72" t="s">
        <v>3846</v>
      </c>
      <c r="D2611" s="69">
        <v>1304805506</v>
      </c>
      <c r="E2611" s="9">
        <v>1241</v>
      </c>
      <c r="F2611" s="25">
        <v>42992</v>
      </c>
      <c r="G2611" s="70" t="s">
        <v>160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3847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3848</v>
      </c>
      <c r="B2613" s="67">
        <v>3632265593</v>
      </c>
      <c r="C2613" s="72" t="s">
        <v>3849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3850</v>
      </c>
      <c r="B2614" s="67">
        <v>9500687801</v>
      </c>
      <c r="C2614" s="77" t="s">
        <v>3851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440</v>
      </c>
      <c r="M2614" s="8"/>
    </row>
    <row r="2615" spans="1:13" x14ac:dyDescent="0.25">
      <c r="A2615" s="71" t="s">
        <v>3852</v>
      </c>
      <c r="B2615" s="67">
        <v>78808405400</v>
      </c>
      <c r="C2615" s="72" t="s">
        <v>3853</v>
      </c>
      <c r="D2615" s="69">
        <v>6840084400</v>
      </c>
      <c r="E2615" s="9">
        <v>1824</v>
      </c>
      <c r="F2615" s="25">
        <v>43091</v>
      </c>
      <c r="G2615" s="70" t="s">
        <v>160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3854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160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3855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3856</v>
      </c>
      <c r="B2618" s="67">
        <v>37500289820</v>
      </c>
      <c r="C2618" s="68" t="s">
        <v>3857</v>
      </c>
      <c r="D2618" s="69">
        <v>26607571867</v>
      </c>
      <c r="E2618" s="9">
        <v>1350</v>
      </c>
      <c r="F2618" s="25">
        <v>43006</v>
      </c>
      <c r="G2618" s="70" t="s">
        <v>160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3858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3859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160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3860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3861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160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3862</v>
      </c>
      <c r="B2623" s="67">
        <v>8192130800</v>
      </c>
      <c r="C2623" s="72" t="s">
        <v>3863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3864</v>
      </c>
      <c r="B2624" s="67">
        <v>26853070879</v>
      </c>
      <c r="C2624" s="18" t="s">
        <v>3865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3866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160</v>
      </c>
      <c r="H2625" s="25">
        <v>43027</v>
      </c>
      <c r="I2625" s="8"/>
      <c r="J2625" s="8"/>
      <c r="K2625" s="8"/>
      <c r="L2625" s="9" t="s">
        <v>394</v>
      </c>
      <c r="M2625" s="8"/>
    </row>
    <row r="2626" spans="1:13" x14ac:dyDescent="0.25">
      <c r="A2626" s="13" t="s">
        <v>3867</v>
      </c>
      <c r="B2626" s="67">
        <v>27440063864</v>
      </c>
      <c r="C2626" s="68" t="s">
        <v>3868</v>
      </c>
      <c r="D2626" s="69">
        <v>66533287400</v>
      </c>
      <c r="E2626" s="9">
        <v>1241</v>
      </c>
      <c r="F2626" s="25">
        <v>42992</v>
      </c>
      <c r="G2626" s="70" t="s">
        <v>160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3869</v>
      </c>
      <c r="B2627" s="67">
        <v>32362879852</v>
      </c>
      <c r="C2627" s="72" t="s">
        <v>3870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440</v>
      </c>
      <c r="M2627" s="8"/>
    </row>
    <row r="2628" spans="1:13" x14ac:dyDescent="0.25">
      <c r="A2628" s="15" t="s">
        <v>3871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160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3872</v>
      </c>
      <c r="B2629" s="67">
        <v>37904123843</v>
      </c>
      <c r="C2629" s="72" t="s">
        <v>3873</v>
      </c>
      <c r="D2629" s="69">
        <v>16565739897</v>
      </c>
      <c r="E2629" s="9">
        <v>292</v>
      </c>
      <c r="F2629" s="25">
        <v>43168</v>
      </c>
      <c r="G2629" s="70" t="s">
        <v>160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3874</v>
      </c>
      <c r="B2630" s="67">
        <v>30775860883</v>
      </c>
      <c r="C2630" s="72" t="s">
        <v>3875</v>
      </c>
      <c r="D2630" s="69">
        <v>34227894808</v>
      </c>
      <c r="E2630" s="9">
        <v>1359</v>
      </c>
      <c r="F2630" s="25">
        <v>43006</v>
      </c>
      <c r="G2630" s="70" t="s">
        <v>160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3876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160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3877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160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3878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160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3879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160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3880</v>
      </c>
      <c r="B2635" s="67">
        <v>29287401802</v>
      </c>
      <c r="C2635" s="72" t="s">
        <v>3881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3759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160</v>
      </c>
      <c r="H2636" s="25">
        <v>43151</v>
      </c>
      <c r="I2636" s="8"/>
      <c r="J2636" s="8"/>
      <c r="K2636" s="8"/>
      <c r="L2636" s="9" t="s">
        <v>311</v>
      </c>
      <c r="M2636" s="8"/>
    </row>
    <row r="2637" spans="1:13" x14ac:dyDescent="0.25">
      <c r="A2637" s="71" t="s">
        <v>3882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3883</v>
      </c>
      <c r="B2638" s="67">
        <v>36051425837</v>
      </c>
      <c r="C2638" s="77" t="s">
        <v>3884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3885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160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3886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440</v>
      </c>
      <c r="M2640" s="8"/>
    </row>
    <row r="2641" spans="1:13" x14ac:dyDescent="0.25">
      <c r="A2641" s="72" t="s">
        <v>3887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3888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160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3889</v>
      </c>
      <c r="B2643" s="67">
        <v>3212055375</v>
      </c>
      <c r="C2643" s="77" t="s">
        <v>3890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3891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160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3892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160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3893</v>
      </c>
      <c r="B2646" s="67">
        <v>11452168890</v>
      </c>
      <c r="C2646" s="72" t="s">
        <v>3894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3895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3896</v>
      </c>
      <c r="B2648" s="67">
        <v>31856157865</v>
      </c>
      <c r="C2648" s="72" t="s">
        <v>3897</v>
      </c>
      <c r="D2648" s="69">
        <v>94552967568</v>
      </c>
      <c r="E2648" s="9">
        <v>810</v>
      </c>
      <c r="F2648" s="25">
        <v>42915</v>
      </c>
      <c r="G2648" s="70" t="s">
        <v>160</v>
      </c>
      <c r="H2648" s="25">
        <v>42921</v>
      </c>
      <c r="I2648" s="8"/>
      <c r="J2648" s="8"/>
      <c r="K2648" s="8"/>
      <c r="L2648" s="9" t="s">
        <v>279</v>
      </c>
      <c r="M2648" s="8"/>
    </row>
    <row r="2649" spans="1:13" x14ac:dyDescent="0.25">
      <c r="A2649" s="71" t="s">
        <v>3898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160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3899</v>
      </c>
      <c r="B2650" s="67">
        <v>37478827810</v>
      </c>
      <c r="C2650" s="72" t="s">
        <v>3900</v>
      </c>
      <c r="D2650" s="69">
        <v>37591131842</v>
      </c>
      <c r="E2650" s="9">
        <v>292</v>
      </c>
      <c r="F2650" s="25">
        <v>43168</v>
      </c>
      <c r="G2650" s="70" t="s">
        <v>160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3901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160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3902</v>
      </c>
      <c r="B2652" s="67">
        <v>23465596870</v>
      </c>
      <c r="C2652" s="72" t="s">
        <v>3903</v>
      </c>
      <c r="D2652" s="69">
        <v>23522451848</v>
      </c>
      <c r="E2652" s="9">
        <v>292</v>
      </c>
      <c r="F2652" s="25">
        <v>43168</v>
      </c>
      <c r="G2652" s="70" t="s">
        <v>160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3904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440</v>
      </c>
      <c r="M2653" s="8"/>
    </row>
    <row r="2654" spans="1:13" x14ac:dyDescent="0.25">
      <c r="A2654" s="73" t="s">
        <v>3905</v>
      </c>
      <c r="B2654" s="67">
        <v>34274784835</v>
      </c>
      <c r="C2654" s="72" t="s">
        <v>3906</v>
      </c>
      <c r="D2654" s="69">
        <v>19379885890</v>
      </c>
      <c r="E2654" s="9">
        <v>810</v>
      </c>
      <c r="F2654" s="25">
        <v>42915</v>
      </c>
      <c r="G2654" s="70" t="s">
        <v>160</v>
      </c>
      <c r="H2654" s="25">
        <v>42921</v>
      </c>
      <c r="I2654" s="8"/>
      <c r="J2654" s="8"/>
      <c r="K2654" s="8"/>
      <c r="L2654" s="9" t="s">
        <v>279</v>
      </c>
      <c r="M2654" s="8"/>
    </row>
    <row r="2655" spans="1:13" x14ac:dyDescent="0.25">
      <c r="A2655" s="71" t="s">
        <v>3907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160</v>
      </c>
      <c r="H2655" s="25">
        <v>42921</v>
      </c>
      <c r="I2655" s="8"/>
      <c r="J2655" s="8"/>
      <c r="K2655" s="8"/>
      <c r="L2655" s="9" t="s">
        <v>279</v>
      </c>
      <c r="M2655" s="8"/>
    </row>
    <row r="2656" spans="1:13" x14ac:dyDescent="0.25">
      <c r="A2656" s="71" t="s">
        <v>3908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160</v>
      </c>
      <c r="H2656" s="25">
        <v>42921</v>
      </c>
      <c r="I2656" s="8"/>
      <c r="J2656" s="8"/>
      <c r="K2656" s="8"/>
      <c r="L2656" s="9" t="s">
        <v>279</v>
      </c>
      <c r="M2656" s="8"/>
    </row>
    <row r="2657" spans="1:13" x14ac:dyDescent="0.25">
      <c r="A2657" s="71" t="s">
        <v>3909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160</v>
      </c>
      <c r="H2657" s="25">
        <v>43151</v>
      </c>
      <c r="I2657" s="8"/>
      <c r="J2657" s="8"/>
      <c r="K2657" s="8"/>
      <c r="L2657" s="9" t="s">
        <v>311</v>
      </c>
      <c r="M2657" s="8"/>
    </row>
    <row r="2658" spans="1:13" x14ac:dyDescent="0.25">
      <c r="A2658" s="71" t="s">
        <v>3910</v>
      </c>
      <c r="B2658" s="67">
        <v>41491764856</v>
      </c>
      <c r="C2658" s="72" t="s">
        <v>3911</v>
      </c>
      <c r="D2658" s="69">
        <v>91076447520</v>
      </c>
      <c r="E2658" s="9">
        <v>292</v>
      </c>
      <c r="F2658" s="25">
        <v>43168</v>
      </c>
      <c r="G2658" s="70" t="s">
        <v>160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3912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160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3913</v>
      </c>
      <c r="B2660" s="67">
        <v>32962624820</v>
      </c>
      <c r="C2660" s="72" t="s">
        <v>3914</v>
      </c>
      <c r="D2660" s="69">
        <v>3430918871</v>
      </c>
      <c r="E2660" s="9"/>
      <c r="F2660" s="25"/>
      <c r="G2660" s="70" t="s">
        <v>160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3915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166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3916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3917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3918</v>
      </c>
      <c r="B2664" s="67" t="s">
        <v>3919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3920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160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3921</v>
      </c>
      <c r="B2666" s="67">
        <v>99048957753</v>
      </c>
      <c r="C2666" s="29" t="s">
        <v>3922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3923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3924</v>
      </c>
      <c r="B2668" s="67">
        <v>11234152851</v>
      </c>
      <c r="C2668" s="72" t="s">
        <v>3925</v>
      </c>
      <c r="D2668" s="69">
        <v>11353668886</v>
      </c>
      <c r="E2668" s="9">
        <v>117</v>
      </c>
      <c r="F2668" s="25">
        <v>43117</v>
      </c>
      <c r="G2668" s="70" t="s">
        <v>160</v>
      </c>
      <c r="H2668" s="25">
        <v>43151</v>
      </c>
      <c r="I2668" s="8"/>
      <c r="J2668" s="8"/>
      <c r="K2668" s="8"/>
      <c r="L2668" s="9" t="s">
        <v>311</v>
      </c>
      <c r="M2668" s="8"/>
    </row>
    <row r="2669" spans="1:13" x14ac:dyDescent="0.25">
      <c r="A2669" s="14" t="s">
        <v>3926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3927</v>
      </c>
      <c r="B2670" s="67">
        <v>39109326812</v>
      </c>
      <c r="C2670" s="29" t="s">
        <v>3928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3929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160</v>
      </c>
      <c r="H2671" s="25">
        <v>42921</v>
      </c>
      <c r="I2671" s="8"/>
      <c r="J2671" s="8"/>
      <c r="K2671" s="8"/>
      <c r="L2671" s="9" t="s">
        <v>279</v>
      </c>
      <c r="M2671" s="8"/>
    </row>
    <row r="2672" spans="1:13" x14ac:dyDescent="0.25">
      <c r="A2672" s="71" t="s">
        <v>3930</v>
      </c>
      <c r="B2672" s="67">
        <v>33211970819</v>
      </c>
      <c r="C2672" s="72" t="s">
        <v>3931</v>
      </c>
      <c r="D2672" s="69">
        <v>22546816802</v>
      </c>
      <c r="E2672" s="9">
        <v>810</v>
      </c>
      <c r="F2672" s="25">
        <v>42915</v>
      </c>
      <c r="G2672" s="70" t="s">
        <v>160</v>
      </c>
      <c r="H2672" s="25">
        <v>42921</v>
      </c>
      <c r="I2672" s="8"/>
      <c r="J2672" s="8"/>
      <c r="K2672" s="8"/>
      <c r="L2672" s="9" t="s">
        <v>279</v>
      </c>
      <c r="M2672" s="8"/>
    </row>
    <row r="2673" spans="1:13" x14ac:dyDescent="0.25">
      <c r="A2673" s="71" t="s">
        <v>3932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160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3933</v>
      </c>
      <c r="B2674" s="67">
        <v>45170442890</v>
      </c>
      <c r="C2674" s="18" t="s">
        <v>270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3934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160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3935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160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3936</v>
      </c>
      <c r="B2677" s="67"/>
      <c r="C2677" s="71" t="s">
        <v>3937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3938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3939</v>
      </c>
      <c r="B2679" s="67"/>
      <c r="C2679" s="29" t="s">
        <v>270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3940</v>
      </c>
      <c r="B2680" s="67">
        <v>1846996490</v>
      </c>
      <c r="C2680" s="72" t="s">
        <v>3941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3942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160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3943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160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3944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160</v>
      </c>
      <c r="H2683" s="25">
        <v>43027</v>
      </c>
      <c r="I2683" s="8"/>
      <c r="J2683" s="8"/>
      <c r="K2683" s="8"/>
      <c r="L2683" s="9" t="s">
        <v>394</v>
      </c>
      <c r="M2683" s="8"/>
    </row>
    <row r="2684" spans="1:13" x14ac:dyDescent="0.25">
      <c r="A2684" s="13" t="s">
        <v>3945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160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3946</v>
      </c>
      <c r="B2685" s="67"/>
      <c r="C2685" s="29" t="s">
        <v>270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3947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160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3948</v>
      </c>
      <c r="B2687" s="67">
        <v>18033634871</v>
      </c>
      <c r="C2687" s="72" t="s">
        <v>3949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3950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3951</v>
      </c>
      <c r="B2689" s="67">
        <v>16155105839</v>
      </c>
      <c r="C2689" s="72" t="s">
        <v>3952</v>
      </c>
      <c r="D2689" s="69">
        <v>53581717468</v>
      </c>
      <c r="E2689" s="9">
        <v>1359</v>
      </c>
      <c r="F2689" s="25">
        <v>43006</v>
      </c>
      <c r="G2689" s="70" t="s">
        <v>160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3953</v>
      </c>
      <c r="B2690" s="67">
        <v>33244692877</v>
      </c>
      <c r="C2690" s="72" t="s">
        <v>3954</v>
      </c>
      <c r="D2690" s="69">
        <v>7582246802</v>
      </c>
      <c r="E2690" s="9">
        <v>1417</v>
      </c>
      <c r="F2690" s="25">
        <v>43017</v>
      </c>
      <c r="G2690" s="70" t="s">
        <v>160</v>
      </c>
      <c r="H2690" s="25">
        <v>43027</v>
      </c>
      <c r="I2690" s="8"/>
      <c r="J2690" s="8"/>
      <c r="K2690" s="8"/>
      <c r="L2690" s="9" t="s">
        <v>394</v>
      </c>
      <c r="M2690" s="8"/>
    </row>
    <row r="2691" spans="1:13" x14ac:dyDescent="0.25">
      <c r="A2691" s="71" t="s">
        <v>3955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3956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3957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3958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3959</v>
      </c>
      <c r="B2695" s="67">
        <v>8715634795</v>
      </c>
      <c r="C2695" s="72" t="s">
        <v>3960</v>
      </c>
      <c r="D2695" s="69">
        <v>30386378827</v>
      </c>
      <c r="E2695" s="9">
        <v>1106</v>
      </c>
      <c r="F2695" s="25">
        <v>42965</v>
      </c>
      <c r="G2695" s="70" t="s">
        <v>160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3961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160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3962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160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3963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3964</v>
      </c>
      <c r="B2699" s="67">
        <v>85941933517</v>
      </c>
      <c r="C2699" s="72" t="s">
        <v>3965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3966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3967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3968</v>
      </c>
      <c r="B2702" s="67"/>
      <c r="C2702" s="18" t="s">
        <v>270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3969</v>
      </c>
      <c r="B2703" s="67">
        <v>39766945845</v>
      </c>
      <c r="C2703" s="72" t="s">
        <v>3970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3971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160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3972</v>
      </c>
      <c r="B2705" s="67">
        <v>16374846826</v>
      </c>
      <c r="C2705" s="72" t="s">
        <v>3973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3974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3975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160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3976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160</v>
      </c>
      <c r="H2708" s="9"/>
      <c r="I2708" s="8"/>
      <c r="J2708" s="8"/>
      <c r="K2708" s="8"/>
      <c r="L2708" s="9" t="s">
        <v>539</v>
      </c>
      <c r="M2708" s="8"/>
    </row>
    <row r="2709" spans="1:13" x14ac:dyDescent="0.25">
      <c r="A2709" s="71" t="s">
        <v>3977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160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3978</v>
      </c>
      <c r="B2710" s="67">
        <v>14337129898</v>
      </c>
      <c r="C2710" s="77" t="s">
        <v>3979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3980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160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3981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160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3982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3983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3984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160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3985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3986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3987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174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3988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160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3989</v>
      </c>
      <c r="B2720" s="67">
        <v>38482003844</v>
      </c>
      <c r="C2720" s="72" t="s">
        <v>3990</v>
      </c>
      <c r="D2720" s="69">
        <v>34337869840</v>
      </c>
      <c r="E2720" s="9">
        <v>117</v>
      </c>
      <c r="F2720" s="25">
        <v>43117</v>
      </c>
      <c r="G2720" s="70" t="s">
        <v>160</v>
      </c>
      <c r="H2720" s="25">
        <v>43151</v>
      </c>
      <c r="I2720" s="8"/>
      <c r="J2720" s="8"/>
      <c r="K2720" s="8"/>
      <c r="L2720" s="9" t="s">
        <v>311</v>
      </c>
      <c r="M2720" s="8"/>
    </row>
    <row r="2721" spans="1:13" x14ac:dyDescent="0.25">
      <c r="A2721" s="71" t="s">
        <v>3991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3992</v>
      </c>
      <c r="B2722" s="67">
        <v>33079736818</v>
      </c>
      <c r="C2722" s="72" t="s">
        <v>3993</v>
      </c>
      <c r="D2722" s="69">
        <v>35642667807</v>
      </c>
      <c r="E2722" s="9">
        <v>262</v>
      </c>
      <c r="F2722" s="25">
        <v>43160</v>
      </c>
      <c r="G2722" s="70" t="s">
        <v>160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3994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3995</v>
      </c>
      <c r="B2724" s="67">
        <v>31620090813</v>
      </c>
      <c r="C2724" s="72" t="s">
        <v>3996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3997</v>
      </c>
      <c r="B2725" s="67">
        <v>39621579805</v>
      </c>
      <c r="C2725" s="77" t="s">
        <v>3998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3999</v>
      </c>
      <c r="B2726" s="67">
        <v>221267328</v>
      </c>
      <c r="C2726" s="72" t="s">
        <v>4000</v>
      </c>
      <c r="D2726" s="69">
        <v>98610830306</v>
      </c>
      <c r="E2726" s="9">
        <v>85</v>
      </c>
      <c r="F2726" s="25">
        <v>43109</v>
      </c>
      <c r="G2726" s="70" t="s">
        <v>160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4001</v>
      </c>
      <c r="B2727" s="67">
        <v>35706262888</v>
      </c>
      <c r="C2727" s="71" t="s">
        <v>4002</v>
      </c>
      <c r="D2727" s="69">
        <v>28992397836</v>
      </c>
      <c r="E2727" s="9">
        <v>292</v>
      </c>
      <c r="F2727" s="25">
        <v>43168</v>
      </c>
      <c r="G2727" s="9" t="s">
        <v>160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4003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160</v>
      </c>
      <c r="H2728" s="25">
        <v>42921</v>
      </c>
      <c r="I2728" s="8"/>
      <c r="J2728" s="8"/>
      <c r="K2728" s="8"/>
      <c r="L2728" s="9" t="s">
        <v>279</v>
      </c>
      <c r="M2728" s="8"/>
    </row>
    <row r="2729" spans="1:13" x14ac:dyDescent="0.25">
      <c r="A2729" s="71" t="s">
        <v>4004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160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4005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4006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160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4007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4008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4009</v>
      </c>
      <c r="B2734" s="67">
        <v>34393827880</v>
      </c>
      <c r="C2734" s="72" t="s">
        <v>4010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4011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4012</v>
      </c>
      <c r="B2736" s="67">
        <v>35679630826</v>
      </c>
      <c r="C2736" s="72" t="s">
        <v>4013</v>
      </c>
      <c r="D2736" s="69">
        <v>34083542861</v>
      </c>
      <c r="E2736" s="9">
        <v>1752</v>
      </c>
      <c r="F2736" s="25">
        <v>43051</v>
      </c>
      <c r="G2736" s="70" t="s">
        <v>160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4014</v>
      </c>
      <c r="B2737" s="67">
        <v>34949006800</v>
      </c>
      <c r="C2737" s="18" t="s">
        <v>4015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4016</v>
      </c>
      <c r="B2738" s="67">
        <v>1157524559</v>
      </c>
      <c r="C2738" s="72" t="s">
        <v>4017</v>
      </c>
      <c r="D2738" s="69">
        <v>1436524512</v>
      </c>
      <c r="E2738" s="9">
        <v>117</v>
      </c>
      <c r="F2738" s="25">
        <v>43117</v>
      </c>
      <c r="G2738" s="70" t="s">
        <v>166</v>
      </c>
      <c r="H2738" s="25">
        <v>43151</v>
      </c>
      <c r="I2738" s="8"/>
      <c r="J2738" s="8"/>
      <c r="K2738" s="8"/>
      <c r="L2738" s="9" t="s">
        <v>311</v>
      </c>
      <c r="M2738" s="8"/>
    </row>
    <row r="2739" spans="1:13" x14ac:dyDescent="0.25">
      <c r="A2739" s="71" t="s">
        <v>4018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160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4019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160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4020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160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4021</v>
      </c>
      <c r="B2742" s="67">
        <v>21686263830</v>
      </c>
      <c r="C2742" s="29" t="s">
        <v>4022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4023</v>
      </c>
      <c r="B2743" s="67">
        <v>22497995800</v>
      </c>
      <c r="C2743" s="18" t="s">
        <v>4024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4025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160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4026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4027</v>
      </c>
      <c r="B2746" s="67">
        <v>40291692877</v>
      </c>
      <c r="C2746" s="72" t="s">
        <v>4028</v>
      </c>
      <c r="D2746" s="69">
        <v>1566073367</v>
      </c>
      <c r="E2746" s="9">
        <v>810</v>
      </c>
      <c r="F2746" s="25">
        <v>42915</v>
      </c>
      <c r="G2746" s="70" t="s">
        <v>160</v>
      </c>
      <c r="H2746" s="25">
        <v>42921</v>
      </c>
      <c r="I2746" s="8"/>
      <c r="J2746" s="8"/>
      <c r="K2746" s="8"/>
      <c r="L2746" s="9" t="s">
        <v>279</v>
      </c>
      <c r="M2746" s="8"/>
    </row>
    <row r="2747" spans="1:13" x14ac:dyDescent="0.25">
      <c r="A2747" s="72" t="s">
        <v>4029</v>
      </c>
      <c r="B2747" s="67">
        <v>11767064896</v>
      </c>
      <c r="C2747" s="72" t="s">
        <v>4030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4031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160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4032</v>
      </c>
      <c r="B2749" s="67">
        <v>49009893391</v>
      </c>
      <c r="C2749" s="72" t="s">
        <v>4033</v>
      </c>
      <c r="D2749" s="69">
        <v>37349813368</v>
      </c>
      <c r="E2749" s="9">
        <v>292</v>
      </c>
      <c r="F2749" s="25">
        <v>43168</v>
      </c>
      <c r="G2749" s="70" t="s">
        <v>160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4034</v>
      </c>
      <c r="B2750" s="67">
        <v>92361587572</v>
      </c>
      <c r="C2750" s="72" t="s">
        <v>4035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4036</v>
      </c>
      <c r="B2751" s="67">
        <v>17487435890</v>
      </c>
      <c r="C2751" s="72" t="s">
        <v>4037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4038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160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4039</v>
      </c>
      <c r="B2753" s="67">
        <v>86815121615</v>
      </c>
      <c r="C2753" s="72" t="s">
        <v>4040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4041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4042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4043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160</v>
      </c>
      <c r="H2756" s="25">
        <v>42921</v>
      </c>
      <c r="I2756" s="8"/>
      <c r="J2756" s="8"/>
      <c r="K2756" s="8"/>
      <c r="L2756" s="9" t="s">
        <v>279</v>
      </c>
      <c r="M2756" s="8"/>
    </row>
    <row r="2757" spans="1:13" x14ac:dyDescent="0.25">
      <c r="A2757" s="72" t="s">
        <v>4044</v>
      </c>
      <c r="B2757" s="67">
        <v>25261161800</v>
      </c>
      <c r="C2757" s="72" t="s">
        <v>4045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4046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160</v>
      </c>
      <c r="H2758" s="25">
        <v>43151</v>
      </c>
      <c r="I2758" s="8"/>
      <c r="J2758" s="8"/>
      <c r="K2758" s="8"/>
      <c r="L2758" s="9" t="s">
        <v>311</v>
      </c>
      <c r="M2758" s="8"/>
    </row>
    <row r="2759" spans="1:13" x14ac:dyDescent="0.25">
      <c r="A2759" s="71" t="s">
        <v>4047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160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4048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4049</v>
      </c>
      <c r="B2761" s="67">
        <v>22638604879</v>
      </c>
      <c r="C2761" s="72" t="s">
        <v>4050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4051</v>
      </c>
      <c r="B2762" s="67" t="s">
        <v>4052</v>
      </c>
      <c r="C2762" s="18" t="s">
        <v>4053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4054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4055</v>
      </c>
      <c r="B2764" s="67">
        <v>32880462886</v>
      </c>
      <c r="C2764" s="72" t="s">
        <v>4056</v>
      </c>
      <c r="D2764" s="69">
        <v>30845711806</v>
      </c>
      <c r="E2764" s="9">
        <v>810</v>
      </c>
      <c r="F2764" s="25">
        <v>42915</v>
      </c>
      <c r="G2764" s="70" t="s">
        <v>160</v>
      </c>
      <c r="H2764" s="25">
        <v>42921</v>
      </c>
      <c r="I2764" s="8"/>
      <c r="J2764" s="8"/>
      <c r="K2764" s="8"/>
      <c r="L2764" s="9" t="s">
        <v>279</v>
      </c>
      <c r="M2764" s="8"/>
    </row>
    <row r="2765" spans="1:13" x14ac:dyDescent="0.25">
      <c r="A2765" s="29" t="s">
        <v>4057</v>
      </c>
      <c r="B2765" s="67">
        <v>31228758883</v>
      </c>
      <c r="C2765" s="29" t="s">
        <v>4058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4059</v>
      </c>
      <c r="B2766" s="67">
        <v>40443218846</v>
      </c>
      <c r="C2766" s="88" t="s">
        <v>4060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4061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160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4062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166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4063</v>
      </c>
      <c r="B2769" s="67"/>
      <c r="C2769" s="29" t="s">
        <v>4064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4065</v>
      </c>
      <c r="B2770" s="67">
        <v>34462426860</v>
      </c>
      <c r="C2770" s="72" t="s">
        <v>4066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440</v>
      </c>
      <c r="M2770" s="8"/>
    </row>
    <row r="2771" spans="1:13" x14ac:dyDescent="0.25">
      <c r="A2771" s="15" t="s">
        <v>4067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160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4068</v>
      </c>
      <c r="B2772" s="67">
        <v>39600488827</v>
      </c>
      <c r="C2772" s="72" t="s">
        <v>4069</v>
      </c>
      <c r="D2772" s="69">
        <v>34795746885</v>
      </c>
      <c r="E2772" s="9">
        <v>292</v>
      </c>
      <c r="F2772" s="25">
        <v>43168</v>
      </c>
      <c r="G2772" s="70" t="s">
        <v>160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4070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4071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174</v>
      </c>
      <c r="H2774" s="25">
        <v>42921</v>
      </c>
      <c r="I2774" s="8"/>
      <c r="J2774" s="8"/>
      <c r="K2774" s="8"/>
      <c r="L2774" s="9" t="s">
        <v>279</v>
      </c>
      <c r="M2774" s="8"/>
    </row>
    <row r="2775" spans="1:13" x14ac:dyDescent="0.25">
      <c r="A2775" s="71" t="s">
        <v>4072</v>
      </c>
      <c r="B2775" s="67">
        <v>32768872822</v>
      </c>
      <c r="C2775" s="72" t="s">
        <v>4073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4074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160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4075</v>
      </c>
      <c r="B2777" s="67">
        <v>85942588104</v>
      </c>
      <c r="C2777" s="88" t="s">
        <v>4076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4077</v>
      </c>
      <c r="B2778" s="67"/>
      <c r="C2778" s="29" t="s">
        <v>270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4078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160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4079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160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4080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4081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4082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160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4083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160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4084</v>
      </c>
      <c r="B2785" s="67">
        <v>30834349876</v>
      </c>
      <c r="C2785" s="72" t="s">
        <v>4085</v>
      </c>
      <c r="D2785" s="69">
        <v>58355561520</v>
      </c>
      <c r="E2785" s="9">
        <v>262</v>
      </c>
      <c r="F2785" s="25">
        <v>43160</v>
      </c>
      <c r="G2785" s="70" t="s">
        <v>160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4086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160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4087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166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4088</v>
      </c>
      <c r="B2788" s="67">
        <v>22682142818</v>
      </c>
      <c r="C2788" s="72" t="s">
        <v>2888</v>
      </c>
      <c r="D2788" s="69">
        <v>22853401847</v>
      </c>
      <c r="E2788" s="9">
        <v>117</v>
      </c>
      <c r="F2788" s="25">
        <v>43117</v>
      </c>
      <c r="G2788" s="70" t="s">
        <v>160</v>
      </c>
      <c r="H2788" s="25">
        <v>43151</v>
      </c>
      <c r="I2788" s="8"/>
      <c r="J2788" s="8"/>
      <c r="K2788" s="8"/>
      <c r="L2788" s="9" t="s">
        <v>311</v>
      </c>
      <c r="M2788" s="8"/>
    </row>
    <row r="2789" spans="1:13" x14ac:dyDescent="0.25">
      <c r="A2789" s="71" t="s">
        <v>4089</v>
      </c>
      <c r="B2789" s="67">
        <v>32700235886</v>
      </c>
      <c r="C2789" s="72" t="s">
        <v>4090</v>
      </c>
      <c r="D2789" s="69">
        <v>30542314886</v>
      </c>
      <c r="E2789" s="9">
        <v>292</v>
      </c>
      <c r="F2789" s="25">
        <v>43168</v>
      </c>
      <c r="G2789" s="70" t="s">
        <v>160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4091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4092</v>
      </c>
      <c r="B2791" s="67">
        <v>12487731877</v>
      </c>
      <c r="C2791" s="72" t="s">
        <v>4093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4094</v>
      </c>
      <c r="B2792" s="67" t="s">
        <v>4095</v>
      </c>
      <c r="C2792" s="88" t="s">
        <v>4096</v>
      </c>
      <c r="D2792" s="69" t="s">
        <v>4097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4098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160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4099</v>
      </c>
      <c r="B2794" s="67">
        <v>35705436840</v>
      </c>
      <c r="C2794" s="88" t="s">
        <v>4100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4101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174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4102</v>
      </c>
      <c r="B2796" s="67">
        <v>34086913801</v>
      </c>
      <c r="C2796" s="72" t="s">
        <v>4103</v>
      </c>
      <c r="D2796" s="69">
        <v>31013050800</v>
      </c>
      <c r="E2796" s="9">
        <v>229</v>
      </c>
      <c r="F2796" s="25">
        <v>43151</v>
      </c>
      <c r="G2796" s="70" t="s">
        <v>160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4104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160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4105</v>
      </c>
      <c r="B2798" s="67">
        <v>24648996828</v>
      </c>
      <c r="C2798" s="72" t="s">
        <v>4106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4107</v>
      </c>
      <c r="B2799" s="67">
        <v>87445824472</v>
      </c>
      <c r="C2799" s="72" t="s">
        <v>4108</v>
      </c>
      <c r="D2799" s="69">
        <v>30439764874</v>
      </c>
      <c r="E2799" s="9">
        <v>1417</v>
      </c>
      <c r="F2799" s="25">
        <v>43017</v>
      </c>
      <c r="G2799" s="70" t="s">
        <v>160</v>
      </c>
      <c r="H2799" s="25">
        <v>43027</v>
      </c>
      <c r="I2799" s="8"/>
      <c r="J2799" s="8"/>
      <c r="K2799" s="8"/>
      <c r="L2799" s="9" t="s">
        <v>394</v>
      </c>
      <c r="M2799" s="8"/>
    </row>
    <row r="2800" spans="1:13" x14ac:dyDescent="0.25">
      <c r="A2800" s="71" t="s">
        <v>4109</v>
      </c>
      <c r="B2800" s="67">
        <v>25630230840</v>
      </c>
      <c r="C2800" s="77" t="s">
        <v>4110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440</v>
      </c>
      <c r="M2800" s="8"/>
    </row>
    <row r="2801" spans="1:13" x14ac:dyDescent="0.25">
      <c r="A2801" s="71" t="s">
        <v>4111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160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4112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160</v>
      </c>
      <c r="H2802" s="25">
        <v>43027</v>
      </c>
      <c r="I2802" s="8"/>
      <c r="J2802" s="8"/>
      <c r="K2802" s="8"/>
      <c r="L2802" s="9" t="s">
        <v>394</v>
      </c>
      <c r="M2802" s="8"/>
    </row>
    <row r="2803" spans="1:13" x14ac:dyDescent="0.25">
      <c r="A2803" s="71" t="s">
        <v>4113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4114</v>
      </c>
      <c r="B2804" s="67">
        <v>17128618830</v>
      </c>
      <c r="C2804" s="72" t="s">
        <v>4115</v>
      </c>
      <c r="D2804" s="69">
        <v>69305315534</v>
      </c>
      <c r="E2804" s="9">
        <v>810</v>
      </c>
      <c r="F2804" s="25">
        <v>42915</v>
      </c>
      <c r="G2804" s="70" t="s">
        <v>166</v>
      </c>
      <c r="H2804" s="25">
        <v>42921</v>
      </c>
      <c r="I2804" s="8"/>
      <c r="J2804" s="8"/>
      <c r="K2804" s="8"/>
      <c r="L2804" s="9" t="s">
        <v>279</v>
      </c>
      <c r="M2804" s="8"/>
    </row>
    <row r="2805" spans="1:13" x14ac:dyDescent="0.25">
      <c r="A2805" s="71" t="s">
        <v>4116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4117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4118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4119</v>
      </c>
      <c r="B2808" s="67">
        <v>79572421468</v>
      </c>
      <c r="C2808" s="29" t="s">
        <v>4120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4121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160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4122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4123</v>
      </c>
      <c r="B2811" s="67">
        <v>44518427866</v>
      </c>
      <c r="C2811" s="72" t="s">
        <v>4124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4125</v>
      </c>
      <c r="B2812" s="67">
        <v>35625515840</v>
      </c>
      <c r="C2812" s="72" t="s">
        <v>4126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4127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4128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440</v>
      </c>
      <c r="M2814" s="8"/>
    </row>
    <row r="2815" spans="1:13" x14ac:dyDescent="0.25">
      <c r="A2815" s="18" t="s">
        <v>4129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4130</v>
      </c>
      <c r="B2816" s="67">
        <v>40663707803</v>
      </c>
      <c r="C2816" s="72" t="s">
        <v>4131</v>
      </c>
      <c r="D2816" s="69">
        <v>35138540807</v>
      </c>
      <c r="E2816" s="9">
        <v>262</v>
      </c>
      <c r="F2816" s="25">
        <v>43160</v>
      </c>
      <c r="G2816" s="70" t="s">
        <v>160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4132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4133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4134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160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4135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160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4136</v>
      </c>
      <c r="B2821" s="67"/>
      <c r="C2821" s="29" t="s">
        <v>4137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4138</v>
      </c>
      <c r="B2822" s="67">
        <v>40874659850</v>
      </c>
      <c r="C2822" s="77" t="s">
        <v>4139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440</v>
      </c>
      <c r="M2822" s="8"/>
    </row>
    <row r="2823" spans="1:13" x14ac:dyDescent="0.25">
      <c r="A2823" s="29" t="s">
        <v>4140</v>
      </c>
      <c r="B2823" s="67"/>
      <c r="C2823" s="29" t="s">
        <v>4141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4142</v>
      </c>
      <c r="B2824" s="67">
        <v>37028047814</v>
      </c>
      <c r="C2824" s="72" t="s">
        <v>4143</v>
      </c>
      <c r="D2824" s="69">
        <v>34812554896</v>
      </c>
      <c r="E2824" s="9">
        <v>1824</v>
      </c>
      <c r="F2824" s="25">
        <v>43091</v>
      </c>
      <c r="G2824" s="70" t="s">
        <v>160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4144</v>
      </c>
      <c r="B2825" s="67">
        <v>10774591650</v>
      </c>
      <c r="C2825" s="72" t="s">
        <v>4145</v>
      </c>
      <c r="D2825" s="69">
        <v>33230795822</v>
      </c>
      <c r="E2825" s="9">
        <v>292</v>
      </c>
      <c r="F2825" s="25">
        <v>43168</v>
      </c>
      <c r="G2825" s="70" t="s">
        <v>160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4146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160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4147</v>
      </c>
      <c r="B2827" s="67">
        <v>42779099810</v>
      </c>
      <c r="C2827" s="18" t="s">
        <v>4148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4149</v>
      </c>
      <c r="B2828" s="67">
        <v>50748310835</v>
      </c>
      <c r="C2828" s="18" t="s">
        <v>4150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4151</v>
      </c>
      <c r="B2829" s="67">
        <v>42651266850</v>
      </c>
      <c r="C2829" s="72" t="s">
        <v>4152</v>
      </c>
      <c r="D2829" s="69">
        <v>3580715429</v>
      </c>
      <c r="E2829" s="9">
        <v>1350</v>
      </c>
      <c r="F2829" s="25">
        <v>43006</v>
      </c>
      <c r="G2829" s="70" t="s">
        <v>160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4153</v>
      </c>
      <c r="B2830" s="67">
        <v>36474824808</v>
      </c>
      <c r="C2830" s="72" t="s">
        <v>4154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4155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4156</v>
      </c>
      <c r="B2832" s="67">
        <v>22034628845</v>
      </c>
      <c r="C2832" s="72" t="s">
        <v>4157</v>
      </c>
      <c r="D2832" s="69">
        <v>26990288515</v>
      </c>
      <c r="E2832" s="9">
        <v>1555</v>
      </c>
      <c r="F2832" s="25">
        <v>43049</v>
      </c>
      <c r="G2832" s="70" t="s">
        <v>160</v>
      </c>
      <c r="H2832" s="9"/>
      <c r="I2832" s="8"/>
      <c r="J2832" s="8"/>
      <c r="K2832" s="8"/>
      <c r="L2832" s="9" t="s">
        <v>539</v>
      </c>
      <c r="M2832" s="8"/>
    </row>
    <row r="2833" spans="1:13" x14ac:dyDescent="0.25">
      <c r="A2833" s="71" t="s">
        <v>4158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4159</v>
      </c>
      <c r="B2834" s="67">
        <v>10782475876</v>
      </c>
      <c r="C2834" s="72" t="s">
        <v>4160</v>
      </c>
      <c r="D2834" s="69">
        <v>616947895</v>
      </c>
      <c r="E2834" s="9">
        <v>1214</v>
      </c>
      <c r="F2834" s="25">
        <v>42989</v>
      </c>
      <c r="G2834" s="70" t="s">
        <v>160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4161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160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4162</v>
      </c>
      <c r="B2836" s="67"/>
      <c r="C2836" s="18" t="s">
        <v>270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4163</v>
      </c>
      <c r="B2837" s="67">
        <v>42151049809</v>
      </c>
      <c r="C2837" s="68" t="s">
        <v>4164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4165</v>
      </c>
      <c r="B2838" s="67">
        <v>38785656828</v>
      </c>
      <c r="C2838" s="18" t="s">
        <v>4166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4167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4168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160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4169</v>
      </c>
      <c r="B2841" s="67">
        <v>22815009854</v>
      </c>
      <c r="C2841" s="77" t="s">
        <v>4170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4171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166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4172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4173</v>
      </c>
      <c r="B2844" s="67">
        <v>40506629813</v>
      </c>
      <c r="C2844" s="72" t="s">
        <v>4174</v>
      </c>
      <c r="D2844" s="69">
        <v>32485329800</v>
      </c>
      <c r="E2844" s="9">
        <v>262</v>
      </c>
      <c r="F2844" s="25">
        <v>43160</v>
      </c>
      <c r="G2844" s="70" t="s">
        <v>160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4175</v>
      </c>
      <c r="B2845" s="67">
        <v>31504729897</v>
      </c>
      <c r="C2845" s="68" t="s">
        <v>4176</v>
      </c>
      <c r="D2845" s="69">
        <v>24816878840</v>
      </c>
      <c r="E2845" s="9">
        <v>1214</v>
      </c>
      <c r="F2845" s="25">
        <v>42989</v>
      </c>
      <c r="G2845" s="70" t="s">
        <v>160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4177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160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4178</v>
      </c>
      <c r="B2847" s="67">
        <v>12925287700</v>
      </c>
      <c r="C2847" s="72" t="s">
        <v>4179</v>
      </c>
      <c r="D2847" s="69">
        <v>37253983807</v>
      </c>
      <c r="E2847" s="9">
        <v>1752</v>
      </c>
      <c r="F2847" s="25">
        <v>43051</v>
      </c>
      <c r="G2847" s="70" t="s">
        <v>160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4180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440</v>
      </c>
      <c r="M2848" s="8"/>
    </row>
    <row r="2849" spans="1:13" x14ac:dyDescent="0.25">
      <c r="A2849" s="71" t="s">
        <v>4181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160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4182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160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4183</v>
      </c>
      <c r="B2851" s="67">
        <v>26735743873</v>
      </c>
      <c r="C2851" s="72" t="s">
        <v>4184</v>
      </c>
      <c r="D2851" s="69">
        <v>14913845810</v>
      </c>
      <c r="E2851" s="9">
        <v>1214</v>
      </c>
      <c r="F2851" s="25">
        <v>42989</v>
      </c>
      <c r="G2851" s="70" t="s">
        <v>166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4185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160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4186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160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4187</v>
      </c>
      <c r="B2854" s="67">
        <v>26193222863</v>
      </c>
      <c r="C2854" s="18" t="s">
        <v>4188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4189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4190</v>
      </c>
      <c r="B2856" s="67">
        <v>3381508890</v>
      </c>
      <c r="C2856" s="72" t="s">
        <v>4191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440</v>
      </c>
      <c r="M2856" s="8"/>
    </row>
    <row r="2857" spans="1:13" x14ac:dyDescent="0.25">
      <c r="A2857" s="15" t="s">
        <v>4192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160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4193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4194</v>
      </c>
      <c r="B2859" s="67">
        <v>11507771843</v>
      </c>
      <c r="C2859" s="72" t="s">
        <v>4195</v>
      </c>
      <c r="D2859" s="69">
        <v>6898979876</v>
      </c>
      <c r="E2859" s="9">
        <v>292</v>
      </c>
      <c r="F2859" s="25">
        <v>43168</v>
      </c>
      <c r="G2859" s="70" t="s">
        <v>160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4196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160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4197</v>
      </c>
      <c r="B2861" s="67">
        <v>42597970850</v>
      </c>
      <c r="C2861" s="72" t="s">
        <v>4198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4199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4200</v>
      </c>
      <c r="B2863" s="67"/>
      <c r="C2863" s="29" t="s">
        <v>4201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4202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160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4203</v>
      </c>
      <c r="B2865" s="67">
        <v>48081983805</v>
      </c>
      <c r="C2865" s="77" t="s">
        <v>4204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4205</v>
      </c>
      <c r="B2866" s="67">
        <v>43249836826</v>
      </c>
      <c r="C2866" s="72" t="s">
        <v>4206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4207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160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4208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4209</v>
      </c>
      <c r="B2869" s="67">
        <v>11894872681</v>
      </c>
      <c r="C2869" s="72" t="s">
        <v>4210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4211</v>
      </c>
      <c r="B2870" s="67">
        <v>40155044885</v>
      </c>
      <c r="C2870" s="72" t="s">
        <v>4212</v>
      </c>
      <c r="D2870" s="69">
        <v>34935837888</v>
      </c>
      <c r="E2870" s="9">
        <v>292</v>
      </c>
      <c r="F2870" s="25">
        <v>43168</v>
      </c>
      <c r="G2870" s="9" t="s">
        <v>160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4213</v>
      </c>
      <c r="B2871" s="67">
        <v>35165262898</v>
      </c>
      <c r="C2871" s="68" t="s">
        <v>4214</v>
      </c>
      <c r="D2871" s="69">
        <v>34112749805</v>
      </c>
      <c r="E2871" s="9">
        <v>1241</v>
      </c>
      <c r="F2871" s="25">
        <v>42992</v>
      </c>
      <c r="G2871" s="70" t="s">
        <v>160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4215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160</v>
      </c>
      <c r="H2872" s="25">
        <v>43151</v>
      </c>
      <c r="I2872" s="8"/>
      <c r="J2872" s="8"/>
      <c r="K2872" s="8"/>
      <c r="L2872" s="9" t="s">
        <v>311</v>
      </c>
      <c r="M2872" s="8"/>
    </row>
    <row r="2873" spans="1:13" x14ac:dyDescent="0.25">
      <c r="A2873" s="72" t="s">
        <v>4216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4217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160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4218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160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4219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160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4220</v>
      </c>
      <c r="B2877" s="67">
        <v>40770970885</v>
      </c>
      <c r="C2877" s="72" t="s">
        <v>4221</v>
      </c>
      <c r="D2877" s="69">
        <v>43652847890</v>
      </c>
      <c r="E2877" s="9">
        <v>117</v>
      </c>
      <c r="F2877" s="25">
        <v>43117</v>
      </c>
      <c r="G2877" s="70" t="s">
        <v>160</v>
      </c>
      <c r="H2877" s="25">
        <v>43151</v>
      </c>
      <c r="I2877" s="8"/>
      <c r="J2877" s="8"/>
      <c r="K2877" s="8"/>
      <c r="L2877" s="9" t="s">
        <v>311</v>
      </c>
      <c r="M2877" s="8"/>
    </row>
    <row r="2878" spans="1:13" x14ac:dyDescent="0.25">
      <c r="A2878" s="29" t="s">
        <v>4222</v>
      </c>
      <c r="B2878" s="67"/>
      <c r="C2878" s="18" t="s">
        <v>270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4223</v>
      </c>
      <c r="B2879" s="67">
        <v>38462624800</v>
      </c>
      <c r="C2879" s="18" t="s">
        <v>270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4224</v>
      </c>
      <c r="B2880" s="67">
        <v>30942876890</v>
      </c>
      <c r="C2880" s="72" t="s">
        <v>4225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4226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160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4227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160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4228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160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4229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4230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160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4231</v>
      </c>
      <c r="B2886" s="67">
        <v>28965520819</v>
      </c>
      <c r="C2886" s="72" t="s">
        <v>4232</v>
      </c>
      <c r="D2886" s="69">
        <v>8432372447</v>
      </c>
      <c r="E2886" s="9">
        <v>1824</v>
      </c>
      <c r="F2886" s="25">
        <v>43091</v>
      </c>
      <c r="G2886" s="70" t="s">
        <v>166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4233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4234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440</v>
      </c>
      <c r="M2888" s="8"/>
    </row>
    <row r="2889" spans="1:13" x14ac:dyDescent="0.25">
      <c r="A2889" s="71" t="s">
        <v>4235</v>
      </c>
      <c r="B2889" s="67">
        <v>31336065818</v>
      </c>
      <c r="C2889" s="72" t="s">
        <v>4236</v>
      </c>
      <c r="D2889" s="69">
        <v>43264481804</v>
      </c>
      <c r="E2889" s="9">
        <v>1214</v>
      </c>
      <c r="F2889" s="25">
        <v>42989</v>
      </c>
      <c r="G2889" s="70" t="s">
        <v>160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4237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4238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160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4239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160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4240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160</v>
      </c>
      <c r="H2893" s="25">
        <v>43027</v>
      </c>
      <c r="I2893" s="8"/>
      <c r="J2893" s="8"/>
      <c r="K2893" s="8"/>
      <c r="L2893" s="9" t="s">
        <v>643</v>
      </c>
      <c r="M2893" s="8"/>
    </row>
    <row r="2894" spans="1:13" x14ac:dyDescent="0.25">
      <c r="A2894" s="15" t="s">
        <v>4241</v>
      </c>
      <c r="B2894" s="67">
        <v>2655794494</v>
      </c>
      <c r="C2894" s="72" t="s">
        <v>4242</v>
      </c>
      <c r="D2894" s="69">
        <v>96385081591</v>
      </c>
      <c r="E2894" s="9">
        <v>117</v>
      </c>
      <c r="F2894" s="25">
        <v>43117</v>
      </c>
      <c r="G2894" s="70" t="s">
        <v>160</v>
      </c>
      <c r="H2894" s="25">
        <v>43151</v>
      </c>
      <c r="I2894" s="8"/>
      <c r="J2894" s="8"/>
      <c r="K2894" s="8"/>
      <c r="L2894" s="9" t="s">
        <v>311</v>
      </c>
      <c r="M2894" s="8"/>
    </row>
    <row r="2895" spans="1:13" x14ac:dyDescent="0.25">
      <c r="A2895" s="71" t="s">
        <v>4243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160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4244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160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4245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160</v>
      </c>
      <c r="H2897" s="9"/>
      <c r="I2897" s="9">
        <v>229</v>
      </c>
      <c r="J2897" s="25">
        <v>43151</v>
      </c>
      <c r="K2897" s="25">
        <v>43158</v>
      </c>
      <c r="L2897" s="9" t="s">
        <v>301</v>
      </c>
      <c r="M2897" s="25"/>
    </row>
    <row r="2898" spans="1:13" x14ac:dyDescent="0.25">
      <c r="A2898" s="71" t="s">
        <v>4246</v>
      </c>
      <c r="B2898" s="67">
        <v>38085002809</v>
      </c>
      <c r="C2898" s="72" t="s">
        <v>4247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4248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160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4249</v>
      </c>
      <c r="B2900" s="67">
        <v>23357346877</v>
      </c>
      <c r="C2900" s="72" t="s">
        <v>4250</v>
      </c>
      <c r="D2900" s="69">
        <v>39917830880</v>
      </c>
      <c r="E2900" s="9">
        <v>1555</v>
      </c>
      <c r="F2900" s="25">
        <v>43049</v>
      </c>
      <c r="G2900" s="70" t="s">
        <v>160</v>
      </c>
      <c r="H2900" s="9"/>
      <c r="I2900" s="8"/>
      <c r="J2900" s="8"/>
      <c r="K2900" s="8"/>
      <c r="L2900" s="9" t="s">
        <v>539</v>
      </c>
      <c r="M2900" s="8"/>
    </row>
    <row r="2901" spans="1:13" x14ac:dyDescent="0.25">
      <c r="A2901" s="71" t="s">
        <v>4251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4252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160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4253</v>
      </c>
      <c r="B2903" s="67">
        <v>33733642805</v>
      </c>
      <c r="C2903" s="72" t="s">
        <v>4254</v>
      </c>
      <c r="D2903" s="69">
        <v>1860087590</v>
      </c>
      <c r="E2903" s="9">
        <v>85</v>
      </c>
      <c r="F2903" s="25">
        <v>43109</v>
      </c>
      <c r="G2903" s="70" t="s">
        <v>160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4255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160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4256</v>
      </c>
      <c r="B2905" s="67">
        <v>5387678802</v>
      </c>
      <c r="C2905" s="72" t="s">
        <v>4257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4258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160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4259</v>
      </c>
      <c r="B2907" s="67">
        <v>41173451846</v>
      </c>
      <c r="C2907" s="72" t="s">
        <v>4260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4261</v>
      </c>
      <c r="B2908" s="67">
        <v>36432395801</v>
      </c>
      <c r="C2908" s="77" t="s">
        <v>4262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4263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4264</v>
      </c>
      <c r="B2910" s="67">
        <v>28196011890</v>
      </c>
      <c r="C2910" s="72" t="s">
        <v>4265</v>
      </c>
      <c r="D2910" s="69">
        <v>73582980553</v>
      </c>
      <c r="E2910" s="9">
        <v>1262</v>
      </c>
      <c r="F2910" s="25">
        <v>42997</v>
      </c>
      <c r="G2910" s="70" t="s">
        <v>160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4266</v>
      </c>
      <c r="B2911" s="67">
        <v>8710545409</v>
      </c>
      <c r="C2911" s="72" t="s">
        <v>4267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4268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4269</v>
      </c>
      <c r="B2913" s="67">
        <v>27279265880</v>
      </c>
      <c r="C2913" s="77" t="s">
        <v>4270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4271</v>
      </c>
      <c r="B2914" s="67">
        <v>2973007844</v>
      </c>
      <c r="C2914" s="18" t="s">
        <v>270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4272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4273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160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4274</v>
      </c>
      <c r="B2917" s="67">
        <v>97080756391</v>
      </c>
      <c r="C2917" s="68" t="s">
        <v>4275</v>
      </c>
      <c r="D2917" s="69">
        <v>78464463391</v>
      </c>
      <c r="E2917" s="9">
        <v>1343</v>
      </c>
      <c r="F2917" s="25">
        <v>43004</v>
      </c>
      <c r="G2917" s="70" t="s">
        <v>160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4276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4277</v>
      </c>
      <c r="B2919" s="67">
        <v>542688778</v>
      </c>
      <c r="C2919" s="18" t="s">
        <v>270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4278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4279</v>
      </c>
      <c r="B2921" s="67">
        <v>19521938854</v>
      </c>
      <c r="C2921" s="72" t="s">
        <v>4280</v>
      </c>
      <c r="D2921" s="69">
        <v>16398980506</v>
      </c>
      <c r="E2921" s="9">
        <v>1214</v>
      </c>
      <c r="F2921" s="25">
        <v>42989</v>
      </c>
      <c r="G2921" s="70" t="s">
        <v>160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4281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4282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160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4283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160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4284</v>
      </c>
      <c r="B2925" s="67">
        <v>81710763272</v>
      </c>
      <c r="C2925" s="77" t="s">
        <v>4285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4286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160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4287</v>
      </c>
      <c r="B2927" s="67">
        <v>35453812850</v>
      </c>
      <c r="C2927" s="18" t="s">
        <v>4288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4289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4290</v>
      </c>
      <c r="B2929" s="67">
        <v>22665008807</v>
      </c>
      <c r="C2929" s="72" t="s">
        <v>4291</v>
      </c>
      <c r="D2929" s="69">
        <v>35575903800</v>
      </c>
      <c r="E2929" s="9">
        <v>262</v>
      </c>
      <c r="F2929" s="25">
        <v>43160</v>
      </c>
      <c r="G2929" s="9" t="s">
        <v>160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4292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160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4293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4294</v>
      </c>
      <c r="B2932" s="67">
        <v>60615920357</v>
      </c>
      <c r="C2932" s="72" t="s">
        <v>4295</v>
      </c>
      <c r="D2932" s="69">
        <v>4818511358</v>
      </c>
      <c r="E2932" s="9">
        <v>292</v>
      </c>
      <c r="F2932" s="25">
        <v>43168</v>
      </c>
      <c r="G2932" s="9" t="s">
        <v>160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4296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160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4297</v>
      </c>
      <c r="B2934" s="67">
        <v>31633338851</v>
      </c>
      <c r="C2934" s="72" t="s">
        <v>4298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440</v>
      </c>
      <c r="M2934" s="8"/>
    </row>
    <row r="2935" spans="1:13" x14ac:dyDescent="0.25">
      <c r="A2935" s="71" t="s">
        <v>4299</v>
      </c>
      <c r="B2935" s="67">
        <v>42518509801</v>
      </c>
      <c r="C2935" s="72" t="s">
        <v>4300</v>
      </c>
      <c r="D2935" s="69">
        <v>36320707844</v>
      </c>
      <c r="E2935" s="9">
        <v>1752</v>
      </c>
      <c r="F2935" s="25">
        <v>43051</v>
      </c>
      <c r="G2935" s="70" t="s">
        <v>174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4301</v>
      </c>
      <c r="B2936" s="67">
        <v>22958464806</v>
      </c>
      <c r="C2936" s="72" t="s">
        <v>4302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4303</v>
      </c>
      <c r="B2937" s="67">
        <v>31152044850</v>
      </c>
      <c r="C2937" s="72" t="s">
        <v>4304</v>
      </c>
      <c r="D2937" s="69">
        <v>31152043889</v>
      </c>
      <c r="E2937" s="9">
        <v>1128</v>
      </c>
      <c r="F2937" s="25">
        <v>42972</v>
      </c>
      <c r="G2937" s="70" t="s">
        <v>160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4305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160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4306</v>
      </c>
      <c r="B2939" s="80">
        <v>35805723859</v>
      </c>
      <c r="C2939" s="81" t="s">
        <v>4307</v>
      </c>
      <c r="D2939" s="82">
        <v>12726161855</v>
      </c>
      <c r="E2939" s="47">
        <v>1824</v>
      </c>
      <c r="F2939" s="48">
        <v>43091</v>
      </c>
      <c r="G2939" s="83" t="s">
        <v>166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4308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160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4309</v>
      </c>
      <c r="B2941" s="67">
        <v>7358002431</v>
      </c>
      <c r="C2941" s="72" t="s">
        <v>4310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4311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160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4312</v>
      </c>
      <c r="B2943" s="67">
        <v>43354497807</v>
      </c>
      <c r="C2943" s="72" t="s">
        <v>4313</v>
      </c>
      <c r="D2943" s="69">
        <v>40802896855</v>
      </c>
      <c r="E2943" s="9">
        <v>1214</v>
      </c>
      <c r="F2943" s="25">
        <v>42989</v>
      </c>
      <c r="G2943" s="70" t="s">
        <v>160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4314</v>
      </c>
      <c r="B2944" s="67">
        <v>43586522800</v>
      </c>
      <c r="C2944" s="68" t="s">
        <v>4315</v>
      </c>
      <c r="D2944" s="69">
        <v>43586522800</v>
      </c>
      <c r="E2944" s="9">
        <v>1128</v>
      </c>
      <c r="F2944" s="25">
        <v>42972</v>
      </c>
      <c r="G2944" s="70" t="s">
        <v>160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4316</v>
      </c>
      <c r="B2945" s="67">
        <v>17447067865</v>
      </c>
      <c r="C2945" s="72" t="s">
        <v>4317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4318</v>
      </c>
      <c r="B2946" s="67">
        <v>3568560542</v>
      </c>
      <c r="C2946" s="72" t="s">
        <v>4319</v>
      </c>
      <c r="D2946" s="69">
        <v>4078587500</v>
      </c>
      <c r="E2946" s="9">
        <v>1106</v>
      </c>
      <c r="F2946" s="25">
        <v>42965</v>
      </c>
      <c r="G2946" s="70" t="s">
        <v>160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4320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4321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4322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311</v>
      </c>
      <c r="M2949" s="8"/>
    </row>
    <row r="2950" spans="1:13" x14ac:dyDescent="0.25">
      <c r="A2950" s="71" t="s">
        <v>4323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160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4324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160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4325</v>
      </c>
      <c r="B2952" s="67"/>
      <c r="C2952" s="29" t="s">
        <v>4326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4327</v>
      </c>
      <c r="B2953" s="67">
        <v>1326462857</v>
      </c>
      <c r="C2953" s="72" t="s">
        <v>4328</v>
      </c>
      <c r="D2953" s="69">
        <v>4906141838</v>
      </c>
      <c r="E2953" s="9">
        <v>229</v>
      </c>
      <c r="F2953" s="25">
        <v>43151</v>
      </c>
      <c r="G2953" s="70" t="s">
        <v>160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4329</v>
      </c>
      <c r="B2954" s="67">
        <v>7722903428</v>
      </c>
      <c r="C2954" s="29" t="s">
        <v>4330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4331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4332</v>
      </c>
      <c r="B2956" s="67">
        <v>37794411874</v>
      </c>
      <c r="C2956" s="72" t="s">
        <v>4333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4334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4335</v>
      </c>
      <c r="B2958" s="67">
        <v>34093287856</v>
      </c>
      <c r="C2958" s="68" t="s">
        <v>4336</v>
      </c>
      <c r="D2958" s="69">
        <v>1517221536</v>
      </c>
      <c r="E2958" s="9">
        <v>1489</v>
      </c>
      <c r="F2958" s="25"/>
      <c r="G2958" s="70" t="s">
        <v>160</v>
      </c>
      <c r="H2958" s="9"/>
      <c r="I2958" s="8"/>
      <c r="J2958" s="8"/>
      <c r="K2958" s="8"/>
      <c r="L2958" s="9" t="s">
        <v>301</v>
      </c>
      <c r="M2958" s="8"/>
    </row>
    <row r="2959" spans="1:13" x14ac:dyDescent="0.25">
      <c r="A2959" s="71" t="s">
        <v>4337</v>
      </c>
      <c r="B2959" s="67">
        <v>29289559845</v>
      </c>
      <c r="C2959" s="72" t="s">
        <v>4338</v>
      </c>
      <c r="D2959" s="69">
        <v>25585724827</v>
      </c>
      <c r="E2959" s="9">
        <v>1752</v>
      </c>
      <c r="F2959" s="25">
        <v>43051</v>
      </c>
      <c r="G2959" s="70" t="s">
        <v>160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4339</v>
      </c>
      <c r="B2960" s="67"/>
      <c r="C2960" s="29" t="s">
        <v>4340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4341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4342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4343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4344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4345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160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4346</v>
      </c>
      <c r="B2966" s="67">
        <v>32368859802</v>
      </c>
      <c r="C2966" s="68" t="s">
        <v>4347</v>
      </c>
      <c r="D2966" s="69">
        <v>28517056876</v>
      </c>
      <c r="E2966" s="9">
        <v>1343</v>
      </c>
      <c r="F2966" s="25">
        <v>43004</v>
      </c>
      <c r="G2966" s="70" t="s">
        <v>160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4348</v>
      </c>
      <c r="B2967" s="67">
        <v>35104711803</v>
      </c>
      <c r="C2967" s="72" t="s">
        <v>4349</v>
      </c>
      <c r="D2967" s="69">
        <v>34881906844</v>
      </c>
      <c r="E2967" s="9">
        <v>292</v>
      </c>
      <c r="F2967" s="25">
        <v>43168</v>
      </c>
      <c r="G2967" s="9" t="s">
        <v>160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4350</v>
      </c>
      <c r="B2968" s="67">
        <v>23093033802</v>
      </c>
      <c r="C2968" s="29" t="s">
        <v>4351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4352</v>
      </c>
      <c r="B2969" s="67">
        <v>92605494420</v>
      </c>
      <c r="C2969" s="72" t="s">
        <v>4353</v>
      </c>
      <c r="D2969" s="69">
        <v>37622834866</v>
      </c>
      <c r="E2969" s="9">
        <v>608</v>
      </c>
      <c r="F2969" s="25">
        <v>43012</v>
      </c>
      <c r="G2969" s="70" t="s">
        <v>160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4354</v>
      </c>
      <c r="B2970" s="67">
        <v>27646989843</v>
      </c>
      <c r="C2970" s="72" t="s">
        <v>4355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4356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160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4357</v>
      </c>
      <c r="B2972" s="67">
        <v>29312608860</v>
      </c>
      <c r="C2972" s="29" t="s">
        <v>4358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4359</v>
      </c>
      <c r="B2973" s="67"/>
      <c r="C2973" s="29" t="s">
        <v>4360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4361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160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4362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4363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4364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4365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4366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4367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160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4368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160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4369</v>
      </c>
      <c r="B2982" s="67">
        <v>13562151810</v>
      </c>
      <c r="C2982" s="72" t="s">
        <v>4370</v>
      </c>
      <c r="D2982" s="69">
        <v>47393076772</v>
      </c>
      <c r="E2982" s="9">
        <v>292</v>
      </c>
      <c r="F2982" s="25">
        <v>43168</v>
      </c>
      <c r="G2982" s="70" t="s">
        <v>166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4371</v>
      </c>
      <c r="B2983" s="67">
        <v>10488541832</v>
      </c>
      <c r="C2983" s="72" t="s">
        <v>4372</v>
      </c>
      <c r="D2983" s="69">
        <v>8437233860</v>
      </c>
      <c r="E2983" s="9">
        <v>229</v>
      </c>
      <c r="F2983" s="25">
        <v>43151</v>
      </c>
      <c r="G2983" s="70" t="s">
        <v>160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4373</v>
      </c>
      <c r="B2984" s="67">
        <v>52291168894</v>
      </c>
      <c r="C2984" s="29" t="s">
        <v>270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4374</v>
      </c>
      <c r="B2985" s="67">
        <v>32455945855</v>
      </c>
      <c r="C2985" s="77" t="s">
        <v>4375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4376</v>
      </c>
      <c r="B2986" s="67">
        <v>7127228663</v>
      </c>
      <c r="C2986" s="72" t="s">
        <v>4377</v>
      </c>
      <c r="D2986" s="69">
        <v>18053058833</v>
      </c>
      <c r="E2986" s="9">
        <v>1628</v>
      </c>
      <c r="F2986" s="25">
        <v>43077</v>
      </c>
      <c r="G2986" s="70" t="s">
        <v>160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4378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160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4379</v>
      </c>
      <c r="B2988" s="67">
        <v>32318059888</v>
      </c>
      <c r="C2988" s="68" t="s">
        <v>4380</v>
      </c>
      <c r="D2988" s="69">
        <v>38564888807</v>
      </c>
      <c r="E2988" s="9">
        <v>1128</v>
      </c>
      <c r="F2988" s="25">
        <v>42972</v>
      </c>
      <c r="G2988" s="70" t="s">
        <v>160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4381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4382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160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4383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160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4384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160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4385</v>
      </c>
      <c r="B2993" s="67">
        <v>45255799866</v>
      </c>
      <c r="C2993" s="72" t="s">
        <v>4386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4387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160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4388</v>
      </c>
      <c r="B2995" s="67">
        <v>37570860829</v>
      </c>
      <c r="C2995" s="72" t="s">
        <v>4389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4390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160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4391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4392</v>
      </c>
      <c r="B2998" s="67">
        <v>25712620847</v>
      </c>
      <c r="C2998" s="18" t="s">
        <v>4393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4394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440</v>
      </c>
      <c r="M2999" s="8"/>
    </row>
    <row r="3000" spans="1:13" x14ac:dyDescent="0.25">
      <c r="A3000" s="72" t="s">
        <v>4395</v>
      </c>
      <c r="B3000" s="67">
        <v>40000949809</v>
      </c>
      <c r="C3000" s="72" t="s">
        <v>4396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440</v>
      </c>
      <c r="M3000" s="8"/>
    </row>
    <row r="3001" spans="1:13" x14ac:dyDescent="0.25">
      <c r="A3001" s="71" t="s">
        <v>4397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4398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4399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4400</v>
      </c>
      <c r="B3004" s="67"/>
      <c r="C3004" s="29" t="s">
        <v>270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4401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160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4402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4403</v>
      </c>
      <c r="B3007" s="67">
        <v>13517396893</v>
      </c>
      <c r="C3007" s="72" t="s">
        <v>4404</v>
      </c>
      <c r="D3007" s="69">
        <v>61574252453</v>
      </c>
      <c r="E3007" s="9">
        <v>262</v>
      </c>
      <c r="F3007" s="25">
        <v>43160</v>
      </c>
      <c r="G3007" s="70" t="s">
        <v>166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4405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160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4406</v>
      </c>
      <c r="B3009" s="67"/>
      <c r="C3009" s="29" t="s">
        <v>4407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4408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160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4409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160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4410</v>
      </c>
      <c r="B3012" s="67">
        <v>4609966654</v>
      </c>
      <c r="C3012" s="72" t="s">
        <v>4411</v>
      </c>
      <c r="D3012" s="69">
        <v>28402756867</v>
      </c>
      <c r="E3012" s="9">
        <v>292</v>
      </c>
      <c r="F3012" s="25">
        <v>43168</v>
      </c>
      <c r="G3012" s="70" t="s">
        <v>160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4412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160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4413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160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4414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4415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160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4416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4416</v>
      </c>
      <c r="B3018" s="67"/>
      <c r="C3018" s="18" t="s">
        <v>270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4417</v>
      </c>
      <c r="B3019" s="67"/>
      <c r="C3019" s="29" t="s">
        <v>270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4418</v>
      </c>
      <c r="B3020" s="67">
        <v>40882575880</v>
      </c>
      <c r="C3020" s="72" t="s">
        <v>4419</v>
      </c>
      <c r="D3020" s="69">
        <v>39163987848</v>
      </c>
      <c r="E3020" s="9">
        <v>292</v>
      </c>
      <c r="F3020" s="25">
        <v>43168</v>
      </c>
      <c r="G3020" s="70" t="s">
        <v>160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4420</v>
      </c>
      <c r="B3021" s="67"/>
      <c r="C3021" s="29" t="s">
        <v>270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4421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4422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160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4423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4424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4425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4426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160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4427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4428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4429</v>
      </c>
      <c r="B3030" s="67"/>
      <c r="C3030" s="29" t="s">
        <v>270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4430</v>
      </c>
      <c r="B3031" s="67">
        <v>44374068856</v>
      </c>
      <c r="C3031" s="72" t="s">
        <v>4431</v>
      </c>
      <c r="D3031" s="69">
        <v>34698741823</v>
      </c>
      <c r="E3031" s="9">
        <v>1489</v>
      </c>
      <c r="F3031" s="25">
        <v>43038</v>
      </c>
      <c r="G3031" s="70" t="s">
        <v>160</v>
      </c>
      <c r="H3031" s="9"/>
      <c r="I3031" s="8"/>
      <c r="J3031" s="8"/>
      <c r="K3031" s="8"/>
      <c r="L3031" s="9" t="s">
        <v>301</v>
      </c>
      <c r="M3031" s="8"/>
    </row>
    <row r="3032" spans="1:13" x14ac:dyDescent="0.25">
      <c r="A3032" s="71" t="s">
        <v>4432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4433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440</v>
      </c>
      <c r="M3033" s="8"/>
    </row>
    <row r="3034" spans="1:13" x14ac:dyDescent="0.25">
      <c r="A3034" s="71" t="s">
        <v>4434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4435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160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4436</v>
      </c>
      <c r="B3036" s="67">
        <v>46812344869</v>
      </c>
      <c r="C3036" s="72" t="s">
        <v>4437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4438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160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4439</v>
      </c>
      <c r="B3038" s="67">
        <v>70659834634</v>
      </c>
      <c r="C3038" s="68" t="s">
        <v>4440</v>
      </c>
      <c r="D3038" s="69">
        <v>70558795404</v>
      </c>
      <c r="E3038" s="9">
        <v>1267</v>
      </c>
      <c r="F3038" s="25">
        <v>42998</v>
      </c>
      <c r="G3038" s="70" t="s">
        <v>160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4441</v>
      </c>
      <c r="B3039" s="67"/>
      <c r="C3039" s="72" t="s">
        <v>4442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4443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160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4444</v>
      </c>
      <c r="B3041" s="67">
        <v>3867219630</v>
      </c>
      <c r="C3041" s="72" t="s">
        <v>4445</v>
      </c>
      <c r="D3041" s="69">
        <v>4268294503</v>
      </c>
      <c r="E3041" s="9">
        <v>1824</v>
      </c>
      <c r="F3041" s="25">
        <v>43091</v>
      </c>
      <c r="G3041" s="70" t="s">
        <v>160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4446</v>
      </c>
      <c r="B3042" s="67">
        <v>27084341870</v>
      </c>
      <c r="C3042" s="72" t="s">
        <v>464</v>
      </c>
      <c r="D3042" s="69">
        <v>70639957315</v>
      </c>
      <c r="E3042" s="9">
        <v>1214</v>
      </c>
      <c r="F3042" s="25">
        <v>42989</v>
      </c>
      <c r="G3042" s="70" t="s">
        <v>166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4447</v>
      </c>
      <c r="B3043" s="67">
        <v>29697189870</v>
      </c>
      <c r="C3043" s="72" t="s">
        <v>4448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4449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160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4450</v>
      </c>
      <c r="B3045" s="67">
        <v>4055380810</v>
      </c>
      <c r="C3045" s="29" t="s">
        <v>270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4451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160</v>
      </c>
      <c r="H3046" s="25">
        <v>43027</v>
      </c>
      <c r="I3046" s="8"/>
      <c r="J3046" s="8"/>
      <c r="K3046" s="8"/>
      <c r="L3046" s="9" t="s">
        <v>394</v>
      </c>
      <c r="M3046" s="8"/>
    </row>
    <row r="3047" spans="1:13" x14ac:dyDescent="0.25">
      <c r="A3047" s="16" t="s">
        <v>4452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4453</v>
      </c>
      <c r="B3048" s="67">
        <v>99038862504</v>
      </c>
      <c r="C3048" s="72" t="s">
        <v>4454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4455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160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4456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160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4457</v>
      </c>
      <c r="B3051" s="67">
        <v>22505123888</v>
      </c>
      <c r="C3051" s="72" t="s">
        <v>4458</v>
      </c>
      <c r="D3051" s="69">
        <v>39819234808</v>
      </c>
      <c r="E3051" s="9">
        <v>1752</v>
      </c>
      <c r="F3051" s="25">
        <v>43051</v>
      </c>
      <c r="G3051" s="70" t="s">
        <v>160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4459</v>
      </c>
      <c r="B3052" s="67"/>
      <c r="C3052" s="29" t="s">
        <v>270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4460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4461</v>
      </c>
      <c r="B3054" s="67">
        <v>34850143890</v>
      </c>
      <c r="C3054" s="72" t="s">
        <v>4462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4463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160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4464</v>
      </c>
      <c r="B3056" s="67">
        <v>17852199879</v>
      </c>
      <c r="C3056" s="72" t="s">
        <v>4465</v>
      </c>
      <c r="D3056" s="69">
        <v>15255063827</v>
      </c>
      <c r="E3056" s="9">
        <v>1128</v>
      </c>
      <c r="F3056" s="25">
        <v>42972</v>
      </c>
      <c r="G3056" s="70" t="s">
        <v>160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4466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160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4467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4468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160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5000000}"/>
  <mergeCells count="2">
    <mergeCell ref="O51:U51"/>
    <mergeCell ref="A1:M1"/>
  </mergeCells>
  <phoneticPr fontId="7" type="noConversion"/>
  <conditionalFormatting sqref="A2">
    <cfRule type="duplicateValues" dxfId="4" priority="5" stopIfTrue="1"/>
  </conditionalFormatting>
  <conditionalFormatting sqref="A3:A128">
    <cfRule type="duplicateValues" dxfId="3" priority="4" stopIfTrue="1"/>
  </conditionalFormatting>
  <conditionalFormatting sqref="A3:A626">
    <cfRule type="duplicateValues" dxfId="2" priority="1" stopIfTrue="1"/>
  </conditionalFormatting>
  <conditionalFormatting sqref="B2684">
    <cfRule type="duplicateValues" dxfId="1" priority="3" stopIfTrue="1"/>
  </conditionalFormatting>
  <conditionalFormatting sqref="C689">
    <cfRule type="duplicateValues" dxfId="0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5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5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10</vt:i4>
      </vt:variant>
    </vt:vector>
  </HeadingPairs>
  <TitlesOfParts>
    <vt:vector size="16" baseType="lpstr">
      <vt:lpstr>PRIORIDADES</vt:lpstr>
      <vt:lpstr>Planilha1</vt:lpstr>
      <vt:lpstr>Quantitativo Fora da Demanda</vt:lpstr>
      <vt:lpstr>Listas (não utilizar)</vt:lpstr>
      <vt:lpstr>QUANT COND</vt:lpstr>
      <vt:lpstr>OFÍCIOS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2026-07-08T12:58:43Z</dcterms:modified>
  <cp:category/>
  <cp:contentStatus/>
</cp:coreProperties>
</file>