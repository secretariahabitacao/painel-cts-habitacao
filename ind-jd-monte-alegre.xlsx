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Monte Alegre/Planilha Controle/"/>
    </mc:Choice>
  </mc:AlternateContent>
  <xr:revisionPtr revIDLastSave="75773" documentId="8_{DAC6C9CA-70D7-4111-A0A7-BC6755E560D9}" xr6:coauthVersionLast="47" xr6:coauthVersionMax="47" xr10:uidLastSave="{9E77A0A5-23CF-4203-9BD7-B67609307F61}"/>
  <bookViews>
    <workbookView xWindow="28680" yWindow="-120" windowWidth="29040" windowHeight="15720" firstSheet="4" activeTab="4" xr2:uid="{00000000-000D-0000-FFFF-FFFF00000000}"/>
  </bookViews>
  <sheets>
    <sheet name="Quantitativo Fora da Demanda" sheetId="19" state="hidden" r:id="rId1"/>
    <sheet name="Listas (não utilizar)" sheetId="4" state="hidden" r:id="rId2"/>
    <sheet name="QUANT COND" sheetId="16" state="hidden" r:id="rId3"/>
    <sheet name="OFÍCIOS" sheetId="5" state="hidden" r:id="rId4"/>
    <sheet name="PRIORIDADES" sheetId="20" r:id="rId5"/>
    <sheet name="Planilha1" sheetId="21" r:id="rId6"/>
    <sheet name="Planilha2" sheetId="22" r:id="rId7"/>
  </sheets>
  <externalReferences>
    <externalReference r:id="rId8"/>
  </externalReferences>
  <definedNames>
    <definedName name="_xlnm._FilterDatabase" localSheetId="1" hidden="1">'Listas (não utilizar)'!$A$1:$J$1</definedName>
    <definedName name="_xlnm._FilterDatabase" localSheetId="3" hidden="1">OFÍCIOS!$A$2:$U$3059</definedName>
    <definedName name="_xlnm._FilterDatabase" localSheetId="4" hidden="1">PRIORIDADES!$A$13:$CY$316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1" hidden="1">'Listas (não utilizar)'!$F$2:$F$5</definedName>
    <definedName name="Z_39E29B6F_0D66_48AE_A716_BFBE8B532288_.wvu.FilterData" localSheetId="1" hidden="1">'Listas (não utilizar)'!$F$2:$F$5</definedName>
    <definedName name="Z_3C855A2D_2F8A_450A_853C_257A0FC222AF_.wvu.FilterData" localSheetId="1" hidden="1">'Listas (não utilizar)'!$F$2:$F$5</definedName>
    <definedName name="Z_8296C81D_E0C9_43D9_ADA1_0E4705448C59_.wvu.FilterData" localSheetId="1" hidden="1">'Listas (não utilizar)'!$A$1:$F$17</definedName>
    <definedName name="Z_A598ACE7_C3E8_4400_B80E_E7BA9453B8A3_.wvu.FilterData" localSheetId="1" hidden="1">'Listas (não utilizar)'!$F$2:$F$5</definedName>
    <definedName name="Z_AD69B6D1_19BC_4940_B666_EDC66A6E168F_.wvu.FilterData" localSheetId="1" hidden="1">'Listas (não utilizar)'!$A$1:$F$17</definedName>
    <definedName name="Z_C81C67C3_BEE5_43B5_A898_4FF9A711A2FF_.wvu.FilterData" localSheetId="1" hidden="1">'Listas (não utilizar)'!$F$2:$F$5</definedName>
    <definedName name="Z_D4268A78_2B91_4AE5_BC6A_318CAE2503F1_.wvu.FilterData" localSheetId="1" hidden="1">'Listas (não utilizar)'!$F$2:$F$5</definedName>
    <definedName name="Z_D8EF893F_7CCC_418F_8546_BBB4DB0B16B5_.wvu.FilterData" localSheetId="1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58" i="20" l="1"/>
  <c r="BD58" i="20"/>
  <c r="BC58" i="20"/>
  <c r="BE46" i="20"/>
  <c r="BD46" i="20"/>
  <c r="BC46" i="20"/>
  <c r="BE303" i="20"/>
  <c r="BD303" i="20"/>
  <c r="BC303" i="20"/>
  <c r="BE55" i="20"/>
  <c r="BD55" i="20"/>
  <c r="BC55" i="20"/>
  <c r="BE193" i="20"/>
  <c r="BD193" i="20"/>
  <c r="BC193" i="20"/>
  <c r="BE227" i="20"/>
  <c r="BD227" i="20"/>
  <c r="BC227" i="20"/>
  <c r="BE304" i="20"/>
  <c r="BD304" i="20"/>
  <c r="BC304" i="20"/>
  <c r="BE278" i="20"/>
  <c r="BD278" i="20"/>
  <c r="BC278" i="20"/>
  <c r="BE83" i="20"/>
  <c r="BD83" i="20"/>
  <c r="BC83" i="20"/>
  <c r="BE189" i="20"/>
  <c r="BD189" i="20"/>
  <c r="BC189" i="20"/>
  <c r="BE186" i="20"/>
  <c r="BD186" i="20"/>
  <c r="BC186" i="20"/>
  <c r="BE205" i="20"/>
  <c r="BD205" i="20"/>
  <c r="BC205" i="20"/>
  <c r="BE302" i="20"/>
  <c r="BD302" i="20"/>
  <c r="BC302" i="20"/>
  <c r="BE82" i="20"/>
  <c r="BD82" i="20"/>
  <c r="BC82" i="20"/>
  <c r="BE188" i="20"/>
  <c r="BD188" i="20"/>
  <c r="BC188" i="20"/>
  <c r="BE291" i="20"/>
  <c r="BD291" i="20"/>
  <c r="BC291" i="20"/>
  <c r="BE51" i="20"/>
  <c r="BD51" i="20"/>
  <c r="BC51" i="20"/>
  <c r="BE47" i="20"/>
  <c r="BD47" i="20"/>
  <c r="BC47" i="20"/>
  <c r="AH22" i="20"/>
  <c r="BE29" i="20"/>
  <c r="BD29" i="20"/>
  <c r="BC29" i="20"/>
  <c r="BE16" i="20"/>
  <c r="BD16" i="20"/>
  <c r="BC16" i="20"/>
  <c r="BE27" i="20"/>
  <c r="BD27" i="20"/>
  <c r="BC27" i="20"/>
  <c r="BE24" i="20"/>
  <c r="BD24" i="20"/>
  <c r="BC24" i="20"/>
  <c r="BE28" i="20"/>
  <c r="BD28" i="20"/>
  <c r="BC28" i="20"/>
  <c r="BE19" i="20"/>
  <c r="BD19" i="20"/>
  <c r="BC19" i="20"/>
  <c r="BE36" i="20"/>
  <c r="BD36" i="20"/>
  <c r="BC36" i="20"/>
  <c r="BE34" i="20"/>
  <c r="BD34" i="20"/>
  <c r="BC34" i="20"/>
  <c r="BE33" i="20"/>
  <c r="BD33" i="20"/>
  <c r="BC33" i="20"/>
  <c r="BE26" i="20"/>
  <c r="BD26" i="20"/>
  <c r="BC26" i="20"/>
  <c r="AH35" i="20"/>
  <c r="BC15" i="20"/>
  <c r="BD15" i="20"/>
  <c r="BE15" i="20"/>
  <c r="BC17" i="20"/>
  <c r="BD17" i="20"/>
  <c r="BE17" i="20"/>
  <c r="BC18" i="20"/>
  <c r="BD18" i="20"/>
  <c r="BE18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30" i="20"/>
  <c r="BD30" i="20"/>
  <c r="BE30" i="20"/>
  <c r="BC31" i="20"/>
  <c r="BD31" i="20"/>
  <c r="BE31" i="20"/>
  <c r="BC32" i="20"/>
  <c r="BD32" i="20"/>
  <c r="BE32" i="20"/>
  <c r="BC35" i="20"/>
  <c r="BD35" i="20"/>
  <c r="BE35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8" i="20"/>
  <c r="BD48" i="20"/>
  <c r="BE48" i="20"/>
  <c r="BC49" i="20"/>
  <c r="BD49" i="20"/>
  <c r="BE49" i="20"/>
  <c r="BC50" i="20"/>
  <c r="BD50" i="20"/>
  <c r="BE50" i="20"/>
  <c r="BC52" i="20"/>
  <c r="BD52" i="20"/>
  <c r="BE52" i="20"/>
  <c r="BC53" i="20"/>
  <c r="BD53" i="20"/>
  <c r="BE53" i="20"/>
  <c r="BC54" i="20"/>
  <c r="BD54" i="20"/>
  <c r="BE54" i="20"/>
  <c r="BC56" i="20"/>
  <c r="BD56" i="20"/>
  <c r="BE56" i="20"/>
  <c r="BC57" i="20"/>
  <c r="BD57" i="20"/>
  <c r="BE57" i="20"/>
  <c r="BC85" i="20"/>
  <c r="BD85" i="20"/>
  <c r="BE85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4" i="20"/>
  <c r="BD84" i="20"/>
  <c r="BE84" i="20"/>
  <c r="BC86" i="20"/>
  <c r="BD86" i="20"/>
  <c r="BE86" i="20"/>
  <c r="BC218" i="20"/>
  <c r="BD218" i="20"/>
  <c r="BE218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7" i="20"/>
  <c r="BD187" i="20"/>
  <c r="BE187" i="20"/>
  <c r="BC190" i="20"/>
  <c r="BD190" i="20"/>
  <c r="BE190" i="20"/>
  <c r="BC191" i="20"/>
  <c r="BD191" i="20"/>
  <c r="BE191" i="20"/>
  <c r="BC192" i="20"/>
  <c r="BD192" i="20"/>
  <c r="BE192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E14" i="20"/>
  <c r="BD14" i="20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<sst xmlns="http://schemas.openxmlformats.org/spreadsheetml/2006/main" count="13140" uniqueCount="6995">
  <si>
    <t>REPROVADOS QUE NÃO DEVERÃO SER REASSENTADOS NO ESPANHA</t>
  </si>
  <si>
    <t>APROVADOS SEM CONDOMÍNIO QUE DEVERÃO SER REASSENTADOS NO CHÁCARA DO CONDE</t>
  </si>
  <si>
    <t>ÁREA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</si>
  <si>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</si>
  <si>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</si>
  <si>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</si>
  <si>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</si>
  <si>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</si>
  <si>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</si>
  <si>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</si>
  <si>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</si>
  <si>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</si>
  <si>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</si>
  <si>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</si>
  <si>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</si>
  <si>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</si>
  <si>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</si>
  <si>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</si>
  <si>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</si>
  <si>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</si>
  <si>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</si>
  <si>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</si>
  <si>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</si>
  <si>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</si>
  <si>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</si>
  <si>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</si>
  <si>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</si>
  <si>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</si>
  <si>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</si>
  <si>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</si>
  <si>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</si>
  <si>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</si>
  <si>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</si>
  <si>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</si>
  <si>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</si>
  <si>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</si>
  <si>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</si>
  <si>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</si>
  <si>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</si>
  <si>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</si>
  <si>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</si>
  <si>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</si>
  <si>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</si>
  <si>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</si>
  <si>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</si>
  <si>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</si>
  <si>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</si>
  <si>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</si>
  <si>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</si>
  <si>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</si>
  <si>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</si>
  <si>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</si>
  <si>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</si>
  <si>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</si>
  <si>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</si>
  <si>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</si>
  <si>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</si>
  <si>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</si>
  <si>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</si>
  <si>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</si>
  <si>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</si>
  <si>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</si>
  <si>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</si>
  <si>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</si>
  <si>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</si>
  <si>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</si>
  <si>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</si>
  <si>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</si>
  <si>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</si>
  <si>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</si>
  <si>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</si>
  <si>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</si>
  <si>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</si>
  <si>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</si>
  <si>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</si>
  <si>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</si>
  <si>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</si>
  <si>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</si>
  <si>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</si>
  <si>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</si>
  <si>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</si>
  <si>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</si>
  <si>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</si>
  <si>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</si>
  <si>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</si>
  <si>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</si>
  <si>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</si>
  <si>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</si>
  <si>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</si>
  <si>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</si>
  <si>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</si>
  <si>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</si>
  <si>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</si>
  <si>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</si>
  <si>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</si>
  <si>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</si>
  <si>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</si>
  <si>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</si>
  <si>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</si>
  <si>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</si>
  <si>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</si>
  <si>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</si>
  <si>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</si>
  <si>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</si>
  <si>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</si>
  <si>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</si>
  <si>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</si>
  <si>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</si>
  <si>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</si>
  <si>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</si>
  <si>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</si>
  <si>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</si>
  <si>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</si>
  <si>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</si>
  <si>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</si>
  <si>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</si>
  <si>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</si>
  <si>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</si>
  <si>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</si>
  <si>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</si>
  <si>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</si>
  <si>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</si>
  <si>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</si>
  <si>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</si>
  <si>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</si>
  <si>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</si>
  <si>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</si>
  <si>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</si>
  <si>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</si>
  <si>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</si>
  <si>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</si>
  <si>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</si>
  <si>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</si>
  <si>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</si>
  <si>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</si>
  <si>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</si>
  <si>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</si>
  <si>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</si>
  <si>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</si>
  <si>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</si>
  <si>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</si>
  <si>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</si>
  <si>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</si>
  <si>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</si>
  <si>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</si>
  <si>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</si>
  <si>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</si>
  <si>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</si>
  <si>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</si>
  <si>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</si>
  <si>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</si>
  <si>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</si>
  <si>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</si>
  <si>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</si>
  <si>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</si>
  <si>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</si>
  <si>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</si>
  <si>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</si>
  <si>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</si>
  <si>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</si>
  <si>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</si>
  <si>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</si>
  <si>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</si>
  <si>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</si>
  <si>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</si>
  <si>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</si>
  <si>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</si>
  <si>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</si>
  <si>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</si>
  <si>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</si>
  <si>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</si>
  <si>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</si>
  <si>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</si>
  <si>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</si>
  <si>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</si>
  <si>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</si>
  <si>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</si>
  <si>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</si>
  <si>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</si>
  <si>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</si>
  <si>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</si>
  <si>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</si>
  <si>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</si>
  <si>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</si>
  <si>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</si>
  <si>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</si>
  <si>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</si>
  <si>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</si>
  <si>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</si>
  <si>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</si>
  <si>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</si>
  <si>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</si>
  <si>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</si>
  <si>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</si>
  <si>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</si>
  <si>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</si>
  <si>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</si>
  <si>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</si>
  <si>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</si>
  <si>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</si>
  <si>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</si>
  <si>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</si>
  <si>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</si>
  <si>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</si>
  <si>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</si>
  <si>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</si>
  <si>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</si>
  <si>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</si>
  <si>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</si>
  <si>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</si>
  <si>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</si>
  <si>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</si>
  <si>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</si>
  <si>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</si>
  <si>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</si>
  <si>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</si>
  <si>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</si>
  <si>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</si>
  <si>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</si>
  <si>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</si>
  <si>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</si>
  <si>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</si>
  <si>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</si>
  <si>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</si>
  <si>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</si>
  <si>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</si>
  <si>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</si>
  <si>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</si>
  <si>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</si>
  <si>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</si>
  <si>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</si>
  <si>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</si>
  <si>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</si>
  <si>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</si>
  <si>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</si>
  <si>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</si>
  <si>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</si>
  <si>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</si>
  <si>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</si>
  <si>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</si>
  <si>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</si>
  <si>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</si>
  <si>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</si>
  <si>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</si>
  <si>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</si>
  <si>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</si>
  <si>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</si>
  <si>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</si>
  <si>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</si>
  <si>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</si>
  <si>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</si>
  <si>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</si>
  <si>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</si>
  <si>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</si>
  <si>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</si>
  <si>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</si>
  <si>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</si>
  <si>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</si>
  <si>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</si>
  <si>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</si>
  <si>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</si>
  <si>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</si>
  <si>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</si>
  <si>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</si>
  <si>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</si>
  <si>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</si>
  <si>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</si>
  <si>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</si>
  <si>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</si>
  <si>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</si>
  <si>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</si>
  <si>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</si>
  <si>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</si>
  <si>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</si>
  <si>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</si>
  <si>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</si>
  <si>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</si>
  <si>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</si>
  <si>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</si>
  <si>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</si>
  <si>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</si>
  <si>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</si>
  <si>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</si>
  <si>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</si>
  <si>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</si>
  <si>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</si>
  <si>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</si>
  <si>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</si>
  <si>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</si>
  <si>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</si>
  <si>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</si>
  <si>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</si>
  <si>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</si>
  <si>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</si>
  <si>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</si>
  <si>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</si>
  <si>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</si>
  <si>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</si>
  <si>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</si>
  <si>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</si>
  <si>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</si>
  <si>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</si>
  <si>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</si>
  <si>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</si>
  <si>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</si>
  <si>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</si>
  <si>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</si>
  <si>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</si>
  <si>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</si>
  <si>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</si>
  <si>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</si>
  <si>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</si>
  <si>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</si>
  <si>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</si>
  <si>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</si>
  <si>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</si>
  <si>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</si>
  <si>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</si>
  <si>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</si>
  <si>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</si>
  <si>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</si>
  <si>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</si>
  <si>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</si>
  <si>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</si>
  <si>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</si>
  <si>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</si>
  <si>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</si>
  <si>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</si>
  <si>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</si>
  <si>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</si>
  <si>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</si>
  <si>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</si>
  <si>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</si>
  <si>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</si>
  <si>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</si>
  <si>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</si>
  <si>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</si>
  <si>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</si>
  <si>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</si>
  <si>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</si>
  <si>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</si>
  <si>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</si>
  <si>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</si>
  <si>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</si>
  <si>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</si>
  <si>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</si>
  <si>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</si>
  <si>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</si>
  <si>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</si>
  <si>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</si>
  <si>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</si>
  <si>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</si>
  <si>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</si>
  <si>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</si>
  <si>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</si>
  <si>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</si>
  <si>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</si>
  <si>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</si>
  <si>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</si>
  <si>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</si>
  <si>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</si>
  <si>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</si>
  <si>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</si>
  <si>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</si>
  <si>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</si>
  <si>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</si>
  <si>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</si>
  <si>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</si>
  <si>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</si>
  <si>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</si>
  <si>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</si>
  <si>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</si>
  <si>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</si>
  <si>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</si>
  <si>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</si>
  <si>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</si>
  <si>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</si>
  <si>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</si>
  <si>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</si>
  <si>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</si>
  <si>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</si>
  <si>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</si>
  <si>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</si>
  <si>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</si>
  <si>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</si>
  <si>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</si>
  <si>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</si>
  <si>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</si>
  <si>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</si>
  <si>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</si>
  <si>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</si>
  <si>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</si>
  <si>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</si>
  <si>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</si>
  <si>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</si>
  <si>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</si>
  <si>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</si>
  <si>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</si>
  <si>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</si>
  <si>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</si>
  <si>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</si>
  <si>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</si>
  <si>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</si>
  <si>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</si>
  <si>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</si>
  <si>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</si>
  <si>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</si>
  <si>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</si>
  <si>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</si>
  <si>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</si>
  <si>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</si>
  <si>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</si>
  <si>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</si>
  <si>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</si>
  <si>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</si>
  <si>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</si>
  <si>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</si>
  <si>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</si>
  <si>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</si>
  <si>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</si>
  <si>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</si>
  <si>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</si>
  <si>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</si>
  <si>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</si>
  <si>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</si>
  <si>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</si>
  <si>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</si>
  <si>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</si>
  <si>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</si>
  <si>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</si>
  <si>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</si>
  <si>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</si>
  <si>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</si>
  <si>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</si>
  <si>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</si>
  <si>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</si>
  <si>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</si>
  <si>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</si>
  <si>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</si>
  <si>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</si>
  <si>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</si>
  <si>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</si>
  <si>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</si>
  <si>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</si>
  <si>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</si>
  <si>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</si>
  <si>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</si>
  <si>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</si>
  <si>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</si>
  <si>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</si>
  <si>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</si>
  <si>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</si>
  <si>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</si>
  <si>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</si>
  <si>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</si>
  <si>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</si>
  <si>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</si>
  <si>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</si>
  <si>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</si>
  <si>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</si>
  <si>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</si>
  <si>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</si>
  <si>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</si>
  <si>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</si>
  <si>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</si>
  <si>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</si>
  <si>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</si>
  <si>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</si>
  <si>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</si>
  <si>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</si>
  <si>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</si>
  <si>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</si>
  <si>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</si>
  <si>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</si>
  <si>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</si>
  <si>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</si>
  <si>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</si>
  <si>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</si>
  <si>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</si>
  <si>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</si>
  <si>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</si>
  <si>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</si>
  <si>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</si>
  <si>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</si>
  <si>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</si>
  <si>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</si>
  <si>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</si>
  <si>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</si>
  <si>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</si>
  <si>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</si>
  <si>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</si>
  <si>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</si>
  <si>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</si>
  <si>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</si>
  <si>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</si>
  <si>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</si>
  <si>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</si>
  <si>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</si>
  <si>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</si>
  <si>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</si>
  <si>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</si>
  <si>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</si>
  <si>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</si>
  <si>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</si>
  <si>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</si>
  <si>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</si>
  <si>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</si>
  <si>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</si>
  <si>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</si>
  <si>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</si>
  <si>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</si>
  <si>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</si>
  <si>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</si>
  <si>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</si>
  <si>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</si>
  <si>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</si>
  <si>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</si>
  <si>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</si>
  <si>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</si>
  <si>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</si>
  <si>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</si>
  <si>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</si>
  <si>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</si>
  <si>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</si>
  <si>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</si>
  <si>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</si>
  <si>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</si>
  <si>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</si>
  <si>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</si>
  <si>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</si>
  <si>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</si>
  <si>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</si>
  <si>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</si>
  <si>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</si>
  <si>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</si>
  <si>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</si>
  <si>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</si>
  <si>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</si>
  <si>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</si>
  <si>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</si>
  <si>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</si>
  <si>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</si>
  <si>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</si>
  <si>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</si>
  <si>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</si>
  <si>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</si>
  <si>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</si>
  <si>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</si>
  <si>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</si>
  <si>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</si>
  <si>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</si>
  <si>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</si>
  <si>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</si>
  <si>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</si>
  <si>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</si>
  <si>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</si>
  <si>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</si>
  <si>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</si>
  <si>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</si>
  <si>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</si>
  <si>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</si>
  <si>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</si>
  <si>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</si>
  <si>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</si>
  <si>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</si>
  <si>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</si>
  <si>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</si>
  <si>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</si>
  <si>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</si>
  <si>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</si>
  <si>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</si>
  <si>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</si>
  <si>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</si>
  <si>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</si>
  <si>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</si>
  <si>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</si>
  <si>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</si>
  <si>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</si>
  <si>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</si>
  <si>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</si>
  <si>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</si>
  <si>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</si>
  <si>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</si>
  <si>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</si>
  <si>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</si>
  <si>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</si>
  <si>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</si>
  <si>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</si>
  <si>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</si>
  <si>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</si>
  <si>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</si>
  <si>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</si>
  <si>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</si>
  <si>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</si>
  <si>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</si>
  <si>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</si>
  <si>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</si>
  <si>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</si>
  <si>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</si>
  <si>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</si>
  <si>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</si>
  <si>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</si>
  <si>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</si>
  <si>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</si>
  <si>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</si>
  <si>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</si>
  <si>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</si>
  <si>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</si>
  <si>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</si>
  <si>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</si>
  <si>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</si>
  <si>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</si>
  <si>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</si>
  <si>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</si>
  <si>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</si>
  <si>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</si>
  <si>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</si>
  <si>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</si>
  <si>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</si>
  <si>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</si>
  <si>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</si>
  <si>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</si>
  <si>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</si>
  <si>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</si>
  <si>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</si>
  <si>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</si>
  <si>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</si>
  <si>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</si>
  <si>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</si>
  <si>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</si>
  <si>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</si>
  <si>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</si>
  <si>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</si>
  <si>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</si>
  <si>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</si>
  <si>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</si>
  <si>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</si>
  <si>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</si>
  <si>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</si>
  <si>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</si>
  <si>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</si>
  <si>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</si>
  <si>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</si>
  <si>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</si>
  <si>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</si>
  <si>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</si>
  <si>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</si>
  <si>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</si>
  <si>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</si>
  <si>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</si>
  <si>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</si>
  <si>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</si>
  <si>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</si>
  <si>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</si>
  <si>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</si>
  <si>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</si>
  <si>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</si>
  <si>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</si>
  <si>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</si>
  <si>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</si>
  <si>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</si>
  <si>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</si>
  <si>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</si>
  <si>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</si>
  <si>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</si>
  <si>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</si>
  <si>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</si>
  <si>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</si>
  <si>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</si>
  <si>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</si>
  <si>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</si>
  <si>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</si>
  <si>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</si>
  <si>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</si>
  <si>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</si>
  <si>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</si>
  <si>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</si>
  <si>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</si>
  <si>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</si>
  <si>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</si>
  <si>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</si>
  <si>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</si>
  <si>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</si>
  <si>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</si>
  <si>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</si>
  <si>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</si>
  <si>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</si>
  <si>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</si>
  <si>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</si>
  <si>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</si>
  <si>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</si>
  <si>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</si>
  <si>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</si>
  <si>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</si>
  <si>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</si>
  <si>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</si>
  <si>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</si>
  <si>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</si>
  <si>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</si>
  <si>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</si>
  <si>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</si>
  <si>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</si>
  <si>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</si>
  <si>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</si>
  <si>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</si>
  <si>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</si>
  <si>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</si>
  <si>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</si>
  <si>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</si>
  <si>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</si>
  <si>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</si>
  <si>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</si>
  <si>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</si>
  <si>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</si>
  <si>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</si>
  <si>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</si>
  <si>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</si>
  <si>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</si>
  <si>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</si>
  <si>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</si>
  <si>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</si>
  <si>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</si>
  <si>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</si>
  <si>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</si>
  <si>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</si>
  <si>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</si>
  <si>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</si>
  <si>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</si>
  <si>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</si>
  <si>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</si>
  <si>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</si>
  <si>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</si>
  <si>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</si>
  <si>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</si>
  <si>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</si>
  <si>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</si>
  <si>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</si>
  <si>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</si>
  <si>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</si>
  <si>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</si>
  <si>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</si>
  <si>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</si>
  <si>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</si>
  <si>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</si>
  <si>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</si>
  <si>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</si>
  <si>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</si>
  <si>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</si>
  <si>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</si>
  <si>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</si>
  <si>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</si>
  <si>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</si>
  <si>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</si>
  <si>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</si>
  <si>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</si>
  <si>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</si>
  <si>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</si>
  <si>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</si>
  <si>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</si>
  <si>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</si>
  <si>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</si>
  <si>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</si>
  <si>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</si>
  <si>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</si>
  <si>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</si>
  <si>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</si>
  <si>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</si>
  <si>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</si>
  <si>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</si>
  <si>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</si>
  <si>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</si>
  <si>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</si>
  <si>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</si>
  <si>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</si>
  <si>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</si>
  <si>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</si>
  <si>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</si>
  <si>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</si>
  <si>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</si>
  <si>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</si>
  <si>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</si>
  <si>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</si>
  <si>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</si>
  <si>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</si>
  <si>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</si>
  <si>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</si>
  <si>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</si>
  <si>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</si>
  <si>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</si>
  <si>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</si>
  <si>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</si>
  <si>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</si>
  <si>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</si>
  <si>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</si>
  <si>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</si>
  <si>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</si>
  <si>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</si>
  <si>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</si>
  <si>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</si>
  <si>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</si>
  <si>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</si>
  <si>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</si>
  <si>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</si>
  <si>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</si>
  <si>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</si>
  <si>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</si>
  <si>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</si>
  <si>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</si>
  <si>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</si>
  <si>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</si>
  <si>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</si>
  <si>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</si>
  <si>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</si>
  <si>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</si>
  <si>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</si>
  <si>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</si>
  <si>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</si>
  <si>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</si>
  <si>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</si>
  <si>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</si>
  <si>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</si>
  <si>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</si>
  <si>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</si>
  <si>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</si>
  <si>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</si>
  <si>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</si>
  <si>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</si>
  <si>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</si>
  <si>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</si>
  <si>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</si>
  <si>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</si>
  <si>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</si>
  <si>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</si>
  <si>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</si>
  <si>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</si>
  <si>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</si>
  <si>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</si>
  <si>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</si>
  <si>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</si>
  <si>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</si>
  <si>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</si>
  <si>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</si>
  <si>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</si>
  <si>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</si>
  <si>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</si>
  <si>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</si>
  <si>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</si>
  <si>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</si>
  <si>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</si>
  <si>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</si>
  <si>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</si>
  <si>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</si>
  <si>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</si>
  <si>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</si>
  <si>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</si>
  <si>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</si>
  <si>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</si>
  <si>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</si>
  <si>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</si>
  <si>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</si>
  <si>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</si>
  <si>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</si>
  <si>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</si>
  <si>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</si>
  <si>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</si>
  <si>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</si>
  <si>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</si>
  <si>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</si>
  <si>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</si>
  <si>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</si>
  <si>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</si>
  <si>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</si>
  <si>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</si>
  <si>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</si>
  <si>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</si>
  <si>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</si>
  <si>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</si>
  <si>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</si>
  <si>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</si>
  <si>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</si>
  <si>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</si>
  <si>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</si>
  <si>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</si>
  <si>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</si>
  <si>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</si>
  <si>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</si>
  <si>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</si>
  <si>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</si>
  <si>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</si>
  <si>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</si>
  <si>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</si>
  <si>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</si>
  <si>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</si>
  <si>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</si>
  <si>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</si>
  <si>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</si>
  <si>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</si>
  <si>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</si>
  <si>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</si>
  <si>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</si>
  <si>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</si>
  <si>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</si>
  <si>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</si>
  <si>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</si>
  <si>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</si>
  <si>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</si>
  <si>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</si>
  <si>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</si>
  <si>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</si>
  <si>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</si>
  <si>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</si>
  <si>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</si>
  <si>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</si>
  <si>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</si>
  <si>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</si>
  <si>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</si>
  <si>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</si>
  <si>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</si>
  <si>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</si>
  <si>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</si>
  <si>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</si>
  <si>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</si>
  <si>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</si>
  <si>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</si>
  <si>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</si>
  <si>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</si>
  <si>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</si>
  <si>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</si>
  <si>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</si>
  <si>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</si>
  <si>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</si>
  <si>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</si>
  <si>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</si>
  <si>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</si>
  <si>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</si>
  <si>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</si>
  <si>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</si>
  <si>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</si>
  <si>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</si>
  <si>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</si>
  <si>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</si>
  <si>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</si>
  <si>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</si>
  <si>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</si>
  <si>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</si>
  <si>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</si>
  <si>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</si>
  <si>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</si>
  <si>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</si>
  <si>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</si>
  <si>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</si>
  <si>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</si>
  <si>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</si>
  <si>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</si>
  <si>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</si>
  <si>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</si>
  <si>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</si>
  <si>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</si>
  <si>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</si>
  <si>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</si>
  <si>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</si>
  <si>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</si>
  <si>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</si>
  <si>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</si>
  <si>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</si>
  <si>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</si>
  <si>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</si>
  <si>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</si>
  <si>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</si>
  <si>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</si>
  <si>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</si>
  <si>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</si>
  <si>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</si>
  <si>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</si>
  <si>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</si>
  <si>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</si>
  <si>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</si>
  <si>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</si>
  <si>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</si>
  <si>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</si>
  <si>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</si>
  <si>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</si>
  <si>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</si>
  <si>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</si>
  <si>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</si>
  <si>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</si>
  <si>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</si>
  <si>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</si>
  <si>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</si>
  <si>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</si>
  <si>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</si>
  <si>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</si>
  <si>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</si>
  <si>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</si>
  <si>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</si>
  <si>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</si>
  <si>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</si>
  <si>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</si>
  <si>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</si>
  <si>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</si>
  <si>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</si>
  <si>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</si>
  <si>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</si>
  <si>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</si>
  <si>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</si>
  <si>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</si>
  <si>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</si>
  <si>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</si>
  <si>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</si>
  <si>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</si>
  <si>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</si>
  <si>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</si>
  <si>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</si>
  <si>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</si>
  <si>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</si>
  <si>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</si>
  <si>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</si>
  <si>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</si>
  <si>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</si>
  <si>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</si>
  <si>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</si>
  <si>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</si>
  <si>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</si>
  <si>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</si>
  <si>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</si>
  <si>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</si>
  <si>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</si>
  <si>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</si>
  <si>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</si>
  <si>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</si>
  <si>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</si>
  <si>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</si>
  <si>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</si>
  <si>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</si>
  <si>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</si>
  <si>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</si>
  <si>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</si>
  <si>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</si>
  <si>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</si>
  <si>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</si>
  <si>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</si>
  <si>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</si>
  <si>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</si>
  <si>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</si>
  <si>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</si>
  <si>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</si>
  <si>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</si>
  <si>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</si>
  <si>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</si>
  <si>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</si>
  <si>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</si>
  <si>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</si>
  <si>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</si>
  <si>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</si>
  <si>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</si>
  <si>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</si>
  <si>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</si>
  <si>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</si>
  <si>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</si>
  <si>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</si>
  <si>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</si>
  <si>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</si>
  <si>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</si>
  <si>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</si>
  <si>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</si>
  <si>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</si>
  <si>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</si>
  <si>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</si>
  <si>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</si>
  <si>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</si>
  <si>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</si>
  <si>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</si>
  <si>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</si>
  <si>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</si>
  <si>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</si>
  <si>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</si>
  <si>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</si>
  <si>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</si>
  <si>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</si>
  <si>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</si>
  <si>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</si>
  <si>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</si>
  <si>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</si>
  <si>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</si>
  <si>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</si>
  <si>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</si>
  <si>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</si>
  <si>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</si>
  <si>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</si>
  <si>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</si>
  <si>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</si>
  <si>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</si>
  <si>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</si>
  <si>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</si>
  <si>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</si>
  <si>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</si>
  <si>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</si>
  <si>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</si>
  <si>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</si>
  <si>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</si>
  <si>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</si>
  <si>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</si>
  <si>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</si>
  <si>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</si>
  <si>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</si>
  <si>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</si>
  <si>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</si>
  <si>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</si>
  <si>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</si>
  <si>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</si>
  <si>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</si>
  <si>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</si>
  <si>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</si>
  <si>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</si>
  <si>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</si>
  <si>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</si>
  <si>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</si>
  <si>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</si>
  <si>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</si>
  <si>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</si>
  <si>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</si>
  <si>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</si>
  <si>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</si>
  <si>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</si>
  <si>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</si>
  <si>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</si>
  <si>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</si>
  <si>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</si>
  <si>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</si>
  <si>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</si>
  <si>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</si>
  <si>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</si>
  <si>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</si>
  <si>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</si>
  <si>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</si>
  <si>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</si>
  <si>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</si>
  <si>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</si>
  <si>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</si>
  <si>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</si>
  <si>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</si>
  <si>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</si>
  <si>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</si>
  <si>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</si>
  <si>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</si>
  <si>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</si>
  <si>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</si>
  <si>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</si>
  <si>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</si>
  <si>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</si>
  <si>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</si>
  <si>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</si>
  <si>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</si>
  <si>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</si>
  <si>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</si>
  <si>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</si>
  <si>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</si>
  <si>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</si>
  <si>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</si>
  <si>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</si>
  <si>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</si>
  <si>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</si>
  <si>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</si>
  <si>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</si>
  <si>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</si>
  <si>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</si>
  <si>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</si>
  <si>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</si>
  <si>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</si>
  <si>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</si>
  <si>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</si>
  <si>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</si>
  <si>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</si>
  <si>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</si>
  <si>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</si>
  <si>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</si>
  <si>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</si>
  <si>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</si>
  <si>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</si>
  <si>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</si>
  <si>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</si>
  <si>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</si>
  <si>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</si>
  <si>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</si>
  <si>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</si>
  <si>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</si>
  <si>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</si>
  <si>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</si>
  <si>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</si>
  <si>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</si>
  <si>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</si>
  <si>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</si>
  <si>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</si>
  <si>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</si>
  <si>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</si>
  <si>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</si>
  <si>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</si>
  <si>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</si>
  <si>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</si>
  <si>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</si>
  <si>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</si>
  <si>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</si>
  <si>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</si>
  <si>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</si>
  <si>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</si>
  <si>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</si>
  <si>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</si>
  <si>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</si>
  <si>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</si>
  <si>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</si>
  <si>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</si>
  <si>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</si>
  <si>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</si>
  <si>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</si>
  <si>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</si>
  <si>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</si>
  <si>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</si>
  <si>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</si>
  <si>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</si>
  <si>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</si>
  <si>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</si>
  <si>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</si>
  <si>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</si>
  <si>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</si>
  <si>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</si>
  <si>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</si>
  <si>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</si>
  <si>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</si>
  <si>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</si>
  <si>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</si>
  <si>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</si>
  <si>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</si>
  <si>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</si>
  <si>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</si>
  <si>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</si>
  <si>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</si>
  <si>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</si>
  <si>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</si>
  <si>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</si>
  <si>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</si>
  <si>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</si>
  <si>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</si>
  <si>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</si>
  <si>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</si>
  <si>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</si>
  <si>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</si>
  <si>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</si>
  <si>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</si>
  <si>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</si>
  <si>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</si>
  <si>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</si>
  <si>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</si>
  <si>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</si>
  <si>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</si>
  <si>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</si>
  <si>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</si>
  <si>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</si>
  <si>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</si>
  <si>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</si>
  <si>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</si>
  <si>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</si>
  <si>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</si>
  <si>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</si>
  <si>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</si>
  <si>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</si>
  <si>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</si>
  <si>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</si>
  <si>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</si>
  <si>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</si>
  <si>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</si>
  <si>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</si>
  <si>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</si>
  <si>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</si>
  <si>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</si>
  <si>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</si>
  <si>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</si>
  <si>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</si>
  <si>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</si>
  <si>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</si>
  <si>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</si>
  <si>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</si>
  <si>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</si>
  <si>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</si>
  <si>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</si>
  <si>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</si>
  <si>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</si>
  <si>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</si>
  <si>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</si>
  <si>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</si>
  <si>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</si>
  <si>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</si>
  <si>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</si>
  <si>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</si>
  <si>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</si>
  <si>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</si>
  <si>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</si>
  <si>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</si>
  <si>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</si>
  <si>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</si>
  <si>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</si>
  <si>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</si>
  <si>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</si>
  <si>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</si>
  <si>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</si>
  <si>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</si>
  <si>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</si>
  <si>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</si>
  <si>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</si>
  <si>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</si>
  <si>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</si>
  <si>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</si>
  <si>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</si>
  <si>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</si>
  <si>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</si>
  <si>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</si>
  <si>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</si>
  <si>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</si>
  <si>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</si>
  <si>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</si>
  <si>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</si>
  <si>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</si>
  <si>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</si>
  <si>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</si>
  <si>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</si>
  <si>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</si>
  <si>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</si>
  <si>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</si>
  <si>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</si>
  <si>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</si>
  <si>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</si>
  <si>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</si>
  <si>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</si>
  <si>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</si>
  <si>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</si>
  <si>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</si>
  <si>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</si>
  <si>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</si>
  <si>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</si>
  <si>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</si>
  <si>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</si>
  <si>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</si>
  <si>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</si>
  <si>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</si>
  <si>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</si>
  <si>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</si>
  <si>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</si>
  <si>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</si>
  <si>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</si>
  <si>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</si>
  <si>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</si>
  <si>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</si>
  <si>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</si>
  <si>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</si>
  <si>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</si>
  <si>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</si>
  <si>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</si>
  <si>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</si>
  <si>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</si>
  <si>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</si>
  <si>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</si>
  <si>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</si>
  <si>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</si>
  <si>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</si>
  <si>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</si>
  <si>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</si>
  <si>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</si>
  <si>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</si>
  <si>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</si>
  <si>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</si>
  <si>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</si>
  <si>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</si>
  <si>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</si>
  <si>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</si>
  <si>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</si>
  <si>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</si>
  <si>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</si>
  <si>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</si>
  <si>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</si>
  <si>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</si>
  <si>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</si>
  <si>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</si>
  <si>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</si>
  <si>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</si>
  <si>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</si>
  <si>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</si>
  <si>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</si>
  <si>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</si>
  <si>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</si>
  <si>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</si>
  <si>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</si>
  <si>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</si>
  <si>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</si>
  <si>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</si>
  <si>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</si>
  <si>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</si>
  <si>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</si>
  <si>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</si>
  <si>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</si>
  <si>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</si>
  <si>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</si>
  <si>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</si>
  <si>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</si>
  <si>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</si>
  <si>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</si>
  <si>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</si>
  <si>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</si>
  <si>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</si>
  <si>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</si>
  <si>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</si>
  <si>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</si>
  <si>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</si>
  <si>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</si>
  <si>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</si>
  <si>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</si>
  <si>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</si>
  <si>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</si>
  <si>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</si>
  <si>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</si>
  <si>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</si>
  <si>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</si>
  <si>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</si>
  <si>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</si>
  <si>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</si>
  <si>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</si>
  <si>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</si>
  <si>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</si>
  <si>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</si>
  <si>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</si>
  <si>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</si>
  <si>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</si>
  <si>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</si>
  <si>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</si>
  <si>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</si>
  <si>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</si>
  <si>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</si>
  <si>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</si>
  <si>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</si>
  <si>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</si>
  <si>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</si>
  <si>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</si>
  <si>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</si>
  <si>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</si>
  <si>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</si>
  <si>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</si>
  <si>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</si>
  <si>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</si>
  <si>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</si>
  <si>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</si>
  <si>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</si>
  <si>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</si>
  <si>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</si>
  <si>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</si>
  <si>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</si>
  <si>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</si>
  <si>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</si>
  <si>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</si>
  <si>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</si>
  <si>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</si>
  <si>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</si>
  <si>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</si>
  <si>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</si>
  <si>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</si>
  <si>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</si>
  <si>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</si>
  <si>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</si>
  <si>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</si>
  <si>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</si>
  <si>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</si>
  <si>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</si>
  <si>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</si>
  <si>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</si>
  <si>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</si>
  <si>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</si>
  <si>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</si>
  <si>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</si>
  <si>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</si>
  <si>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</si>
  <si>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</si>
  <si>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</si>
  <si>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</si>
  <si>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</si>
  <si>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</si>
  <si>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</si>
  <si>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</si>
  <si>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</si>
  <si>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</si>
  <si>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</si>
  <si>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</si>
  <si>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</si>
  <si>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</si>
  <si>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</si>
  <si>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</si>
  <si>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</si>
  <si>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</si>
  <si>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</si>
  <si>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</si>
  <si>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</si>
  <si>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</si>
  <si>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</si>
  <si>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</si>
  <si>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</si>
  <si>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</si>
  <si>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</si>
  <si>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</si>
  <si>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</si>
  <si>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</si>
  <si>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</si>
  <si>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</si>
  <si>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</si>
  <si>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</si>
  <si>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</si>
  <si>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</si>
  <si>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</si>
  <si>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</si>
  <si>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</si>
  <si>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</si>
  <si>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</si>
  <si>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</si>
  <si>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</si>
  <si>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</si>
  <si>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</si>
  <si>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</si>
  <si>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</si>
  <si>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</si>
  <si>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</si>
  <si>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</si>
  <si>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</si>
  <si>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</si>
  <si>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</si>
  <si>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</si>
  <si>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</si>
  <si>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</si>
  <si>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</si>
  <si>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</si>
  <si>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</si>
  <si>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</si>
  <si>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</si>
  <si>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</si>
  <si>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</si>
  <si>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</si>
  <si>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</si>
  <si>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</si>
  <si>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</si>
  <si>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</si>
  <si>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</si>
  <si>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</si>
  <si>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</si>
  <si>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</si>
  <si>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</si>
  <si>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</si>
  <si>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</si>
  <si>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</si>
  <si>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</si>
  <si>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</si>
  <si>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</si>
  <si>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</si>
  <si>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</si>
  <si>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</si>
  <si>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</si>
  <si>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</si>
  <si>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</si>
  <si>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</si>
  <si>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</si>
  <si>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</si>
  <si>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</si>
  <si>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</si>
  <si>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</si>
  <si>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</si>
  <si>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</si>
  <si>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</si>
  <si>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</si>
  <si>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</si>
  <si>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</si>
  <si>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</si>
  <si>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</si>
  <si>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</si>
  <si>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</si>
  <si>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</si>
  <si>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</si>
  <si>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</si>
  <si>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</si>
  <si>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</si>
  <si>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</si>
  <si>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</si>
  <si>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</si>
  <si>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</si>
  <si>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</si>
  <si>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</si>
  <si>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</si>
  <si>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</si>
  <si>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</si>
  <si>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</si>
  <si>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</si>
  <si>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</si>
  <si>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</si>
  <si>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</si>
  <si>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</si>
  <si>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</si>
  <si>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</si>
  <si>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</si>
  <si>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</si>
  <si>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</si>
  <si>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</si>
  <si>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</si>
  <si>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</si>
  <si>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</si>
  <si>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</si>
  <si>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</si>
  <si>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</si>
  <si>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</si>
  <si>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</si>
  <si>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</si>
  <si>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</si>
  <si>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</si>
  <si>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</si>
  <si>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</si>
  <si>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</si>
  <si>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</si>
  <si>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</si>
  <si>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</si>
  <si>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</si>
  <si>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</si>
  <si>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</si>
  <si>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</si>
  <si>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</si>
  <si>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</si>
  <si>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</si>
  <si>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</si>
  <si>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</si>
  <si>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</si>
  <si>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</si>
  <si>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</si>
  <si>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</si>
  <si>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</si>
  <si>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</si>
  <si>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</si>
  <si>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</si>
  <si>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</si>
  <si>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</si>
  <si>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</si>
  <si>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</si>
  <si>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</si>
  <si>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</si>
  <si>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</si>
  <si>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</si>
  <si>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</si>
  <si>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</si>
  <si>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</si>
  <si>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</si>
  <si>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</si>
  <si>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</si>
  <si>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</si>
  <si>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</si>
  <si>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</si>
  <si>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</si>
  <si>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</si>
  <si>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</si>
  <si>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</si>
  <si>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</si>
  <si>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</si>
  <si>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</si>
  <si>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</si>
  <si>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</si>
  <si>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</si>
  <si>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</si>
  <si>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</si>
  <si>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</si>
  <si>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</si>
  <si>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</si>
  <si>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</si>
  <si>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</si>
  <si>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</si>
  <si>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</si>
  <si>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</si>
  <si>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</si>
  <si>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</si>
  <si>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</si>
  <si>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</si>
  <si>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</si>
  <si>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</si>
  <si>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</si>
  <si>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</si>
  <si>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</si>
  <si>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</si>
  <si>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</si>
  <si>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</si>
  <si>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</si>
  <si>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</si>
  <si>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</si>
  <si>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</si>
  <si>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</si>
  <si>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</si>
  <si>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</si>
  <si>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</si>
  <si>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</si>
  <si>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</si>
  <si>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</si>
  <si>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</si>
  <si>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</si>
  <si>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</si>
  <si>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</si>
  <si>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</si>
  <si>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</si>
  <si>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</si>
  <si>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</si>
  <si>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</si>
  <si>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</si>
  <si>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</si>
  <si>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</si>
  <si>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</si>
  <si>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</si>
  <si>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</si>
  <si>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</si>
  <si>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</si>
  <si>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</si>
  <si>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</si>
  <si>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</si>
  <si>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</si>
  <si>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</si>
  <si>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</si>
  <si>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</si>
  <si>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</si>
  <si>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</si>
  <si>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</si>
  <si>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</si>
  <si>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</si>
  <si>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</si>
  <si>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</si>
  <si>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</si>
  <si>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</si>
  <si>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</si>
  <si>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</si>
  <si>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</si>
  <si>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</si>
  <si>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</si>
  <si>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</si>
  <si>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</si>
  <si>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</si>
  <si>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</si>
  <si>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</si>
  <si>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</si>
  <si>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</si>
  <si>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</si>
  <si>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</si>
  <si>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</si>
  <si>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</si>
  <si>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</si>
  <si>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</si>
  <si>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</si>
  <si>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</si>
  <si>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</si>
  <si>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</si>
  <si>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</si>
  <si>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</si>
  <si>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</si>
  <si>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</si>
  <si>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</si>
  <si>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</si>
  <si>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</si>
  <si>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</si>
  <si>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</si>
  <si>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</si>
  <si>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</si>
  <si>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</si>
  <si>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</si>
  <si>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</si>
  <si>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</si>
  <si>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</si>
  <si>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</si>
  <si>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</si>
  <si>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</si>
  <si>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</si>
  <si>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</si>
  <si>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</si>
  <si>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</si>
  <si>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</si>
  <si>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</si>
  <si>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</si>
  <si>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</si>
  <si>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</si>
  <si>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</si>
  <si>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</si>
  <si>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</si>
  <si>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</si>
  <si>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</si>
  <si>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</si>
  <si>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</si>
  <si>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</si>
  <si>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</si>
  <si>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</si>
  <si>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</si>
  <si>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</si>
  <si>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</si>
  <si>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</si>
  <si>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</si>
  <si>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</si>
  <si>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</si>
  <si>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</si>
  <si>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</si>
  <si>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</si>
  <si>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</si>
  <si>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</si>
  <si>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</si>
  <si>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</si>
  <si>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</si>
  <si>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</si>
  <si>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</si>
  <si>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</si>
  <si>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</si>
  <si>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</si>
  <si>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</si>
  <si>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</si>
  <si>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</si>
  <si>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</si>
  <si>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</si>
  <si>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</si>
  <si>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</si>
  <si>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</si>
  <si>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</si>
  <si>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</si>
  <si>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</si>
  <si>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</si>
  <si>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</si>
  <si>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</si>
  <si>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</si>
  <si>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</si>
  <si>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</si>
  <si>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</si>
  <si>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</si>
  <si>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</si>
  <si>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</si>
  <si>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</si>
  <si>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</si>
  <si>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</si>
  <si>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</si>
  <si>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</si>
  <si>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</si>
  <si>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</si>
  <si>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</si>
  <si>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</si>
  <si>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</si>
  <si>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</si>
  <si>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</si>
  <si>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</si>
  <si>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</si>
  <si>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</si>
  <si>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</si>
  <si>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</si>
  <si>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</si>
  <si>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</si>
  <si>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</si>
  <si>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</si>
  <si>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</si>
  <si>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</si>
  <si>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</si>
  <si>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</si>
  <si>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</si>
  <si>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</si>
  <si>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</si>
  <si>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</si>
  <si>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</si>
  <si>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</si>
  <si>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</si>
  <si>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</si>
  <si>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</si>
  <si>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</si>
  <si>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</si>
  <si>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</si>
  <si>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</si>
  <si>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</si>
  <si>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</si>
  <si>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</si>
  <si>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</si>
  <si>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</si>
  <si>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</si>
  <si>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</si>
  <si>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</si>
  <si>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</si>
  <si>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</si>
  <si>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</si>
  <si>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</si>
  <si>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</si>
  <si>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</si>
  <si>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</si>
  <si>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</si>
  <si>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</si>
  <si>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</si>
  <si>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</si>
  <si>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</si>
  <si>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</si>
  <si>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</si>
  <si>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</si>
  <si>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</si>
  <si>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</si>
  <si>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</si>
  <si>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</si>
  <si>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</si>
  <si>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</si>
  <si>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</si>
  <si>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</si>
  <si>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</si>
  <si>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</si>
  <si>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</si>
  <si>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</si>
  <si>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</si>
  <si>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</si>
  <si>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</si>
  <si>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</si>
  <si>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</si>
  <si>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</si>
  <si>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</si>
  <si>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</si>
  <si>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</si>
  <si>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</si>
  <si>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</si>
  <si>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</si>
  <si>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</si>
  <si>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</si>
  <si>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</si>
  <si>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</si>
  <si>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</si>
  <si>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</si>
  <si>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</si>
  <si>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</si>
  <si>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</si>
  <si>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</si>
  <si>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</si>
  <si>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</si>
  <si>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</si>
  <si>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</si>
  <si>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</si>
  <si>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</si>
  <si>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</si>
  <si>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</si>
  <si>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</si>
  <si>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</si>
  <si>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</si>
  <si>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</si>
  <si>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</si>
  <si>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</si>
  <si>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</si>
  <si>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</si>
  <si>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</si>
  <si>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</si>
  <si>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</si>
  <si>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</si>
  <si>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</si>
  <si>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</si>
  <si>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</si>
  <si>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</si>
  <si>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</si>
  <si>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</si>
  <si>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</si>
  <si>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</si>
  <si>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</si>
  <si>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</si>
  <si>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</si>
  <si>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</si>
  <si>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</si>
  <si>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</si>
  <si>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</si>
  <si>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</si>
  <si>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</si>
  <si>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</si>
  <si>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</si>
  <si>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</si>
  <si>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</si>
  <si>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</si>
  <si>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</si>
  <si>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</si>
  <si>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</si>
  <si>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</si>
  <si>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</si>
  <si>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</si>
  <si>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</si>
  <si>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</si>
  <si>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</si>
  <si>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</si>
  <si>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</si>
  <si>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</si>
  <si>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</si>
  <si>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</si>
  <si>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</si>
  <si>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</si>
  <si>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</si>
  <si>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</si>
  <si>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</si>
  <si>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</si>
  <si>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</si>
  <si>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</si>
  <si>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</si>
  <si>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</si>
  <si>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</si>
  <si>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</si>
  <si>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</si>
  <si>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</si>
  <si>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</si>
  <si>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</si>
  <si>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</si>
  <si>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</si>
  <si>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</si>
  <si>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</si>
  <si>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</si>
  <si>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</si>
  <si>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</si>
  <si>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</si>
  <si>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</si>
  <si>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</si>
  <si>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</si>
  <si>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</si>
  <si>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</si>
  <si>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</si>
  <si>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</si>
  <si>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</si>
  <si>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</si>
  <si>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</si>
  <si>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</si>
  <si>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</si>
  <si>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</si>
  <si>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</si>
  <si>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</si>
  <si>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</si>
  <si>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</si>
  <si>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</si>
  <si>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</si>
  <si>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</si>
  <si>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</si>
  <si>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</si>
  <si>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</si>
  <si>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</si>
  <si>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</si>
  <si>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</si>
  <si>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</si>
  <si>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</si>
  <si>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</si>
  <si>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</si>
  <si>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</si>
  <si>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</si>
  <si>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</si>
  <si>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</si>
  <si>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</si>
  <si>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</si>
  <si>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</si>
  <si>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</si>
  <si>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</si>
  <si>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</si>
  <si>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</si>
  <si>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</si>
  <si>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</si>
  <si>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</si>
  <si>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</si>
  <si>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</si>
  <si>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</si>
  <si>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</si>
  <si>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</si>
  <si>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</si>
  <si>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</si>
  <si>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</si>
  <si>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</si>
  <si>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</si>
  <si>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</si>
  <si>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</si>
  <si>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</si>
  <si>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</si>
  <si>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</si>
  <si>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</si>
  <si>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</si>
  <si>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</si>
  <si>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</si>
  <si>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</si>
  <si>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</si>
  <si>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</si>
  <si>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</si>
  <si>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</si>
  <si>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</si>
  <si>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</si>
  <si>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</si>
  <si>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</si>
  <si>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</si>
  <si>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</si>
  <si>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</si>
  <si>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</si>
  <si>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</si>
  <si>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</si>
  <si>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</si>
  <si>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</si>
  <si>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</si>
  <si>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</si>
  <si>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</si>
  <si>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</si>
  <si>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</si>
  <si>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</si>
  <si>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</si>
  <si>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</si>
  <si>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</si>
  <si>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</si>
  <si>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</si>
  <si>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</si>
  <si>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</si>
  <si>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</si>
  <si>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</si>
  <si>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</si>
  <si>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</si>
  <si>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</si>
  <si>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</si>
  <si>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</si>
  <si>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</si>
  <si>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</si>
  <si>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</si>
  <si>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</si>
  <si>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</si>
  <si>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</si>
  <si>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</si>
  <si>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</si>
  <si>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</si>
  <si>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</si>
  <si>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</si>
  <si>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</si>
  <si>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</si>
  <si>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</si>
  <si>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</si>
  <si>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</si>
  <si>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</si>
  <si>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</si>
  <si>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</si>
  <si>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</si>
  <si>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</si>
  <si>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</si>
  <si>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</si>
  <si>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</si>
  <si>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</si>
  <si>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</si>
  <si>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</si>
  <si>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</si>
  <si>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</si>
  <si>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</si>
  <si>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</si>
  <si>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</si>
  <si>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</si>
  <si>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</si>
  <si>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</si>
  <si>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</si>
  <si>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</si>
  <si>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</si>
  <si>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</si>
  <si>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</si>
  <si>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</si>
  <si>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</si>
  <si>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</si>
  <si>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</si>
  <si>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</si>
  <si>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</si>
  <si>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</si>
  <si>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</si>
  <si>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</si>
  <si>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</si>
  <si>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</si>
  <si>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</si>
  <si>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</si>
  <si>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</si>
  <si>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</si>
  <si>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</si>
  <si>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</si>
  <si>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</si>
  <si>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</si>
  <si>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</si>
  <si>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</si>
  <si>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</si>
  <si>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</si>
  <si>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</si>
  <si>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</si>
  <si>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</si>
  <si>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</si>
  <si>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</si>
  <si>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</si>
  <si>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</si>
  <si>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</si>
  <si>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</si>
  <si>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</si>
  <si>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</si>
  <si>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</si>
  <si>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</si>
  <si>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</si>
  <si>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</si>
  <si>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</si>
  <si>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</si>
  <si>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</si>
  <si>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</si>
  <si>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</si>
  <si>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</si>
  <si>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</si>
  <si>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</si>
  <si>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</si>
  <si>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</si>
  <si>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</si>
  <si>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</si>
  <si>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</si>
  <si>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</si>
  <si>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</si>
  <si>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</si>
  <si>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</si>
  <si>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</si>
  <si>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</si>
  <si>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</si>
  <si>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</si>
  <si>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</si>
  <si>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</si>
  <si>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</si>
  <si>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</si>
  <si>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</si>
  <si>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</si>
  <si>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</si>
  <si>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</si>
  <si>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</si>
  <si>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</si>
  <si>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</si>
  <si>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</si>
  <si>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</si>
  <si>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</si>
  <si>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</si>
  <si>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</si>
  <si>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</si>
  <si>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</si>
  <si>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</si>
  <si>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</si>
  <si>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</si>
  <si>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</si>
  <si>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</si>
  <si>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</si>
  <si>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</si>
  <si>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</si>
  <si>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</si>
  <si>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</si>
  <si>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</si>
  <si>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</si>
  <si>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</si>
  <si>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</si>
  <si>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</si>
  <si>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</si>
  <si>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</si>
  <si>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</si>
  <si>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</si>
  <si>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</si>
  <si>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</si>
  <si>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</si>
  <si>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</si>
  <si>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</si>
  <si>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</si>
  <si>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</si>
  <si>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</si>
  <si>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</si>
  <si>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</si>
  <si>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</si>
  <si>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</si>
  <si>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</si>
  <si>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</si>
  <si>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</si>
  <si>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</si>
  <si>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</si>
  <si>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</si>
  <si>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</si>
  <si>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</si>
  <si>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</si>
  <si>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</si>
  <si>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</si>
  <si>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</si>
  <si>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</si>
  <si>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</si>
  <si>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</si>
  <si>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</si>
  <si>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</si>
  <si>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</si>
  <si>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</si>
  <si>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</si>
  <si>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</si>
  <si>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</si>
  <si>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</si>
  <si>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</si>
  <si>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</si>
  <si>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</si>
  <si>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</si>
  <si>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</si>
  <si>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</si>
  <si>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</si>
  <si>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</si>
  <si>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</si>
  <si>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</si>
  <si>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</si>
  <si>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</si>
  <si>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</si>
  <si>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</si>
  <si>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</si>
  <si>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</si>
  <si>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</si>
  <si>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</si>
  <si>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</si>
  <si>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</si>
  <si>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</si>
  <si>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</si>
  <si>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</si>
  <si>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</si>
  <si>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</si>
  <si>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</si>
  <si>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</si>
  <si>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</si>
  <si>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</si>
  <si>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</si>
  <si>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</si>
  <si>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</si>
  <si>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</si>
  <si>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</si>
  <si>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</si>
  <si>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</si>
  <si>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</si>
  <si>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</si>
  <si>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</si>
  <si>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</si>
  <si>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</si>
  <si>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</si>
  <si>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</si>
  <si>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</si>
  <si>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</si>
  <si>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</si>
  <si>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</si>
  <si>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</si>
  <si>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</si>
  <si>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</si>
  <si>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</si>
  <si>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</si>
  <si>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</si>
  <si>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</si>
  <si>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</si>
  <si>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</si>
  <si>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</si>
  <si>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</si>
  <si>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</si>
  <si>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</si>
  <si>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</si>
  <si>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</si>
  <si>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</si>
  <si>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</si>
  <si>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</si>
  <si>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</si>
  <si>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</si>
  <si>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</si>
  <si>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</si>
  <si>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</si>
  <si>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</si>
  <si>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</si>
  <si>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</si>
  <si>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</si>
  <si>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</si>
  <si>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</si>
  <si>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</si>
  <si>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</si>
  <si>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</si>
  <si>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</si>
  <si>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</si>
  <si>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</si>
  <si>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</si>
  <si>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</si>
  <si>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</si>
  <si>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</si>
  <si>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</si>
  <si>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</si>
  <si>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</si>
  <si>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</si>
  <si>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</si>
  <si>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</si>
  <si>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</si>
  <si>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</si>
  <si>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</si>
  <si>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</si>
  <si>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</si>
  <si>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</si>
  <si>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</si>
  <si>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</si>
  <si>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</si>
  <si>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</si>
  <si>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</si>
  <si>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</si>
  <si>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</si>
  <si>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</si>
  <si>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</si>
  <si>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</si>
  <si>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</si>
  <si>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</si>
  <si>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</si>
  <si>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</si>
  <si>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</si>
  <si>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</si>
  <si>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</si>
  <si>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</si>
  <si>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</si>
  <si>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</si>
  <si>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</si>
  <si>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</si>
  <si>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</si>
  <si>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</si>
  <si>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</si>
  <si>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</si>
  <si>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</si>
  <si>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</si>
  <si>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</si>
  <si>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</si>
  <si>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</si>
  <si>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</si>
  <si>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</si>
  <si>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</si>
  <si>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</si>
  <si>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</si>
  <si>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</si>
  <si>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</si>
  <si>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</si>
  <si>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</si>
  <si>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</si>
  <si>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</si>
  <si>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</si>
  <si>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</si>
  <si>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</si>
  <si>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</si>
  <si>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</si>
  <si>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</si>
  <si>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</si>
  <si>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</si>
  <si>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</si>
  <si>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</si>
  <si>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</si>
  <si>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</si>
  <si>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</si>
  <si>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</si>
  <si>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</si>
  <si>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</si>
  <si>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</si>
  <si>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</si>
  <si>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</si>
  <si>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</si>
  <si>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</si>
  <si>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</si>
  <si>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</si>
  <si>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</si>
  <si>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</si>
  <si>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</si>
  <si>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</si>
  <si>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</si>
  <si>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</si>
  <si>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</si>
  <si>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</si>
  <si>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</si>
  <si>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</si>
  <si>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</si>
  <si>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</si>
  <si>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</si>
  <si>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</si>
  <si>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</si>
  <si>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</si>
  <si>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</si>
  <si>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</si>
  <si>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</si>
  <si>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</si>
  <si>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</si>
  <si>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</si>
  <si>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</si>
  <si>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</si>
  <si>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</si>
  <si>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</si>
  <si>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</si>
  <si>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</si>
  <si>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</si>
  <si>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</si>
  <si>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</si>
  <si>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</si>
  <si>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</si>
  <si>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</si>
  <si>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</si>
  <si>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</si>
  <si>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</si>
  <si>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</si>
  <si>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</si>
  <si>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</si>
  <si>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</si>
  <si>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</si>
  <si>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</si>
  <si>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</si>
  <si>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</si>
  <si>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</si>
  <si>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</si>
  <si>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</si>
  <si>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</si>
  <si>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</si>
  <si>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</si>
  <si>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</si>
  <si>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</si>
  <si>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</si>
  <si>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</si>
  <si>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</si>
  <si>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</si>
  <si>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</si>
  <si>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</si>
  <si>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</si>
  <si>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</si>
  <si>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</si>
  <si>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</si>
  <si>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</si>
  <si>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</si>
  <si>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</si>
  <si>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</si>
  <si>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</si>
  <si>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</si>
  <si>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</si>
  <si>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</si>
  <si>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</si>
  <si>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</si>
  <si>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</si>
  <si>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</si>
  <si>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</si>
  <si>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</si>
  <si>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</si>
  <si>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</si>
  <si>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</si>
  <si>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</si>
  <si>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</si>
  <si>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</si>
  <si>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</si>
  <si>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</si>
  <si>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</si>
  <si>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</si>
  <si>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</si>
  <si>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</si>
  <si>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</si>
  <si>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</si>
  <si>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</si>
  <si>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</si>
  <si>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</si>
  <si>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</si>
  <si>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</si>
  <si>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</si>
  <si>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</si>
  <si>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</si>
  <si>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</si>
  <si>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</si>
  <si>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</si>
  <si>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</si>
  <si>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</si>
  <si>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</si>
  <si>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</si>
  <si>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</si>
  <si>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</si>
  <si>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</si>
  <si>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</si>
  <si>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</si>
  <si>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</si>
  <si>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</si>
  <si>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</si>
  <si>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</si>
  <si>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</si>
  <si>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</si>
  <si>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</si>
  <si>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</si>
  <si>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</si>
  <si>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</si>
  <si>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</si>
  <si>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</si>
  <si>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</si>
  <si>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</si>
  <si>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</si>
  <si>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</si>
  <si>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</si>
  <si>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</si>
  <si>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</si>
  <si>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</si>
  <si>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</si>
  <si>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</si>
  <si>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</si>
  <si>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</si>
  <si>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</si>
  <si>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</si>
  <si>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</si>
  <si>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</si>
  <si>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</si>
  <si>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</si>
  <si>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</si>
  <si>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</si>
  <si>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</si>
  <si>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</si>
  <si>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</si>
  <si>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</si>
  <si>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</si>
  <si>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</si>
  <si>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</si>
  <si>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</si>
  <si>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</si>
  <si>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</si>
  <si>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</si>
  <si>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</si>
  <si>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</si>
  <si>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</si>
  <si>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</si>
  <si>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</si>
  <si>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</si>
  <si>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</si>
  <si>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</si>
  <si>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</si>
  <si>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</si>
  <si>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</si>
  <si>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</si>
  <si>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</si>
  <si>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</si>
  <si>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</si>
  <si>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</si>
  <si>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</si>
  <si>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</si>
  <si>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</si>
  <si>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</si>
  <si>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</si>
  <si>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</si>
  <si>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</si>
  <si>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</si>
  <si>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</si>
  <si>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</si>
  <si>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</si>
  <si>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</si>
  <si>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</si>
  <si>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</si>
  <si>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</si>
  <si>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</si>
  <si>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</si>
  <si>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</si>
  <si>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</si>
  <si>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</si>
  <si>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</si>
  <si>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</si>
  <si>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</si>
  <si>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</si>
  <si>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</si>
  <si>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</si>
  <si>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</si>
  <si>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</si>
  <si>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</si>
  <si>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</si>
  <si>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</si>
  <si>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</si>
  <si>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</si>
  <si>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</si>
  <si>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</si>
  <si>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</si>
  <si>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</si>
  <si>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</si>
  <si>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</si>
  <si>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</si>
  <si>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</si>
  <si>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</si>
  <si>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</si>
  <si>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</si>
  <si>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</si>
  <si>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</si>
  <si>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</si>
  <si>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</si>
  <si>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</si>
  <si>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</si>
  <si>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</si>
  <si>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</si>
  <si>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</si>
  <si>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</si>
  <si>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</si>
  <si>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</si>
  <si>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</si>
  <si>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</si>
  <si>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</si>
  <si>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</si>
  <si>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</si>
  <si>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</si>
  <si>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</si>
  <si>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</si>
  <si>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</si>
  <si>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</si>
  <si>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</si>
  <si>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</si>
  <si>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</si>
  <si>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</si>
  <si>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</si>
  <si>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</si>
  <si>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</si>
  <si>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</si>
  <si>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</si>
  <si>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</si>
  <si>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</si>
  <si>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</si>
  <si>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</si>
  <si>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</si>
  <si>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</si>
  <si>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</si>
  <si>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</si>
  <si>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</si>
  <si>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</si>
  <si>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</si>
  <si>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</si>
  <si>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</si>
  <si>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</si>
  <si>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</si>
  <si>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</si>
  <si>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</si>
  <si>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</si>
  <si>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</si>
  <si>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</si>
  <si>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</si>
  <si>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</si>
  <si>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</si>
  <si>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</si>
  <si>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</si>
  <si>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</si>
  <si>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</si>
  <si>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</si>
  <si>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</si>
  <si>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</si>
  <si>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</si>
  <si>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</si>
  <si>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</si>
  <si>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</si>
  <si>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</si>
  <si>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</si>
  <si>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</si>
  <si>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</si>
  <si>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</si>
  <si>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</si>
  <si>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</si>
  <si>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</si>
  <si>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</si>
  <si>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</si>
  <si>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</si>
  <si>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</si>
  <si>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</si>
  <si>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</si>
  <si>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</si>
  <si>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</si>
  <si>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</si>
  <si>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</si>
  <si>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</si>
  <si>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</si>
  <si>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</si>
  <si>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</si>
  <si>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</si>
  <si>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</si>
  <si>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</si>
  <si>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</si>
  <si>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</si>
  <si>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</si>
  <si>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</si>
  <si>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</si>
  <si>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</si>
  <si>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</si>
  <si>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</si>
  <si>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</si>
  <si>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</si>
  <si>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</si>
  <si>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</si>
  <si>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</si>
  <si>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</si>
  <si>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</si>
  <si>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</si>
  <si>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</si>
  <si>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</si>
  <si>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</si>
  <si>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</si>
  <si>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</si>
  <si>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</si>
  <si>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</si>
  <si>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</si>
  <si>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</si>
  <si>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</si>
  <si>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</si>
  <si>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</si>
  <si>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</si>
  <si>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</si>
  <si>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</si>
  <si>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</si>
  <si>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</si>
  <si>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</si>
  <si>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</si>
  <si>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</si>
  <si>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</si>
  <si>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</si>
  <si>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</si>
  <si>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</si>
  <si>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</si>
  <si>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</si>
  <si>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</si>
  <si>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</si>
  <si>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</si>
  <si>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</si>
  <si>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</si>
  <si>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</si>
  <si>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</si>
  <si>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</si>
  <si>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</si>
  <si>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</si>
  <si>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</si>
  <si>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</si>
  <si>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</si>
  <si>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</si>
  <si>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</si>
  <si>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</si>
  <si>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</si>
  <si>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</si>
  <si>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</si>
  <si>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</si>
  <si>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</si>
  <si>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</si>
  <si>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</si>
  <si>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</si>
  <si>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</si>
  <si>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</si>
  <si>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</si>
  <si>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</si>
  <si>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</si>
  <si>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</si>
  <si>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</si>
  <si>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</si>
  <si>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</si>
  <si>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</si>
  <si>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</si>
  <si>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</si>
  <si>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</si>
  <si>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</si>
  <si>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</si>
  <si>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</si>
  <si>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</si>
  <si>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</si>
  <si>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</si>
  <si>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</si>
  <si>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</si>
  <si>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</si>
  <si>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</si>
  <si>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</si>
  <si>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</si>
  <si>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</si>
  <si>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</si>
  <si>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</si>
  <si>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</si>
  <si>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</si>
  <si>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</si>
  <si>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</si>
  <si>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</si>
  <si>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</si>
  <si>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</si>
  <si>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</si>
  <si>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</si>
  <si>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</si>
  <si>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</si>
  <si>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</si>
  <si>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</si>
  <si>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</si>
  <si>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</si>
  <si>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</si>
  <si>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</si>
  <si>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</si>
  <si>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</si>
  <si>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</si>
  <si>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</si>
  <si>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</si>
  <si>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</si>
  <si>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</si>
  <si>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</si>
  <si>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</si>
  <si>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</si>
  <si>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</si>
  <si>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</si>
  <si>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</si>
  <si>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</si>
  <si>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</si>
  <si>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</si>
  <si>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</si>
  <si>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</si>
  <si>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</si>
  <si>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</si>
  <si>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</si>
  <si>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</si>
  <si>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</si>
  <si>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</si>
  <si>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</si>
  <si>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</si>
  <si>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</si>
  <si>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</si>
  <si>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</si>
  <si>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</si>
  <si>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</si>
  <si>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</si>
  <si>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</si>
  <si>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</si>
  <si>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</si>
  <si>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</si>
  <si>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</si>
  <si>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</si>
  <si>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</si>
  <si>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</si>
  <si>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</si>
  <si>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</si>
  <si>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</si>
  <si>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</si>
  <si>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</si>
  <si>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</si>
  <si>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</si>
  <si>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</si>
  <si>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</si>
  <si>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</si>
  <si>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</si>
  <si>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</si>
  <si>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</si>
  <si>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</si>
  <si>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</si>
  <si>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</si>
  <si>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</si>
  <si>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</si>
  <si>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</si>
  <si>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</si>
  <si>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</si>
  <si>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</si>
  <si>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</si>
  <si>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</si>
  <si>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</si>
  <si>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</si>
  <si>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</si>
  <si>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</si>
  <si>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</si>
  <si>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</si>
  <si>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</si>
  <si>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</si>
  <si>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</si>
  <si>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</si>
  <si>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</si>
  <si>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</si>
  <si>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</si>
  <si>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</si>
  <si>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</si>
  <si>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</si>
  <si>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</si>
  <si>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</si>
  <si>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</si>
  <si>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</si>
  <si>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</si>
  <si>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</si>
  <si>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</si>
  <si>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</si>
  <si>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</si>
  <si>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</si>
  <si>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</si>
  <si>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</si>
  <si>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</si>
  <si>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</si>
  <si>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</si>
  <si>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</si>
  <si>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</si>
  <si>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</si>
  <si>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</si>
  <si>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</si>
  <si>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</si>
  <si>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</si>
  <si>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</si>
  <si>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</si>
  <si>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</si>
  <si>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</si>
  <si>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</si>
  <si>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</si>
  <si>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</si>
  <si>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</si>
  <si>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</si>
  <si>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</si>
  <si>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</si>
  <si>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</si>
  <si>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</si>
  <si>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</si>
  <si>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</si>
  <si>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</si>
  <si>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</si>
  <si>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</si>
  <si>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</si>
  <si>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</si>
  <si>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</si>
  <si>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</si>
  <si>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</si>
  <si>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</si>
  <si>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</si>
  <si>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</si>
  <si>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</si>
  <si>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</si>
  <si>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</si>
  <si>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</si>
  <si>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</si>
  <si>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</si>
  <si>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</si>
  <si>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</si>
  <si>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</si>
  <si>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</si>
  <si>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</si>
  <si>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</si>
  <si>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</si>
  <si>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</si>
  <si>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</si>
  <si>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</si>
  <si>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</si>
  <si>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</si>
  <si>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</si>
  <si>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</si>
  <si>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</si>
  <si>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</si>
  <si>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</si>
  <si>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</si>
  <si>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</si>
  <si>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</si>
  <si>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</si>
  <si>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</si>
  <si>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</si>
  <si>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</si>
  <si>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</si>
  <si>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</si>
  <si>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</si>
  <si>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</si>
  <si>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</si>
  <si>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</si>
  <si>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</si>
  <si>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</si>
  <si>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</si>
  <si>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</si>
  <si>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</si>
  <si>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</si>
  <si>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</si>
  <si>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</si>
  <si>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</si>
  <si>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</si>
  <si>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</si>
  <si>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</si>
  <si>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</si>
  <si>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</si>
  <si>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</si>
  <si>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</si>
  <si>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</si>
  <si>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</si>
  <si>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</si>
  <si>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</si>
  <si>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</si>
  <si>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</si>
  <si>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</si>
  <si>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</si>
  <si>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</si>
  <si>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</si>
  <si>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</si>
  <si>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</si>
  <si>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</si>
  <si>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</si>
  <si>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</si>
  <si>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</si>
  <si>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</si>
  <si>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</si>
  <si>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</si>
  <si>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</si>
  <si>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</si>
  <si>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</si>
  <si>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</si>
  <si>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</si>
  <si>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</si>
  <si>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</si>
  <si>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</si>
  <si>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</si>
  <si>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</si>
  <si>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</si>
  <si>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</si>
  <si>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</si>
  <si>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</si>
  <si>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</si>
  <si>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</si>
  <si>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</si>
  <si>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</si>
  <si>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</si>
  <si>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</si>
  <si>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</si>
  <si>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</si>
  <si>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</si>
  <si>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</si>
  <si>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</si>
  <si>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</si>
  <si>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</si>
  <si>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</si>
  <si>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</si>
  <si>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</si>
  <si>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</si>
  <si>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</si>
  <si>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</si>
  <si>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</si>
  <si>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</si>
  <si>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</si>
  <si>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</si>
  <si>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</si>
  <si>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</si>
  <si>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</si>
  <si>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</si>
  <si>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</si>
  <si>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</si>
  <si>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</si>
  <si>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</si>
  <si>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</si>
  <si>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</si>
  <si>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</si>
  <si>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</si>
  <si>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</si>
  <si>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</si>
  <si>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</si>
  <si>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</si>
  <si>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</si>
  <si>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</si>
  <si>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</si>
  <si>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</si>
  <si>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</si>
  <si>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</si>
  <si>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</si>
  <si>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</si>
  <si>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</si>
  <si>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</si>
  <si>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</si>
  <si>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</si>
  <si>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</si>
  <si>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</si>
  <si>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</si>
  <si>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</si>
  <si>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</si>
  <si>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</si>
  <si>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</si>
  <si>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</si>
  <si>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</si>
  <si>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</si>
  <si>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</si>
  <si>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</si>
  <si>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</si>
  <si>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</si>
  <si>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</si>
  <si>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</si>
  <si>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</si>
  <si>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</si>
  <si>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</si>
  <si>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</si>
  <si>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</si>
  <si>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</si>
  <si>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</si>
  <si>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</si>
  <si>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</si>
  <si>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</si>
  <si>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</si>
  <si>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</si>
  <si>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</si>
  <si>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</si>
  <si>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</si>
  <si>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</si>
  <si>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</si>
  <si>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</si>
  <si>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</si>
  <si>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</si>
  <si>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</si>
  <si>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</si>
  <si>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</si>
  <si>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</si>
  <si>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</si>
  <si>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</si>
  <si>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</si>
  <si>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</si>
  <si>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</si>
  <si>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</si>
  <si>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</si>
  <si>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</si>
  <si>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</si>
  <si>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</si>
  <si>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</si>
  <si>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</si>
  <si>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</si>
  <si>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</si>
  <si>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</si>
  <si>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</si>
  <si>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</si>
  <si>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</si>
  <si>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</si>
  <si>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</si>
  <si>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</si>
  <si>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</si>
  <si>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</si>
  <si>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</si>
  <si>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</si>
  <si>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</si>
  <si>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</si>
  <si>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</si>
  <si>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</si>
  <si>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</si>
  <si>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</si>
  <si>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</si>
  <si>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</si>
  <si>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</si>
  <si>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</si>
  <si>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</si>
  <si>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</si>
  <si>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</si>
  <si>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</si>
  <si>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</si>
  <si>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</si>
  <si>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</si>
  <si>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</si>
  <si>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</si>
  <si>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</si>
  <si>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</si>
  <si>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</si>
  <si>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</si>
  <si>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</si>
  <si>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</si>
  <si>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</si>
  <si>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</si>
  <si>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</si>
  <si>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</si>
  <si>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</si>
  <si>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</si>
  <si>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</si>
  <si>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</si>
  <si>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</si>
  <si>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</si>
  <si>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</si>
  <si>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</si>
  <si>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</si>
  <si>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</si>
  <si>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</si>
  <si>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</si>
  <si>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</si>
  <si>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</si>
  <si>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</si>
  <si>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</si>
  <si>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</si>
  <si>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</si>
  <si>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</si>
  <si>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</si>
  <si>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</si>
  <si>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</si>
  <si>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</si>
  <si>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</si>
  <si>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</si>
  <si>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</si>
  <si>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</si>
  <si>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</si>
  <si>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</si>
  <si>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</si>
  <si>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</si>
  <si>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</si>
  <si>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</si>
  <si>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</si>
  <si>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</si>
  <si>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</si>
  <si>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</si>
  <si>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</si>
  <si>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</si>
  <si>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</si>
  <si>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</si>
  <si>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</si>
  <si>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</si>
  <si>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</si>
  <si>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</si>
  <si>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</si>
  <si>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</si>
  <si>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</si>
  <si>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</si>
  <si>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</si>
  <si>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</si>
  <si>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</si>
  <si>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</si>
  <si>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</si>
  <si>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</si>
  <si>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</si>
  <si>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</si>
  <si>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</si>
  <si>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</si>
  <si>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</si>
  <si>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</si>
  <si>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</si>
  <si>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</si>
  <si>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</si>
  <si>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</si>
  <si>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</si>
  <si>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</si>
  <si>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</si>
  <si>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</si>
  <si>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</si>
  <si>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</si>
  <si>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</si>
  <si>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</si>
  <si>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</si>
  <si>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</si>
  <si>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</si>
  <si>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</si>
  <si>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</si>
  <si>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</si>
  <si>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</si>
  <si>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</si>
  <si>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</si>
  <si>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</si>
  <si>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</si>
  <si>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</si>
  <si>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</si>
  <si>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</si>
  <si>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</si>
  <si>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</si>
  <si>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</si>
  <si>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</si>
  <si>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</si>
  <si>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</si>
  <si>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</si>
  <si>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</si>
  <si>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</si>
  <si>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</si>
  <si>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</si>
  <si>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</si>
  <si>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</si>
  <si>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</si>
  <si>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</si>
  <si>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</si>
  <si>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</si>
  <si>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</si>
  <si>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</si>
  <si>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</si>
  <si>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</si>
  <si>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</si>
  <si>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</si>
  <si>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</si>
  <si>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</si>
  <si>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</si>
  <si>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</si>
  <si>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</si>
  <si>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</si>
  <si>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</si>
  <si>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</si>
  <si>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</si>
  <si>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</si>
  <si>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</si>
  <si>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</si>
  <si>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</si>
  <si>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</si>
  <si>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</si>
  <si>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</si>
  <si>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</si>
  <si>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</si>
  <si>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</si>
  <si>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</si>
  <si>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</si>
  <si>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</si>
  <si>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</si>
  <si>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</si>
  <si>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</si>
  <si>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</si>
  <si>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</si>
  <si>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</si>
  <si>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</si>
  <si>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</si>
  <si>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</si>
  <si>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</si>
  <si>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</si>
  <si>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</si>
  <si>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</si>
  <si>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</si>
  <si>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</si>
  <si>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</si>
  <si>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</si>
  <si>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</si>
  <si>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</si>
  <si>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</si>
  <si>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</si>
  <si>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</si>
  <si>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</si>
  <si>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</si>
  <si>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</si>
  <si>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</si>
  <si>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</si>
  <si>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</si>
  <si>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</si>
  <si>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</si>
  <si>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</si>
  <si>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</si>
  <si>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</si>
  <si>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</si>
  <si>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</si>
  <si>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</si>
  <si>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</si>
  <si>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</si>
  <si>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</si>
  <si>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</si>
  <si>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</si>
  <si>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</si>
  <si>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</si>
  <si>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</si>
  <si>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</si>
  <si>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</si>
  <si>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</si>
  <si>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</si>
  <si>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</si>
  <si>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</si>
  <si>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</si>
  <si>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</si>
  <si>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</si>
  <si>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</si>
  <si>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</si>
  <si>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</si>
  <si>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</si>
  <si>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</si>
  <si>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</si>
  <si>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</si>
  <si>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</si>
  <si>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</si>
  <si>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</si>
  <si>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</si>
  <si>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</si>
  <si>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</si>
  <si>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</si>
  <si>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</si>
  <si>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</si>
  <si>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</si>
  <si>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</si>
  <si>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</si>
  <si>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</si>
  <si>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</si>
  <si>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</si>
  <si>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</si>
  <si>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</si>
  <si>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</si>
  <si>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</si>
  <si>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</si>
  <si>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</si>
  <si>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</si>
  <si>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</si>
  <si>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</si>
  <si>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</si>
  <si>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</si>
  <si>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</si>
  <si>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</si>
  <si>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</si>
  <si>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</si>
  <si>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</si>
  <si>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</si>
  <si>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</si>
  <si>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</si>
  <si>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</si>
  <si>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</si>
  <si>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</si>
  <si>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</si>
  <si>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</si>
  <si>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</si>
  <si>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</si>
  <si>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</si>
  <si>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</si>
  <si>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</si>
  <si>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</si>
  <si>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</si>
  <si>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</si>
  <si>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</si>
  <si>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</si>
  <si>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</si>
  <si>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</si>
  <si>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</si>
  <si>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</si>
  <si>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</si>
  <si>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</si>
  <si>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</si>
  <si>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</si>
  <si>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</si>
  <si>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</si>
  <si>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</si>
  <si>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</si>
  <si>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</si>
  <si>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</si>
  <si>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</si>
  <si>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</si>
  <si>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</si>
  <si>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</si>
  <si>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</si>
  <si>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</si>
  <si>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</si>
  <si>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</si>
  <si>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</si>
  <si>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</si>
  <si>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</si>
  <si>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</si>
  <si>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</si>
  <si>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</si>
  <si>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</si>
  <si>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</si>
  <si>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</si>
  <si>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</si>
  <si>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</si>
  <si>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</si>
  <si>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</si>
  <si>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</si>
  <si>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</si>
  <si>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</si>
  <si>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</si>
  <si>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</si>
  <si>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</si>
  <si>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</si>
  <si>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</si>
  <si>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</si>
  <si>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</si>
  <si>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</si>
  <si>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</si>
  <si>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</si>
  <si>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</si>
  <si>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</si>
  <si>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</si>
  <si>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</si>
  <si>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</si>
  <si>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</si>
  <si>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</si>
  <si>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</si>
  <si>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</si>
  <si>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</si>
  <si>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</si>
  <si>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</si>
  <si>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</si>
  <si>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</si>
  <si>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</si>
  <si>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</si>
  <si>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</si>
  <si>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</si>
  <si>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</si>
  <si>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</si>
  <si>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</si>
  <si>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</si>
  <si>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</si>
  <si>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</si>
  <si>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</si>
  <si>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</si>
  <si>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</si>
  <si>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</si>
  <si>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</si>
  <si>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</si>
  <si>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</si>
  <si>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</si>
  <si>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</si>
  <si>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</si>
  <si>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</si>
  <si>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</si>
  <si>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</si>
  <si>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</si>
  <si>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</si>
  <si>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</si>
  <si>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</si>
  <si>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</si>
  <si>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</si>
  <si>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</si>
  <si>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</si>
  <si>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</si>
  <si>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</si>
  <si>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</si>
  <si>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</si>
  <si>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</si>
  <si>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</si>
  <si>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</si>
  <si>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</si>
  <si>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</si>
  <si>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</si>
  <si>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</si>
  <si>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</si>
  <si>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</si>
  <si>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</si>
  <si>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</si>
  <si>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</si>
  <si>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</si>
  <si>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</si>
  <si>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</si>
  <si>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</si>
  <si>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</si>
  <si>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</si>
  <si>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</si>
  <si>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</si>
  <si>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</si>
  <si>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</si>
  <si>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</si>
  <si>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</si>
  <si>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</si>
  <si>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</si>
  <si>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</si>
  <si>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</si>
  <si>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</si>
  <si>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</si>
  <si>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</si>
  <si>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</si>
  <si>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</si>
  <si>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</si>
  <si>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</si>
  <si>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</si>
  <si>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</si>
  <si>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</si>
  <si>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</si>
  <si>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</si>
  <si>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</si>
  <si>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</si>
  <si>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</si>
  <si>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</si>
  <si>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</si>
  <si>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</si>
  <si>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</si>
  <si>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</si>
  <si>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</si>
  <si>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</si>
  <si>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</si>
  <si>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</si>
  <si>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</si>
  <si>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</si>
  <si>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</si>
  <si>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</si>
  <si>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</si>
  <si>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</si>
  <si>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</si>
  <si>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</si>
  <si>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</si>
  <si>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</si>
  <si>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</si>
  <si>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</si>
  <si>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</si>
  <si>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</si>
  <si>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</si>
  <si>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</si>
  <si>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</si>
  <si>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</si>
  <si>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</si>
  <si>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</si>
  <si>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</si>
  <si>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</si>
  <si>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</si>
  <si>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</si>
  <si>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</si>
  <si>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</si>
  <si>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</si>
  <si>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</si>
  <si>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</si>
  <si>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</si>
  <si>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</si>
  <si>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</si>
  <si>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</si>
  <si>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</si>
  <si>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</si>
  <si>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</si>
  <si>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</si>
  <si>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</si>
  <si>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</si>
  <si>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</si>
  <si>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</si>
  <si>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</si>
  <si>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</si>
  <si>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</si>
  <si>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</si>
  <si>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</si>
  <si>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</si>
  <si>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</si>
  <si>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</si>
  <si>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</si>
  <si>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</si>
  <si>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</si>
  <si>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</si>
  <si>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</si>
  <si>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</si>
  <si>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</si>
  <si>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</si>
  <si>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</si>
  <si>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</si>
  <si>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</si>
  <si>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</si>
  <si>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</si>
  <si>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</si>
  <si>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</si>
  <si>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</si>
  <si>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</si>
  <si>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</si>
  <si>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</si>
  <si>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</si>
  <si>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</si>
  <si>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</si>
  <si>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</si>
  <si>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</si>
  <si>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</si>
  <si>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</si>
  <si>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</si>
  <si>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</si>
  <si>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</si>
  <si>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</si>
  <si>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</si>
  <si>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</si>
  <si>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</si>
  <si>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</si>
  <si>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</si>
  <si>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</si>
  <si>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</si>
  <si>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</si>
  <si>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</si>
  <si>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</si>
  <si>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</si>
  <si>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</si>
  <si>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</si>
  <si>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</si>
  <si>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</si>
  <si>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</si>
  <si>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</si>
  <si>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</si>
  <si>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</si>
  <si>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</si>
  <si>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</si>
  <si>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</si>
  <si>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</si>
  <si>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</si>
  <si>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</si>
  <si>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</si>
  <si>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</si>
  <si>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</si>
  <si>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</si>
  <si>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</si>
  <si>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</si>
  <si>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</si>
  <si>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</si>
  <si>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</si>
  <si>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</si>
  <si>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</si>
  <si>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</si>
  <si>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</si>
  <si>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</si>
  <si>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</si>
  <si>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</si>
  <si>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</si>
  <si>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</si>
  <si>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</si>
  <si>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</si>
  <si>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</si>
  <si>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</si>
  <si>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</si>
  <si>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</si>
  <si>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</si>
  <si>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</si>
  <si>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</si>
  <si>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</si>
  <si>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</si>
  <si>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</si>
  <si>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</si>
  <si>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</si>
  <si>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</si>
  <si>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</si>
  <si>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</si>
  <si>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</si>
  <si>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</si>
  <si>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</si>
  <si>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</si>
  <si>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</si>
  <si>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</si>
  <si>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</si>
  <si>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</si>
  <si>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</si>
  <si>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</si>
  <si>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</si>
  <si>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</si>
  <si>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</si>
  <si>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</si>
  <si>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</si>
  <si>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</si>
  <si>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</si>
  <si>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</si>
  <si>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</si>
  <si>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</si>
  <si>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</si>
  <si>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</si>
  <si>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</si>
  <si>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</si>
  <si>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</si>
  <si>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</si>
  <si>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</si>
  <si>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</si>
  <si>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</si>
  <si>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</si>
  <si>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</si>
  <si>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</si>
  <si>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</si>
  <si>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</si>
  <si>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</si>
  <si>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</si>
  <si>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</si>
  <si>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</si>
  <si>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</si>
  <si>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</si>
  <si>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</si>
  <si>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</si>
  <si>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</si>
  <si>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</si>
  <si>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</si>
  <si>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</si>
  <si>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</si>
  <si>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</si>
  <si>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</si>
  <si>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</si>
  <si>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</si>
  <si>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</si>
  <si>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</si>
  <si>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</si>
  <si>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</si>
  <si>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</si>
  <si>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</si>
  <si>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</si>
  <si>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</si>
  <si>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</si>
  <si>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</si>
  <si>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</si>
  <si>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</si>
  <si>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</si>
  <si>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</si>
  <si>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</si>
  <si>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</si>
  <si>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</si>
  <si>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</si>
  <si>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</si>
  <si>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</si>
  <si>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</si>
  <si>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</si>
  <si>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</si>
  <si>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</si>
  <si>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</si>
  <si>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</si>
  <si>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</si>
  <si>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</si>
  <si>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</si>
  <si>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</si>
  <si>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</si>
  <si>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</si>
  <si>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</si>
  <si>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</si>
  <si>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</si>
  <si>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</si>
  <si>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</si>
  <si>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</si>
  <si>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</si>
  <si>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</si>
  <si>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</si>
  <si>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</si>
  <si>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</si>
  <si>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</si>
  <si>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</si>
  <si>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</si>
  <si>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</si>
  <si>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</si>
  <si>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</si>
  <si>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</si>
  <si>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</si>
  <si>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</si>
  <si>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</si>
  <si>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</si>
  <si>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</si>
  <si>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</si>
  <si>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</si>
  <si>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</si>
  <si>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</si>
  <si>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</si>
  <si>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</si>
  <si>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</si>
  <si>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</si>
  <si>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</si>
  <si>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</si>
  <si>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</si>
  <si>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</si>
  <si>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</si>
  <si>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</si>
  <si>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</si>
  <si>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</si>
  <si>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</si>
  <si>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</si>
  <si>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</si>
  <si>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</si>
  <si>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</si>
  <si>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</si>
  <si>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</si>
  <si>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</si>
  <si>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</si>
  <si>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</si>
  <si>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</si>
  <si>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</si>
  <si>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</si>
  <si>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</si>
  <si>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</si>
  <si>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</si>
  <si>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</si>
  <si>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</si>
  <si>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</si>
  <si>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</si>
  <si>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</si>
  <si>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</si>
  <si>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</si>
  <si>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</si>
  <si>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</si>
  <si>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</si>
  <si>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</si>
  <si>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</si>
  <si>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</si>
  <si>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</si>
  <si>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</si>
  <si>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</si>
  <si>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</si>
  <si>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</si>
  <si>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</si>
  <si>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</si>
  <si>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</si>
  <si>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</si>
  <si>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</si>
  <si>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</si>
  <si>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</si>
  <si>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</si>
  <si>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</si>
  <si>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</si>
  <si>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</si>
  <si>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</si>
  <si>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</si>
  <si>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</si>
  <si>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</si>
  <si>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</si>
  <si>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</si>
  <si>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</si>
  <si>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</si>
  <si>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</si>
  <si>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</si>
  <si>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</si>
  <si>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</si>
  <si>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</si>
  <si>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</si>
  <si>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</si>
  <si>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</si>
  <si>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</si>
  <si>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</si>
  <si>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</si>
  <si>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</si>
  <si>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</si>
  <si>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</si>
  <si>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</si>
  <si>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</si>
  <si>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</si>
  <si>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</si>
  <si>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</si>
  <si>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</si>
  <si>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</si>
  <si>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</si>
  <si>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</si>
  <si>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</si>
  <si>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</si>
  <si>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</si>
  <si>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</si>
  <si>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</si>
  <si>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</si>
  <si>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</si>
  <si>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</si>
  <si>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</si>
  <si>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</si>
  <si>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</si>
  <si>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</si>
  <si>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</si>
  <si>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</si>
  <si>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</si>
  <si>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</si>
  <si>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</si>
  <si>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</si>
  <si>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</si>
  <si>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</si>
  <si>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</si>
  <si>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</si>
  <si>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</si>
  <si>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</si>
  <si>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</si>
  <si>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</si>
  <si>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</si>
  <si>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</si>
  <si>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</si>
  <si>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</si>
  <si>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</si>
  <si>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</si>
  <si>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</si>
  <si>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</si>
  <si>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</si>
  <si>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</si>
  <si>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</si>
  <si>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</si>
  <si>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</si>
  <si>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</si>
  <si>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</si>
  <si>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</si>
  <si>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</si>
  <si>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</si>
  <si>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</si>
  <si>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</si>
  <si>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</si>
  <si>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</si>
  <si>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</si>
  <si>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</si>
  <si>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</si>
  <si>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</si>
  <si>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</si>
  <si>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</si>
  <si>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</si>
  <si>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</si>
  <si>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</si>
  <si>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</si>
  <si>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</si>
  <si>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</si>
  <si>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</si>
  <si>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</si>
  <si>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</si>
  <si>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</si>
  <si>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</si>
  <si>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</si>
  <si>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</si>
  <si>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</si>
  <si>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</si>
  <si>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</si>
  <si>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</si>
  <si>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</si>
  <si>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</si>
  <si>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</si>
  <si>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</si>
  <si>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</si>
  <si>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</si>
  <si>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</si>
  <si>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</si>
  <si>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</si>
  <si>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</si>
  <si>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</si>
  <si>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</si>
  <si>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</si>
  <si>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</si>
  <si>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</si>
  <si>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</si>
  <si>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</si>
  <si>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</si>
  <si>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</si>
  <si>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</si>
  <si>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</si>
  <si>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</si>
  <si>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</si>
  <si>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</si>
  <si>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</si>
  <si>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</si>
  <si>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</si>
  <si>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</si>
  <si>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</si>
  <si>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</si>
  <si>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</si>
  <si>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</si>
  <si>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</si>
  <si>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</si>
  <si>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</si>
  <si>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</si>
  <si>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</si>
  <si>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</si>
  <si>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</si>
  <si>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</si>
  <si>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</si>
  <si>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</si>
  <si>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</si>
  <si>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</si>
  <si>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</si>
  <si>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</si>
  <si>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</si>
  <si>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</si>
  <si>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</si>
  <si>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</si>
  <si>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</si>
  <si>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</si>
  <si>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</si>
  <si>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</si>
  <si>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</si>
  <si>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</si>
  <si>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</si>
  <si>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</si>
  <si>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</si>
  <si>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</si>
  <si>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</si>
  <si>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</si>
  <si>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</si>
  <si>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</si>
  <si>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</si>
  <si>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</si>
  <si>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</si>
  <si>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</si>
  <si>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</si>
  <si>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</si>
  <si>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</si>
  <si>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</si>
  <si>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</si>
  <si>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</si>
  <si>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</si>
  <si>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</si>
  <si>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</si>
  <si>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</si>
  <si>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</si>
  <si>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</si>
  <si>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</si>
  <si>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</si>
  <si>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</si>
  <si>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</si>
  <si>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</si>
  <si>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</si>
  <si>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</si>
  <si>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</si>
  <si>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</si>
  <si>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</si>
  <si>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</si>
  <si>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</si>
  <si>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</si>
  <si>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</si>
  <si>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</si>
  <si>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</si>
  <si>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</si>
  <si>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</si>
  <si>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</si>
  <si>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</si>
  <si>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</si>
  <si>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</si>
  <si>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</si>
  <si>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</si>
  <si>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</si>
  <si>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</si>
  <si>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</si>
  <si>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</si>
  <si>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</si>
  <si>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</si>
  <si>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</si>
  <si>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</si>
  <si>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</si>
  <si>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</si>
  <si>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</si>
  <si>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</si>
  <si>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</si>
  <si>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</si>
  <si>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</si>
  <si>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</si>
  <si>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</si>
  <si>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</si>
  <si>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</si>
  <si>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</si>
  <si>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</si>
  <si>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</si>
  <si>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</si>
  <si>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</si>
  <si>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</si>
  <si>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</si>
  <si>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</si>
  <si>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</si>
  <si>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</si>
  <si>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</si>
  <si>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</si>
  <si>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</si>
  <si>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</si>
  <si>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</si>
  <si>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</si>
  <si>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</si>
  <si>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</si>
  <si>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</si>
  <si>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</si>
  <si>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</si>
  <si>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</si>
  <si>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</si>
  <si>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</si>
  <si>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</si>
  <si>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</si>
  <si>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</si>
  <si>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</si>
  <si>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</si>
  <si>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</si>
  <si>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</si>
  <si>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</si>
  <si>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</si>
  <si>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</si>
  <si>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</si>
  <si>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</si>
  <si>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</si>
  <si>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</si>
  <si>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</si>
  <si>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</si>
  <si>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</si>
  <si>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</si>
  <si>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</si>
  <si>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</si>
  <si>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</si>
  <si>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</si>
  <si>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</si>
  <si>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</si>
  <si>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</si>
  <si>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</si>
  <si>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</si>
  <si>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</si>
  <si>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</si>
  <si>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</si>
  <si>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</si>
  <si>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</si>
  <si>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</si>
  <si>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</si>
  <si>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</si>
  <si>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</si>
  <si>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</si>
  <si>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</si>
  <si>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</si>
  <si>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</si>
  <si>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</si>
  <si>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</si>
  <si>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</si>
  <si>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</si>
  <si>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</si>
  <si>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</si>
  <si>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</si>
  <si>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</si>
  <si>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</si>
  <si>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</si>
  <si>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</si>
  <si>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</si>
  <si>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</si>
  <si>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</si>
  <si>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</si>
  <si>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</si>
  <si>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</si>
  <si>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</si>
  <si>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</si>
  <si>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</si>
  <si>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</si>
  <si>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</si>
  <si>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</si>
  <si>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</si>
  <si>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</si>
  <si>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</si>
  <si>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</si>
  <si>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</si>
  <si>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</si>
  <si>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</si>
  <si>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</si>
  <si>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</si>
  <si>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</si>
  <si>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</si>
  <si>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</si>
  <si>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</si>
  <si>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</si>
  <si>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</si>
  <si>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</si>
  <si>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</si>
  <si>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</si>
  <si>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</si>
  <si>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</si>
  <si>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</si>
  <si>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</si>
  <si>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</si>
  <si>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</si>
  <si>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</si>
  <si>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</si>
  <si>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</si>
  <si>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</si>
  <si>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</si>
  <si>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</si>
  <si>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</si>
  <si>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</si>
  <si>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</si>
  <si>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</si>
  <si>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</si>
  <si>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</si>
  <si>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</si>
  <si>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</si>
  <si>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</si>
  <si>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</si>
  <si>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</si>
  <si>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</si>
  <si>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</si>
  <si>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</si>
  <si>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</si>
  <si>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</si>
  <si>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</si>
  <si>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</si>
  <si>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</si>
  <si>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</si>
  <si>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</si>
  <si>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</si>
  <si>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</si>
  <si>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</si>
  <si>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</si>
  <si>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</si>
  <si>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</si>
  <si>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</si>
  <si>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</si>
  <si>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</si>
  <si>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</si>
  <si>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</si>
  <si>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</si>
  <si>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</si>
  <si>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</si>
  <si>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</si>
  <si>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</si>
  <si>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</si>
  <si>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</si>
  <si>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</si>
  <si>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</si>
  <si>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</si>
  <si>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</si>
  <si>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</si>
  <si>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</si>
  <si>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</si>
  <si>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</si>
  <si>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</si>
  <si>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</si>
  <si>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</si>
  <si>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</si>
  <si>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</si>
  <si>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</si>
  <si>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</si>
  <si>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</si>
  <si>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</si>
  <si>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</si>
  <si>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</si>
  <si>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</si>
  <si>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</si>
  <si>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</si>
  <si>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</si>
  <si>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</si>
  <si>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</si>
  <si>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</si>
  <si>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</si>
  <si>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</si>
  <si>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</si>
  <si>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</si>
  <si>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</si>
  <si>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</si>
  <si>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</si>
  <si>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</si>
  <si>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</si>
  <si>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</si>
  <si>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</si>
  <si>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</si>
  <si>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</si>
  <si>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</si>
  <si>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</si>
  <si>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</si>
  <si>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</si>
  <si>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</si>
  <si>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</si>
  <si>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</si>
  <si>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</si>
  <si>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</si>
  <si>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</si>
  <si>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</si>
  <si>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</si>
  <si>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</si>
  <si>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</si>
  <si>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</si>
  <si>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</si>
  <si>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</si>
  <si>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</si>
  <si>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</si>
  <si>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</si>
  <si>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</si>
  <si>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</si>
  <si>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</si>
  <si>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</si>
  <si>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</si>
  <si>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</si>
  <si>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</si>
  <si>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</si>
  <si>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</si>
  <si>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</si>
  <si>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</si>
  <si>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</si>
  <si>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</si>
  <si>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</si>
  <si>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</si>
  <si>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</si>
  <si>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</si>
  <si>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</si>
  <si>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</si>
  <si>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</si>
  <si>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</si>
  <si>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</si>
  <si>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</si>
  <si>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</si>
  <si>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</si>
  <si>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</si>
  <si>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</si>
  <si>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</si>
  <si>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</si>
  <si>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</si>
  <si>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</si>
  <si>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</si>
  <si>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</si>
  <si>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</si>
  <si>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</si>
  <si>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</si>
  <si>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</si>
  <si>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</si>
  <si>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</si>
  <si>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</si>
  <si>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</si>
  <si>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</si>
  <si>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</si>
  <si>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</si>
  <si>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</si>
  <si>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</si>
  <si>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</si>
  <si>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</si>
  <si>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</si>
  <si>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</si>
  <si>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</si>
  <si>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</si>
  <si>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</si>
  <si>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</si>
  <si>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</si>
  <si>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</si>
  <si>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</si>
  <si>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</si>
  <si>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</si>
  <si>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</si>
  <si>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</si>
  <si>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</si>
  <si>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</si>
  <si>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</si>
  <si>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</si>
  <si>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</si>
  <si>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</si>
  <si>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</si>
  <si>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</si>
  <si>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</si>
  <si>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</si>
  <si>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</si>
  <si>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</si>
  <si>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</si>
  <si>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</si>
  <si>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</si>
  <si>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</si>
  <si>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</si>
  <si>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</si>
  <si>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</si>
  <si>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</si>
  <si>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</si>
  <si>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</si>
  <si>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MONTE ALEGRE</t>
  </si>
  <si>
    <t>--</t>
  </si>
  <si>
    <t>001/0001/A</t>
  </si>
  <si>
    <t xml:space="preserve">LUANA MARIA FELIX MOTA </t>
  </si>
  <si>
    <t>502.511.328-89</t>
  </si>
  <si>
    <t>001/0002/A</t>
  </si>
  <si>
    <t xml:space="preserve">JOSÉ NESTOR DA SILVA </t>
  </si>
  <si>
    <t>39.105.699-2</t>
  </si>
  <si>
    <t>190.516.895-00</t>
  </si>
  <si>
    <t>6014.2024/0004625-5</t>
  </si>
  <si>
    <t>FINALIZADO</t>
  </si>
  <si>
    <t>SEM PENDÊNCIA</t>
  </si>
  <si>
    <t>6014.2025/0005329-6</t>
  </si>
  <si>
    <t>LIBERADO DEMOLIÇÃO</t>
  </si>
  <si>
    <t>AGUARDANDO ELABORAÇÃO</t>
  </si>
  <si>
    <t>001/0002/B</t>
  </si>
  <si>
    <t>GISELIA FELIX DA SILVA</t>
  </si>
  <si>
    <t>27.541.535-1</t>
  </si>
  <si>
    <t>249.494.958-01</t>
  </si>
  <si>
    <t>6014.2025/0005083-1</t>
  </si>
  <si>
    <t>AGUARDANDO PUBLICAÇÃO DOC</t>
  </si>
  <si>
    <t>001/0002/C</t>
  </si>
  <si>
    <t xml:space="preserve">HUGO FÉLIX PEREIRA DA SILVA </t>
  </si>
  <si>
    <t>58.315.449-9</t>
  </si>
  <si>
    <t>480.070.948-22</t>
  </si>
  <si>
    <t>6014.2025/0004876-4</t>
  </si>
  <si>
    <t>001/0003/A</t>
  </si>
  <si>
    <t xml:space="preserve">RITA FELIX DA SILVA </t>
  </si>
  <si>
    <t>27.244.515-0</t>
  </si>
  <si>
    <t>163.029.188-98</t>
  </si>
  <si>
    <t>RITA FELIX DA SILVA</t>
  </si>
  <si>
    <t>6014.2024/0005528-9</t>
  </si>
  <si>
    <t>001/0004/A</t>
  </si>
  <si>
    <t xml:space="preserve">DANIELA GISELIA DA SILVA </t>
  </si>
  <si>
    <t>48.316.883-X</t>
  </si>
  <si>
    <t>411.798.508-66</t>
  </si>
  <si>
    <t>6014.2025/0004546-3</t>
  </si>
  <si>
    <t>001/0005/A</t>
  </si>
  <si>
    <t xml:space="preserve">ANTONIO MONTEIRO DE ALBUQUERQUE </t>
  </si>
  <si>
    <t>134.174.285-72</t>
  </si>
  <si>
    <t>001/0006/A</t>
  </si>
  <si>
    <t>TAIANE DOS SANTOS SILVA</t>
  </si>
  <si>
    <t>54.476.610-6</t>
  </si>
  <si>
    <t>523.696.968-93</t>
  </si>
  <si>
    <t>6014.2026/0002005-5</t>
  </si>
  <si>
    <t>001/0006/B</t>
  </si>
  <si>
    <t xml:space="preserve">TIAGO SANTOS DO NASCIMENTO </t>
  </si>
  <si>
    <t>46.730.285-6</t>
  </si>
  <si>
    <t>333.229.148-36</t>
  </si>
  <si>
    <t>TIAGO SANTOS DO NASCIMENTO</t>
  </si>
  <si>
    <t>6014.2025/0004829-2</t>
  </si>
  <si>
    <t>001/0007/A</t>
  </si>
  <si>
    <t xml:space="preserve">CEZAR CARVALHO DE SOUZA </t>
  </si>
  <si>
    <t>43.655.846-4</t>
  </si>
  <si>
    <t>355.028.308-37</t>
  </si>
  <si>
    <t>001/0007/B</t>
  </si>
  <si>
    <t>FRANCISCO ANTONIO SALES</t>
  </si>
  <si>
    <t>42.871.729-9</t>
  </si>
  <si>
    <t>441.086.948-56</t>
  </si>
  <si>
    <t>6014.2025/0003850-5</t>
  </si>
  <si>
    <t>AGUARDANDO ANÁLISE CONFLITO CPF</t>
  </si>
  <si>
    <t>001/0008/A</t>
  </si>
  <si>
    <t xml:space="preserve">ROSIENE SANTOS CAETANO </t>
  </si>
  <si>
    <t>62.867.582-3</t>
  </si>
  <si>
    <t>297.152.178-85</t>
  </si>
  <si>
    <t>ROSIENE SANTOS CAETANO</t>
  </si>
  <si>
    <t>AGUARDANDO O COMPROVANTE BANCÁRIO</t>
  </si>
  <si>
    <t>6014.2025/0000486-4</t>
  </si>
  <si>
    <t>RECUSA ENTREGAR IMÓVEL</t>
  </si>
  <si>
    <t>001/0009/A</t>
  </si>
  <si>
    <t>IGO FELIX DA SILVA</t>
  </si>
  <si>
    <t>49.789.684-9</t>
  </si>
  <si>
    <t>480.544.678-18</t>
  </si>
  <si>
    <t>6014.2025/0002167-0</t>
  </si>
  <si>
    <t>001/0010/A</t>
  </si>
  <si>
    <t xml:space="preserve">JOSÉ GABRIEL DA SILVA </t>
  </si>
  <si>
    <t>17.971.183-0</t>
  </si>
  <si>
    <t>065.751.208-73</t>
  </si>
  <si>
    <t>6014.2025/0004882-9</t>
  </si>
  <si>
    <t>001/0011/A</t>
  </si>
  <si>
    <t xml:space="preserve">LÚCIA GARCIA NUNES NASCIMENTO </t>
  </si>
  <si>
    <t>60.823.783-8</t>
  </si>
  <si>
    <t>452.900.084-20</t>
  </si>
  <si>
    <t>LÚCIA GARCIA NUNES NASCIMENTO</t>
  </si>
  <si>
    <t>6014.2025/0004390-8</t>
  </si>
  <si>
    <t>001/0012/A</t>
  </si>
  <si>
    <t xml:space="preserve">GUILHERME RIBEIRO DA ROCHA </t>
  </si>
  <si>
    <t>24.533.858-5</t>
  </si>
  <si>
    <t>040.042.388-03</t>
  </si>
  <si>
    <t>GUILHERME RIBEIRO ROCHA</t>
  </si>
  <si>
    <t>24.533.858 5</t>
  </si>
  <si>
    <t>VALOR INDENIZAÇÃO INCORRETO TERMO</t>
  </si>
  <si>
    <t>6014.2025/0005100-5</t>
  </si>
  <si>
    <t>001/0012/B</t>
  </si>
  <si>
    <t>GLEIDE BARBOSA DE ARAUJO</t>
  </si>
  <si>
    <t>37.723.776-0</t>
  </si>
  <si>
    <t>344.941.228-07</t>
  </si>
  <si>
    <t>6014.2025/0005103-0</t>
  </si>
  <si>
    <t>001/0013/A</t>
  </si>
  <si>
    <t xml:space="preserve">RODRIGO JOSÉ MIRANDA </t>
  </si>
  <si>
    <t>37.166.171-7</t>
  </si>
  <si>
    <t>309.120.338-78</t>
  </si>
  <si>
    <t>CONCLUIDO</t>
  </si>
  <si>
    <t>6014.2026/0002282-1</t>
  </si>
  <si>
    <t>001/0014/A</t>
  </si>
  <si>
    <t xml:space="preserve">LUCILEA DE JESUS </t>
  </si>
  <si>
    <t>45.111.783-9</t>
  </si>
  <si>
    <t>344.810.888-00</t>
  </si>
  <si>
    <t>LUCILEA DE JESUS</t>
  </si>
  <si>
    <t xml:space="preserve">AGUARDANDO O RECEBIMENTO DO DOSSIÊ, TELAS HABITA SAMPA E ESCOLARIDADE </t>
  </si>
  <si>
    <t>6014.2025/0002839-9</t>
  </si>
  <si>
    <t>001/0015/A</t>
  </si>
  <si>
    <t xml:space="preserve">JOSEFA FERNANDES LIMA </t>
  </si>
  <si>
    <t>36.144.090-X</t>
  </si>
  <si>
    <t>298.351.864-72</t>
  </si>
  <si>
    <t>JOSEFA FERNANDES LIMA</t>
  </si>
  <si>
    <t>6014.2025/0002175-0</t>
  </si>
  <si>
    <t>001/0015/B</t>
  </si>
  <si>
    <t>JOÃO DE DEUS LIMA JUNIOR</t>
  </si>
  <si>
    <t>43.134.434-6</t>
  </si>
  <si>
    <t>307.257.768-46</t>
  </si>
  <si>
    <t>6014.2025/0000282-9</t>
  </si>
  <si>
    <t>001/0016/A</t>
  </si>
  <si>
    <t xml:space="preserve">JOSÉ CASSIMIRO DA SILVA </t>
  </si>
  <si>
    <t>27.465.142-7</t>
  </si>
  <si>
    <t>496.665.334-72</t>
  </si>
  <si>
    <t>JOSÉ CASSIMIRO DA SILVA</t>
  </si>
  <si>
    <t>AGUARDANDO CORREÇÃO TERMO</t>
  </si>
  <si>
    <t>6014.2025/0002470-9</t>
  </si>
  <si>
    <t>001/0016/B</t>
  </si>
  <si>
    <t xml:space="preserve">RITA MARIA DE JESUS </t>
  </si>
  <si>
    <t>52.203.113-4</t>
  </si>
  <si>
    <t>399.785.158-10</t>
  </si>
  <si>
    <t>RITA MARIA DE JESUS</t>
  </si>
  <si>
    <t>6014.2025/0000284-5</t>
  </si>
  <si>
    <t>001/0017/A</t>
  </si>
  <si>
    <t xml:space="preserve">ANGÉLICA DE OLIVEIRA LUCAS COELHO </t>
  </si>
  <si>
    <t>27.419.053-9</t>
  </si>
  <si>
    <t>176.690.158-10</t>
  </si>
  <si>
    <t>ANGÉLICA DE OLIVEIRA LUCAS COELHO</t>
  </si>
  <si>
    <t>6014.2025/0000281-0</t>
  </si>
  <si>
    <t>001/0017/B</t>
  </si>
  <si>
    <t xml:space="preserve">ALCILEIA LUCAS COELHO </t>
  </si>
  <si>
    <t>42.894.263-5</t>
  </si>
  <si>
    <t>406.676.788-59</t>
  </si>
  <si>
    <t>ALCILEIA LUCAS COELHO</t>
  </si>
  <si>
    <t>6014.2025/0000470-8</t>
  </si>
  <si>
    <t>001/0018/A</t>
  </si>
  <si>
    <t xml:space="preserve">WILLIANS ALVES BARBOSA </t>
  </si>
  <si>
    <t>42.428.796-1</t>
  </si>
  <si>
    <t>336.607.828-92</t>
  </si>
  <si>
    <t>001/0018/B</t>
  </si>
  <si>
    <t>GUILHERME CATELI BARBOSA</t>
  </si>
  <si>
    <t>50.986.236-6</t>
  </si>
  <si>
    <t> 535.389.928-86</t>
  </si>
  <si>
    <t>535.389.928-86</t>
  </si>
  <si>
    <t>6014.2024/0005453-3</t>
  </si>
  <si>
    <t>001/0019/A</t>
  </si>
  <si>
    <t xml:space="preserve">SABRINA DE CAMPOS MASCARENHAS </t>
  </si>
  <si>
    <t>57.800.930-4</t>
  </si>
  <si>
    <t>533.629.768-24</t>
  </si>
  <si>
    <t>SABRINA DE CAMPOS MASCARENHAS</t>
  </si>
  <si>
    <t>6014.2025/0000289-6</t>
  </si>
  <si>
    <t>001/0020/A</t>
  </si>
  <si>
    <t xml:space="preserve">GERAILDO IZIDIO </t>
  </si>
  <si>
    <t>55.633.384-6</t>
  </si>
  <si>
    <t>679.138.904-44</t>
  </si>
  <si>
    <t>001/0021/A</t>
  </si>
  <si>
    <t xml:space="preserve">ARIANE DE ANDRADE SANTOS </t>
  </si>
  <si>
    <t>395.321.368-78</t>
  </si>
  <si>
    <t>001/0022/A</t>
  </si>
  <si>
    <t xml:space="preserve">DAVID LYE VEIRA </t>
  </si>
  <si>
    <t>33.506.980-0</t>
  </si>
  <si>
    <t>316.735.778-90</t>
  </si>
  <si>
    <t>6014.2024/0005451-7</t>
  </si>
  <si>
    <t>001/0022/B</t>
  </si>
  <si>
    <t xml:space="preserve">GABRIELLY ADRIANY VIEIRA </t>
  </si>
  <si>
    <t>38.231.028-7</t>
  </si>
  <si>
    <t>427.120.998-85</t>
  </si>
  <si>
    <t>6014.2024/0005450-9</t>
  </si>
  <si>
    <t>002/0001/A</t>
  </si>
  <si>
    <t xml:space="preserve">VANUSA NOVAES CHAVES </t>
  </si>
  <si>
    <t>35.782.410-6</t>
  </si>
  <si>
    <t>294.167.168-47</t>
  </si>
  <si>
    <t>6014.2025/0007224-0</t>
  </si>
  <si>
    <t>6014.2026/0002020-9</t>
  </si>
  <si>
    <t>002/0001/B</t>
  </si>
  <si>
    <t>LUZINETE NASCIMENTO REIS</t>
  </si>
  <si>
    <t>62.970.173-8</t>
  </si>
  <si>
    <t>373.808.448-73</t>
  </si>
  <si>
    <t>6014.2026/0002046-2</t>
  </si>
  <si>
    <t>002/0002/A</t>
  </si>
  <si>
    <t>INQUILINO</t>
  </si>
  <si>
    <t xml:space="preserve">REGINA APARECIDA DE OLIVEIRA </t>
  </si>
  <si>
    <t>275.918.748-96</t>
  </si>
  <si>
    <t>002/0002/B</t>
  </si>
  <si>
    <t> </t>
  </si>
  <si>
    <t>002/0003/A</t>
  </si>
  <si>
    <t>SÍLVIO RICARDO LOVIAT</t>
  </si>
  <si>
    <t>304.225.328-78</t>
  </si>
  <si>
    <t>002/0003/B</t>
  </si>
  <si>
    <t xml:space="preserve">TAMARA LEILA DA SILVA BARROS </t>
  </si>
  <si>
    <t>52.311.546-5</t>
  </si>
  <si>
    <t>059.884.674-31</t>
  </si>
  <si>
    <t>6014.2026/0002067-5</t>
  </si>
  <si>
    <t>002/0004/A</t>
  </si>
  <si>
    <t xml:space="preserve">ESTEFÂNIA SOARES LOPES </t>
  </si>
  <si>
    <t>377.830.458-55</t>
  </si>
  <si>
    <t>002/0005/A</t>
  </si>
  <si>
    <t xml:space="preserve">KLEBER EDUARDO MATHEUS </t>
  </si>
  <si>
    <t>287.674.098-22</t>
  </si>
  <si>
    <t>002/0006/A</t>
  </si>
  <si>
    <t xml:space="preserve">ODILSON EVANGELISTA DA SILVA </t>
  </si>
  <si>
    <t>346.238.685-91</t>
  </si>
  <si>
    <t>002/0007/A</t>
  </si>
  <si>
    <t xml:space="preserve">ROSILDA LOPES DA SILVA </t>
  </si>
  <si>
    <t>56.715.498-1</t>
  </si>
  <si>
    <t>011.140.394-46</t>
  </si>
  <si>
    <t>6014.2026/0002089-6</t>
  </si>
  <si>
    <t>002/0008/A</t>
  </si>
  <si>
    <t xml:space="preserve">LUCIMAR SILVA DE ANDRADE </t>
  </si>
  <si>
    <t>791.398.254-34</t>
  </si>
  <si>
    <t>002/0008/B</t>
  </si>
  <si>
    <t xml:space="preserve">ADRIANA ARAÚJO DE LIMA </t>
  </si>
  <si>
    <t>234.737.168-12</t>
  </si>
  <si>
    <t>002/0098/A</t>
  </si>
  <si>
    <t xml:space="preserve">SUZANA PAULA SANTOS </t>
  </si>
  <si>
    <t>19.939.490-8</t>
  </si>
  <si>
    <t>148.394.118-32</t>
  </si>
  <si>
    <t>6014.2026/0002165-5</t>
  </si>
  <si>
    <t>002/0010/A</t>
  </si>
  <si>
    <t xml:space="preserve">FLÁVIA DE MENESES COSTA </t>
  </si>
  <si>
    <t>336.790.098-28</t>
  </si>
  <si>
    <t>002/0010/B</t>
  </si>
  <si>
    <t xml:space="preserve">DALVA VIEIRA DOS SANTOS </t>
  </si>
  <si>
    <t>270.600.038-43</t>
  </si>
  <si>
    <t>002/0010/C</t>
  </si>
  <si>
    <t xml:space="preserve">ALEXANDRE FREIRE DA SILVA </t>
  </si>
  <si>
    <t>176.674.148-74</t>
  </si>
  <si>
    <t>002/0010/D</t>
  </si>
  <si>
    <t xml:space="preserve">CEBELY SILVA DE MELO </t>
  </si>
  <si>
    <t>444.866.608-54</t>
  </si>
  <si>
    <t>002/0011/A</t>
  </si>
  <si>
    <t xml:space="preserve">MARIA MONTEIRO ARAUJO DE LIMA </t>
  </si>
  <si>
    <t>966.868.399-49</t>
  </si>
  <si>
    <t>002/0012/A</t>
  </si>
  <si>
    <t xml:space="preserve">JAILSON JORGE DE JESUS </t>
  </si>
  <si>
    <t>114.841.298-96</t>
  </si>
  <si>
    <t>002/0013/A</t>
  </si>
  <si>
    <t>002/0014/A</t>
  </si>
  <si>
    <t xml:space="preserve">ANTIDIA DA PAZ ROCHA </t>
  </si>
  <si>
    <t>447.629.845-15</t>
  </si>
  <si>
    <t>002/0015/A</t>
  </si>
  <si>
    <t xml:space="preserve">ROSIVANIA LOPES DA SILVA </t>
  </si>
  <si>
    <t>042.784.313-65</t>
  </si>
  <si>
    <t>002/0015/B</t>
  </si>
  <si>
    <t xml:space="preserve">VERA LUCIA SOUZA SANTOS </t>
  </si>
  <si>
    <t>136.294.188-30</t>
  </si>
  <si>
    <t>002/0015/C</t>
  </si>
  <si>
    <t xml:space="preserve">VIVIANE SOUZA SANTOS SANTANA </t>
  </si>
  <si>
    <t>296.908.558-59</t>
  </si>
  <si>
    <t>002/0015/D</t>
  </si>
  <si>
    <t xml:space="preserve">CINTIA SOUZA DOS SANTOS </t>
  </si>
  <si>
    <t>494.189.058-25</t>
  </si>
  <si>
    <t>002/0015/E</t>
  </si>
  <si>
    <t xml:space="preserve">SEBASTIANA CABRAL DE ALMEIDA </t>
  </si>
  <si>
    <t>280.410.878-33</t>
  </si>
  <si>
    <t>002/0016/A</t>
  </si>
  <si>
    <t xml:space="preserve">PAULO RODRIGUES BARBOSA </t>
  </si>
  <si>
    <t>284.867.118-19</t>
  </si>
  <si>
    <t>002/0016/B</t>
  </si>
  <si>
    <t>ALCILEIDE LUCAS COELHO</t>
  </si>
  <si>
    <t>406.676.768-05</t>
  </si>
  <si>
    <t>002/0016/C</t>
  </si>
  <si>
    <t xml:space="preserve">MARIA DE LOURDES SANTOS </t>
  </si>
  <si>
    <t>132.447.518-81</t>
  </si>
  <si>
    <t>002/0017/A</t>
  </si>
  <si>
    <t>002/0017/B</t>
  </si>
  <si>
    <t>002/0018/A</t>
  </si>
  <si>
    <t xml:space="preserve">ANDREIA RODRIGUES ROCHA </t>
  </si>
  <si>
    <t>427.847.618-35</t>
  </si>
  <si>
    <t>002/0018/B</t>
  </si>
  <si>
    <t>002/0018/C</t>
  </si>
  <si>
    <t xml:space="preserve">MARIA EDUARDA ROCHA TORRES </t>
  </si>
  <si>
    <t>240.890.978-35</t>
  </si>
  <si>
    <t>002/0018/D</t>
  </si>
  <si>
    <t xml:space="preserve">AMANDA ROCHA SANTOS </t>
  </si>
  <si>
    <t>026.971.445-60</t>
  </si>
  <si>
    <t>002/0018/E</t>
  </si>
  <si>
    <t>EDIVAN DE JESUS DA SILVA</t>
  </si>
  <si>
    <t>923.009.015-87</t>
  </si>
  <si>
    <t>002/0019/A</t>
  </si>
  <si>
    <t xml:space="preserve">ALEXANDRA TRINDADE DO PRADO </t>
  </si>
  <si>
    <t>49159852X</t>
  </si>
  <si>
    <t>399.295.608-39</t>
  </si>
  <si>
    <t>MARIA RAIMUNDA DOS SANTOS</t>
  </si>
  <si>
    <t>34.528.256-5</t>
  </si>
  <si>
    <t>231.286.978-09</t>
  </si>
  <si>
    <t>6014.2026/0003115-4</t>
  </si>
  <si>
    <t>002/0019/B</t>
  </si>
  <si>
    <t xml:space="preserve">JOSE CARLOS DA SILVA </t>
  </si>
  <si>
    <t>37.403.140-X</t>
  </si>
  <si>
    <t>112.390.528-20</t>
  </si>
  <si>
    <t>6014.2026/0002135-3</t>
  </si>
  <si>
    <t>002/0020/A</t>
  </si>
  <si>
    <t>TATIANE PEREIRA FONTENELE</t>
  </si>
  <si>
    <t>378.556.778-28</t>
  </si>
  <si>
    <t>002/0009/A</t>
  </si>
  <si>
    <t>MARIA DE FÁTIMA DAMASCENO</t>
  </si>
  <si>
    <t>20.828.993-8</t>
  </si>
  <si>
    <t>054.478.298-44</t>
  </si>
  <si>
    <t>6014.2026/0002104-3</t>
  </si>
  <si>
    <t>002/0021/A</t>
  </si>
  <si>
    <t xml:space="preserve">MARIA APARECIDA SILVA DOS SANTOS </t>
  </si>
  <si>
    <t>27.193.280-6</t>
  </si>
  <si>
    <t>125.462.498-86</t>
  </si>
  <si>
    <t>6014.2026/0002270-8</t>
  </si>
  <si>
    <t>002/0021/C</t>
  </si>
  <si>
    <t xml:space="preserve">FRANCISCA MARIA COSMO DA SILVA </t>
  </si>
  <si>
    <t>320.508.618-00</t>
  </si>
  <si>
    <t>002/0021/D</t>
  </si>
  <si>
    <t xml:space="preserve">MARIA LUCÉLIA DA SILVA </t>
  </si>
  <si>
    <t>249.643.048-50</t>
  </si>
  <si>
    <t>002/0021/E</t>
  </si>
  <si>
    <t xml:space="preserve">ANA CAROLINA RIBEIRO DA SILVA </t>
  </si>
  <si>
    <t>440.144.318-78</t>
  </si>
  <si>
    <t>002/0021/F</t>
  </si>
  <si>
    <t xml:space="preserve">ANA PAULA RIBEIRO DA SILVA </t>
  </si>
  <si>
    <t>440.142.948-62</t>
  </si>
  <si>
    <t>002/0021/G</t>
  </si>
  <si>
    <t xml:space="preserve">FRANCISCA SIRLENE RIBEIRO DA SILVA </t>
  </si>
  <si>
    <t>148.680.708-94</t>
  </si>
  <si>
    <t>002/0021/H</t>
  </si>
  <si>
    <t xml:space="preserve">JEFFERSON COSMO DA SILVA </t>
  </si>
  <si>
    <t>242.286.888-61</t>
  </si>
  <si>
    <t>002/0021/I</t>
  </si>
  <si>
    <t xml:space="preserve">MARIA DO SOCORRO COSMO DA SILVA </t>
  </si>
  <si>
    <t>162.510.848-63</t>
  </si>
  <si>
    <t>002/0021/J</t>
  </si>
  <si>
    <t>MARIA CRISTINA SILVA DOS SANTOS</t>
  </si>
  <si>
    <t>357.112.708-00</t>
  </si>
  <si>
    <t>002/0022/A</t>
  </si>
  <si>
    <t xml:space="preserve">LEANDRO DOS SANTOS GONÇALVES </t>
  </si>
  <si>
    <t>327.836.238-11</t>
  </si>
  <si>
    <t>002/0023/A</t>
  </si>
  <si>
    <t xml:space="preserve">KAROLINA VASCONCELOS DE MACEDO </t>
  </si>
  <si>
    <t>432.480.058-82</t>
  </si>
  <si>
    <t>002/0024/A</t>
  </si>
  <si>
    <t xml:space="preserve">FRANCISCA DAVI DE FREITAS </t>
  </si>
  <si>
    <t>250.161.628-67</t>
  </si>
  <si>
    <t>002/0025/A</t>
  </si>
  <si>
    <t xml:space="preserve">NIVALDO CAVALCANTE PINTO </t>
  </si>
  <si>
    <t>037.311.108-81</t>
  </si>
  <si>
    <t>002/0026/A</t>
  </si>
  <si>
    <t>VINICIUS SANTIAGO VANDERLEY PINTO</t>
  </si>
  <si>
    <t>417.510.068-75</t>
  </si>
  <si>
    <t>002/0027/A</t>
  </si>
  <si>
    <t xml:space="preserve">MAIELLE APARECIDA MARCELINO </t>
  </si>
  <si>
    <t>428.033.158-82</t>
  </si>
  <si>
    <t>002/0027/B</t>
  </si>
  <si>
    <t xml:space="preserve">ROMILDA MARCELINA </t>
  </si>
  <si>
    <t>244.361.938-96</t>
  </si>
  <si>
    <t>002/0028/A</t>
  </si>
  <si>
    <t xml:space="preserve">KATIA VIRGÍNIA RIBEIRO MARINHO </t>
  </si>
  <si>
    <t>901.654.544-15</t>
  </si>
  <si>
    <t>002/0029/A</t>
  </si>
  <si>
    <t xml:space="preserve">LOURIVAL CARNEIRO DE BRITO </t>
  </si>
  <si>
    <t>606.377.655-91</t>
  </si>
  <si>
    <t>002/0030/A</t>
  </si>
  <si>
    <t>002/0031/A</t>
  </si>
  <si>
    <t xml:space="preserve">AMÉLIA DE OLIVEIRA </t>
  </si>
  <si>
    <t>133.143.308-80</t>
  </si>
  <si>
    <t>002/0031/B</t>
  </si>
  <si>
    <t xml:space="preserve">ANDREA MACIEL DA SILVA </t>
  </si>
  <si>
    <t>982.901.503-34</t>
  </si>
  <si>
    <t>002/0032/A</t>
  </si>
  <si>
    <t>002/0033/A</t>
  </si>
  <si>
    <t xml:space="preserve">CELSO LARA CORREIA DE FARIA </t>
  </si>
  <si>
    <t>125.495.598-43</t>
  </si>
  <si>
    <t>002/0033/B</t>
  </si>
  <si>
    <t xml:space="preserve">GERALDA APARECIDA SANTIAGO DE ARAÚJO </t>
  </si>
  <si>
    <t>224.725.698-82</t>
  </si>
  <si>
    <t>002/0034/A</t>
  </si>
  <si>
    <t xml:space="preserve">GABRIEL RIBEIRO FERREIRA </t>
  </si>
  <si>
    <t>466.583.628-07</t>
  </si>
  <si>
    <t>002/0035/A</t>
  </si>
  <si>
    <t xml:space="preserve">SELMA MARIA DA SILVA SANTOS </t>
  </si>
  <si>
    <t>375.139.798-12</t>
  </si>
  <si>
    <t>002/0036/A</t>
  </si>
  <si>
    <t xml:space="preserve">MARIA IZABEL PROENÇA </t>
  </si>
  <si>
    <t>196.508.838-43</t>
  </si>
  <si>
    <t>002/0036/B</t>
  </si>
  <si>
    <t>MARCIA MARIA PROENÇA</t>
  </si>
  <si>
    <t>143.258.228-36</t>
  </si>
  <si>
    <t>002/0037/A</t>
  </si>
  <si>
    <t xml:space="preserve">LETICIA PROENÇA DA SILVA </t>
  </si>
  <si>
    <t>484.759.738-92</t>
  </si>
  <si>
    <t>002/0037/B</t>
  </si>
  <si>
    <t xml:space="preserve">MARIA LUCICLEIA COSTA SANTOS </t>
  </si>
  <si>
    <t>092.247.154-19</t>
  </si>
  <si>
    <t>002/0038/A</t>
  </si>
  <si>
    <t xml:space="preserve">MARIA ILDA DE FÁTIMA SOARES </t>
  </si>
  <si>
    <t>054.091.088-09</t>
  </si>
  <si>
    <t>002/0038/B</t>
  </si>
  <si>
    <t>SIVONALDO SEVERINO ALVES</t>
  </si>
  <si>
    <t>289.587.278-37</t>
  </si>
  <si>
    <t>002/0038/C</t>
  </si>
  <si>
    <t xml:space="preserve">NILVAN DOS SANTOS </t>
  </si>
  <si>
    <t>288.667.788-42</t>
  </si>
  <si>
    <t>002/0038/D</t>
  </si>
  <si>
    <t>MARIA ILDA DA SILVA DUARTE</t>
  </si>
  <si>
    <t>516.048.504-00</t>
  </si>
  <si>
    <t>002/0039/A</t>
  </si>
  <si>
    <t xml:space="preserve">SANDRA REGINA DA SILVA </t>
  </si>
  <si>
    <t>140.733.528-65</t>
  </si>
  <si>
    <t>002/0040/A</t>
  </si>
  <si>
    <t xml:space="preserve">FABIANA ANGÉLICA BARROS TAVARES </t>
  </si>
  <si>
    <t>868.187.594-91</t>
  </si>
  <si>
    <t>002/0040/B</t>
  </si>
  <si>
    <t xml:space="preserve">LUANA ALVES DOS SANTOS </t>
  </si>
  <si>
    <t>473.242.098-23</t>
  </si>
  <si>
    <t>002/0040/C</t>
  </si>
  <si>
    <t xml:space="preserve">LUAN ALVES SANTOS </t>
  </si>
  <si>
    <t>489.216.438-00</t>
  </si>
  <si>
    <t>002/0040/D</t>
  </si>
  <si>
    <t>002/0040/E</t>
  </si>
  <si>
    <t xml:space="preserve">LEONARDO JOELSON DE BARROS TAVARES </t>
  </si>
  <si>
    <t>388.818.448-77</t>
  </si>
  <si>
    <t>002/0041/A</t>
  </si>
  <si>
    <t xml:space="preserve">JULIANA RODRIGUES DOS SANTOS </t>
  </si>
  <si>
    <t>327.596.798-37</t>
  </si>
  <si>
    <t>002/0042/A</t>
  </si>
  <si>
    <t xml:space="preserve">MAURO TAVEIRA DA SILVA </t>
  </si>
  <si>
    <t>745.524.224-72</t>
  </si>
  <si>
    <t>002/0043/A</t>
  </si>
  <si>
    <t xml:space="preserve">LUZINETE MARIA SOARES </t>
  </si>
  <si>
    <t>040.362.454-14</t>
  </si>
  <si>
    <t>002/0043/B</t>
  </si>
  <si>
    <t>002/0044/A</t>
  </si>
  <si>
    <t xml:space="preserve">DÉBORA GALVÃO DA SILVA </t>
  </si>
  <si>
    <t>161.205.738-10</t>
  </si>
  <si>
    <t>002/0044/B</t>
  </si>
  <si>
    <t>ADAIL JOSÉ DA COSTA E SILVA</t>
  </si>
  <si>
    <t>252.628.658-10</t>
  </si>
  <si>
    <t>002/0044/C</t>
  </si>
  <si>
    <t>LUCINÉIA VIEIRA DA SILVA</t>
  </si>
  <si>
    <t>076.993.478-11</t>
  </si>
  <si>
    <t>002/0045/A</t>
  </si>
  <si>
    <t xml:space="preserve">EDI LÚCIA LOPES </t>
  </si>
  <si>
    <t>051.889.096-14</t>
  </si>
  <si>
    <t>002/0046/A</t>
  </si>
  <si>
    <t>ILDA ISABEL PEREIRA DE ALMEIDA</t>
  </si>
  <si>
    <t>148.619.458-36</t>
  </si>
  <si>
    <t>002/0047/A</t>
  </si>
  <si>
    <t>CÍCERO TAVERA DA SILVA</t>
  </si>
  <si>
    <t>162.562.748-30</t>
  </si>
  <si>
    <t>002/0048/A</t>
  </si>
  <si>
    <t>002/0049/A</t>
  </si>
  <si>
    <t>SALETE GOMES MIRANDA</t>
  </si>
  <si>
    <t>015.168.265-82</t>
  </si>
  <si>
    <t>002/0050/A</t>
  </si>
  <si>
    <t xml:space="preserve">LUIS DE SOUSA SANTOS </t>
  </si>
  <si>
    <t>275.399.478-10</t>
  </si>
  <si>
    <t>002/0050/B</t>
  </si>
  <si>
    <t xml:space="preserve">MARIA LUZIA DE JESUS SILVA </t>
  </si>
  <si>
    <t>092.874.038-21</t>
  </si>
  <si>
    <t>002/0050/C</t>
  </si>
  <si>
    <t>002/0051/A</t>
  </si>
  <si>
    <t>002/0051/B</t>
  </si>
  <si>
    <t xml:space="preserve">ONETE MADALENA RODRIGUES </t>
  </si>
  <si>
    <t>022.601.848-20</t>
  </si>
  <si>
    <t>002/0052/A</t>
  </si>
  <si>
    <t xml:space="preserve">VITÓRIA DE JESUS SILVA </t>
  </si>
  <si>
    <t>011.756.248-37</t>
  </si>
  <si>
    <t>002/0053/A</t>
  </si>
  <si>
    <t>GABRIEL SILVA REIS DE SOUZA</t>
  </si>
  <si>
    <t>232.562.928-79</t>
  </si>
  <si>
    <t>002/0053/B</t>
  </si>
  <si>
    <t xml:space="preserve">DENILSON RIBEIRO DOS SANTOS </t>
  </si>
  <si>
    <t>446.907.543-49</t>
  </si>
  <si>
    <t>002/0054/A</t>
  </si>
  <si>
    <t xml:space="preserve">ANA PAULA DOS SANTOS </t>
  </si>
  <si>
    <t>232.523.058-95</t>
  </si>
  <si>
    <t>002/0054/B</t>
  </si>
  <si>
    <t xml:space="preserve">MARCOS ANDRÉ DOS SANTOS JESUS </t>
  </si>
  <si>
    <t>045.091.785-14</t>
  </si>
  <si>
    <t>002/0055/A</t>
  </si>
  <si>
    <t xml:space="preserve">MARCOS LUIS DE JESUS SANTOS </t>
  </si>
  <si>
    <t>478.851.488-58</t>
  </si>
  <si>
    <t>002/0056/A</t>
  </si>
  <si>
    <t>LUCELIA COELHO DE SOUSA</t>
  </si>
  <si>
    <t>406.727.548-00</t>
  </si>
  <si>
    <t>002/0056/B</t>
  </si>
  <si>
    <t>LUCIA COELHO DE SOUZA</t>
  </si>
  <si>
    <t>170.793.058-96</t>
  </si>
  <si>
    <t>002/0057/A</t>
  </si>
  <si>
    <t xml:space="preserve">MARIA LÚCIA DA SILVA FERREIRA </t>
  </si>
  <si>
    <t>297.315.344-15</t>
  </si>
  <si>
    <t>002/0057/B</t>
  </si>
  <si>
    <t>MARIA ELIANA MARIANO</t>
  </si>
  <si>
    <t>515.178.898-12</t>
  </si>
  <si>
    <t>002/0058/A</t>
  </si>
  <si>
    <t xml:space="preserve">CRISTIANE SALES COUTINHO </t>
  </si>
  <si>
    <t>319.543.638-85</t>
  </si>
  <si>
    <t>002/0058/B</t>
  </si>
  <si>
    <t xml:space="preserve">ROSA ADRIANA SALES DANTAS </t>
  </si>
  <si>
    <t>296.218.308-50</t>
  </si>
  <si>
    <t>002/0059/A</t>
  </si>
  <si>
    <t>IRIS DA SILVA PRAXEDE</t>
  </si>
  <si>
    <t>491.294.538-28</t>
  </si>
  <si>
    <t>002/0060/A</t>
  </si>
  <si>
    <t>AMAURI DA SILVA PRAXEDE</t>
  </si>
  <si>
    <t>435.560.238-90</t>
  </si>
  <si>
    <t>002/0061/A</t>
  </si>
  <si>
    <t>MARIA LINDALVA DE LIMA</t>
  </si>
  <si>
    <t>510.798.954-34</t>
  </si>
  <si>
    <t>002/0061/B</t>
  </si>
  <si>
    <t>297.625.138-00</t>
  </si>
  <si>
    <t>002/0062/A</t>
  </si>
  <si>
    <t>002/0063/A</t>
  </si>
  <si>
    <t>002/0064/A</t>
  </si>
  <si>
    <t>PERCILIA SANTOS DE JESUS</t>
  </si>
  <si>
    <t>004.044.135-01</t>
  </si>
  <si>
    <t>002/0065/A</t>
  </si>
  <si>
    <t>ERNANI SANCHO PAIVA</t>
  </si>
  <si>
    <t>213.260.138-07</t>
  </si>
  <si>
    <t>002/0066/A</t>
  </si>
  <si>
    <t xml:space="preserve">JOSÉ ANDERSON FIGUEREDO </t>
  </si>
  <si>
    <t>979.791.555-72</t>
  </si>
  <si>
    <t>002/0066/B</t>
  </si>
  <si>
    <t xml:space="preserve">MARLUCE GOMES DA SILVA </t>
  </si>
  <si>
    <t>389.605.084-20</t>
  </si>
  <si>
    <t>002/0067/A</t>
  </si>
  <si>
    <t>MARCOS ANTONIO DIAS QUIRINO</t>
  </si>
  <si>
    <t>486.776.768-99</t>
  </si>
  <si>
    <t>002/0068/A</t>
  </si>
  <si>
    <t>ELIZÂNGELA MARQUES FERREIRA DE LIMA</t>
  </si>
  <si>
    <t>051.625.504-50</t>
  </si>
  <si>
    <t>002/0069/A</t>
  </si>
  <si>
    <t>RUBENS CONTE</t>
  </si>
  <si>
    <t>083.868.658-30</t>
  </si>
  <si>
    <t>002/0070/A</t>
  </si>
  <si>
    <t xml:space="preserve">WILLIAN ALVES DE MIRANDA </t>
  </si>
  <si>
    <t>352.512.628-09</t>
  </si>
  <si>
    <t>002/0070/B</t>
  </si>
  <si>
    <t xml:space="preserve">ZILDA ALVES MIRANDA </t>
  </si>
  <si>
    <t>069.301.038-02</t>
  </si>
  <si>
    <t>002/0071/A</t>
  </si>
  <si>
    <t xml:space="preserve">ANA PAULA DA SILVA SOUZA DOS SANTOS </t>
  </si>
  <si>
    <t>007.908.642-07</t>
  </si>
  <si>
    <t>002/0071/B</t>
  </si>
  <si>
    <t>LEONARDO MOIZES DE SOUSA</t>
  </si>
  <si>
    <t>317.204.338-01</t>
  </si>
  <si>
    <t>002/0072/A</t>
  </si>
  <si>
    <t xml:space="preserve">MARIA LUIZA DE SOUZA GONÇALVES </t>
  </si>
  <si>
    <t>076.177.838-17</t>
  </si>
  <si>
    <t>002/0073/A</t>
  </si>
  <si>
    <t xml:space="preserve">ELIANE GOMES DA SILVA MARINHO </t>
  </si>
  <si>
    <t>646.604.784-91</t>
  </si>
  <si>
    <t>002/0074/A</t>
  </si>
  <si>
    <t>FABIO SANDRO DA SILVA</t>
  </si>
  <si>
    <t>253.136.438-27</t>
  </si>
  <si>
    <t>002/0074/B</t>
  </si>
  <si>
    <t xml:space="preserve">MARIA CRISTINA DA SILVA DO CARMO </t>
  </si>
  <si>
    <t>051.623.078-66</t>
  </si>
  <si>
    <t>002/0075/A</t>
  </si>
  <si>
    <t>RICARDO GOMES DA SILVA</t>
  </si>
  <si>
    <t>229.678.028-83</t>
  </si>
  <si>
    <t>002/0075/B</t>
  </si>
  <si>
    <t>MARGARETE LIMA VIEIRA</t>
  </si>
  <si>
    <t>011.157.924-40</t>
  </si>
  <si>
    <t>002/0075/C</t>
  </si>
  <si>
    <t>MARTA DIANA DE LIMA</t>
  </si>
  <si>
    <t>309.529.588-05</t>
  </si>
  <si>
    <t>002/0075/D</t>
  </si>
  <si>
    <t>HELENA ALVES CALADO</t>
  </si>
  <si>
    <t>723.982.483-72</t>
  </si>
  <si>
    <t>002/0076/A</t>
  </si>
  <si>
    <t>LUCIA CRISTINA LEITE DA CUNHA</t>
  </si>
  <si>
    <t>132.434.368-00</t>
  </si>
  <si>
    <t>002/0076/B</t>
  </si>
  <si>
    <t>ALESSANDRA DE FÁTIMA FREIRE MAGANHA</t>
  </si>
  <si>
    <t>372.885.358-51</t>
  </si>
  <si>
    <t>002/0076/C</t>
  </si>
  <si>
    <t>MARCOS JOSE MAGANHA</t>
  </si>
  <si>
    <t>126.880.658-74</t>
  </si>
  <si>
    <t>002/0076/D</t>
  </si>
  <si>
    <t xml:space="preserve">FERNANDO GABRIEL LIMA OLIVEIRA </t>
  </si>
  <si>
    <t>432.282.528-17</t>
  </si>
  <si>
    <t>002/0077/A</t>
  </si>
  <si>
    <t xml:space="preserve">SOLANGE DE SOUSA OLIVEIRA </t>
  </si>
  <si>
    <t>287.989.981-10</t>
  </si>
  <si>
    <t>002/0078/A</t>
  </si>
  <si>
    <t xml:space="preserve">RAIMUNDA LOPES DA COSTA </t>
  </si>
  <si>
    <t>151.713.058-11</t>
  </si>
  <si>
    <t>002/0079/A</t>
  </si>
  <si>
    <t>FRANCISCO ROBSON MONTEIRO E SILVA</t>
  </si>
  <si>
    <t>42.428.806-0</t>
  </si>
  <si>
    <t>340.468.968-25</t>
  </si>
  <si>
    <t>6014.2026/0003121-9</t>
  </si>
  <si>
    <t>002/0080/A</t>
  </si>
  <si>
    <t>CARLOS EDUARDO MONTEIRO E SILVA</t>
  </si>
  <si>
    <t>515.755.928-35</t>
  </si>
  <si>
    <t>002/0081/A</t>
  </si>
  <si>
    <t>MARIA APARECIDA MONTEIRO SILVA</t>
  </si>
  <si>
    <t>54.017.723-4</t>
  </si>
  <si>
    <t>426.477.668-60</t>
  </si>
  <si>
    <t>6014.2026/0003139-1</t>
  </si>
  <si>
    <t>002/0081/B</t>
  </si>
  <si>
    <t>JOAQUIM TAVEIRA ROCHA</t>
  </si>
  <si>
    <t>12.827.308-2</t>
  </si>
  <si>
    <t>001.345.218-54</t>
  </si>
  <si>
    <t>6014.2026/0002279-1</t>
  </si>
  <si>
    <t>002/0081/C</t>
  </si>
  <si>
    <t>ROSEMEIRE NOVAIS DE SOUSA</t>
  </si>
  <si>
    <t>32.143.072-4</t>
  </si>
  <si>
    <t>301.371.628-20</t>
  </si>
  <si>
    <t>6014.2026/0004271-7</t>
  </si>
  <si>
    <t>EMAIL ÁREA - AGUARDANDO PUBLICAÇÃO DOC</t>
  </si>
  <si>
    <t>002/0081/D</t>
  </si>
  <si>
    <t>LUANA SILVA DOS SANTOS</t>
  </si>
  <si>
    <t>349.576.168-33</t>
  </si>
  <si>
    <t>002/0082/A</t>
  </si>
  <si>
    <t xml:space="preserve">PATRICIA MONTEIRO DA SILVA </t>
  </si>
  <si>
    <t>377.538.258-52</t>
  </si>
  <si>
    <t>002/0083/A</t>
  </si>
  <si>
    <t>NUBIA NASCIMENTO FERREIRA SILVA</t>
  </si>
  <si>
    <t>52.665.886-1</t>
  </si>
  <si>
    <t>504.410.088-95</t>
  </si>
  <si>
    <t xml:space="preserve">MARIA NEUSA COELHO </t>
  </si>
  <si>
    <t>19.120.886-3</t>
  </si>
  <si>
    <t>206.095.598-00</t>
  </si>
  <si>
    <t>6014.2026/0002164-7</t>
  </si>
  <si>
    <t>002/0084/A</t>
  </si>
  <si>
    <t xml:space="preserve">VERA LUCIA SILVA DE OLIVEIRA </t>
  </si>
  <si>
    <t>994.332.738-34</t>
  </si>
  <si>
    <t>002/0085/A</t>
  </si>
  <si>
    <t>MARIA JOSE SIMON</t>
  </si>
  <si>
    <t>509.826.028-04</t>
  </si>
  <si>
    <t>002/0086/A</t>
  </si>
  <si>
    <t xml:space="preserve">JUBERTO RODRIGUES </t>
  </si>
  <si>
    <t>075.499.578-00</t>
  </si>
  <si>
    <t>002/0086/B</t>
  </si>
  <si>
    <t>OSMAR FRANCISCO LIMA</t>
  </si>
  <si>
    <t>148.596.838-03</t>
  </si>
  <si>
    <t>002/0086/C</t>
  </si>
  <si>
    <t xml:space="preserve">GILBERTA MARIA DA CONCEIÇÃO </t>
  </si>
  <si>
    <t>554.606.903-15</t>
  </si>
  <si>
    <t>002/0087/A</t>
  </si>
  <si>
    <t xml:space="preserve">SELMA LIMA NOGUEIRA </t>
  </si>
  <si>
    <t>191.229.098-77</t>
  </si>
  <si>
    <t>002/0088/A</t>
  </si>
  <si>
    <t xml:space="preserve">ROBSON RIBEIRO DA COSTA </t>
  </si>
  <si>
    <t>497.122.558-75</t>
  </si>
  <si>
    <t>002/0089/A</t>
  </si>
  <si>
    <t>MARIA APARECIDA JACINTO DIAS</t>
  </si>
  <si>
    <t>583.927.006-78</t>
  </si>
  <si>
    <t>002/0090/A</t>
  </si>
  <si>
    <t>PAMELA ALVES PEREIRA SOUSA</t>
  </si>
  <si>
    <t>479.587.878-12</t>
  </si>
  <si>
    <t>002/0090/B</t>
  </si>
  <si>
    <t>ELIANE ALVES DE LIMA SOUSA</t>
  </si>
  <si>
    <t>328.854.818-61</t>
  </si>
  <si>
    <t>002/0090/C</t>
  </si>
  <si>
    <t>MARIA EVANGELISTA DE NOVAIS</t>
  </si>
  <si>
    <t>58.816.877-4</t>
  </si>
  <si>
    <t>864.319.943-53</t>
  </si>
  <si>
    <t>AGUARDANDO ASSINATURA SECRETÁRIO</t>
  </si>
  <si>
    <t>TERMO ASSINADO SECRETÁRIO</t>
  </si>
  <si>
    <t>002/0090/D</t>
  </si>
  <si>
    <t>EDILEUZA ALVES MARINHEIRO DE LIMA</t>
  </si>
  <si>
    <t>30.457.757-1</t>
  </si>
  <si>
    <t>250.156.428-65</t>
  </si>
  <si>
    <t>6014.2026/0002150-7</t>
  </si>
  <si>
    <t>002/0090/E</t>
  </si>
  <si>
    <t>002/0090/F</t>
  </si>
  <si>
    <t>FRANCISCA BATISTA DE ALENCAR</t>
  </si>
  <si>
    <t>265.944.078-64</t>
  </si>
  <si>
    <t>002/0091/A</t>
  </si>
  <si>
    <t xml:space="preserve">VICENTE GABRIEL DIONISIO </t>
  </si>
  <si>
    <t>732.133.733-20</t>
  </si>
  <si>
    <t>002/0092/A</t>
  </si>
  <si>
    <t xml:space="preserve">ENEDINA MOREIRA DO NASCIMENTO </t>
  </si>
  <si>
    <t>250.266.548-51</t>
  </si>
  <si>
    <t>002/0092/B</t>
  </si>
  <si>
    <t>002/0093/A</t>
  </si>
  <si>
    <t xml:space="preserve">TEREZINHA SOARES MEDEIROS </t>
  </si>
  <si>
    <t>731.350.204-44</t>
  </si>
  <si>
    <t>002/0094/A</t>
  </si>
  <si>
    <t>HELEN MORENO DE FREITAS</t>
  </si>
  <si>
    <t>471.704.758-39</t>
  </si>
  <si>
    <t>002/0095/A</t>
  </si>
  <si>
    <t>ELIETE MARIA DA CRUZ FLAUSINO</t>
  </si>
  <si>
    <t>318.588.078-16</t>
  </si>
  <si>
    <t>002/0096/A</t>
  </si>
  <si>
    <t>002/0096/B</t>
  </si>
  <si>
    <t>002/0096/C</t>
  </si>
  <si>
    <t>MICHELE FERNANDO DOS SANTOS SILVA</t>
  </si>
  <si>
    <t>331.705.488-32</t>
  </si>
  <si>
    <t>002/0097/A</t>
  </si>
  <si>
    <t xml:space="preserve">JOCELY RODRIGUES DA SILVA </t>
  </si>
  <si>
    <t>679.143.733-20</t>
  </si>
  <si>
    <t>002/0021/B</t>
  </si>
  <si>
    <t xml:space="preserve">MARIA DE LOURDES SILVA DOS SANTOS </t>
  </si>
  <si>
    <t>39.218.404-7</t>
  </si>
  <si>
    <t>092.078.688-06</t>
  </si>
  <si>
    <t>6014.2026/0002140-0</t>
  </si>
  <si>
    <t>002/0098/B</t>
  </si>
  <si>
    <t xml:space="preserve">IZABEL MARIA DOS SANTOS </t>
  </si>
  <si>
    <t>12.581.572-4</t>
  </si>
  <si>
    <t>157.035.138-47</t>
  </si>
  <si>
    <t>6014.2026/0002200-7</t>
  </si>
  <si>
    <t>002/0099/A</t>
  </si>
  <si>
    <t>MARIA LUCI DE SALES TAVEIRA</t>
  </si>
  <si>
    <t>289.007.278-93</t>
  </si>
  <si>
    <t>002/0100/A</t>
  </si>
  <si>
    <t xml:space="preserve">ENCARNAÇÃO LEITE DO NASCIMENTO </t>
  </si>
  <si>
    <t>112.406.618-78</t>
  </si>
  <si>
    <t>002/0101/A</t>
  </si>
  <si>
    <t>MARIA SANTOS DE JESUS</t>
  </si>
  <si>
    <t>004.041.555-45</t>
  </si>
  <si>
    <t>002/0102/A</t>
  </si>
  <si>
    <t xml:space="preserve">MARIA CREUSA DA CRUZ BRANDÃO </t>
  </si>
  <si>
    <t>126.779.768-11</t>
  </si>
  <si>
    <t>002/0103/A</t>
  </si>
  <si>
    <t xml:space="preserve">JOSEFA BARBOSA DOS SANTOS SILVA </t>
  </si>
  <si>
    <t>277.269.808-42</t>
  </si>
  <si>
    <t>002/0104/A</t>
  </si>
  <si>
    <t xml:space="preserve">ANAILDE MOURA DOS SANTOS </t>
  </si>
  <si>
    <t>116.500.588-37</t>
  </si>
  <si>
    <t>002/0105/A</t>
  </si>
  <si>
    <t>SILVIO PEREIRA  DE SOUZA</t>
  </si>
  <si>
    <t>36.420.488-6</t>
  </si>
  <si>
    <t>289.777.425-87</t>
  </si>
  <si>
    <t>6014.2026/0004993-2</t>
  </si>
  <si>
    <t>002/0105/B</t>
  </si>
  <si>
    <t>MARIA GORETE LIMA MOREIRA</t>
  </si>
  <si>
    <t>49.380.711-1</t>
  </si>
  <si>
    <t>034.562.204-99</t>
  </si>
  <si>
    <t>6014.2026/0003144-8</t>
  </si>
  <si>
    <t>002/0106/A</t>
  </si>
  <si>
    <t>MARIA COELHO DE SOUSA</t>
  </si>
  <si>
    <t>093.712.868-65</t>
  </si>
  <si>
    <t>002/0107/A</t>
  </si>
  <si>
    <t xml:space="preserve">THAMIRES NAÉLE BARROS DE CARVALHO </t>
  </si>
  <si>
    <t>380.092.588-58</t>
  </si>
  <si>
    <t>002/0107/B</t>
  </si>
  <si>
    <t>VITÓRIA LOPES DE LIMA</t>
  </si>
  <si>
    <t>452.121.068-69</t>
  </si>
  <si>
    <t>002/0107/C</t>
  </si>
  <si>
    <t xml:space="preserve">MARTA GOMES DE SOUZA </t>
  </si>
  <si>
    <t>316.262.768-03</t>
  </si>
  <si>
    <t>002/0108/A</t>
  </si>
  <si>
    <t>FERNANDO LUIS DE LIMA</t>
  </si>
  <si>
    <t>365.207.518-80</t>
  </si>
  <si>
    <t>002/0109/A</t>
  </si>
  <si>
    <t xml:space="preserve">IRACILDA FERREIRA DA SILVA </t>
  </si>
  <si>
    <t>948.684.338-49</t>
  </si>
  <si>
    <t>002/0110/A</t>
  </si>
  <si>
    <t xml:space="preserve">MARIA LEONICE SOARES RIBEIRO </t>
  </si>
  <si>
    <t>658.148.511-04</t>
  </si>
  <si>
    <t>002/0111/A</t>
  </si>
  <si>
    <t xml:space="preserve">CRISTIANA VIEIRA SILVA </t>
  </si>
  <si>
    <t>014.949.005-48</t>
  </si>
  <si>
    <t>002/0112/A</t>
  </si>
  <si>
    <t>ABIGAIL MENDOZA MAMANI</t>
  </si>
  <si>
    <t>235.631.888-74</t>
  </si>
  <si>
    <t>002/0112/B</t>
  </si>
  <si>
    <t>FRANZ MENDOZA MAMANI</t>
  </si>
  <si>
    <t>235.631.878-00</t>
  </si>
  <si>
    <t>002/0112/C</t>
  </si>
  <si>
    <t>EDWIN MENDOZA MAMANI</t>
  </si>
  <si>
    <t>234.193.688-10</t>
  </si>
  <si>
    <t>002/0113/A</t>
  </si>
  <si>
    <t xml:space="preserve">ALICE FREITAS VIEIRA </t>
  </si>
  <si>
    <t>167.041.288-16</t>
  </si>
  <si>
    <t>002/0114/A</t>
  </si>
  <si>
    <t xml:space="preserve">ESTER FREITAS VIEIRA PRATES </t>
  </si>
  <si>
    <t>354.745.878.13</t>
  </si>
  <si>
    <t>002/0114/B</t>
  </si>
  <si>
    <t xml:space="preserve">RAQUEL DE FREITAS VIEIRA </t>
  </si>
  <si>
    <t>347.397.648-22</t>
  </si>
  <si>
    <t>002/0114/C</t>
  </si>
  <si>
    <t xml:space="preserve">SONIA DE FREITAS VIEIRA </t>
  </si>
  <si>
    <t>390.090.478-22</t>
  </si>
  <si>
    <t>002/0115/A</t>
  </si>
  <si>
    <t>ERIVELTO FREIRE DA SILVA</t>
  </si>
  <si>
    <t>182.706.028-09</t>
  </si>
  <si>
    <t>002/0116/A</t>
  </si>
  <si>
    <t xml:space="preserve">IRANICE MOREIRA NASCIMENTO </t>
  </si>
  <si>
    <t>107.459.898-96</t>
  </si>
  <si>
    <t>002/0116/B</t>
  </si>
  <si>
    <t xml:space="preserve">JOSE VANDILSON OLIVEIRA SANTOS </t>
  </si>
  <si>
    <t>477.758.658-81</t>
  </si>
  <si>
    <t>002/0117/A</t>
  </si>
  <si>
    <t>MARIA JOSÉ DIAS DE MOURA</t>
  </si>
  <si>
    <t>126.859.168-81</t>
  </si>
  <si>
    <t>002/0118/A</t>
  </si>
  <si>
    <t xml:space="preserve">SABRINA FIUZA BUENO </t>
  </si>
  <si>
    <t>480.601.878-30</t>
  </si>
  <si>
    <t>002/0118/B</t>
  </si>
  <si>
    <t xml:space="preserve">JOÃO FIUZA RODRIGUES </t>
  </si>
  <si>
    <t>008.147.058-47</t>
  </si>
  <si>
    <t>002/0118/C</t>
  </si>
  <si>
    <t xml:space="preserve">MARLUCE FIUZA DA SILVA </t>
  </si>
  <si>
    <t>135.387.588-16</t>
  </si>
  <si>
    <t>002/0119/A</t>
  </si>
  <si>
    <t xml:space="preserve">MARIA ALVES ARAÚJO TAVEIRA </t>
  </si>
  <si>
    <t>103.197.388-50</t>
  </si>
  <si>
    <t>002/0120/A</t>
  </si>
  <si>
    <t xml:space="preserve">ANTONIO FERNANDES DA SILVA </t>
  </si>
  <si>
    <t>112.402.018-77</t>
  </si>
  <si>
    <t>002/0121/A</t>
  </si>
  <si>
    <t xml:space="preserve">CARLOS AUGUSTO DO NASCIMENTO </t>
  </si>
  <si>
    <t>313.026.268-76</t>
  </si>
  <si>
    <t>002/0122/A</t>
  </si>
  <si>
    <t xml:space="preserve">TABATA APARECIDA DO NASCIMENTO </t>
  </si>
  <si>
    <t>465.011.448-92</t>
  </si>
  <si>
    <t>002/0123/A</t>
  </si>
  <si>
    <t xml:space="preserve">MARIA APARECIDA RODRIGUES DE SOUZA </t>
  </si>
  <si>
    <t>12.059.141-37</t>
  </si>
  <si>
    <t>009.065.845-07</t>
  </si>
  <si>
    <t xml:space="preserve">GENIVAL ANTONIO DOS SANTOS </t>
  </si>
  <si>
    <t>23.266.590-4</t>
  </si>
  <si>
    <t>640.720.374-00</t>
  </si>
  <si>
    <t>6014.2026/0004440-0</t>
  </si>
  <si>
    <t>002/0123/B</t>
  </si>
  <si>
    <t xml:space="preserve">KÁTIA APARECIDA DO NASCIMENTO </t>
  </si>
  <si>
    <t>320.736.068-81</t>
  </si>
  <si>
    <t>002/0124/A</t>
  </si>
  <si>
    <t xml:space="preserve">LENITA DA SILVA LAGO </t>
  </si>
  <si>
    <t>051.784.198-39</t>
  </si>
  <si>
    <t>002/0125/A</t>
  </si>
  <si>
    <t>WALESSON DE SOUZA PACHECO</t>
  </si>
  <si>
    <t>068.167.985-97</t>
  </si>
  <si>
    <t>002/0126/A</t>
  </si>
  <si>
    <t>WAGNER E'VANS CARDOSO DA SILVA</t>
  </si>
  <si>
    <t>315.944.698-06</t>
  </si>
  <si>
    <t>002/0127/A</t>
  </si>
  <si>
    <t xml:space="preserve">MARIA LUCIA DE NIZ SANTOS </t>
  </si>
  <si>
    <t>538.790.403-97</t>
  </si>
  <si>
    <t>002/0127/B</t>
  </si>
  <si>
    <t xml:space="preserve">ANNALIZA APARECIDA DO NASCIMENTO </t>
  </si>
  <si>
    <t>465.012.048-95</t>
  </si>
  <si>
    <t>002/0128/A</t>
  </si>
  <si>
    <t xml:space="preserve">ALEXSANDRO SANTOS COSTA </t>
  </si>
  <si>
    <t>489.174.568-12</t>
  </si>
  <si>
    <t>002/0129/A</t>
  </si>
  <si>
    <t xml:space="preserve">EDINALDO SEVERINO ALVES </t>
  </si>
  <si>
    <t>311.035.918-94</t>
  </si>
  <si>
    <t>002/0130/A</t>
  </si>
  <si>
    <t>MARIA SANDRA DOS SANTOS OLIVEIRA</t>
  </si>
  <si>
    <t>432.213.748-28</t>
  </si>
  <si>
    <t>002/0131/A</t>
  </si>
  <si>
    <t>ANA KELLY COSMO DA SILVA</t>
  </si>
  <si>
    <t>390.885.068-17</t>
  </si>
  <si>
    <t>002/0132/A</t>
  </si>
  <si>
    <t xml:space="preserve">EDSON JOSÉ DA SILVA </t>
  </si>
  <si>
    <t>954.704.768-04</t>
  </si>
  <si>
    <t>002/0133/A</t>
  </si>
  <si>
    <t xml:space="preserve">ÂNGELA LEMES BATISTA DA SILVA </t>
  </si>
  <si>
    <t>35.744.679-3</t>
  </si>
  <si>
    <t>030.291.626-13</t>
  </si>
  <si>
    <t>6014.2026/0002242-2</t>
  </si>
  <si>
    <t>002/0134/A</t>
  </si>
  <si>
    <t>TAILANE DE JESUS SANTOS REIS</t>
  </si>
  <si>
    <t>078.982.355-17</t>
  </si>
  <si>
    <t>002/0134/B</t>
  </si>
  <si>
    <t xml:space="preserve">MARIA SOUSA DOS SANTOS </t>
  </si>
  <si>
    <t>129.481.518-05</t>
  </si>
  <si>
    <t>002/0135/A</t>
  </si>
  <si>
    <t>CARLOS ALBERTO DE SOUZA E SILVA</t>
  </si>
  <si>
    <t>340.223.498-44</t>
  </si>
  <si>
    <t>002/0136/A</t>
  </si>
  <si>
    <t>CRISTIANE MARIA VARJÃO SOUZA</t>
  </si>
  <si>
    <t>188.532.488-07</t>
  </si>
  <si>
    <t>002/0137/A</t>
  </si>
  <si>
    <t>CAROLAINE VARJÃO SOUZA</t>
  </si>
  <si>
    <t>50.377.133-8</t>
  </si>
  <si>
    <t>418.674.188-35</t>
  </si>
  <si>
    <t>Comprovante de residência não é válido, Termo mudança e demolição refazer ano 2025 e laudo não consta RG.</t>
  </si>
  <si>
    <t>6014.2026/0004453-1</t>
  </si>
  <si>
    <t>002/0138/A</t>
  </si>
  <si>
    <t xml:space="preserve">MARCOS ANTÔNIO ROCHA DA SILVA </t>
  </si>
  <si>
    <t>057.554.704-99</t>
  </si>
  <si>
    <t>002/0139/A</t>
  </si>
  <si>
    <t xml:space="preserve">LARISSA MENDOZA DA SILVA </t>
  </si>
  <si>
    <t>583.241.878-63</t>
  </si>
  <si>
    <t>002/0139/B</t>
  </si>
  <si>
    <t xml:space="preserve">EDWIN MENDOZA MAMANI </t>
  </si>
  <si>
    <t>002/0139/C</t>
  </si>
  <si>
    <t xml:space="preserve">CLEIDE SANTOS OLIVEIRA DA SILVA </t>
  </si>
  <si>
    <t>381.968.308-90</t>
  </si>
  <si>
    <t>002/0139/D</t>
  </si>
  <si>
    <t xml:space="preserve">ANTONIA BATISTA DOS SANTOS </t>
  </si>
  <si>
    <t>001.330.108-05</t>
  </si>
  <si>
    <t>002/0139/E</t>
  </si>
  <si>
    <t xml:space="preserve">BRUNO OLIVEIRA DOS SANTOS </t>
  </si>
  <si>
    <t>371.108.098-70</t>
  </si>
  <si>
    <t>002/0140/A</t>
  </si>
  <si>
    <t>MAGALI SILVANA NEO DOS SANTOS</t>
  </si>
  <si>
    <t>55.766.202-3</t>
  </si>
  <si>
    <t>751.320.282-68</t>
  </si>
  <si>
    <t>6014.2026/0003151-0</t>
  </si>
  <si>
    <t>002/0140/B</t>
  </si>
  <si>
    <t>002/0140/C</t>
  </si>
  <si>
    <t xml:space="preserve">SIRLEI SILVA SANTANA GONÇALVES </t>
  </si>
  <si>
    <t>360.414.458-27</t>
  </si>
  <si>
    <t>002/0140/D</t>
  </si>
  <si>
    <t xml:space="preserve">CIRLAINE SANTANA FERREIRA </t>
  </si>
  <si>
    <t>416.226.898-36</t>
  </si>
  <si>
    <t>002/0141/A</t>
  </si>
  <si>
    <t>JOSETE LUCENA DA SILVA</t>
  </si>
  <si>
    <t>093.819.228-02</t>
  </si>
  <si>
    <t>002/0142/A</t>
  </si>
  <si>
    <t xml:space="preserve">PROPRIETARIO RESIDENTE </t>
  </si>
  <si>
    <t>ROSILENE DA PAIXÃO QUIRINO</t>
  </si>
  <si>
    <t>35.868.503-5</t>
  </si>
  <si>
    <t>299.120.978-07</t>
  </si>
  <si>
    <t>6014.2026/0003155-3</t>
  </si>
  <si>
    <t>002/0143/A</t>
  </si>
  <si>
    <t xml:space="preserve">JOSÉ OSMAILDO DA SILVA </t>
  </si>
  <si>
    <t>59.701.352-4</t>
  </si>
  <si>
    <t>044.386.504-37</t>
  </si>
  <si>
    <t>6014.2026/0003156-1</t>
  </si>
  <si>
    <t>002/0144/A</t>
  </si>
  <si>
    <t>002/0144/B</t>
  </si>
  <si>
    <t>JOAQUIM JOSÉ DE BRITO</t>
  </si>
  <si>
    <t>194.921.033-20</t>
  </si>
  <si>
    <t>002/0144/C</t>
  </si>
  <si>
    <t>002/0144/D</t>
  </si>
  <si>
    <t>002/0144/E</t>
  </si>
  <si>
    <t>VALÉRIO CAFÉ DA SILVA</t>
  </si>
  <si>
    <t>286.240.958-83</t>
  </si>
  <si>
    <t>002/0144/F</t>
  </si>
  <si>
    <t>002/0144/G</t>
  </si>
  <si>
    <t xml:space="preserve">JOSÉ ALEX ALVES COSTA </t>
  </si>
  <si>
    <t>50.753.196-6</t>
  </si>
  <si>
    <t>289.645.348-24</t>
  </si>
  <si>
    <t>6014.2026/0003159-6</t>
  </si>
  <si>
    <t>002/0144/H</t>
  </si>
  <si>
    <t>ANTONIO JOSE DE BRITO</t>
  </si>
  <si>
    <t>063.657.818-65</t>
  </si>
  <si>
    <t>002/0145/A</t>
  </si>
  <si>
    <t xml:space="preserve">TEREZINHA LUCENA DA SILVA </t>
  </si>
  <si>
    <t>22.998.428-9</t>
  </si>
  <si>
    <t>126.747.248-03</t>
  </si>
  <si>
    <t>TEREZINHA LUCENA DA SILVA</t>
  </si>
  <si>
    <t>6014.2026/0004464-7</t>
  </si>
  <si>
    <t>002/0146/A</t>
  </si>
  <si>
    <t xml:space="preserve">CRISTIANA DE MIRANDA </t>
  </si>
  <si>
    <t>128.222.008-07</t>
  </si>
  <si>
    <t>002/0147/A</t>
  </si>
  <si>
    <t>JOSILENE SILVA TRAJANO</t>
  </si>
  <si>
    <t>37.837508-8</t>
  </si>
  <si>
    <t>336.469.668-31</t>
  </si>
  <si>
    <t>6014.2026/0004478-7</t>
  </si>
  <si>
    <t>002/0148/A</t>
  </si>
  <si>
    <t>JOEL NUNES DA SILVA</t>
  </si>
  <si>
    <t>156.939.884-49</t>
  </si>
  <si>
    <t>002/0148/B</t>
  </si>
  <si>
    <t xml:space="preserve">DAYANE VALADARES DO NASCIMENTO </t>
  </si>
  <si>
    <t>452.902.978-63</t>
  </si>
  <si>
    <t>002/0148/C</t>
  </si>
  <si>
    <t xml:space="preserve">LUIS MACHADO MARQUES DA SILVA </t>
  </si>
  <si>
    <t>53.368.658-1</t>
  </si>
  <si>
    <t>613.655.304-00</t>
  </si>
  <si>
    <t>6014.2026/0004510-4</t>
  </si>
  <si>
    <t>002/0149/A</t>
  </si>
  <si>
    <t xml:space="preserve">ILILIDES PEIXOTO DE LIMA ALVES </t>
  </si>
  <si>
    <t>386.226.688-51</t>
  </si>
  <si>
    <t>002/0149/B</t>
  </si>
  <si>
    <t>JOSÉ AUGUSTO DE SOUZA BORGES</t>
  </si>
  <si>
    <t>178.469-0</t>
  </si>
  <si>
    <t>114.892.515-53</t>
  </si>
  <si>
    <t xml:space="preserve">PROPRIETÁRIO RESIDENTE </t>
  </si>
  <si>
    <t>002/0149/C</t>
  </si>
  <si>
    <t>002/0150/A</t>
  </si>
  <si>
    <t xml:space="preserve">ANTONIO MIGUEL DE NIZ </t>
  </si>
  <si>
    <t>44.212.088-6</t>
  </si>
  <si>
    <t>399.199.433-04</t>
  </si>
  <si>
    <t>6014.2026/0002253-8</t>
  </si>
  <si>
    <t>002/0150/B</t>
  </si>
  <si>
    <t>VANESSA CRISTINA NATEL SALES</t>
  </si>
  <si>
    <t>41.942.297-3</t>
  </si>
  <si>
    <t>332.786.238-94</t>
  </si>
  <si>
    <t>6014.2026/0002255-4</t>
  </si>
  <si>
    <t>002/0151/A</t>
  </si>
  <si>
    <t>MARIA DA DORES FIDELIS DE LIMA</t>
  </si>
  <si>
    <t>37.308.096-7</t>
  </si>
  <si>
    <t>315.186.718-96</t>
  </si>
  <si>
    <t>6014.2026/0002260-0</t>
  </si>
  <si>
    <t>003/0001/A</t>
  </si>
  <si>
    <t>CELSO RICARDO SANTIAGO FARIA</t>
  </si>
  <si>
    <t>272.871.708-76</t>
  </si>
  <si>
    <t>003/0002/A</t>
  </si>
  <si>
    <t>003/0003/A</t>
  </si>
  <si>
    <t>JEFERSON VELOSO DE SOUZA</t>
  </si>
  <si>
    <t>234.148.388-77</t>
  </si>
  <si>
    <t>003/0003/B</t>
  </si>
  <si>
    <t>003/0004/A</t>
  </si>
  <si>
    <t>SILVANHA MARIA SOARES</t>
  </si>
  <si>
    <t>248.902.944-49</t>
  </si>
  <si>
    <t>003/0004/B</t>
  </si>
  <si>
    <t>003/0004/C</t>
  </si>
  <si>
    <t xml:space="preserve">CÁSSIO HENRIQUE XAVIER DA SILVA </t>
  </si>
  <si>
    <t>509.263.648-39</t>
  </si>
  <si>
    <t>003/0005/A</t>
  </si>
  <si>
    <t>IDALINA FERREIRA MARTINS</t>
  </si>
  <si>
    <t>368.306.406-44</t>
  </si>
  <si>
    <t>003/0006/A</t>
  </si>
  <si>
    <t>JUDITE CECÍLIA DA SILVA</t>
  </si>
  <si>
    <t>129.471.638-77</t>
  </si>
  <si>
    <t>003/0007/A</t>
  </si>
  <si>
    <t xml:space="preserve">MARIA PEREIRA </t>
  </si>
  <si>
    <t>246.447.098-83</t>
  </si>
  <si>
    <t>003/0008/A</t>
  </si>
  <si>
    <t xml:space="preserve">LUZIA MARIA DOS SANTOS PEREIRA </t>
  </si>
  <si>
    <t>312.184.688-40</t>
  </si>
  <si>
    <t>003/0009/A</t>
  </si>
  <si>
    <t>TARCÍSIO BARBOSA CALADO</t>
  </si>
  <si>
    <t>227.763.158.21</t>
  </si>
  <si>
    <t>PREVISÃO DE PAGAMENTO</t>
  </si>
  <si>
    <t>CONFIRMAÇÃO DE PAGAMENTO</t>
  </si>
  <si>
    <t>024/0030/B</t>
  </si>
  <si>
    <t>029/0024/C</t>
  </si>
  <si>
    <t>024/0041/A</t>
  </si>
  <si>
    <t>029/0023/E</t>
  </si>
  <si>
    <t>024/0051/A</t>
  </si>
  <si>
    <t>024/0057/A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</si>
  <si>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</si>
  <si>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</si>
  <si>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</si>
  <si>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</si>
  <si>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</si>
  <si>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</si>
  <si>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</si>
  <si>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</si>
  <si>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</si>
  <si>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</si>
  <si>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</si>
  <si>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</si>
  <si>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</si>
  <si>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</si>
  <si>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</si>
  <si>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</si>
  <si>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</si>
  <si>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</si>
  <si>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</si>
  <si>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</si>
  <si>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</si>
  <si>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</si>
  <si>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</si>
  <si>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</si>
  <si>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</si>
  <si>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</si>
  <si>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029/0069/D</t>
  </si>
  <si>
    <t>029/0071/B</t>
  </si>
  <si>
    <t>029/0071/D</t>
  </si>
  <si>
    <t>031/0058/A</t>
  </si>
  <si>
    <t>029/0071/E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</si>
  <si>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</si>
  <si>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</si>
  <si>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</si>
  <si>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</si>
  <si>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</si>
  <si>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</si>
  <si>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</si>
  <si>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</si>
  <si>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</si>
  <si>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</si>
  <si>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</si>
  <si>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</si>
  <si>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</si>
  <si>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</si>
  <si>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</si>
  <si>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</si>
  <si>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</si>
  <si>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</si>
  <si>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</si>
  <si>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</si>
  <si>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</si>
  <si>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</si>
  <si>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</si>
  <si>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</si>
  <si>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</si>
  <si>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</si>
  <si>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</si>
  <si>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</si>
  <si>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</si>
  <si>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</si>
  <si>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</si>
  <si>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</si>
  <si>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</si>
  <si>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</si>
  <si>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</si>
  <si>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</si>
  <si>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</si>
  <si>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024/0088/B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</si>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</sst>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  <numFmt numFmtId="170" formatCode="[$R$-416]\ #,##0.00"/>
    <numFmt numFmtId="171" formatCode="[$-409]dd\-mmm\-yy;@"/>
    <numFmt numFmtId="172" formatCode="dd/mm/yy;@"/>
  </numFmts>
  <fonts count="55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indexed="8"/>
      <name val="Arial"/>
      <family val="2"/>
    </font>
    <font>
      <b/>
      <sz val="12"/>
      <color rgb="FFFF0000"/>
      <name val="Arial"/>
      <family val="2"/>
    </font>
    <font>
      <sz val="12"/>
      <color rgb="FF000000"/>
      <name val="Arial"/>
    </font>
    <font>
      <sz val="12"/>
      <color indexed="8"/>
      <name val="Arial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7" fillId="0" borderId="0" applyNumberFormat="0" applyFill="0" applyBorder="0" applyAlignment="0" applyProtection="0"/>
  </cellStyleXfs>
  <cellXfs count="279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6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17" xfId="0" applyFont="1" applyBorder="1"/>
    <xf numFmtId="0" fontId="33" fillId="0" borderId="0" xfId="0" applyFont="1" applyAlignment="1">
      <alignment horizontal="center" vertical="center"/>
    </xf>
    <xf numFmtId="0" fontId="34" fillId="20" borderId="18" xfId="0" applyFont="1" applyFill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/>
    </xf>
    <xf numFmtId="0" fontId="33" fillId="20" borderId="18" xfId="0" applyFont="1" applyFill="1" applyBorder="1" applyAlignment="1">
      <alignment horizontal="center" vertical="center"/>
    </xf>
    <xf numFmtId="0" fontId="35" fillId="0" borderId="18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4" fillId="24" borderId="18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68" fontId="38" fillId="0" borderId="0" xfId="0" applyNumberFormat="1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11" borderId="11" xfId="1" applyNumberFormat="1" applyFont="1" applyFill="1" applyBorder="1" applyAlignment="1">
      <alignment horizontal="center" vertical="center" wrapText="1"/>
    </xf>
    <xf numFmtId="0" fontId="42" fillId="11" borderId="11" xfId="1" applyFont="1" applyFill="1" applyBorder="1" applyAlignment="1">
      <alignment horizontal="center" vertical="center" wrapText="1"/>
    </xf>
    <xf numFmtId="0" fontId="42" fillId="11" borderId="11" xfId="0" applyFont="1" applyFill="1" applyBorder="1" applyAlignment="1">
      <alignment horizontal="center" vertical="center" wrapText="1"/>
    </xf>
    <xf numFmtId="168" fontId="42" fillId="15" borderId="11" xfId="0" applyNumberFormat="1" applyFont="1" applyFill="1" applyBorder="1" applyAlignment="1">
      <alignment horizontal="center" vertical="center" wrapText="1"/>
    </xf>
    <xf numFmtId="0" fontId="42" fillId="15" borderId="11" xfId="0" applyFont="1" applyFill="1" applyBorder="1" applyAlignment="1">
      <alignment horizontal="center" vertical="center" wrapText="1"/>
    </xf>
    <xf numFmtId="0" fontId="42" fillId="16" borderId="11" xfId="0" applyFont="1" applyFill="1" applyBorder="1" applyAlignment="1">
      <alignment horizontal="center" vertical="center" wrapText="1"/>
    </xf>
    <xf numFmtId="0" fontId="42" fillId="16" borderId="11" xfId="1" applyFont="1" applyFill="1" applyBorder="1" applyAlignment="1">
      <alignment horizontal="center" vertical="center" wrapText="1"/>
    </xf>
    <xf numFmtId="0" fontId="42" fillId="16" borderId="14" xfId="0" applyFont="1" applyFill="1" applyBorder="1" applyAlignment="1">
      <alignment horizontal="center" vertical="center" wrapText="1"/>
    </xf>
    <xf numFmtId="0" fontId="42" fillId="17" borderId="12" xfId="0" applyFont="1" applyFill="1" applyBorder="1" applyAlignment="1">
      <alignment horizontal="center" vertical="center"/>
    </xf>
    <xf numFmtId="0" fontId="42" fillId="17" borderId="14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168" fontId="37" fillId="0" borderId="18" xfId="0" applyNumberFormat="1" applyFont="1" applyBorder="1" applyAlignment="1">
      <alignment horizontal="center" vertical="center"/>
    </xf>
    <xf numFmtId="168" fontId="37" fillId="11" borderId="18" xfId="0" applyNumberFormat="1" applyFont="1" applyFill="1" applyBorder="1" applyAlignment="1">
      <alignment horizontal="center" vertical="center"/>
    </xf>
    <xf numFmtId="0" fontId="37" fillId="11" borderId="18" xfId="0" applyFont="1" applyFill="1" applyBorder="1" applyAlignment="1">
      <alignment horizontal="center" vertical="center"/>
    </xf>
    <xf numFmtId="168" fontId="38" fillId="0" borderId="18" xfId="0" applyNumberFormat="1" applyFont="1" applyBorder="1" applyAlignment="1">
      <alignment horizontal="center" vertical="center"/>
    </xf>
    <xf numFmtId="0" fontId="38" fillId="11" borderId="18" xfId="0" applyFont="1" applyFill="1" applyBorder="1" applyAlignment="1">
      <alignment horizontal="center" vertical="center"/>
    </xf>
    <xf numFmtId="0" fontId="41" fillId="0" borderId="18" xfId="0" applyFont="1" applyBorder="1" applyAlignment="1">
      <alignment horizontal="center" vertical="center" wrapText="1"/>
    </xf>
    <xf numFmtId="14" fontId="37" fillId="0" borderId="18" xfId="0" applyNumberFormat="1" applyFont="1" applyBorder="1" applyAlignment="1">
      <alignment horizontal="center" vertical="center"/>
    </xf>
    <xf numFmtId="168" fontId="37" fillId="22" borderId="18" xfId="0" applyNumberFormat="1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8" fillId="23" borderId="18" xfId="0" applyFont="1" applyFill="1" applyBorder="1" applyAlignment="1">
      <alignment horizontal="center" vertical="center"/>
    </xf>
    <xf numFmtId="0" fontId="41" fillId="19" borderId="18" xfId="0" applyFont="1" applyFill="1" applyBorder="1" applyAlignment="1">
      <alignment horizontal="center" vertical="center" wrapText="1"/>
    </xf>
    <xf numFmtId="0" fontId="39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168" fontId="38" fillId="0" borderId="7" xfId="0" applyNumberFormat="1" applyFont="1" applyBorder="1" applyAlignment="1">
      <alignment horizontal="center" vertical="center"/>
    </xf>
    <xf numFmtId="0" fontId="38" fillId="0" borderId="7" xfId="0" applyFont="1" applyBorder="1" applyAlignment="1">
      <alignment horizontal="center" vertical="center"/>
    </xf>
    <xf numFmtId="169" fontId="38" fillId="0" borderId="0" xfId="0" applyNumberFormat="1" applyFont="1" applyAlignment="1">
      <alignment horizontal="center" vertical="center"/>
    </xf>
    <xf numFmtId="0" fontId="42" fillId="25" borderId="14" xfId="0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169" fontId="37" fillId="0" borderId="18" xfId="0" applyNumberFormat="1" applyFont="1" applyBorder="1" applyAlignment="1">
      <alignment horizontal="center" vertical="center"/>
    </xf>
    <xf numFmtId="0" fontId="43" fillId="0" borderId="9" xfId="0" applyFont="1" applyBorder="1" applyAlignment="1">
      <alignment horizontal="center" vertical="center"/>
    </xf>
    <xf numFmtId="0" fontId="34" fillId="0" borderId="19" xfId="0" applyFont="1" applyBorder="1" applyAlignment="1">
      <alignment horizontal="center" vertical="center"/>
    </xf>
    <xf numFmtId="0" fontId="43" fillId="0" borderId="16" xfId="0" applyFont="1" applyBorder="1" applyAlignment="1">
      <alignment horizontal="center" vertical="center"/>
    </xf>
    <xf numFmtId="0" fontId="38" fillId="21" borderId="18" xfId="0" applyFont="1" applyFill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168" fontId="38" fillId="0" borderId="19" xfId="0" applyNumberFormat="1" applyFont="1" applyBorder="1" applyAlignment="1">
      <alignment horizontal="center" vertical="center"/>
    </xf>
    <xf numFmtId="169" fontId="42" fillId="25" borderId="14" xfId="0" applyNumberFormat="1" applyFont="1" applyFill="1" applyBorder="1" applyAlignment="1">
      <alignment horizontal="center" vertical="center" wrapText="1"/>
    </xf>
    <xf numFmtId="169" fontId="42" fillId="25" borderId="14" xfId="0" applyNumberFormat="1" applyFont="1" applyFill="1" applyBorder="1" applyAlignment="1">
      <alignment horizontal="center" vertical="center"/>
    </xf>
    <xf numFmtId="0" fontId="42" fillId="25" borderId="14" xfId="0" applyFont="1" applyFill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/>
    </xf>
    <xf numFmtId="0" fontId="37" fillId="27" borderId="18" xfId="0" applyFont="1" applyFill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/>
    </xf>
    <xf numFmtId="169" fontId="42" fillId="11" borderId="11" xfId="0" applyNumberFormat="1" applyFont="1" applyFill="1" applyBorder="1" applyAlignment="1">
      <alignment horizontal="center" vertical="center" wrapText="1"/>
    </xf>
    <xf numFmtId="169" fontId="38" fillId="0" borderId="8" xfId="0" applyNumberFormat="1" applyFont="1" applyBorder="1" applyAlignment="1">
      <alignment horizontal="center" vertical="center"/>
    </xf>
    <xf numFmtId="168" fontId="45" fillId="0" borderId="9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168" fontId="45" fillId="0" borderId="16" xfId="0" applyNumberFormat="1" applyFont="1" applyBorder="1" applyAlignment="1">
      <alignment horizontal="center" vertical="center"/>
    </xf>
    <xf numFmtId="168" fontId="30" fillId="11" borderId="9" xfId="0" applyNumberFormat="1" applyFont="1" applyFill="1" applyBorder="1" applyAlignment="1">
      <alignment horizontal="center" vertical="center"/>
    </xf>
    <xf numFmtId="168" fontId="45" fillId="11" borderId="9" xfId="0" applyNumberFormat="1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 wrapText="1"/>
    </xf>
    <xf numFmtId="0" fontId="36" fillId="28" borderId="11" xfId="1" applyFont="1" applyFill="1" applyBorder="1" applyAlignment="1">
      <alignment horizontal="center" vertical="center" wrapText="1"/>
    </xf>
    <xf numFmtId="0" fontId="36" fillId="28" borderId="11" xfId="0" applyFont="1" applyFill="1" applyBorder="1" applyAlignment="1">
      <alignment horizontal="center" vertical="center" wrapText="1"/>
    </xf>
    <xf numFmtId="0" fontId="36" fillId="28" borderId="14" xfId="0" applyFont="1" applyFill="1" applyBorder="1" applyAlignment="1">
      <alignment horizontal="center" vertical="center" wrapText="1"/>
    </xf>
    <xf numFmtId="0" fontId="41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0" fontId="38" fillId="0" borderId="23" xfId="0" applyFont="1" applyBorder="1" applyAlignment="1">
      <alignment horizontal="center" vertical="center"/>
    </xf>
    <xf numFmtId="0" fontId="38" fillId="0" borderId="24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 wrapText="1"/>
    </xf>
    <xf numFmtId="168" fontId="45" fillId="11" borderId="16" xfId="0" applyNumberFormat="1" applyFont="1" applyFill="1" applyBorder="1" applyAlignment="1">
      <alignment horizontal="center" vertical="center"/>
    </xf>
    <xf numFmtId="170" fontId="39" fillId="0" borderId="0" xfId="0" applyNumberFormat="1" applyFont="1" applyAlignment="1">
      <alignment horizontal="center" vertical="center"/>
    </xf>
    <xf numFmtId="170" fontId="42" fillId="16" borderId="11" xfId="0" applyNumberFormat="1" applyFont="1" applyFill="1" applyBorder="1" applyAlignment="1">
      <alignment horizontal="center" vertical="center" wrapText="1"/>
    </xf>
    <xf numFmtId="0" fontId="38" fillId="0" borderId="25" xfId="0" applyFont="1" applyBorder="1" applyAlignment="1">
      <alignment horizontal="center" vertical="center"/>
    </xf>
    <xf numFmtId="0" fontId="38" fillId="0" borderId="26" xfId="0" applyFont="1" applyBorder="1" applyAlignment="1">
      <alignment horizontal="center" vertical="center"/>
    </xf>
    <xf numFmtId="0" fontId="37" fillId="0" borderId="22" xfId="0" applyFont="1" applyBorder="1" applyAlignment="1">
      <alignment horizontal="center" vertical="center"/>
    </xf>
    <xf numFmtId="0" fontId="38" fillId="0" borderId="27" xfId="0" applyFont="1" applyBorder="1" applyAlignment="1">
      <alignment horizontal="center" vertical="center"/>
    </xf>
    <xf numFmtId="168" fontId="42" fillId="16" borderId="11" xfId="0" applyNumberFormat="1" applyFont="1" applyFill="1" applyBorder="1" applyAlignment="1">
      <alignment horizontal="center" vertical="center" wrapText="1"/>
    </xf>
    <xf numFmtId="168" fontId="37" fillId="0" borderId="18" xfId="0" quotePrefix="1" applyNumberFormat="1" applyFont="1" applyBorder="1" applyAlignment="1">
      <alignment horizontal="center" vertical="center" wrapText="1"/>
    </xf>
    <xf numFmtId="168" fontId="37" fillId="0" borderId="18" xfId="0" quotePrefix="1" applyNumberFormat="1" applyFont="1" applyBorder="1" applyAlignment="1">
      <alignment horizontal="center" vertical="center"/>
    </xf>
    <xf numFmtId="170" fontId="41" fillId="0" borderId="18" xfId="0" applyNumberFormat="1" applyFont="1" applyBorder="1" applyAlignment="1">
      <alignment horizontal="center" vertical="center"/>
    </xf>
    <xf numFmtId="1" fontId="37" fillId="0" borderId="18" xfId="0" applyNumberFormat="1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169" fontId="38" fillId="0" borderId="18" xfId="0" applyNumberFormat="1" applyFont="1" applyBorder="1" applyAlignment="1">
      <alignment horizontal="center" vertical="center"/>
    </xf>
    <xf numFmtId="170" fontId="37" fillId="0" borderId="18" xfId="0" applyNumberFormat="1" applyFont="1" applyBorder="1" applyAlignment="1">
      <alignment horizontal="center" vertical="center"/>
    </xf>
    <xf numFmtId="0" fontId="38" fillId="0" borderId="18" xfId="0" applyFont="1" applyBorder="1" applyAlignment="1">
      <alignment horizontal="left" vertical="center"/>
    </xf>
    <xf numFmtId="0" fontId="41" fillId="0" borderId="18" xfId="0" quotePrefix="1" applyFont="1" applyBorder="1" applyAlignment="1">
      <alignment horizontal="center" vertical="center"/>
    </xf>
    <xf numFmtId="167" fontId="37" fillId="0" borderId="18" xfId="0" applyNumberFormat="1" applyFont="1" applyBorder="1" applyAlignment="1">
      <alignment horizontal="center" vertical="center"/>
    </xf>
    <xf numFmtId="170" fontId="39" fillId="0" borderId="18" xfId="0" applyNumberFormat="1" applyFont="1" applyBorder="1" applyAlignment="1">
      <alignment horizontal="center" vertical="center"/>
    </xf>
    <xf numFmtId="171" fontId="38" fillId="0" borderId="18" xfId="0" applyNumberFormat="1" applyFont="1" applyBorder="1" applyAlignment="1">
      <alignment horizontal="center" vertical="center"/>
    </xf>
    <xf numFmtId="170" fontId="41" fillId="0" borderId="18" xfId="0" applyNumberFormat="1" applyFont="1" applyBorder="1" applyAlignment="1">
      <alignment horizontal="center" vertical="center" wrapText="1"/>
    </xf>
    <xf numFmtId="0" fontId="37" fillId="0" borderId="18" xfId="0" applyFont="1" applyBorder="1" applyAlignment="1">
      <alignment vertical="center"/>
    </xf>
    <xf numFmtId="172" fontId="39" fillId="0" borderId="0" xfId="0" applyNumberFormat="1" applyFont="1" applyAlignment="1">
      <alignment horizontal="center" vertical="center"/>
    </xf>
    <xf numFmtId="172" fontId="42" fillId="11" borderId="11" xfId="1" applyNumberFormat="1" applyFont="1" applyFill="1" applyBorder="1" applyAlignment="1">
      <alignment horizontal="center" vertical="center" wrapText="1"/>
    </xf>
    <xf numFmtId="172" fontId="41" fillId="0" borderId="18" xfId="0" applyNumberFormat="1" applyFont="1" applyBorder="1" applyAlignment="1">
      <alignment horizontal="center" vertical="center"/>
    </xf>
    <xf numFmtId="172" fontId="41" fillId="0" borderId="18" xfId="0" applyNumberFormat="1" applyFont="1" applyBorder="1" applyAlignment="1">
      <alignment horizontal="center" vertical="center" wrapText="1"/>
    </xf>
    <xf numFmtId="172" fontId="39" fillId="0" borderId="18" xfId="0" applyNumberFormat="1" applyFont="1" applyBorder="1" applyAlignment="1">
      <alignment horizontal="center" vertical="center"/>
    </xf>
    <xf numFmtId="0" fontId="46" fillId="12" borderId="12" xfId="47" applyNumberFormat="1" applyFont="1" applyFill="1" applyBorder="1" applyAlignment="1">
      <alignment horizontal="center" vertical="center" wrapText="1"/>
    </xf>
    <xf numFmtId="167" fontId="46" fillId="12" borderId="12" xfId="47" applyNumberFormat="1" applyFont="1" applyFill="1" applyBorder="1" applyAlignment="1">
      <alignment horizontal="center" vertical="center" wrapText="1"/>
    </xf>
    <xf numFmtId="168" fontId="46" fillId="12" borderId="12" xfId="47" applyNumberFormat="1" applyFont="1" applyFill="1" applyBorder="1" applyAlignment="1">
      <alignment horizontal="center" vertical="center" wrapText="1"/>
    </xf>
    <xf numFmtId="0" fontId="37" fillId="0" borderId="28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168" fontId="38" fillId="22" borderId="18" xfId="0" applyNumberFormat="1" applyFont="1" applyFill="1" applyBorder="1" applyAlignment="1">
      <alignment horizontal="center" vertical="center"/>
    </xf>
    <xf numFmtId="168" fontId="38" fillId="11" borderId="18" xfId="0" applyNumberFormat="1" applyFont="1" applyFill="1" applyBorder="1" applyAlignment="1">
      <alignment horizontal="center" vertical="center"/>
    </xf>
    <xf numFmtId="0" fontId="38" fillId="29" borderId="18" xfId="0" applyFont="1" applyFill="1" applyBorder="1" applyAlignment="1">
      <alignment horizontal="center" vertical="center"/>
    </xf>
    <xf numFmtId="0" fontId="37" fillId="29" borderId="18" xfId="0" applyFont="1" applyFill="1" applyBorder="1" applyAlignment="1">
      <alignment horizontal="center" vertical="center"/>
    </xf>
    <xf numFmtId="172" fontId="41" fillId="29" borderId="18" xfId="0" applyNumberFormat="1" applyFont="1" applyFill="1" applyBorder="1" applyAlignment="1">
      <alignment horizontal="center" vertical="center"/>
    </xf>
    <xf numFmtId="0" fontId="41" fillId="29" borderId="18" xfId="0" applyFont="1" applyFill="1" applyBorder="1" applyAlignment="1">
      <alignment horizontal="center" vertical="center"/>
    </xf>
    <xf numFmtId="169" fontId="38" fillId="29" borderId="18" xfId="0" applyNumberFormat="1" applyFont="1" applyFill="1" applyBorder="1" applyAlignment="1">
      <alignment horizontal="center" vertical="center"/>
    </xf>
    <xf numFmtId="168" fontId="38" fillId="29" borderId="18" xfId="0" applyNumberFormat="1" applyFont="1" applyFill="1" applyBorder="1" applyAlignment="1">
      <alignment horizontal="center" vertical="center"/>
    </xf>
    <xf numFmtId="170" fontId="41" fillId="29" borderId="18" xfId="0" applyNumberFormat="1" applyFont="1" applyFill="1" applyBorder="1" applyAlignment="1">
      <alignment horizontal="center" vertical="center"/>
    </xf>
    <xf numFmtId="0" fontId="37" fillId="29" borderId="28" xfId="0" applyFont="1" applyFill="1" applyBorder="1" applyAlignment="1">
      <alignment horizontal="center" vertical="center"/>
    </xf>
    <xf numFmtId="0" fontId="37" fillId="29" borderId="22" xfId="0" applyFont="1" applyFill="1" applyBorder="1" applyAlignment="1">
      <alignment horizontal="center" vertical="center"/>
    </xf>
    <xf numFmtId="169" fontId="37" fillId="29" borderId="18" xfId="0" applyNumberFormat="1" applyFont="1" applyFill="1" applyBorder="1" applyAlignment="1">
      <alignment horizontal="center" vertical="center"/>
    </xf>
    <xf numFmtId="1" fontId="37" fillId="29" borderId="18" xfId="0" applyNumberFormat="1" applyFont="1" applyFill="1" applyBorder="1" applyAlignment="1">
      <alignment horizontal="center" vertical="center"/>
    </xf>
    <xf numFmtId="168" fontId="37" fillId="29" borderId="18" xfId="0" applyNumberFormat="1" applyFont="1" applyFill="1" applyBorder="1" applyAlignment="1">
      <alignment horizontal="center" vertical="center"/>
    </xf>
    <xf numFmtId="170" fontId="37" fillId="29" borderId="18" xfId="0" applyNumberFormat="1" applyFont="1" applyFill="1" applyBorder="1" applyAlignment="1">
      <alignment horizontal="center" vertical="center"/>
    </xf>
    <xf numFmtId="0" fontId="38" fillId="29" borderId="18" xfId="0" applyFont="1" applyFill="1" applyBorder="1" applyAlignment="1">
      <alignment horizontal="center" vertical="center" wrapText="1"/>
    </xf>
    <xf numFmtId="0" fontId="41" fillId="29" borderId="0" xfId="0" applyFont="1" applyFill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0" fontId="48" fillId="11" borderId="11" xfId="1" applyNumberFormat="1" applyFont="1" applyFill="1" applyBorder="1" applyAlignment="1">
      <alignment horizontal="center" vertical="center" wrapText="1"/>
    </xf>
    <xf numFmtId="172" fontId="36" fillId="11" borderId="11" xfId="1" applyNumberFormat="1" applyFont="1" applyFill="1" applyBorder="1" applyAlignment="1">
      <alignment horizontal="center" vertical="center" wrapText="1"/>
    </xf>
    <xf numFmtId="0" fontId="36" fillId="16" borderId="11" xfId="0" applyFont="1" applyFill="1" applyBorder="1" applyAlignment="1">
      <alignment horizontal="center" vertical="center" wrapText="1"/>
    </xf>
    <xf numFmtId="0" fontId="49" fillId="0" borderId="0" xfId="0" applyFont="1"/>
    <xf numFmtId="0" fontId="50" fillId="0" borderId="0" xfId="0" applyFont="1"/>
    <xf numFmtId="172" fontId="30" fillId="0" borderId="9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172" fontId="30" fillId="0" borderId="16" xfId="0" applyNumberFormat="1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52" fillId="11" borderId="18" xfId="0" applyFont="1" applyFill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172" fontId="43" fillId="0" borderId="1" xfId="0" applyNumberFormat="1" applyFont="1" applyBorder="1" applyAlignment="1">
      <alignment horizontal="center" vertical="center"/>
    </xf>
    <xf numFmtId="169" fontId="51" fillId="0" borderId="1" xfId="0" applyNumberFormat="1" applyFont="1" applyBorder="1" applyAlignment="1">
      <alignment horizontal="center" vertical="center"/>
    </xf>
    <xf numFmtId="172" fontId="51" fillId="0" borderId="1" xfId="0" applyNumberFormat="1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169" fontId="38" fillId="11" borderId="18" xfId="0" applyNumberFormat="1" applyFont="1" applyFill="1" applyBorder="1" applyAlignment="1">
      <alignment horizontal="center" vertical="center"/>
    </xf>
    <xf numFmtId="0" fontId="38" fillId="0" borderId="18" xfId="0" applyFont="1" applyBorder="1" applyAlignment="1">
      <alignment horizontal="left" vertical="center" wrapText="1"/>
    </xf>
    <xf numFmtId="0" fontId="41" fillId="22" borderId="18" xfId="0" applyFont="1" applyFill="1" applyBorder="1" applyAlignment="1">
      <alignment horizontal="center" vertical="center"/>
    </xf>
    <xf numFmtId="0" fontId="53" fillId="0" borderId="18" xfId="0" applyFont="1" applyBorder="1" applyAlignment="1">
      <alignment horizontal="center" vertical="center"/>
    </xf>
    <xf numFmtId="0" fontId="54" fillId="11" borderId="18" xfId="0" applyFont="1" applyFill="1" applyBorder="1" applyAlignment="1">
      <alignment horizontal="center" vertical="center"/>
    </xf>
    <xf numFmtId="0" fontId="43" fillId="0" borderId="4" xfId="0" applyFont="1" applyBorder="1" applyAlignment="1">
      <alignment horizontal="center" vertical="center"/>
    </xf>
    <xf numFmtId="172" fontId="43" fillId="0" borderId="4" xfId="0" applyNumberFormat="1" applyFont="1" applyBorder="1" applyAlignment="1">
      <alignment horizontal="center" vertical="center"/>
    </xf>
    <xf numFmtId="169" fontId="51" fillId="0" borderId="4" xfId="0" applyNumberFormat="1" applyFont="1" applyBorder="1" applyAlignment="1">
      <alignment horizontal="center" vertical="center"/>
    </xf>
    <xf numFmtId="168" fontId="53" fillId="29" borderId="18" xfId="0" applyNumberFormat="1" applyFont="1" applyFill="1" applyBorder="1" applyAlignment="1">
      <alignment horizontal="center" vertical="center"/>
    </xf>
    <xf numFmtId="0" fontId="46" fillId="26" borderId="20" xfId="0" applyFont="1" applyFill="1" applyBorder="1" applyAlignment="1">
      <alignment horizontal="center" vertical="center" wrapText="1"/>
    </xf>
    <xf numFmtId="0" fontId="46" fillId="26" borderId="21" xfId="0" applyFont="1" applyFill="1" applyBorder="1" applyAlignment="1">
      <alignment horizontal="center" vertical="center" wrapText="1"/>
    </xf>
    <xf numFmtId="0" fontId="46" fillId="14" borderId="12" xfId="47" applyNumberFormat="1" applyFont="1" applyFill="1" applyBorder="1" applyAlignment="1">
      <alignment horizontal="center" vertical="center" wrapText="1"/>
    </xf>
    <xf numFmtId="168" fontId="46" fillId="14" borderId="12" xfId="47" applyNumberFormat="1" applyFont="1" applyFill="1" applyBorder="1" applyAlignment="1">
      <alignment horizontal="center" vertical="center" wrapText="1"/>
    </xf>
    <xf numFmtId="0" fontId="46" fillId="14" borderId="13" xfId="47" applyNumberFormat="1" applyFont="1" applyFill="1" applyBorder="1" applyAlignment="1">
      <alignment horizontal="center" vertical="center" wrapText="1"/>
    </xf>
    <xf numFmtId="0" fontId="46" fillId="13" borderId="11" xfId="47" applyNumberFormat="1" applyFont="1" applyFill="1" applyBorder="1" applyAlignment="1">
      <alignment horizontal="center" vertical="center" wrapText="1"/>
    </xf>
    <xf numFmtId="0" fontId="46" fillId="13" borderId="12" xfId="47" applyNumberFormat="1" applyFont="1" applyFill="1" applyBorder="1" applyAlignment="1">
      <alignment horizontal="center" vertical="center" wrapText="1"/>
    </xf>
    <xf numFmtId="168" fontId="46" fillId="13" borderId="13" xfId="47" applyNumberFormat="1" applyFont="1" applyFill="1" applyBorder="1" applyAlignment="1">
      <alignment horizontal="center" vertical="center" wrapText="1"/>
    </xf>
    <xf numFmtId="0" fontId="46" fillId="18" borderId="11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>
    <nsvFilter filterId="{00000000-0001-0000-0000-000000000000}" ref="A13:CY316" tableId="0">
      <columnFilter colId="5">
        <filter colId="5">
          <x:filters>
            <x:filter val="002/0123/A"/>
          </x:filters>
        </filter>
      </columnFilter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274" t="s">
        <v>0</v>
      </c>
      <c r="B1" s="274"/>
      <c r="C1" s="59"/>
      <c r="D1" s="59"/>
      <c r="E1" s="274" t="s">
        <v>1</v>
      </c>
      <c r="F1" s="274"/>
    </row>
    <row r="2" spans="1:6">
      <c r="A2" s="60" t="s">
        <v>2</v>
      </c>
      <c r="B2" s="60" t="s">
        <v>3</v>
      </c>
      <c r="E2" s="58" t="s">
        <v>2</v>
      </c>
      <c r="F2" s="58" t="s">
        <v>3</v>
      </c>
    </row>
    <row r="3" spans="1:6">
      <c r="A3" s="8" t="s">
        <v>4</v>
      </c>
      <c r="B3" s="11">
        <v>39</v>
      </c>
      <c r="E3" s="8" t="s">
        <v>4</v>
      </c>
      <c r="F3" s="11">
        <v>54</v>
      </c>
    </row>
    <row r="4" spans="1:6">
      <c r="A4" s="8" t="s">
        <v>5</v>
      </c>
      <c r="B4" s="11">
        <v>15</v>
      </c>
      <c r="E4" s="8" t="s">
        <v>6</v>
      </c>
      <c r="F4" s="11">
        <v>13</v>
      </c>
    </row>
    <row r="5" spans="1:6">
      <c r="A5" s="8" t="s">
        <v>7</v>
      </c>
      <c r="B5" s="11">
        <v>7</v>
      </c>
      <c r="E5" s="8" t="s">
        <v>7</v>
      </c>
      <c r="F5" s="11">
        <v>15</v>
      </c>
    </row>
    <row r="6" spans="1:6">
      <c r="A6" s="8" t="s">
        <v>8</v>
      </c>
      <c r="B6" s="11">
        <v>2</v>
      </c>
      <c r="E6" s="8" t="s">
        <v>8</v>
      </c>
      <c r="F6" s="11">
        <v>9</v>
      </c>
    </row>
    <row r="7" spans="1:6">
      <c r="A7" s="8" t="s">
        <v>9</v>
      </c>
      <c r="B7" s="11">
        <v>0</v>
      </c>
      <c r="E7" s="8" t="s">
        <v>9</v>
      </c>
      <c r="F7" s="11">
        <v>9</v>
      </c>
    </row>
    <row r="8" spans="1:6">
      <c r="A8" s="8" t="s">
        <v>10</v>
      </c>
      <c r="B8" s="11">
        <v>15</v>
      </c>
      <c r="E8" s="8" t="s">
        <v>10</v>
      </c>
      <c r="F8" s="11">
        <v>21</v>
      </c>
    </row>
    <row r="9" spans="1:6">
      <c r="A9" s="61" t="s">
        <v>11</v>
      </c>
      <c r="B9" s="62">
        <f>SUM(B3:B8)</f>
        <v>78</v>
      </c>
      <c r="E9" s="61" t="s">
        <v>11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12</v>
      </c>
      <c r="B1" s="5" t="s">
        <v>13</v>
      </c>
      <c r="C1" s="5" t="s">
        <v>14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</row>
    <row r="2" spans="1:10">
      <c r="A2" s="1" t="s">
        <v>22</v>
      </c>
      <c r="B2" s="3" t="s">
        <v>23</v>
      </c>
      <c r="C2" s="3">
        <v>1</v>
      </c>
      <c r="D2" s="3">
        <v>101</v>
      </c>
      <c r="E2" s="24" t="s">
        <v>24</v>
      </c>
      <c r="F2" s="3" t="s">
        <v>25</v>
      </c>
      <c r="G2" s="3" t="s">
        <v>26</v>
      </c>
      <c r="H2" s="3" t="s">
        <v>26</v>
      </c>
      <c r="I2" s="3" t="s">
        <v>27</v>
      </c>
      <c r="J2" s="3" t="s">
        <v>28</v>
      </c>
    </row>
    <row r="3" spans="1:10">
      <c r="A3" s="1" t="s">
        <v>29</v>
      </c>
      <c r="B3" s="3" t="s">
        <v>30</v>
      </c>
      <c r="C3" s="3">
        <v>2</v>
      </c>
      <c r="D3" s="3">
        <v>102</v>
      </c>
      <c r="E3" s="3" t="s">
        <v>31</v>
      </c>
      <c r="F3" s="6" t="s">
        <v>32</v>
      </c>
      <c r="G3" s="3" t="s">
        <v>33</v>
      </c>
      <c r="H3" s="3" t="s">
        <v>34</v>
      </c>
      <c r="I3" s="3" t="s">
        <v>35</v>
      </c>
      <c r="J3" s="3" t="s">
        <v>36</v>
      </c>
    </row>
    <row r="4" spans="1:10">
      <c r="A4" s="1" t="s">
        <v>37</v>
      </c>
      <c r="B4" s="3" t="s">
        <v>38</v>
      </c>
      <c r="C4" s="3">
        <v>3</v>
      </c>
      <c r="D4" s="3">
        <v>103</v>
      </c>
      <c r="E4" s="3" t="s">
        <v>39</v>
      </c>
      <c r="F4" s="3" t="s">
        <v>40</v>
      </c>
      <c r="G4" s="3" t="s">
        <v>41</v>
      </c>
      <c r="H4" s="3" t="s">
        <v>42</v>
      </c>
      <c r="I4" s="3" t="s">
        <v>43</v>
      </c>
      <c r="J4" s="3" t="s">
        <v>42</v>
      </c>
    </row>
    <row r="5" spans="1:10">
      <c r="A5" s="1" t="s">
        <v>44</v>
      </c>
      <c r="B5" s="3" t="s">
        <v>45</v>
      </c>
      <c r="C5" s="3">
        <v>4</v>
      </c>
      <c r="D5" s="3">
        <v>104</v>
      </c>
      <c r="E5" s="3" t="s">
        <v>36</v>
      </c>
      <c r="F5" s="3" t="s">
        <v>46</v>
      </c>
      <c r="G5" s="3" t="s">
        <v>47</v>
      </c>
      <c r="H5" s="3" t="s">
        <v>48</v>
      </c>
      <c r="I5" s="3" t="s">
        <v>42</v>
      </c>
    </row>
    <row r="6" spans="1:10">
      <c r="A6" s="1" t="s">
        <v>49</v>
      </c>
      <c r="B6" s="3" t="s">
        <v>50</v>
      </c>
      <c r="C6" s="3">
        <v>5</v>
      </c>
      <c r="D6" s="3">
        <v>201</v>
      </c>
      <c r="E6" s="3" t="s">
        <v>51</v>
      </c>
      <c r="G6" s="3" t="s">
        <v>52</v>
      </c>
      <c r="H6" s="3" t="s">
        <v>53</v>
      </c>
      <c r="I6" s="3" t="s">
        <v>54</v>
      </c>
    </row>
    <row r="7" spans="1:10">
      <c r="A7" s="1" t="s">
        <v>55</v>
      </c>
      <c r="B7" s="3" t="s">
        <v>56</v>
      </c>
      <c r="C7" s="3">
        <v>6</v>
      </c>
      <c r="D7" s="3">
        <v>202</v>
      </c>
      <c r="E7" s="3" t="s">
        <v>57</v>
      </c>
      <c r="G7" s="3" t="s">
        <v>58</v>
      </c>
      <c r="I7" s="3" t="s">
        <v>59</v>
      </c>
    </row>
    <row r="8" spans="1:10">
      <c r="A8" s="1" t="s">
        <v>60</v>
      </c>
      <c r="B8" s="3" t="s">
        <v>61</v>
      </c>
      <c r="C8" s="3">
        <v>7</v>
      </c>
      <c r="D8" s="3">
        <v>203</v>
      </c>
      <c r="E8" s="3" t="s">
        <v>62</v>
      </c>
      <c r="G8" s="3"/>
      <c r="I8" s="3" t="s">
        <v>63</v>
      </c>
    </row>
    <row r="9" spans="1:10">
      <c r="A9" s="1" t="s">
        <v>64</v>
      </c>
      <c r="B9" s="3" t="s">
        <v>65</v>
      </c>
      <c r="C9" s="3">
        <v>8</v>
      </c>
      <c r="D9" s="3">
        <v>204</v>
      </c>
      <c r="E9" s="3" t="s">
        <v>66</v>
      </c>
    </row>
    <row r="10" spans="1:10">
      <c r="A10" s="1" t="s">
        <v>67</v>
      </c>
      <c r="B10" s="3" t="s">
        <v>68</v>
      </c>
      <c r="C10" s="3">
        <v>9</v>
      </c>
      <c r="D10" s="3">
        <v>301</v>
      </c>
      <c r="E10" s="3" t="s">
        <v>69</v>
      </c>
    </row>
    <row r="11" spans="1:10">
      <c r="A11" s="1" t="s">
        <v>70</v>
      </c>
      <c r="B11" s="3" t="s">
        <v>71</v>
      </c>
      <c r="C11" s="3">
        <v>10</v>
      </c>
      <c r="D11" s="3">
        <v>302</v>
      </c>
      <c r="E11" s="3" t="s">
        <v>72</v>
      </c>
    </row>
    <row r="12" spans="1:10">
      <c r="A12" s="1" t="s">
        <v>73</v>
      </c>
      <c r="B12" s="3" t="s">
        <v>74</v>
      </c>
      <c r="C12" s="3">
        <v>11</v>
      </c>
      <c r="D12" s="3">
        <v>303</v>
      </c>
      <c r="E12" s="24" t="s">
        <v>75</v>
      </c>
    </row>
    <row r="13" spans="1:10">
      <c r="A13" s="1" t="s">
        <v>76</v>
      </c>
      <c r="B13" s="3" t="s">
        <v>77</v>
      </c>
      <c r="C13" s="3">
        <v>12</v>
      </c>
      <c r="D13" s="3">
        <v>304</v>
      </c>
      <c r="E13" t="s">
        <v>78</v>
      </c>
    </row>
    <row r="14" spans="1:10">
      <c r="A14" s="1" t="s">
        <v>79</v>
      </c>
      <c r="B14" s="3" t="s">
        <v>80</v>
      </c>
      <c r="C14" s="3">
        <v>13</v>
      </c>
      <c r="D14" s="3">
        <v>401</v>
      </c>
      <c r="E14" s="3" t="s">
        <v>81</v>
      </c>
    </row>
    <row r="15" spans="1:10">
      <c r="A15" s="1" t="s">
        <v>82</v>
      </c>
      <c r="B15" s="3" t="s">
        <v>83</v>
      </c>
      <c r="C15" s="3">
        <v>14</v>
      </c>
      <c r="D15" s="3">
        <v>402</v>
      </c>
      <c r="E15" s="3" t="s">
        <v>40</v>
      </c>
    </row>
    <row r="16" spans="1:10">
      <c r="A16" s="1" t="s">
        <v>84</v>
      </c>
      <c r="C16" s="3">
        <v>15</v>
      </c>
      <c r="D16" s="3">
        <v>403</v>
      </c>
      <c r="E16" s="3" t="s">
        <v>85</v>
      </c>
    </row>
    <row r="17" spans="1:7">
      <c r="A17" s="1" t="s">
        <v>9</v>
      </c>
      <c r="C17" s="3"/>
      <c r="D17" s="3">
        <v>404</v>
      </c>
      <c r="E17" s="3" t="s">
        <v>86</v>
      </c>
    </row>
    <row r="18" spans="1:7">
      <c r="A18" s="1" t="s">
        <v>87</v>
      </c>
      <c r="C18" s="3"/>
      <c r="D18" s="3">
        <v>501</v>
      </c>
      <c r="E18" s="3" t="s">
        <v>88</v>
      </c>
    </row>
    <row r="19" spans="1:7">
      <c r="A19" s="1" t="s">
        <v>89</v>
      </c>
      <c r="D19" s="3">
        <v>502</v>
      </c>
      <c r="E19" s="3" t="s">
        <v>90</v>
      </c>
    </row>
    <row r="20" spans="1:7">
      <c r="A20" s="1" t="s">
        <v>8</v>
      </c>
      <c r="D20" s="3">
        <v>503</v>
      </c>
      <c r="E20" s="3" t="s">
        <v>91</v>
      </c>
    </row>
    <row r="21" spans="1:7">
      <c r="A21" s="1" t="s">
        <v>92</v>
      </c>
      <c r="D21" s="3">
        <v>504</v>
      </c>
      <c r="E21" s="3" t="s">
        <v>28</v>
      </c>
    </row>
    <row r="22" spans="1:7">
      <c r="A22" s="1" t="s">
        <v>93</v>
      </c>
      <c r="E22" s="3" t="s">
        <v>94</v>
      </c>
      <c r="G22" s="3"/>
    </row>
    <row r="23" spans="1:7">
      <c r="A23" s="1" t="s">
        <v>95</v>
      </c>
      <c r="E23" s="3" t="s">
        <v>96</v>
      </c>
    </row>
    <row r="24" spans="1:7">
      <c r="A24" s="1" t="s">
        <v>97</v>
      </c>
    </row>
    <row r="25" spans="1:7">
      <c r="A25" s="1" t="s">
        <v>10</v>
      </c>
      <c r="G25" s="5"/>
    </row>
    <row r="26" spans="1:7">
      <c r="A26" s="1" t="s">
        <v>98</v>
      </c>
      <c r="G26" s="3"/>
    </row>
    <row r="27" spans="1:7">
      <c r="A27" s="1" t="s">
        <v>99</v>
      </c>
      <c r="G27" s="3"/>
    </row>
    <row r="28" spans="1:7">
      <c r="A28" s="1" t="s">
        <v>100</v>
      </c>
      <c r="G28" s="3"/>
    </row>
    <row r="29" spans="1:7">
      <c r="A29" s="1" t="s">
        <v>101</v>
      </c>
      <c r="G29" s="3"/>
    </row>
    <row r="30" spans="1:7">
      <c r="A30" s="1" t="s">
        <v>102</v>
      </c>
      <c r="G30" s="3"/>
    </row>
    <row r="31" spans="1:7">
      <c r="A31" s="1" t="s">
        <v>103</v>
      </c>
    </row>
    <row r="32" spans="1:7">
      <c r="A32" s="1" t="s">
        <v>104</v>
      </c>
    </row>
    <row r="33" spans="1:1">
      <c r="A33" s="1" t="s">
        <v>105</v>
      </c>
    </row>
    <row r="34" spans="1:1">
      <c r="A34" s="1" t="s">
        <v>106</v>
      </c>
    </row>
    <row r="35" spans="1:1">
      <c r="A35" s="1" t="s">
        <v>107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108</v>
      </c>
      <c r="B1" s="56" t="s">
        <v>109</v>
      </c>
    </row>
    <row r="2" spans="1:3" ht="24.95" customHeight="1">
      <c r="A2" s="57" t="s">
        <v>23</v>
      </c>
      <c r="B2" s="57" t="e">
        <f>COUNTIF(#REF!,'QUANT COND'!A2)</f>
        <v>#REF!</v>
      </c>
    </row>
    <row r="3" spans="1:3" ht="24.95" customHeight="1">
      <c r="A3" s="57" t="s">
        <v>30</v>
      </c>
      <c r="B3" s="57" t="e">
        <f>COUNTIF(#REF!,'QUANT COND'!A3)</f>
        <v>#REF!</v>
      </c>
    </row>
    <row r="4" spans="1:3" ht="24.95" customHeight="1">
      <c r="A4" s="57" t="s">
        <v>38</v>
      </c>
      <c r="B4" s="57" t="e">
        <f>COUNTIF(#REF!,'QUANT COND'!A4)</f>
        <v>#REF!</v>
      </c>
      <c r="C4" s="55"/>
    </row>
    <row r="5" spans="1:3" ht="24.95" customHeight="1">
      <c r="A5" s="57" t="s">
        <v>45</v>
      </c>
      <c r="B5" s="57" t="e">
        <f>COUNTIF(#REF!,'QUANT COND'!A5)</f>
        <v>#REF!</v>
      </c>
    </row>
    <row r="6" spans="1:3" ht="24.95" customHeight="1">
      <c r="A6" s="57" t="s">
        <v>50</v>
      </c>
      <c r="B6" s="57" t="e">
        <f>COUNTIF(#REF!,'QUANT COND'!A6)</f>
        <v>#REF!</v>
      </c>
    </row>
    <row r="7" spans="1:3" ht="24.95" customHeight="1">
      <c r="A7" s="57" t="s">
        <v>56</v>
      </c>
      <c r="B7" s="57" t="e">
        <f>COUNTIF(#REF!,'QUANT COND'!A7)</f>
        <v>#REF!</v>
      </c>
    </row>
    <row r="8" spans="1:3" ht="24.95" customHeight="1">
      <c r="A8" s="57" t="s">
        <v>61</v>
      </c>
      <c r="B8" s="57" t="e">
        <f>COUNTIF(#REF!,'QUANT COND'!A8)</f>
        <v>#REF!</v>
      </c>
    </row>
    <row r="9" spans="1:3" ht="24.95" customHeight="1">
      <c r="A9" s="57" t="s">
        <v>65</v>
      </c>
      <c r="B9" s="57" t="e">
        <f>COUNTIF(#REF!,'QUANT COND'!A9)</f>
        <v>#REF!</v>
      </c>
    </row>
    <row r="10" spans="1:3" ht="24.95" customHeight="1">
      <c r="A10" s="57" t="s">
        <v>68</v>
      </c>
      <c r="B10" s="57" t="e">
        <f>COUNTIF(#REF!,'QUANT COND'!A10)</f>
        <v>#REF!</v>
      </c>
    </row>
    <row r="11" spans="1:3" ht="24.95" customHeight="1">
      <c r="A11" s="57" t="s">
        <v>71</v>
      </c>
      <c r="B11" s="57" t="e">
        <f>COUNTIF(#REF!,'QUANT COND'!A11)</f>
        <v>#REF!</v>
      </c>
    </row>
    <row r="12" spans="1:3" ht="24.95" customHeight="1">
      <c r="A12" s="57" t="s">
        <v>74</v>
      </c>
      <c r="B12" s="57" t="e">
        <f>COUNTIF(#REF!,'QUANT COND'!A12)</f>
        <v>#REF!</v>
      </c>
    </row>
    <row r="13" spans="1:3" ht="24.95" customHeight="1">
      <c r="A13" s="57" t="s">
        <v>77</v>
      </c>
      <c r="B13" s="57" t="e">
        <f>COUNTIF(#REF!,'QUANT COND'!A13)</f>
        <v>#REF!</v>
      </c>
    </row>
    <row r="14" spans="1:3" ht="24.95" customHeight="1">
      <c r="A14" s="57" t="s">
        <v>80</v>
      </c>
      <c r="B14" s="57" t="e">
        <f>COUNTIF(#REF!,'QUANT COND'!A14)</f>
        <v>#REF!</v>
      </c>
    </row>
    <row r="15" spans="1:3" ht="24.95" customHeight="1">
      <c r="A15" s="57" t="s">
        <v>83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76" t="s">
        <v>110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8"/>
    </row>
    <row r="2" spans="1:27" ht="50.25" customHeight="1">
      <c r="A2" s="7" t="s">
        <v>111</v>
      </c>
      <c r="B2" s="7" t="s">
        <v>112</v>
      </c>
      <c r="C2" s="7" t="s">
        <v>113</v>
      </c>
      <c r="D2" s="12" t="s">
        <v>112</v>
      </c>
      <c r="E2" s="63" t="s">
        <v>114</v>
      </c>
      <c r="F2" s="63" t="s">
        <v>115</v>
      </c>
      <c r="G2" s="64" t="s">
        <v>116</v>
      </c>
      <c r="H2" s="64" t="s">
        <v>117</v>
      </c>
      <c r="I2" s="41" t="s">
        <v>118</v>
      </c>
      <c r="J2" s="42" t="s">
        <v>115</v>
      </c>
      <c r="K2" s="41" t="s">
        <v>117</v>
      </c>
      <c r="L2" s="53" t="s">
        <v>119</v>
      </c>
      <c r="M2" s="53" t="s">
        <v>120</v>
      </c>
      <c r="O2" s="65" t="s">
        <v>121</v>
      </c>
      <c r="P2" s="66" t="s">
        <v>109</v>
      </c>
      <c r="Q2" s="66" t="s">
        <v>122</v>
      </c>
      <c r="R2" s="66" t="s">
        <v>123</v>
      </c>
      <c r="S2" s="66" t="s">
        <v>124</v>
      </c>
      <c r="T2" s="43" t="s">
        <v>125</v>
      </c>
      <c r="Y2" s="45" t="s">
        <v>126</v>
      </c>
      <c r="Z2" s="45" t="s">
        <v>127</v>
      </c>
      <c r="AA2" s="44" t="s">
        <v>128</v>
      </c>
    </row>
    <row r="3" spans="1:27">
      <c r="A3" s="13" t="s">
        <v>129</v>
      </c>
      <c r="B3" s="67">
        <v>27140979871</v>
      </c>
      <c r="C3" s="68"/>
      <c r="D3" s="69"/>
      <c r="E3" s="9">
        <v>1128</v>
      </c>
      <c r="F3" s="25">
        <v>42972</v>
      </c>
      <c r="G3" s="70" t="s">
        <v>25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130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131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132</v>
      </c>
      <c r="Y4" s="24">
        <v>1517</v>
      </c>
      <c r="Z4" s="24">
        <v>1427</v>
      </c>
      <c r="AA4" s="24">
        <v>1559</v>
      </c>
    </row>
    <row r="5" spans="1:27">
      <c r="A5" s="71" t="s">
        <v>133</v>
      </c>
      <c r="B5" s="67">
        <v>75489104872</v>
      </c>
      <c r="C5" s="72"/>
      <c r="D5" s="69"/>
      <c r="E5" s="9">
        <v>1752</v>
      </c>
      <c r="F5" s="25">
        <v>43051</v>
      </c>
      <c r="G5" s="70" t="s">
        <v>25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134</v>
      </c>
      <c r="Y5" s="24">
        <v>73</v>
      </c>
      <c r="Z5" s="24">
        <v>79</v>
      </c>
      <c r="AA5" s="24">
        <v>28</v>
      </c>
    </row>
    <row r="6" spans="1:27">
      <c r="A6" s="71" t="s">
        <v>135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136</v>
      </c>
      <c r="Y6" s="24">
        <v>36</v>
      </c>
      <c r="Z6" s="24">
        <v>32</v>
      </c>
      <c r="AA6" s="24">
        <v>11</v>
      </c>
    </row>
    <row r="7" spans="1:27">
      <c r="A7" s="29" t="s">
        <v>137</v>
      </c>
      <c r="B7" s="67"/>
      <c r="C7" s="18" t="s">
        <v>138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139</v>
      </c>
      <c r="Y7" s="24">
        <v>224</v>
      </c>
      <c r="Z7" s="24">
        <v>275</v>
      </c>
      <c r="AA7" s="24">
        <v>17</v>
      </c>
    </row>
    <row r="8" spans="1:27">
      <c r="A8" s="71" t="s">
        <v>140</v>
      </c>
      <c r="B8" s="67">
        <v>97443271620</v>
      </c>
      <c r="C8" s="72"/>
      <c r="D8" s="69"/>
      <c r="E8" s="9">
        <v>1106</v>
      </c>
      <c r="F8" s="25">
        <v>42965</v>
      </c>
      <c r="G8" s="70" t="s">
        <v>25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141</v>
      </c>
      <c r="B9" s="67">
        <v>98058690597</v>
      </c>
      <c r="C9" s="72"/>
      <c r="D9" s="69"/>
      <c r="E9" s="9">
        <v>423</v>
      </c>
      <c r="F9" s="25">
        <v>43182</v>
      </c>
      <c r="G9" s="70" t="s">
        <v>25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142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143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144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25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145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146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25</v>
      </c>
      <c r="H14" s="25">
        <v>42921</v>
      </c>
      <c r="I14" s="8"/>
      <c r="J14" s="8"/>
      <c r="K14" s="8"/>
      <c r="L14" s="9" t="s">
        <v>147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148</v>
      </c>
      <c r="B15" s="67">
        <v>38772276860</v>
      </c>
      <c r="C15" s="18" t="s">
        <v>149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150</v>
      </c>
      <c r="B16" s="67">
        <v>21538837846</v>
      </c>
      <c r="C16" s="72" t="s">
        <v>151</v>
      </c>
      <c r="D16" s="69">
        <v>94203180520</v>
      </c>
      <c r="E16" s="9">
        <v>810</v>
      </c>
      <c r="F16" s="25">
        <v>42915</v>
      </c>
      <c r="G16" s="70" t="s">
        <v>25</v>
      </c>
      <c r="H16" s="25">
        <v>42921</v>
      </c>
      <c r="I16" s="8"/>
      <c r="J16" s="8"/>
      <c r="K16" s="8"/>
      <c r="L16" s="9" t="s">
        <v>147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152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153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25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154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32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155</v>
      </c>
      <c r="B20" s="67">
        <v>18419589802</v>
      </c>
      <c r="C20" s="18" t="s">
        <v>138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156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157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25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158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25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159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25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160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161</v>
      </c>
      <c r="B26" s="67"/>
      <c r="C26" s="18" t="s">
        <v>138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162</v>
      </c>
      <c r="B27" s="67">
        <v>25894152810</v>
      </c>
      <c r="C27" s="72" t="s">
        <v>163</v>
      </c>
      <c r="D27" s="69">
        <v>8263008808</v>
      </c>
      <c r="E27" s="9">
        <v>292</v>
      </c>
      <c r="F27" s="25">
        <v>43168</v>
      </c>
      <c r="G27" s="70" t="s">
        <v>25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164</v>
      </c>
      <c r="B28" s="67">
        <v>43026389587</v>
      </c>
      <c r="C28" s="72" t="s">
        <v>165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166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32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167</v>
      </c>
      <c r="B30" s="67">
        <v>36531080809</v>
      </c>
      <c r="C30" s="72" t="s">
        <v>168</v>
      </c>
      <c r="D30" s="69">
        <v>22485483892</v>
      </c>
      <c r="E30" s="9">
        <v>1489</v>
      </c>
      <c r="F30" s="25">
        <v>43038</v>
      </c>
      <c r="G30" s="70" t="s">
        <v>25</v>
      </c>
      <c r="H30" s="9"/>
      <c r="I30" s="8"/>
      <c r="J30" s="8"/>
      <c r="K30" s="8"/>
      <c r="L30" s="9" t="s">
        <v>169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170</v>
      </c>
      <c r="B31" s="67">
        <v>28147186819</v>
      </c>
      <c r="C31" s="72" t="s">
        <v>171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172</v>
      </c>
      <c r="B32" s="67">
        <v>37559228860</v>
      </c>
      <c r="C32" s="72" t="s">
        <v>173</v>
      </c>
      <c r="D32" s="69">
        <v>28072024892</v>
      </c>
      <c r="E32" s="9">
        <v>1555</v>
      </c>
      <c r="F32" s="25">
        <v>43049</v>
      </c>
      <c r="G32" s="9" t="s">
        <v>25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174</v>
      </c>
      <c r="B33" s="67">
        <v>23635229822</v>
      </c>
      <c r="C33" s="72" t="s">
        <v>175</v>
      </c>
      <c r="D33" s="69">
        <v>21668057875</v>
      </c>
      <c r="E33" s="9">
        <v>262</v>
      </c>
      <c r="F33" s="25">
        <v>43160</v>
      </c>
      <c r="G33" s="70" t="s">
        <v>25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176</v>
      </c>
      <c r="B34" s="67"/>
      <c r="C34" s="29" t="s">
        <v>138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177</v>
      </c>
      <c r="B35" s="67">
        <v>40902634844</v>
      </c>
      <c r="C35" s="72" t="s">
        <v>178</v>
      </c>
      <c r="D35" s="69">
        <v>23795007895</v>
      </c>
      <c r="E35" s="9">
        <v>117</v>
      </c>
      <c r="F35" s="25">
        <v>43117</v>
      </c>
      <c r="G35" s="70" t="s">
        <v>25</v>
      </c>
      <c r="H35" s="25">
        <v>43151</v>
      </c>
      <c r="I35" s="8"/>
      <c r="J35" s="8"/>
      <c r="K35" s="8"/>
      <c r="L35" s="9" t="s">
        <v>179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180</v>
      </c>
      <c r="B36" s="67">
        <v>39615629898</v>
      </c>
      <c r="C36" s="72" t="s">
        <v>181</v>
      </c>
      <c r="D36" s="69">
        <v>43328275894</v>
      </c>
      <c r="E36" s="9">
        <v>423</v>
      </c>
      <c r="F36" s="25">
        <v>43182</v>
      </c>
      <c r="G36" s="70" t="s">
        <v>25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182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183</v>
      </c>
      <c r="B38" s="67"/>
      <c r="C38" s="29" t="s">
        <v>184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185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25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186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25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187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25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188</v>
      </c>
      <c r="B42" s="67">
        <v>10201704412</v>
      </c>
      <c r="C42" s="72" t="s">
        <v>189</v>
      </c>
      <c r="D42" s="69">
        <v>33674895811</v>
      </c>
      <c r="E42" s="9">
        <v>262</v>
      </c>
      <c r="F42" s="25">
        <v>43160</v>
      </c>
      <c r="G42" s="70" t="s">
        <v>25</v>
      </c>
      <c r="H42" s="25">
        <v>43164</v>
      </c>
      <c r="I42" s="8"/>
      <c r="J42" s="8"/>
      <c r="K42" s="8"/>
      <c r="L42" s="9">
        <v>255</v>
      </c>
      <c r="M42" s="8"/>
      <c r="O42" s="66" t="s">
        <v>190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191</v>
      </c>
      <c r="B43" s="67">
        <v>35271487873</v>
      </c>
      <c r="C43" s="68" t="s">
        <v>192</v>
      </c>
      <c r="D43" s="69">
        <v>557351502</v>
      </c>
      <c r="E43" s="9">
        <v>1128</v>
      </c>
      <c r="F43" s="25">
        <v>42972</v>
      </c>
      <c r="G43" s="70" t="s">
        <v>25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193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25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194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195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25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196</v>
      </c>
      <c r="B47" s="67">
        <v>31801479895</v>
      </c>
      <c r="C47" s="72" t="s">
        <v>197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198</v>
      </c>
      <c r="B48" s="67">
        <v>28638653824</v>
      </c>
      <c r="C48" s="72" t="s">
        <v>199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200</v>
      </c>
      <c r="B49" s="67">
        <v>17766101807</v>
      </c>
      <c r="C49" s="72" t="s">
        <v>201</v>
      </c>
      <c r="D49" s="69">
        <v>31993041842</v>
      </c>
      <c r="E49" s="9">
        <v>1824</v>
      </c>
      <c r="F49" s="25">
        <v>43091</v>
      </c>
      <c r="G49" s="70" t="s">
        <v>25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202</v>
      </c>
      <c r="B50" s="67">
        <v>17902799840</v>
      </c>
      <c r="C50" s="72" t="s">
        <v>203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204</v>
      </c>
      <c r="B51" s="67">
        <v>49122403892</v>
      </c>
      <c r="C51" s="75" t="s">
        <v>205</v>
      </c>
      <c r="D51" s="69">
        <v>1478139560</v>
      </c>
      <c r="E51" s="9">
        <v>608</v>
      </c>
      <c r="F51" s="25">
        <v>43012</v>
      </c>
      <c r="G51" s="70" t="s">
        <v>25</v>
      </c>
      <c r="H51" s="25">
        <v>43024</v>
      </c>
      <c r="I51" s="8"/>
      <c r="J51" s="8"/>
      <c r="K51" s="8"/>
      <c r="L51" s="8"/>
      <c r="M51" s="8"/>
      <c r="O51" s="275" t="s">
        <v>206</v>
      </c>
      <c r="P51" s="275"/>
      <c r="Q51" s="275"/>
      <c r="R51" s="275"/>
      <c r="S51" s="275"/>
      <c r="T51" s="275"/>
      <c r="U51" s="275"/>
    </row>
    <row r="52" spans="1:21">
      <c r="A52" s="13" t="s">
        <v>207</v>
      </c>
      <c r="B52" s="67">
        <v>37534302854</v>
      </c>
      <c r="C52" s="71" t="s">
        <v>208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209</v>
      </c>
      <c r="B53" s="67">
        <v>14699996841</v>
      </c>
      <c r="C53" s="68" t="s">
        <v>210</v>
      </c>
      <c r="D53" s="69">
        <v>15089706883</v>
      </c>
      <c r="E53" s="9">
        <v>1128</v>
      </c>
      <c r="F53" s="25">
        <v>42972</v>
      </c>
      <c r="G53" s="70" t="s">
        <v>25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211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212</v>
      </c>
      <c r="B55" s="67">
        <v>40396239838</v>
      </c>
      <c r="C55" s="72" t="s">
        <v>213</v>
      </c>
      <c r="D55" s="69">
        <v>39420747883</v>
      </c>
      <c r="E55" s="9">
        <v>262</v>
      </c>
      <c r="F55" s="25">
        <v>43160</v>
      </c>
      <c r="G55" s="70" t="s">
        <v>25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214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25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215</v>
      </c>
      <c r="B57" s="67">
        <v>38781151802</v>
      </c>
      <c r="C57" s="18" t="s">
        <v>138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216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217</v>
      </c>
      <c r="B59" s="67">
        <v>2428277219</v>
      </c>
      <c r="C59" s="72" t="s">
        <v>218</v>
      </c>
      <c r="D59" s="69">
        <v>909805229</v>
      </c>
      <c r="E59" s="9">
        <v>810</v>
      </c>
      <c r="F59" s="25">
        <v>42915</v>
      </c>
      <c r="G59" s="70" t="s">
        <v>25</v>
      </c>
      <c r="H59" s="25">
        <v>42921</v>
      </c>
      <c r="I59" s="8"/>
      <c r="J59" s="8"/>
      <c r="K59" s="8"/>
      <c r="L59" s="9" t="s">
        <v>147</v>
      </c>
      <c r="M59" s="8"/>
    </row>
    <row r="60" spans="1:21">
      <c r="A60" s="71" t="s">
        <v>219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220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25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221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222</v>
      </c>
      <c r="B63" s="67">
        <v>3722493889</v>
      </c>
      <c r="C63" s="72" t="s">
        <v>223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224</v>
      </c>
      <c r="B64" s="67">
        <v>14519340845</v>
      </c>
      <c r="C64" s="72" t="s">
        <v>225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226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227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228</v>
      </c>
      <c r="B67" s="67">
        <v>36392955879</v>
      </c>
      <c r="C67" s="72" t="s">
        <v>229</v>
      </c>
      <c r="D67" s="69">
        <v>5242864346</v>
      </c>
      <c r="E67" s="9">
        <v>117</v>
      </c>
      <c r="F67" s="25">
        <v>43117</v>
      </c>
      <c r="G67" s="70" t="s">
        <v>25</v>
      </c>
      <c r="H67" s="25">
        <v>43151</v>
      </c>
      <c r="I67" s="8"/>
      <c r="J67" s="8"/>
      <c r="K67" s="8"/>
      <c r="L67" s="9" t="s">
        <v>179</v>
      </c>
      <c r="M67" s="8"/>
    </row>
    <row r="68" spans="1:13">
      <c r="A68" s="71" t="s">
        <v>230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25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231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232</v>
      </c>
      <c r="B70" s="67">
        <v>9882942490</v>
      </c>
      <c r="C70" s="18" t="s">
        <v>233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234</v>
      </c>
      <c r="B71" s="67">
        <v>14777572870</v>
      </c>
      <c r="C71" s="72" t="s">
        <v>235</v>
      </c>
      <c r="D71" s="69">
        <v>12874739898</v>
      </c>
      <c r="E71" s="9">
        <v>1824</v>
      </c>
      <c r="F71" s="25">
        <v>43091</v>
      </c>
      <c r="G71" s="70" t="s">
        <v>25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236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237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25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238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25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239</v>
      </c>
      <c r="B75" s="67">
        <v>26940268855</v>
      </c>
      <c r="C75" s="18" t="s">
        <v>240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241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25</v>
      </c>
      <c r="H76" s="9"/>
      <c r="I76" s="8"/>
      <c r="J76" s="8"/>
      <c r="K76" s="8"/>
      <c r="L76" s="9" t="s">
        <v>169</v>
      </c>
      <c r="M76" s="8"/>
    </row>
    <row r="77" spans="1:13">
      <c r="A77" s="15" t="s">
        <v>242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25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243</v>
      </c>
      <c r="B78" s="67">
        <v>42352732808</v>
      </c>
      <c r="C78" s="72" t="s">
        <v>244</v>
      </c>
      <c r="D78" s="69">
        <v>281893373</v>
      </c>
      <c r="E78" s="9">
        <v>1214</v>
      </c>
      <c r="F78" s="25">
        <v>42989</v>
      </c>
      <c r="G78" s="70" t="s">
        <v>25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245</v>
      </c>
      <c r="B79" s="67">
        <v>13480043801</v>
      </c>
      <c r="C79" s="18" t="s">
        <v>246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247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25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248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25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249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25</v>
      </c>
      <c r="H82" s="9"/>
      <c r="I82" s="8"/>
      <c r="J82" s="8"/>
      <c r="K82" s="8"/>
      <c r="L82" s="9">
        <v>232</v>
      </c>
      <c r="M82" s="8"/>
    </row>
    <row r="83" spans="1:13">
      <c r="A83" s="18" t="s">
        <v>250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251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252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253</v>
      </c>
      <c r="B86" s="67">
        <v>43053250802</v>
      </c>
      <c r="C86" s="68" t="s">
        <v>254</v>
      </c>
      <c r="D86" s="69">
        <v>35893147880</v>
      </c>
      <c r="E86" s="9">
        <v>1128</v>
      </c>
      <c r="F86" s="25">
        <v>42972</v>
      </c>
      <c r="G86" s="70" t="s">
        <v>25</v>
      </c>
      <c r="H86" s="9"/>
      <c r="I86" s="8"/>
      <c r="J86" s="8"/>
      <c r="K86" s="8"/>
      <c r="L86" s="8"/>
      <c r="M86" s="8"/>
    </row>
    <row r="87" spans="1:13">
      <c r="A87" s="71" t="s">
        <v>255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25</v>
      </c>
      <c r="H87" s="9"/>
      <c r="I87" s="8"/>
      <c r="J87" s="8"/>
      <c r="K87" s="8"/>
      <c r="L87" s="9">
        <v>318</v>
      </c>
      <c r="M87" s="8"/>
    </row>
    <row r="88" spans="1:13">
      <c r="A88" s="73" t="s">
        <v>256</v>
      </c>
      <c r="B88" s="67">
        <v>33617584837</v>
      </c>
      <c r="C88" s="72" t="s">
        <v>257</v>
      </c>
      <c r="D88" s="69">
        <v>26520094862</v>
      </c>
      <c r="E88" s="9">
        <v>608</v>
      </c>
      <c r="F88" s="25">
        <v>43012</v>
      </c>
      <c r="G88" s="70" t="s">
        <v>25</v>
      </c>
      <c r="H88" s="9"/>
      <c r="I88" s="8"/>
      <c r="J88" s="8"/>
      <c r="K88" s="8"/>
      <c r="L88" s="8"/>
      <c r="M88" s="8"/>
    </row>
    <row r="89" spans="1:13">
      <c r="A89" s="14" t="s">
        <v>258</v>
      </c>
      <c r="B89" s="67">
        <v>38168161858</v>
      </c>
      <c r="C89" s="72" t="s">
        <v>259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260</v>
      </c>
      <c r="B90" s="67">
        <v>38728353862</v>
      </c>
      <c r="C90" s="72" t="s">
        <v>261</v>
      </c>
      <c r="D90" s="69">
        <v>37650358828</v>
      </c>
      <c r="E90" s="9">
        <v>1417</v>
      </c>
      <c r="F90" s="25">
        <v>43017</v>
      </c>
      <c r="G90" s="70" t="s">
        <v>25</v>
      </c>
      <c r="H90" s="9"/>
      <c r="I90" s="8"/>
      <c r="J90" s="8"/>
      <c r="K90" s="8"/>
      <c r="L90" s="9" t="s">
        <v>262</v>
      </c>
      <c r="M90" s="8"/>
    </row>
    <row r="91" spans="1:13">
      <c r="A91" s="15" t="s">
        <v>263</v>
      </c>
      <c r="B91" s="67">
        <v>29479419858</v>
      </c>
      <c r="C91" s="72" t="s">
        <v>264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265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266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25</v>
      </c>
      <c r="H93" s="9"/>
      <c r="I93" s="8"/>
      <c r="J93" s="8"/>
      <c r="K93" s="8"/>
      <c r="L93" s="8"/>
      <c r="M93" s="8"/>
    </row>
    <row r="94" spans="1:13">
      <c r="A94" s="15" t="s">
        <v>267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25</v>
      </c>
      <c r="H94" s="9"/>
      <c r="I94" s="8"/>
      <c r="J94" s="8"/>
      <c r="K94" s="8"/>
      <c r="L94" s="9">
        <v>232</v>
      </c>
      <c r="M94" s="8"/>
    </row>
    <row r="95" spans="1:13">
      <c r="A95" s="72" t="s">
        <v>268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269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25</v>
      </c>
      <c r="H96" s="9"/>
      <c r="I96" s="8"/>
      <c r="J96" s="8"/>
      <c r="K96" s="8"/>
      <c r="L96" s="9" t="s">
        <v>169</v>
      </c>
      <c r="M96" s="8"/>
    </row>
    <row r="97" spans="1:13">
      <c r="A97" s="71" t="s">
        <v>270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25</v>
      </c>
      <c r="H97" s="9"/>
      <c r="I97" s="8"/>
      <c r="J97" s="8"/>
      <c r="K97" s="8"/>
      <c r="L97" s="8"/>
      <c r="M97" s="8"/>
    </row>
    <row r="98" spans="1:13">
      <c r="A98" s="29" t="s">
        <v>271</v>
      </c>
      <c r="B98" s="67">
        <v>3317260505</v>
      </c>
      <c r="C98" s="29" t="s">
        <v>272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273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25</v>
      </c>
      <c r="H99" s="9"/>
      <c r="I99" s="8"/>
      <c r="J99" s="8"/>
      <c r="K99" s="8"/>
      <c r="L99" s="8"/>
      <c r="M99" s="8"/>
    </row>
    <row r="100" spans="1:13">
      <c r="A100" s="15" t="s">
        <v>274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25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275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25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276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25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277</v>
      </c>
      <c r="B103" s="67"/>
      <c r="C103" s="18" t="s">
        <v>138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278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25</v>
      </c>
      <c r="H104" s="9"/>
      <c r="I104" s="8"/>
      <c r="J104" s="8"/>
      <c r="K104" s="8"/>
      <c r="L104" s="8"/>
      <c r="M104" s="8"/>
    </row>
    <row r="105" spans="1:13">
      <c r="A105" s="71" t="s">
        <v>279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25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280</v>
      </c>
      <c r="B106" s="67">
        <v>40823037827</v>
      </c>
      <c r="C106" s="72" t="s">
        <v>281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282</v>
      </c>
      <c r="B107" s="67">
        <v>54215625491</v>
      </c>
      <c r="C107" s="18" t="s">
        <v>283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284</v>
      </c>
      <c r="B108" s="67">
        <v>8424740807</v>
      </c>
      <c r="C108" s="18" t="s">
        <v>138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285</v>
      </c>
      <c r="B109" s="67">
        <v>78495857472</v>
      </c>
      <c r="C109" s="72" t="s">
        <v>286</v>
      </c>
      <c r="D109" s="69">
        <v>148572863</v>
      </c>
      <c r="E109" s="9">
        <v>1752</v>
      </c>
      <c r="F109" s="25">
        <v>43051</v>
      </c>
      <c r="G109" s="70" t="s">
        <v>25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287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288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25</v>
      </c>
      <c r="H111" s="9"/>
      <c r="I111" s="8"/>
      <c r="J111" s="8"/>
      <c r="K111" s="8"/>
      <c r="L111" s="8"/>
      <c r="M111" s="8"/>
    </row>
    <row r="112" spans="1:13">
      <c r="A112" s="71" t="s">
        <v>289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290</v>
      </c>
      <c r="B113" s="67">
        <v>44444325860</v>
      </c>
      <c r="C113" s="72" t="s">
        <v>291</v>
      </c>
      <c r="D113" s="69">
        <v>36636133805</v>
      </c>
      <c r="E113" s="9">
        <v>292</v>
      </c>
      <c r="F113" s="25">
        <v>43168</v>
      </c>
      <c r="G113" s="70" t="s">
        <v>25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292</v>
      </c>
      <c r="B114" s="67">
        <v>39701017862</v>
      </c>
      <c r="C114" s="72" t="s">
        <v>293</v>
      </c>
      <c r="D114" s="69">
        <v>38933316892</v>
      </c>
      <c r="E114" s="9">
        <v>1350</v>
      </c>
      <c r="F114" s="25">
        <v>43006</v>
      </c>
      <c r="G114" s="70" t="s">
        <v>25</v>
      </c>
      <c r="H114" s="9"/>
      <c r="I114" s="8"/>
      <c r="J114" s="8"/>
      <c r="K114" s="8"/>
      <c r="L114" s="8"/>
      <c r="M114" s="8"/>
    </row>
    <row r="115" spans="1:13">
      <c r="A115" s="71" t="s">
        <v>294</v>
      </c>
      <c r="B115" s="67">
        <v>40003107809</v>
      </c>
      <c r="C115" s="72" t="s">
        <v>295</v>
      </c>
      <c r="D115" s="69">
        <v>37929345823</v>
      </c>
      <c r="E115" s="9">
        <v>262</v>
      </c>
      <c r="F115" s="25">
        <v>43160</v>
      </c>
      <c r="G115" s="70" t="s">
        <v>25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296</v>
      </c>
      <c r="B116" s="67">
        <v>38786146831</v>
      </c>
      <c r="C116" s="29" t="s">
        <v>297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298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40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299</v>
      </c>
      <c r="B118" s="67">
        <v>3486705598</v>
      </c>
      <c r="C118" s="72" t="s">
        <v>300</v>
      </c>
      <c r="D118" s="69">
        <v>3581817551</v>
      </c>
      <c r="E118" s="9">
        <v>1752</v>
      </c>
      <c r="F118" s="25">
        <v>43051</v>
      </c>
      <c r="G118" s="70" t="s">
        <v>25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301</v>
      </c>
      <c r="B119" s="67">
        <v>37051125893</v>
      </c>
      <c r="C119" s="72" t="s">
        <v>302</v>
      </c>
      <c r="D119" s="69">
        <v>4303791458</v>
      </c>
      <c r="E119" s="9">
        <v>292</v>
      </c>
      <c r="F119" s="25">
        <v>43168</v>
      </c>
      <c r="G119" s="9" t="s">
        <v>25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303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304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305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25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306</v>
      </c>
      <c r="B123" s="67">
        <v>33879586845</v>
      </c>
      <c r="C123" s="77" t="s">
        <v>307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308</v>
      </c>
      <c r="M123" s="8"/>
    </row>
    <row r="124" spans="1:13">
      <c r="A124" s="72" t="s">
        <v>309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310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311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25</v>
      </c>
      <c r="H126" s="9"/>
      <c r="I126" s="8"/>
      <c r="J126" s="8"/>
      <c r="K126" s="8"/>
      <c r="L126" s="8"/>
      <c r="M126" s="8"/>
    </row>
    <row r="127" spans="1:13">
      <c r="A127" s="72" t="s">
        <v>312</v>
      </c>
      <c r="B127" s="67">
        <v>15401963807</v>
      </c>
      <c r="C127" s="72" t="s">
        <v>313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314</v>
      </c>
      <c r="B128" s="67">
        <v>2022016351</v>
      </c>
      <c r="C128" s="72" t="s">
        <v>315</v>
      </c>
      <c r="D128" s="69">
        <v>84914270315</v>
      </c>
      <c r="E128" s="9">
        <v>1106</v>
      </c>
      <c r="F128" s="25">
        <v>42965</v>
      </c>
      <c r="G128" s="70" t="s">
        <v>25</v>
      </c>
      <c r="H128" s="9"/>
      <c r="I128" s="8"/>
      <c r="J128" s="8"/>
      <c r="K128" s="8"/>
      <c r="L128" s="8"/>
      <c r="M128" s="8"/>
    </row>
    <row r="129" spans="1:13">
      <c r="A129" s="71" t="s">
        <v>316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317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318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25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319</v>
      </c>
      <c r="B132" s="67">
        <v>1860886558</v>
      </c>
      <c r="C132" s="72" t="s">
        <v>320</v>
      </c>
      <c r="D132" s="69">
        <v>35132798845</v>
      </c>
      <c r="E132" s="9">
        <v>229</v>
      </c>
      <c r="F132" s="25">
        <v>43151</v>
      </c>
      <c r="G132" s="70" t="s">
        <v>25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321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25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322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323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324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25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325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25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326</v>
      </c>
      <c r="B138" s="67">
        <v>42262731845</v>
      </c>
      <c r="C138" s="72" t="s">
        <v>327</v>
      </c>
      <c r="D138" s="69">
        <v>34728432840</v>
      </c>
      <c r="E138" s="9">
        <v>1824</v>
      </c>
      <c r="F138" s="25">
        <v>43091</v>
      </c>
      <c r="G138" s="70" t="s">
        <v>25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328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25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329</v>
      </c>
      <c r="B140" s="67">
        <v>41446773892</v>
      </c>
      <c r="C140" s="72" t="s">
        <v>330</v>
      </c>
      <c r="D140" s="69">
        <v>38180353850</v>
      </c>
      <c r="E140" s="9">
        <v>292</v>
      </c>
      <c r="F140" s="25">
        <v>43168</v>
      </c>
      <c r="G140" s="9" t="s">
        <v>25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331</v>
      </c>
      <c r="B141" s="67">
        <v>1436459354</v>
      </c>
      <c r="C141" s="72" t="s">
        <v>332</v>
      </c>
      <c r="D141" s="69">
        <v>4149263310</v>
      </c>
      <c r="E141" s="9">
        <v>229</v>
      </c>
      <c r="F141" s="25">
        <v>43151</v>
      </c>
      <c r="G141" s="70" t="s">
        <v>25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333</v>
      </c>
      <c r="B142" s="67">
        <v>39953063818</v>
      </c>
      <c r="C142" s="29" t="s">
        <v>334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335</v>
      </c>
      <c r="B143" s="80">
        <v>15371893873</v>
      </c>
      <c r="C143" s="81" t="s">
        <v>336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337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25</v>
      </c>
      <c r="H144" s="9"/>
      <c r="I144" s="8"/>
      <c r="J144" s="8"/>
      <c r="K144" s="8"/>
      <c r="L144" s="9" t="s">
        <v>147</v>
      </c>
      <c r="M144" s="8"/>
    </row>
    <row r="145" spans="1:13">
      <c r="A145" s="73" t="s">
        <v>338</v>
      </c>
      <c r="B145" s="67">
        <v>50773453334</v>
      </c>
      <c r="C145" s="72" t="s">
        <v>339</v>
      </c>
      <c r="D145" s="69">
        <v>51551365391</v>
      </c>
      <c r="E145" s="9">
        <v>1106</v>
      </c>
      <c r="F145" s="25">
        <v>42965</v>
      </c>
      <c r="G145" s="70" t="s">
        <v>32</v>
      </c>
      <c r="H145" s="9"/>
      <c r="I145" s="8"/>
      <c r="J145" s="8"/>
      <c r="K145" s="8"/>
      <c r="L145" s="8"/>
      <c r="M145" s="8"/>
    </row>
    <row r="146" spans="1:13">
      <c r="A146" s="71" t="s">
        <v>340</v>
      </c>
      <c r="B146" s="67">
        <v>37805884803</v>
      </c>
      <c r="C146" s="72" t="s">
        <v>341</v>
      </c>
      <c r="D146" s="69">
        <v>35792474842</v>
      </c>
      <c r="E146" s="9">
        <v>262</v>
      </c>
      <c r="F146" s="25">
        <v>43160</v>
      </c>
      <c r="G146" s="9" t="s">
        <v>25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342</v>
      </c>
      <c r="B147" s="67">
        <v>38072219804</v>
      </c>
      <c r="C147" s="72" t="s">
        <v>343</v>
      </c>
      <c r="D147" s="69">
        <v>37125330800</v>
      </c>
      <c r="E147" s="9">
        <v>292</v>
      </c>
      <c r="F147" s="25">
        <v>43168</v>
      </c>
      <c r="G147" s="70" t="s">
        <v>25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344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25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345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346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25</v>
      </c>
      <c r="H150" s="9"/>
      <c r="I150" s="8"/>
      <c r="J150" s="8"/>
      <c r="K150" s="8"/>
      <c r="L150" s="8"/>
      <c r="M150" s="8"/>
    </row>
    <row r="151" spans="1:13">
      <c r="A151" s="72" t="s">
        <v>347</v>
      </c>
      <c r="B151" s="67">
        <v>31476352879</v>
      </c>
      <c r="C151" s="72" t="s">
        <v>348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349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25</v>
      </c>
      <c r="H152" s="9"/>
      <c r="I152" s="8"/>
      <c r="J152" s="8"/>
      <c r="K152" s="8"/>
      <c r="L152" s="8"/>
      <c r="M152" s="8"/>
    </row>
    <row r="153" spans="1:13">
      <c r="A153" s="71" t="s">
        <v>350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25</v>
      </c>
      <c r="H153" s="9"/>
      <c r="I153" s="8"/>
      <c r="J153" s="8"/>
      <c r="K153" s="8"/>
      <c r="L153" s="8"/>
      <c r="M153" s="8"/>
    </row>
    <row r="154" spans="1:13">
      <c r="A154" s="71" t="s">
        <v>351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352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353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354</v>
      </c>
      <c r="B157" s="67">
        <v>86665944468</v>
      </c>
      <c r="C157" s="72" t="s">
        <v>355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356</v>
      </c>
      <c r="B158" s="67">
        <v>39747831805</v>
      </c>
      <c r="C158" s="72" t="s">
        <v>357</v>
      </c>
      <c r="D158" s="69">
        <v>1202056458</v>
      </c>
      <c r="E158" s="9">
        <v>292</v>
      </c>
      <c r="F158" s="25">
        <v>43168</v>
      </c>
      <c r="G158" s="70" t="s">
        <v>25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358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25</v>
      </c>
      <c r="H159" s="9"/>
      <c r="I159" s="8"/>
      <c r="J159" s="8"/>
      <c r="K159" s="8"/>
      <c r="L159" s="8"/>
      <c r="M159" s="8"/>
    </row>
    <row r="160" spans="1:13">
      <c r="A160" s="29" t="s">
        <v>359</v>
      </c>
      <c r="B160" s="67"/>
      <c r="C160" s="29" t="s">
        <v>360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361</v>
      </c>
      <c r="B161" s="67">
        <v>38107907884</v>
      </c>
      <c r="C161" s="72" t="s">
        <v>362</v>
      </c>
      <c r="D161" s="69">
        <v>8669747685</v>
      </c>
      <c r="E161" s="9">
        <v>117</v>
      </c>
      <c r="F161" s="25">
        <v>43117</v>
      </c>
      <c r="G161" s="70" t="s">
        <v>25</v>
      </c>
      <c r="H161" s="9"/>
      <c r="I161" s="8"/>
      <c r="J161" s="8"/>
      <c r="K161" s="8"/>
      <c r="L161" s="9" t="s">
        <v>179</v>
      </c>
      <c r="M161" s="8"/>
    </row>
    <row r="162" spans="1:13">
      <c r="A162" s="29" t="s">
        <v>363</v>
      </c>
      <c r="B162" s="67">
        <v>24759436880</v>
      </c>
      <c r="C162" s="29" t="s">
        <v>364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365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25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366</v>
      </c>
      <c r="B164" s="67">
        <v>22537971892</v>
      </c>
      <c r="C164" s="29" t="s">
        <v>367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368</v>
      </c>
      <c r="B165" s="67">
        <v>31362502812</v>
      </c>
      <c r="C165" s="72" t="s">
        <v>369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370</v>
      </c>
      <c r="B166" s="67">
        <v>4625640539</v>
      </c>
      <c r="C166" s="18" t="s">
        <v>371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372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25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373</v>
      </c>
      <c r="B168" s="67">
        <v>22234108802</v>
      </c>
      <c r="C168" s="72" t="s">
        <v>374</v>
      </c>
      <c r="D168" s="69"/>
      <c r="E168" s="9"/>
      <c r="F168" s="25"/>
      <c r="G168" s="70" t="s">
        <v>25</v>
      </c>
      <c r="H168" s="9"/>
      <c r="I168" s="8"/>
      <c r="J168" s="8"/>
      <c r="K168" s="8"/>
      <c r="L168" s="8"/>
      <c r="M168" s="8"/>
    </row>
    <row r="169" spans="1:13">
      <c r="A169" s="30" t="s">
        <v>375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376</v>
      </c>
      <c r="B170" s="67">
        <v>182316599</v>
      </c>
      <c r="C170" s="72" t="s">
        <v>377</v>
      </c>
      <c r="D170" s="69">
        <v>73673560549</v>
      </c>
      <c r="E170" s="9">
        <v>292</v>
      </c>
      <c r="F170" s="25">
        <v>43168</v>
      </c>
      <c r="G170" s="9" t="s">
        <v>25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378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25</v>
      </c>
      <c r="H171" s="9"/>
      <c r="I171" s="8">
        <v>117</v>
      </c>
      <c r="J171" s="26">
        <v>43117</v>
      </c>
      <c r="K171" s="26">
        <v>43151</v>
      </c>
      <c r="L171" s="9" t="s">
        <v>262</v>
      </c>
      <c r="M171" s="26"/>
    </row>
    <row r="172" spans="1:13">
      <c r="A172" s="71" t="s">
        <v>379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25</v>
      </c>
      <c r="H172" s="9"/>
      <c r="I172" s="8"/>
      <c r="J172" s="8"/>
      <c r="K172" s="8"/>
      <c r="L172" s="8"/>
      <c r="M172" s="8"/>
    </row>
    <row r="173" spans="1:13">
      <c r="A173" s="71" t="s">
        <v>380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25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381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382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25</v>
      </c>
      <c r="H175" s="9"/>
      <c r="I175" s="8"/>
      <c r="J175" s="8"/>
      <c r="K175" s="8"/>
      <c r="L175" s="8"/>
      <c r="M175" s="8"/>
    </row>
    <row r="176" spans="1:13">
      <c r="A176" s="71" t="s">
        <v>383</v>
      </c>
      <c r="B176" s="67">
        <v>36777190899</v>
      </c>
      <c r="C176" s="72" t="s">
        <v>384</v>
      </c>
      <c r="D176" s="69">
        <v>37104057854</v>
      </c>
      <c r="E176" s="9">
        <v>810</v>
      </c>
      <c r="F176" s="25">
        <v>42915</v>
      </c>
      <c r="G176" s="70" t="s">
        <v>25</v>
      </c>
      <c r="H176" s="9"/>
      <c r="I176" s="8"/>
      <c r="J176" s="8"/>
      <c r="K176" s="8"/>
      <c r="L176" s="9" t="s">
        <v>147</v>
      </c>
      <c r="M176" s="8"/>
    </row>
    <row r="177" spans="1:13">
      <c r="A177" s="15" t="s">
        <v>385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25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386</v>
      </c>
      <c r="B178" s="67">
        <v>32428102877</v>
      </c>
      <c r="C178" s="72" t="s">
        <v>387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388</v>
      </c>
      <c r="B179" s="67">
        <v>28640229821</v>
      </c>
      <c r="C179" s="72" t="s">
        <v>389</v>
      </c>
      <c r="D179" s="69">
        <v>7752420808</v>
      </c>
      <c r="E179" s="9">
        <v>1106</v>
      </c>
      <c r="F179" s="25">
        <v>42965</v>
      </c>
      <c r="G179" s="70" t="s">
        <v>25</v>
      </c>
      <c r="H179" s="9"/>
      <c r="I179" s="8"/>
      <c r="J179" s="8"/>
      <c r="K179" s="8"/>
      <c r="L179" s="8"/>
      <c r="M179" s="8"/>
    </row>
    <row r="180" spans="1:13">
      <c r="A180" s="77" t="s">
        <v>390</v>
      </c>
      <c r="B180" s="67">
        <v>38122976808</v>
      </c>
      <c r="C180" s="29" t="s">
        <v>391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392</v>
      </c>
      <c r="B181" s="67">
        <v>41494645882</v>
      </c>
      <c r="C181" s="72" t="s">
        <v>393</v>
      </c>
      <c r="D181" s="69">
        <v>23413130862</v>
      </c>
      <c r="E181" s="9">
        <v>1824</v>
      </c>
      <c r="F181" s="25">
        <v>43091</v>
      </c>
      <c r="G181" s="70" t="s">
        <v>25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394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25</v>
      </c>
      <c r="H182" s="9"/>
      <c r="I182" s="8"/>
      <c r="J182" s="8"/>
      <c r="K182" s="8"/>
      <c r="L182" s="8"/>
      <c r="M182" s="8"/>
    </row>
    <row r="183" spans="1:13">
      <c r="A183" s="71" t="s">
        <v>395</v>
      </c>
      <c r="B183" s="67">
        <v>32882437846</v>
      </c>
      <c r="C183" s="77" t="s">
        <v>396</v>
      </c>
      <c r="D183" s="69" t="s">
        <v>397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398</v>
      </c>
      <c r="B184" s="67">
        <v>40733908802</v>
      </c>
      <c r="C184" s="72" t="s">
        <v>399</v>
      </c>
      <c r="D184" s="69"/>
      <c r="E184" s="9">
        <v>1128</v>
      </c>
      <c r="F184" s="25">
        <v>42972</v>
      </c>
      <c r="G184" s="70" t="s">
        <v>25</v>
      </c>
      <c r="H184" s="9"/>
      <c r="I184" s="8"/>
      <c r="J184" s="8"/>
      <c r="K184" s="8"/>
      <c r="L184" s="8"/>
      <c r="M184" s="8"/>
    </row>
    <row r="185" spans="1:13">
      <c r="A185" s="71" t="s">
        <v>400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401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25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402</v>
      </c>
      <c r="B187" s="67">
        <v>32321499877</v>
      </c>
      <c r="C187" s="72" t="s">
        <v>403</v>
      </c>
      <c r="D187" s="69">
        <v>4788348373</v>
      </c>
      <c r="E187" s="9">
        <v>292</v>
      </c>
      <c r="F187" s="25">
        <v>43168</v>
      </c>
      <c r="G187" s="70" t="s">
        <v>25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404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25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405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25</v>
      </c>
      <c r="H189" s="9"/>
      <c r="I189" s="8"/>
      <c r="J189" s="8"/>
      <c r="K189" s="8"/>
      <c r="L189" s="8"/>
      <c r="M189" s="8"/>
    </row>
    <row r="190" spans="1:13">
      <c r="A190" s="71" t="s">
        <v>406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40</v>
      </c>
      <c r="H190" s="9"/>
      <c r="I190" s="8"/>
      <c r="J190" s="8"/>
      <c r="K190" s="8"/>
      <c r="L190" s="9" t="s">
        <v>407</v>
      </c>
      <c r="M190" s="8"/>
    </row>
    <row r="191" spans="1:13">
      <c r="A191" s="13" t="s">
        <v>408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25</v>
      </c>
      <c r="H191" s="9"/>
      <c r="I191" s="8"/>
      <c r="J191" s="8"/>
      <c r="K191" s="8"/>
      <c r="L191" s="8"/>
      <c r="M191" s="8"/>
    </row>
    <row r="192" spans="1:13">
      <c r="A192" s="14" t="s">
        <v>409</v>
      </c>
      <c r="B192" s="67">
        <v>16700300835</v>
      </c>
      <c r="C192" s="72" t="s">
        <v>410</v>
      </c>
      <c r="D192" s="69">
        <v>28699951809</v>
      </c>
      <c r="E192" s="9">
        <v>262</v>
      </c>
      <c r="F192" s="25">
        <v>43160</v>
      </c>
      <c r="G192" s="70" t="s">
        <v>25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411</v>
      </c>
      <c r="B193" s="67">
        <v>33595120817</v>
      </c>
      <c r="C193" s="68" t="s">
        <v>412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413</v>
      </c>
      <c r="B194" s="67">
        <v>40386203873</v>
      </c>
      <c r="C194" s="68" t="s">
        <v>414</v>
      </c>
      <c r="D194" s="69">
        <v>27988479822</v>
      </c>
      <c r="E194" s="9">
        <v>1128</v>
      </c>
      <c r="F194" s="25">
        <v>42972</v>
      </c>
      <c r="G194" s="70" t="s">
        <v>25</v>
      </c>
      <c r="H194" s="9"/>
      <c r="I194" s="8"/>
      <c r="J194" s="8"/>
      <c r="K194" s="8"/>
      <c r="L194" s="8"/>
      <c r="M194" s="8"/>
    </row>
    <row r="195" spans="1:13">
      <c r="A195" s="71" t="s">
        <v>415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416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417</v>
      </c>
      <c r="B197" s="67">
        <v>23473254851</v>
      </c>
      <c r="C197" s="72" t="s">
        <v>418</v>
      </c>
      <c r="D197" s="69">
        <v>32944503898</v>
      </c>
      <c r="E197" s="9">
        <v>85</v>
      </c>
      <c r="F197" s="25">
        <v>43109</v>
      </c>
      <c r="G197" s="70" t="s">
        <v>25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419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25</v>
      </c>
      <c r="H198" s="9"/>
      <c r="I198" s="8"/>
      <c r="J198" s="8"/>
      <c r="K198" s="8"/>
      <c r="L198" s="8"/>
      <c r="M198" s="8"/>
    </row>
    <row r="199" spans="1:13">
      <c r="A199" s="15" t="s">
        <v>420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25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421</v>
      </c>
      <c r="B200" s="67">
        <v>2218915871</v>
      </c>
      <c r="C200" s="72" t="s">
        <v>422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423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424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425</v>
      </c>
      <c r="B203" s="67">
        <v>31793836825</v>
      </c>
      <c r="C203" s="72" t="s">
        <v>426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427</v>
      </c>
      <c r="B204" s="67">
        <v>41307266843</v>
      </c>
      <c r="C204" s="18" t="s">
        <v>428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429</v>
      </c>
      <c r="B205" s="67">
        <v>96683295549</v>
      </c>
      <c r="C205" s="72"/>
      <c r="D205" s="69"/>
      <c r="E205" s="9"/>
      <c r="F205" s="25"/>
      <c r="G205" s="70" t="s">
        <v>25</v>
      </c>
      <c r="H205" s="9"/>
      <c r="I205" s="8"/>
      <c r="J205" s="8"/>
      <c r="K205" s="8"/>
      <c r="L205" s="8"/>
      <c r="M205" s="8"/>
    </row>
    <row r="206" spans="1:13">
      <c r="A206" s="15" t="s">
        <v>430</v>
      </c>
      <c r="B206" s="67">
        <v>18965913888</v>
      </c>
      <c r="C206" s="72" t="s">
        <v>431</v>
      </c>
      <c r="D206" s="69">
        <v>30385646801</v>
      </c>
      <c r="E206" s="9">
        <v>117</v>
      </c>
      <c r="F206" s="25">
        <v>43117</v>
      </c>
      <c r="G206" s="70" t="s">
        <v>25</v>
      </c>
      <c r="H206" s="9"/>
      <c r="I206" s="8"/>
      <c r="J206" s="8"/>
      <c r="K206" s="8"/>
      <c r="L206" s="9" t="s">
        <v>179</v>
      </c>
      <c r="M206" s="8"/>
    </row>
    <row r="207" spans="1:13">
      <c r="A207" s="29" t="s">
        <v>432</v>
      </c>
      <c r="B207" s="67">
        <v>52371501875</v>
      </c>
      <c r="C207" s="18" t="s">
        <v>138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433</v>
      </c>
      <c r="B208" s="67"/>
      <c r="C208" s="18" t="s">
        <v>138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434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435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436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32</v>
      </c>
      <c r="H211" s="9"/>
      <c r="I211" s="8"/>
      <c r="J211" s="8"/>
      <c r="K211" s="8"/>
      <c r="L211" s="8"/>
      <c r="M211" s="8"/>
    </row>
    <row r="212" spans="1:13">
      <c r="A212" s="14" t="s">
        <v>437</v>
      </c>
      <c r="B212" s="67">
        <v>25897391840</v>
      </c>
      <c r="C212" s="72" t="s">
        <v>438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439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440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441</v>
      </c>
      <c r="B215" s="67">
        <v>32841222810</v>
      </c>
      <c r="C215" s="72" t="s">
        <v>442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443</v>
      </c>
      <c r="B216" s="67">
        <v>32242692860</v>
      </c>
      <c r="C216" s="72" t="s">
        <v>444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445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446</v>
      </c>
      <c r="B218" s="67">
        <v>35157366892</v>
      </c>
      <c r="C218" s="72" t="s">
        <v>447</v>
      </c>
      <c r="D218" s="69">
        <v>7540659440</v>
      </c>
      <c r="E218" s="9">
        <v>262</v>
      </c>
      <c r="F218" s="25">
        <v>43160</v>
      </c>
      <c r="G218" s="70" t="s">
        <v>25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448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25</v>
      </c>
      <c r="H219" s="70"/>
      <c r="I219" s="8"/>
      <c r="J219" s="8"/>
      <c r="K219" s="8"/>
      <c r="L219" s="8"/>
      <c r="M219" s="8"/>
    </row>
    <row r="220" spans="1:13">
      <c r="A220" s="15" t="s">
        <v>449</v>
      </c>
      <c r="B220" s="67">
        <v>86052484594</v>
      </c>
      <c r="C220" s="72" t="s">
        <v>450</v>
      </c>
      <c r="D220" s="69">
        <v>5551698556</v>
      </c>
      <c r="E220" s="9">
        <v>117</v>
      </c>
      <c r="F220" s="25">
        <v>43117</v>
      </c>
      <c r="G220" s="70" t="s">
        <v>25</v>
      </c>
      <c r="H220" s="70"/>
      <c r="I220" s="8"/>
      <c r="J220" s="8"/>
      <c r="K220" s="8"/>
      <c r="L220" s="9" t="s">
        <v>179</v>
      </c>
      <c r="M220" s="8"/>
    </row>
    <row r="221" spans="1:13">
      <c r="A221" s="15" t="s">
        <v>451</v>
      </c>
      <c r="B221" s="67">
        <v>32193061874</v>
      </c>
      <c r="C221" s="72" t="s">
        <v>452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453</v>
      </c>
      <c r="B222" s="67">
        <v>32729382810</v>
      </c>
      <c r="C222" s="29" t="s">
        <v>454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455</v>
      </c>
      <c r="B223" s="67">
        <v>32554462879</v>
      </c>
      <c r="C223" s="72" t="s">
        <v>456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457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458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459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460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25</v>
      </c>
      <c r="H227" s="70"/>
      <c r="I227" s="8"/>
      <c r="J227" s="8"/>
      <c r="K227" s="8"/>
      <c r="L227" s="9" t="s">
        <v>147</v>
      </c>
      <c r="M227" s="8"/>
    </row>
    <row r="228" spans="1:13">
      <c r="A228" s="72" t="s">
        <v>461</v>
      </c>
      <c r="B228" s="67">
        <v>39961258878</v>
      </c>
      <c r="C228" s="72" t="s">
        <v>462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463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464</v>
      </c>
      <c r="B230" s="67">
        <v>35719819878</v>
      </c>
      <c r="C230" s="72" t="s">
        <v>465</v>
      </c>
      <c r="D230" s="69">
        <v>11407737473</v>
      </c>
      <c r="E230" s="9">
        <v>1214</v>
      </c>
      <c r="F230" s="25">
        <v>42989</v>
      </c>
      <c r="G230" s="70" t="s">
        <v>25</v>
      </c>
      <c r="H230" s="70"/>
      <c r="I230" s="8"/>
      <c r="J230" s="8"/>
      <c r="K230" s="8"/>
      <c r="L230" s="8"/>
      <c r="M230" s="8"/>
    </row>
    <row r="231" spans="1:13">
      <c r="A231" s="13" t="s">
        <v>466</v>
      </c>
      <c r="B231" s="67">
        <v>45813645829</v>
      </c>
      <c r="C231" s="68" t="s">
        <v>467</v>
      </c>
      <c r="D231" s="69">
        <v>40890894841</v>
      </c>
      <c r="E231" s="9">
        <v>1752</v>
      </c>
      <c r="F231" s="25">
        <v>43051</v>
      </c>
      <c r="G231" s="70" t="s">
        <v>25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468</v>
      </c>
      <c r="B232" s="67">
        <v>43811085824</v>
      </c>
      <c r="C232" s="15" t="s">
        <v>469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470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308</v>
      </c>
      <c r="M233" s="8"/>
    </row>
    <row r="234" spans="1:13">
      <c r="A234" s="29" t="s">
        <v>471</v>
      </c>
      <c r="B234" s="67"/>
      <c r="C234" s="18" t="s">
        <v>138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472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473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25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474</v>
      </c>
      <c r="B237" s="67">
        <v>86221152593</v>
      </c>
      <c r="C237" s="72" t="s">
        <v>475</v>
      </c>
      <c r="D237" s="69">
        <v>3688414560</v>
      </c>
      <c r="E237" s="9">
        <v>1214</v>
      </c>
      <c r="F237" s="25">
        <v>42989</v>
      </c>
      <c r="G237" s="70" t="s">
        <v>25</v>
      </c>
      <c r="H237" s="70"/>
      <c r="I237" s="8"/>
      <c r="J237" s="8"/>
      <c r="K237" s="8"/>
      <c r="L237" s="8"/>
      <c r="M237" s="8"/>
    </row>
    <row r="238" spans="1:13">
      <c r="A238" s="15" t="s">
        <v>476</v>
      </c>
      <c r="B238" s="67">
        <v>5918222456</v>
      </c>
      <c r="C238" s="72" t="s">
        <v>477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478</v>
      </c>
      <c r="B239" s="67">
        <v>37239200809</v>
      </c>
      <c r="C239" s="72" t="s">
        <v>479</v>
      </c>
      <c r="D239" s="69">
        <v>36014828869</v>
      </c>
      <c r="E239" s="9">
        <v>1350</v>
      </c>
      <c r="F239" s="25">
        <v>43006</v>
      </c>
      <c r="G239" s="70" t="s">
        <v>25</v>
      </c>
      <c r="H239" s="70"/>
      <c r="I239" s="8"/>
      <c r="J239" s="8"/>
      <c r="K239" s="8"/>
      <c r="L239" s="8"/>
      <c r="M239" s="8"/>
    </row>
    <row r="240" spans="1:13">
      <c r="A240" s="71" t="s">
        <v>480</v>
      </c>
      <c r="B240" s="67">
        <v>6620279813</v>
      </c>
      <c r="C240" s="72" t="s">
        <v>481</v>
      </c>
      <c r="D240" s="69">
        <v>18461089855</v>
      </c>
      <c r="E240" s="9">
        <v>1824</v>
      </c>
      <c r="F240" s="25">
        <v>43091</v>
      </c>
      <c r="G240" s="70" t="s">
        <v>25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482</v>
      </c>
      <c r="B241" s="67">
        <v>11805424874</v>
      </c>
      <c r="C241" s="77" t="s">
        <v>483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484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25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485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25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486</v>
      </c>
      <c r="B244" s="67">
        <v>34001342871</v>
      </c>
      <c r="C244" s="18" t="s">
        <v>487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488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25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489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490</v>
      </c>
      <c r="B247" s="67">
        <v>1308082533</v>
      </c>
      <c r="C247" s="72" t="s">
        <v>491</v>
      </c>
      <c r="D247" s="69">
        <v>73690139520</v>
      </c>
      <c r="E247" s="9">
        <v>262</v>
      </c>
      <c r="F247" s="25">
        <v>43160</v>
      </c>
      <c r="G247" s="70" t="s">
        <v>25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492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25</v>
      </c>
      <c r="H248" s="70"/>
      <c r="I248" s="8"/>
      <c r="J248" s="8"/>
      <c r="K248" s="8"/>
      <c r="L248" s="9" t="s">
        <v>179</v>
      </c>
      <c r="M248" s="8"/>
    </row>
    <row r="249" spans="1:13">
      <c r="A249" s="71" t="s">
        <v>493</v>
      </c>
      <c r="B249" s="67">
        <v>4068496846</v>
      </c>
      <c r="C249" s="72" t="s">
        <v>494</v>
      </c>
      <c r="D249" s="69">
        <v>26922524896</v>
      </c>
      <c r="E249" s="9">
        <v>1752</v>
      </c>
      <c r="F249" s="25">
        <v>43051</v>
      </c>
      <c r="G249" s="70" t="s">
        <v>25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495</v>
      </c>
      <c r="B250" s="67">
        <v>92175163849</v>
      </c>
      <c r="C250" s="72" t="s">
        <v>496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497</v>
      </c>
      <c r="B251" s="67">
        <v>76906388304</v>
      </c>
      <c r="C251" s="18" t="s">
        <v>498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499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25</v>
      </c>
      <c r="H252" s="70"/>
      <c r="I252" s="8"/>
      <c r="J252" s="8"/>
      <c r="K252" s="8"/>
      <c r="L252" s="9" t="s">
        <v>179</v>
      </c>
      <c r="M252" s="8"/>
    </row>
    <row r="253" spans="1:13">
      <c r="A253" s="71" t="s">
        <v>500</v>
      </c>
      <c r="B253" s="67">
        <v>2925106323</v>
      </c>
      <c r="C253" s="72" t="s">
        <v>501</v>
      </c>
      <c r="D253" s="69">
        <v>16131378851</v>
      </c>
      <c r="E253" s="9">
        <v>1214</v>
      </c>
      <c r="F253" s="25">
        <v>42989</v>
      </c>
      <c r="G253" s="70" t="s">
        <v>25</v>
      </c>
      <c r="H253" s="70"/>
      <c r="I253" s="8"/>
      <c r="J253" s="8"/>
      <c r="K253" s="8"/>
      <c r="L253" s="8"/>
      <c r="M253" s="8"/>
    </row>
    <row r="254" spans="1:13">
      <c r="A254" s="13" t="s">
        <v>502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25</v>
      </c>
      <c r="H254" s="70"/>
      <c r="I254" s="8"/>
      <c r="J254" s="8"/>
      <c r="K254" s="8"/>
      <c r="L254" s="8"/>
      <c r="M254" s="8"/>
    </row>
    <row r="255" spans="1:13">
      <c r="A255" s="13" t="s">
        <v>503</v>
      </c>
      <c r="B255" s="67">
        <v>30871120895</v>
      </c>
      <c r="C255" s="68" t="s">
        <v>504</v>
      </c>
      <c r="D255" s="69">
        <v>7635106457</v>
      </c>
      <c r="E255" s="9">
        <v>1241</v>
      </c>
      <c r="F255" s="25">
        <v>42992</v>
      </c>
      <c r="G255" s="70" t="s">
        <v>25</v>
      </c>
      <c r="H255" s="70"/>
      <c r="I255" s="8"/>
      <c r="J255" s="8"/>
      <c r="K255" s="8"/>
      <c r="L255" s="8"/>
      <c r="M255" s="8"/>
    </row>
    <row r="256" spans="1:13">
      <c r="A256" s="71" t="s">
        <v>505</v>
      </c>
      <c r="B256" s="67">
        <v>32016102837</v>
      </c>
      <c r="C256" s="72" t="s">
        <v>506</v>
      </c>
      <c r="D256" s="69">
        <v>25077406553</v>
      </c>
      <c r="E256" s="9">
        <v>292</v>
      </c>
      <c r="F256" s="25">
        <v>43168</v>
      </c>
      <c r="G256" s="70" t="s">
        <v>25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507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508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509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510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25</v>
      </c>
      <c r="H260" s="70"/>
      <c r="I260" s="8"/>
      <c r="J260" s="8"/>
      <c r="K260" s="8"/>
      <c r="L260" s="9" t="s">
        <v>511</v>
      </c>
      <c r="M260" s="8"/>
    </row>
    <row r="261" spans="1:13">
      <c r="A261" s="15" t="s">
        <v>512</v>
      </c>
      <c r="B261" s="67">
        <v>18856620847</v>
      </c>
      <c r="C261" s="72" t="s">
        <v>513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514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515</v>
      </c>
      <c r="B263" s="67">
        <v>2766966382</v>
      </c>
      <c r="C263" s="72" t="s">
        <v>516</v>
      </c>
      <c r="D263" s="69">
        <v>2385838303</v>
      </c>
      <c r="E263" s="9">
        <v>262</v>
      </c>
      <c r="F263" s="25">
        <v>43160</v>
      </c>
      <c r="G263" s="70" t="s">
        <v>25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517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518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25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519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25</v>
      </c>
      <c r="H266" s="70"/>
      <c r="I266" s="8"/>
      <c r="J266" s="8"/>
      <c r="K266" s="8"/>
      <c r="L266" s="8"/>
      <c r="M266" s="8"/>
    </row>
    <row r="267" spans="1:13">
      <c r="A267" s="71" t="s">
        <v>520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25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521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25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522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25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523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524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25</v>
      </c>
      <c r="H271" s="70"/>
      <c r="I271" s="8"/>
      <c r="J271" s="8"/>
      <c r="K271" s="8"/>
      <c r="L271" s="9" t="s">
        <v>169</v>
      </c>
      <c r="M271" s="8"/>
    </row>
    <row r="272" spans="1:13">
      <c r="A272" s="71" t="s">
        <v>525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526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25</v>
      </c>
      <c r="H273" s="70"/>
      <c r="I273" s="8"/>
      <c r="J273" s="8"/>
      <c r="K273" s="8"/>
      <c r="L273" s="9" t="s">
        <v>169</v>
      </c>
      <c r="M273" s="8"/>
    </row>
    <row r="274" spans="1:13">
      <c r="A274" s="71" t="s">
        <v>527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25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528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529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25</v>
      </c>
      <c r="H276" s="70"/>
      <c r="I276" s="8"/>
      <c r="J276" s="8"/>
      <c r="K276" s="8"/>
      <c r="L276" s="9" t="s">
        <v>147</v>
      </c>
      <c r="M276" s="8"/>
    </row>
    <row r="277" spans="1:13">
      <c r="A277" s="13" t="s">
        <v>530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531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25</v>
      </c>
      <c r="H278" s="70"/>
      <c r="I278" s="8"/>
      <c r="J278" s="8"/>
      <c r="K278" s="8"/>
      <c r="L278" s="8"/>
      <c r="M278" s="8"/>
    </row>
    <row r="279" spans="1:13">
      <c r="A279" s="71" t="s">
        <v>532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533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25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534</v>
      </c>
      <c r="B281" s="67">
        <v>5261128838</v>
      </c>
      <c r="C281" s="72" t="s">
        <v>535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536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537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538</v>
      </c>
      <c r="B284" s="67"/>
      <c r="C284" s="29" t="s">
        <v>138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539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25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540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541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25</v>
      </c>
      <c r="H287" s="70"/>
      <c r="I287" s="8"/>
      <c r="J287" s="8"/>
      <c r="K287" s="8"/>
      <c r="L287" s="8"/>
      <c r="M287" s="8"/>
    </row>
    <row r="288" spans="1:13">
      <c r="A288" s="15" t="s">
        <v>542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25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543</v>
      </c>
      <c r="B289" s="67">
        <v>80117694304</v>
      </c>
      <c r="C289" s="72" t="s">
        <v>544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545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546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547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548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549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25</v>
      </c>
      <c r="H294" s="70"/>
      <c r="I294" s="8"/>
      <c r="J294" s="8"/>
      <c r="K294" s="8"/>
      <c r="L294" s="8"/>
      <c r="M294" s="8"/>
    </row>
    <row r="295" spans="1:13">
      <c r="A295" s="71" t="s">
        <v>550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25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551</v>
      </c>
      <c r="B296" s="67">
        <v>34227913888</v>
      </c>
      <c r="C296" s="72" t="s">
        <v>552</v>
      </c>
      <c r="D296" s="69">
        <v>22306586896</v>
      </c>
      <c r="E296" s="9">
        <v>1214</v>
      </c>
      <c r="F296" s="25">
        <v>42989</v>
      </c>
      <c r="G296" s="70" t="s">
        <v>25</v>
      </c>
      <c r="H296" s="70"/>
      <c r="I296" s="8"/>
      <c r="J296" s="8"/>
      <c r="K296" s="8"/>
      <c r="L296" s="8"/>
      <c r="M296" s="8"/>
    </row>
    <row r="297" spans="1:13">
      <c r="A297" s="71" t="s">
        <v>553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25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554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32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555</v>
      </c>
      <c r="B299" s="67">
        <v>33547844827</v>
      </c>
      <c r="C299" s="72" t="s">
        <v>556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557</v>
      </c>
      <c r="B300" s="67"/>
      <c r="C300" s="18" t="s">
        <v>138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558</v>
      </c>
      <c r="B301" s="67">
        <v>5212801842</v>
      </c>
      <c r="C301" s="72" t="s">
        <v>559</v>
      </c>
      <c r="D301" s="69">
        <v>7101207880</v>
      </c>
      <c r="E301" s="9">
        <v>262</v>
      </c>
      <c r="F301" s="25">
        <v>43160</v>
      </c>
      <c r="G301" s="70" t="s">
        <v>25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560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25</v>
      </c>
      <c r="H302" s="9"/>
      <c r="I302" s="8"/>
      <c r="J302" s="8"/>
      <c r="K302" s="8"/>
      <c r="L302" s="9" t="s">
        <v>147</v>
      </c>
      <c r="M302" s="8"/>
    </row>
    <row r="303" spans="1:13">
      <c r="A303" s="71" t="s">
        <v>561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25</v>
      </c>
      <c r="H303" s="9"/>
      <c r="I303" s="8"/>
      <c r="J303" s="8"/>
      <c r="K303" s="8"/>
      <c r="L303" s="8"/>
      <c r="M303" s="8"/>
    </row>
    <row r="304" spans="1:13">
      <c r="A304" s="29" t="s">
        <v>562</v>
      </c>
      <c r="B304" s="67"/>
      <c r="C304" s="29" t="s">
        <v>563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564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25</v>
      </c>
      <c r="H305" s="9"/>
      <c r="I305" s="8"/>
      <c r="J305" s="8"/>
      <c r="K305" s="8"/>
      <c r="L305" s="8"/>
      <c r="M305" s="8"/>
    </row>
    <row r="306" spans="1:13">
      <c r="A306" s="29" t="s">
        <v>565</v>
      </c>
      <c r="B306" s="67">
        <v>43257974833</v>
      </c>
      <c r="C306" s="18" t="s">
        <v>138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566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25</v>
      </c>
      <c r="H307" s="9"/>
      <c r="I307" s="8"/>
      <c r="J307" s="8"/>
      <c r="K307" s="8"/>
      <c r="L307" s="8"/>
      <c r="M307" s="8"/>
    </row>
    <row r="308" spans="1:13">
      <c r="A308" s="71" t="s">
        <v>567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568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25</v>
      </c>
      <c r="H309" s="9"/>
      <c r="I309" s="8"/>
      <c r="J309" s="8"/>
      <c r="K309" s="8"/>
      <c r="L309" s="9" t="s">
        <v>147</v>
      </c>
      <c r="M309" s="8"/>
    </row>
    <row r="310" spans="1:13">
      <c r="A310" s="13" t="s">
        <v>569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25</v>
      </c>
      <c r="H310" s="9"/>
      <c r="I310" s="8"/>
      <c r="J310" s="8"/>
      <c r="K310" s="8"/>
      <c r="L310" s="8"/>
      <c r="M310" s="8"/>
    </row>
    <row r="311" spans="1:13">
      <c r="A311" s="72" t="s">
        <v>570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25</v>
      </c>
      <c r="H311" s="9"/>
      <c r="I311" s="8"/>
      <c r="J311" s="8"/>
      <c r="K311" s="8"/>
      <c r="L311" s="9" t="s">
        <v>169</v>
      </c>
      <c r="M311" s="8"/>
    </row>
    <row r="312" spans="1:13">
      <c r="A312" s="18" t="s">
        <v>571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572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25</v>
      </c>
      <c r="H313" s="9"/>
      <c r="I313" s="8"/>
      <c r="J313" s="8"/>
      <c r="K313" s="8"/>
      <c r="L313" s="8"/>
      <c r="M313" s="8"/>
    </row>
    <row r="314" spans="1:13">
      <c r="A314" s="15" t="s">
        <v>573</v>
      </c>
      <c r="B314" s="67">
        <v>56647751300</v>
      </c>
      <c r="C314" s="72" t="s">
        <v>574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575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25</v>
      </c>
      <c r="H315" s="9"/>
      <c r="I315" s="8"/>
      <c r="J315" s="8"/>
      <c r="K315" s="8"/>
      <c r="L315" s="9" t="s">
        <v>169</v>
      </c>
      <c r="M315" s="8"/>
    </row>
    <row r="316" spans="1:13">
      <c r="A316" s="71" t="s">
        <v>576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577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25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578</v>
      </c>
      <c r="B318" s="67">
        <v>42049249802</v>
      </c>
      <c r="C318" s="72" t="s">
        <v>579</v>
      </c>
      <c r="D318" s="69">
        <v>22669338844</v>
      </c>
      <c r="E318" s="9">
        <v>1267</v>
      </c>
      <c r="F318" s="25">
        <v>42998</v>
      </c>
      <c r="G318" s="70" t="s">
        <v>25</v>
      </c>
      <c r="H318" s="9"/>
      <c r="I318" s="8"/>
      <c r="J318" s="8"/>
      <c r="K318" s="8"/>
      <c r="L318" s="8"/>
      <c r="M318" s="8"/>
    </row>
    <row r="319" spans="1:13">
      <c r="A319" s="71" t="s">
        <v>580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25</v>
      </c>
      <c r="H319" s="9"/>
      <c r="I319" s="8"/>
      <c r="J319" s="8"/>
      <c r="K319" s="8"/>
      <c r="L319" s="8"/>
      <c r="M319" s="8"/>
    </row>
    <row r="320" spans="1:13">
      <c r="A320" s="14" t="s">
        <v>581</v>
      </c>
      <c r="B320" s="67">
        <v>1863847502</v>
      </c>
      <c r="C320" s="72" t="s">
        <v>582</v>
      </c>
      <c r="D320" s="69">
        <v>1636882579</v>
      </c>
      <c r="E320" s="9">
        <v>292</v>
      </c>
      <c r="F320" s="25">
        <v>43168</v>
      </c>
      <c r="G320" s="70" t="s">
        <v>25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583</v>
      </c>
      <c r="B321" s="67">
        <v>24759459820</v>
      </c>
      <c r="C321" s="18" t="s">
        <v>584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585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25</v>
      </c>
      <c r="H322" s="9"/>
      <c r="I322" s="8"/>
      <c r="J322" s="8"/>
      <c r="K322" s="8"/>
      <c r="L322" s="9" t="s">
        <v>407</v>
      </c>
      <c r="M322" s="8"/>
    </row>
    <row r="323" spans="1:13">
      <c r="A323" s="29" t="s">
        <v>586</v>
      </c>
      <c r="B323" s="67"/>
      <c r="C323" s="18" t="s">
        <v>138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587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25</v>
      </c>
      <c r="H324" s="9"/>
      <c r="I324" s="8"/>
      <c r="J324" s="8"/>
      <c r="K324" s="8"/>
      <c r="L324" s="8"/>
      <c r="M324" s="8"/>
    </row>
    <row r="325" spans="1:13">
      <c r="A325" s="71" t="s">
        <v>588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589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25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590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591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592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25</v>
      </c>
      <c r="H329" s="9"/>
      <c r="I329" s="8"/>
      <c r="J329" s="8"/>
      <c r="K329" s="8"/>
      <c r="L329" s="8"/>
      <c r="M329" s="8"/>
    </row>
    <row r="330" spans="1:13">
      <c r="A330" s="71" t="s">
        <v>593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25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594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25</v>
      </c>
      <c r="H331" s="9"/>
      <c r="I331" s="8"/>
      <c r="J331" s="8"/>
      <c r="K331" s="8"/>
      <c r="L331" s="8"/>
      <c r="M331" s="8"/>
    </row>
    <row r="332" spans="1:13">
      <c r="A332" s="71" t="s">
        <v>595</v>
      </c>
      <c r="B332" s="67">
        <v>43830821816</v>
      </c>
      <c r="C332" s="72" t="s">
        <v>596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597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40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598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599</v>
      </c>
      <c r="B335" s="67">
        <v>26501719879</v>
      </c>
      <c r="C335" s="75" t="s">
        <v>600</v>
      </c>
      <c r="D335" s="69">
        <v>26502973876</v>
      </c>
      <c r="E335" s="9">
        <v>1106</v>
      </c>
      <c r="F335" s="25">
        <v>42965</v>
      </c>
      <c r="G335" s="70" t="s">
        <v>25</v>
      </c>
      <c r="H335" s="9"/>
      <c r="I335" s="8"/>
      <c r="J335" s="8"/>
      <c r="K335" s="8"/>
      <c r="L335" s="8"/>
      <c r="M335" s="8"/>
    </row>
    <row r="336" spans="1:13">
      <c r="A336" s="13" t="s">
        <v>601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25</v>
      </c>
      <c r="H336" s="9"/>
      <c r="I336" s="8"/>
      <c r="J336" s="8"/>
      <c r="K336" s="8"/>
      <c r="L336" s="8"/>
      <c r="M336" s="8"/>
    </row>
    <row r="337" spans="1:13">
      <c r="A337" s="14" t="s">
        <v>602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603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25</v>
      </c>
      <c r="H338" s="9"/>
      <c r="I338" s="8"/>
      <c r="J338" s="8"/>
      <c r="K338" s="8"/>
      <c r="L338" s="8"/>
      <c r="M338" s="8"/>
    </row>
    <row r="339" spans="1:13">
      <c r="A339" s="71" t="s">
        <v>604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605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606</v>
      </c>
      <c r="B341" s="67">
        <v>33603802829</v>
      </c>
      <c r="C341" s="72" t="s">
        <v>607</v>
      </c>
      <c r="D341" s="69">
        <v>26302620813</v>
      </c>
      <c r="E341" s="9">
        <v>1262</v>
      </c>
      <c r="F341" s="25">
        <v>42997</v>
      </c>
      <c r="G341" s="70" t="s">
        <v>25</v>
      </c>
      <c r="H341" s="9"/>
      <c r="I341" s="8"/>
      <c r="J341" s="8"/>
      <c r="K341" s="8"/>
      <c r="L341" s="8"/>
      <c r="M341" s="8"/>
    </row>
    <row r="342" spans="1:13">
      <c r="A342" s="13" t="s">
        <v>608</v>
      </c>
      <c r="B342" s="67">
        <v>23802013824</v>
      </c>
      <c r="C342" s="72" t="s">
        <v>609</v>
      </c>
      <c r="D342" s="69">
        <v>23099249890</v>
      </c>
      <c r="E342" s="9">
        <v>1489</v>
      </c>
      <c r="F342" s="25">
        <v>43038</v>
      </c>
      <c r="G342" s="70" t="s">
        <v>25</v>
      </c>
      <c r="H342" s="9"/>
      <c r="I342" s="8"/>
      <c r="J342" s="8"/>
      <c r="K342" s="8"/>
      <c r="L342" s="9" t="s">
        <v>169</v>
      </c>
      <c r="M342" s="8"/>
    </row>
    <row r="343" spans="1:13">
      <c r="A343" s="71" t="s">
        <v>610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611</v>
      </c>
      <c r="B344" s="67">
        <v>39348497847</v>
      </c>
      <c r="C344" s="72" t="s">
        <v>612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613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25</v>
      </c>
      <c r="H345" s="9"/>
      <c r="I345" s="8"/>
      <c r="J345" s="8"/>
      <c r="K345" s="8"/>
      <c r="L345" s="9" t="s">
        <v>169</v>
      </c>
      <c r="M345" s="8"/>
    </row>
    <row r="346" spans="1:13">
      <c r="A346" s="71" t="s">
        <v>614</v>
      </c>
      <c r="B346" s="67">
        <v>46102945832</v>
      </c>
      <c r="C346" s="72" t="s">
        <v>615</v>
      </c>
      <c r="D346" s="69">
        <v>48110319890</v>
      </c>
      <c r="E346" s="9">
        <v>262</v>
      </c>
      <c r="F346" s="25">
        <v>43160</v>
      </c>
      <c r="G346" s="70" t="s">
        <v>25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616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25</v>
      </c>
      <c r="H347" s="9"/>
      <c r="I347" s="8"/>
      <c r="J347" s="8"/>
      <c r="K347" s="8"/>
      <c r="L347" s="8"/>
      <c r="M347" s="8"/>
    </row>
    <row r="348" spans="1:13">
      <c r="A348" s="71" t="s">
        <v>617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618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40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619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25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620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621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25</v>
      </c>
      <c r="H352" s="9"/>
      <c r="I352" s="8"/>
      <c r="J352" s="8"/>
      <c r="K352" s="8"/>
      <c r="L352" s="8"/>
      <c r="M352" s="8"/>
    </row>
    <row r="353" spans="1:13">
      <c r="A353" s="13" t="s">
        <v>622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25</v>
      </c>
      <c r="H353" s="9"/>
      <c r="I353" s="8"/>
      <c r="J353" s="8"/>
      <c r="K353" s="8"/>
      <c r="L353" s="9" t="s">
        <v>262</v>
      </c>
      <c r="M353" s="8"/>
    </row>
    <row r="354" spans="1:13">
      <c r="A354" s="15" t="s">
        <v>623</v>
      </c>
      <c r="B354" s="67">
        <v>37738978805</v>
      </c>
      <c r="C354" s="15" t="s">
        <v>624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625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626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627</v>
      </c>
      <c r="B357" s="67">
        <v>37439665813</v>
      </c>
      <c r="C357" s="72" t="s">
        <v>628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308</v>
      </c>
      <c r="M357" s="8"/>
    </row>
    <row r="358" spans="1:13">
      <c r="A358" s="15" t="s">
        <v>629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630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631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25</v>
      </c>
      <c r="H360" s="9"/>
      <c r="I360" s="8"/>
      <c r="J360" s="8"/>
      <c r="K360" s="8"/>
      <c r="L360" s="9" t="s">
        <v>511</v>
      </c>
      <c r="M360" s="8"/>
    </row>
    <row r="361" spans="1:13">
      <c r="A361" s="15" t="s">
        <v>632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633</v>
      </c>
      <c r="B362" s="67">
        <v>39263170860</v>
      </c>
      <c r="C362" s="72" t="s">
        <v>634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635</v>
      </c>
      <c r="B363" s="67">
        <v>17803665829</v>
      </c>
      <c r="C363" s="72" t="s">
        <v>636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637</v>
      </c>
      <c r="B364" s="67">
        <v>39996489884</v>
      </c>
      <c r="C364" s="72" t="s">
        <v>638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639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25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640</v>
      </c>
      <c r="B366" s="67">
        <v>36210371876</v>
      </c>
      <c r="C366" s="72" t="s">
        <v>641</v>
      </c>
      <c r="D366" s="69">
        <v>32340716837</v>
      </c>
      <c r="E366" s="9">
        <v>229</v>
      </c>
      <c r="F366" s="25">
        <v>43151</v>
      </c>
      <c r="G366" s="70" t="s">
        <v>25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642</v>
      </c>
      <c r="B367" s="67">
        <v>42016007850</v>
      </c>
      <c r="C367" s="72" t="s">
        <v>643</v>
      </c>
      <c r="D367" s="69">
        <v>35228090843</v>
      </c>
      <c r="E367" s="9">
        <v>810</v>
      </c>
      <c r="F367" s="25">
        <v>42915</v>
      </c>
      <c r="G367" s="70" t="s">
        <v>25</v>
      </c>
      <c r="H367" s="9"/>
      <c r="I367" s="8"/>
      <c r="J367" s="8"/>
      <c r="K367" s="8"/>
      <c r="L367" s="9" t="s">
        <v>147</v>
      </c>
      <c r="M367" s="8"/>
    </row>
    <row r="368" spans="1:13">
      <c r="A368" s="14" t="s">
        <v>644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25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645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25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646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25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647</v>
      </c>
      <c r="B371" s="67">
        <v>34350558802</v>
      </c>
      <c r="C371" s="18" t="s">
        <v>648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649</v>
      </c>
      <c r="B372" s="67">
        <v>41502336839</v>
      </c>
      <c r="C372" s="77" t="s">
        <v>650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651</v>
      </c>
      <c r="B373" s="67">
        <v>38156943880</v>
      </c>
      <c r="C373" s="72" t="s">
        <v>652</v>
      </c>
      <c r="D373" s="69">
        <v>35830934884</v>
      </c>
      <c r="E373" s="9">
        <v>262</v>
      </c>
      <c r="F373" s="25">
        <v>43160</v>
      </c>
      <c r="G373" s="70" t="s">
        <v>25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653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25</v>
      </c>
      <c r="H374" s="9"/>
      <c r="I374" s="8"/>
      <c r="J374" s="8"/>
      <c r="K374" s="8"/>
      <c r="L374" s="9" t="s">
        <v>147</v>
      </c>
      <c r="M374" s="8"/>
    </row>
    <row r="375" spans="1:13">
      <c r="A375" s="71" t="s">
        <v>654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25</v>
      </c>
      <c r="H375" s="9"/>
      <c r="I375" s="8"/>
      <c r="J375" s="8"/>
      <c r="K375" s="8"/>
      <c r="L375" s="8"/>
      <c r="M375" s="8"/>
    </row>
    <row r="376" spans="1:13">
      <c r="A376" s="71" t="s">
        <v>655</v>
      </c>
      <c r="B376" s="67" t="s">
        <v>656</v>
      </c>
      <c r="C376" s="73" t="s">
        <v>657</v>
      </c>
      <c r="D376" s="69" t="s">
        <v>658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659</v>
      </c>
      <c r="B377" s="67">
        <v>41104888858</v>
      </c>
      <c r="C377" s="72" t="s">
        <v>660</v>
      </c>
      <c r="D377" s="69">
        <v>35714357884</v>
      </c>
      <c r="E377" s="9">
        <v>810</v>
      </c>
      <c r="F377" s="25">
        <v>42915</v>
      </c>
      <c r="G377" s="70" t="s">
        <v>25</v>
      </c>
      <c r="H377" s="9"/>
      <c r="I377" s="8"/>
      <c r="J377" s="8"/>
      <c r="K377" s="8"/>
      <c r="L377" s="9" t="s">
        <v>147</v>
      </c>
      <c r="M377" s="8"/>
    </row>
    <row r="378" spans="1:13">
      <c r="A378" s="71" t="s">
        <v>661</v>
      </c>
      <c r="B378" s="67">
        <v>34954516846</v>
      </c>
      <c r="C378" s="72" t="s">
        <v>662</v>
      </c>
      <c r="D378" s="69">
        <v>18356312825</v>
      </c>
      <c r="E378" s="9">
        <v>1824</v>
      </c>
      <c r="F378" s="25">
        <v>43091</v>
      </c>
      <c r="G378" s="70" t="s">
        <v>40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663</v>
      </c>
      <c r="B379" s="67"/>
      <c r="C379" s="29" t="s">
        <v>664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665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25</v>
      </c>
      <c r="H380" s="9"/>
      <c r="I380" s="8"/>
      <c r="J380" s="8"/>
      <c r="K380" s="8"/>
      <c r="L380" s="8"/>
      <c r="M380" s="8"/>
    </row>
    <row r="381" spans="1:13">
      <c r="A381" s="13" t="s">
        <v>666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25</v>
      </c>
      <c r="H381" s="9"/>
      <c r="I381" s="8"/>
      <c r="J381" s="8"/>
      <c r="K381" s="8"/>
      <c r="L381" s="9" t="s">
        <v>169</v>
      </c>
      <c r="M381" s="8"/>
    </row>
    <row r="382" spans="1:13">
      <c r="A382" s="71" t="s">
        <v>667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668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25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669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25</v>
      </c>
      <c r="H384" s="9"/>
      <c r="I384" s="8"/>
      <c r="J384" s="8"/>
      <c r="K384" s="8"/>
      <c r="L384" s="9" t="s">
        <v>169</v>
      </c>
      <c r="M384" s="8"/>
    </row>
    <row r="385" spans="1:13">
      <c r="A385" s="15" t="s">
        <v>670</v>
      </c>
      <c r="B385" s="67">
        <v>33239238802</v>
      </c>
      <c r="C385" s="72" t="s">
        <v>671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672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673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25</v>
      </c>
      <c r="H387" s="9"/>
      <c r="I387" s="8"/>
      <c r="J387" s="8"/>
      <c r="K387" s="8"/>
      <c r="L387" s="8"/>
      <c r="M387" s="8"/>
    </row>
    <row r="388" spans="1:13">
      <c r="A388" s="71" t="s">
        <v>674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32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675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25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676</v>
      </c>
      <c r="B390" s="67">
        <v>13486189816</v>
      </c>
      <c r="C390" s="72" t="s">
        <v>677</v>
      </c>
      <c r="D390" s="69">
        <v>15745057858</v>
      </c>
      <c r="E390" s="9">
        <v>262</v>
      </c>
      <c r="F390" s="25">
        <v>43160</v>
      </c>
      <c r="G390" s="70" t="s">
        <v>25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678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25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679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25</v>
      </c>
      <c r="H392" s="9"/>
      <c r="I392" s="8"/>
      <c r="J392" s="8"/>
      <c r="K392" s="8"/>
      <c r="L392" s="8"/>
      <c r="M392" s="8"/>
    </row>
    <row r="393" spans="1:13">
      <c r="A393" s="71" t="s">
        <v>680</v>
      </c>
      <c r="B393" s="67">
        <v>29672702884</v>
      </c>
      <c r="C393" s="72" t="s">
        <v>681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682</v>
      </c>
      <c r="B394" s="67"/>
      <c r="C394" s="29" t="s">
        <v>138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683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25</v>
      </c>
      <c r="H395" s="9"/>
      <c r="I395" s="8"/>
      <c r="J395" s="8"/>
      <c r="K395" s="8"/>
      <c r="L395" s="8"/>
      <c r="M395" s="8"/>
    </row>
    <row r="396" spans="1:13">
      <c r="A396" s="15" t="s">
        <v>684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25</v>
      </c>
      <c r="H396" s="9"/>
      <c r="I396" s="8"/>
      <c r="J396" s="8"/>
      <c r="K396" s="8"/>
      <c r="L396" s="9" t="s">
        <v>179</v>
      </c>
      <c r="M396" s="8"/>
    </row>
    <row r="397" spans="1:13">
      <c r="A397" s="15" t="s">
        <v>685</v>
      </c>
      <c r="B397" s="67">
        <v>7030224582</v>
      </c>
      <c r="C397" s="72" t="s">
        <v>686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687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25</v>
      </c>
      <c r="H398" s="9"/>
      <c r="I398" s="8"/>
      <c r="J398" s="8"/>
      <c r="K398" s="8"/>
      <c r="L398" s="8"/>
      <c r="M398" s="8"/>
    </row>
    <row r="399" spans="1:13">
      <c r="A399" s="72" t="s">
        <v>688</v>
      </c>
      <c r="B399" s="67">
        <v>39783437895</v>
      </c>
      <c r="C399" s="72" t="s">
        <v>689</v>
      </c>
      <c r="D399" s="69">
        <v>12062296754</v>
      </c>
      <c r="E399" s="9">
        <v>292</v>
      </c>
      <c r="F399" s="25">
        <v>43168</v>
      </c>
      <c r="G399" s="9" t="s">
        <v>25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690</v>
      </c>
      <c r="B400" s="67">
        <v>41759713864</v>
      </c>
      <c r="C400" s="72" t="s">
        <v>691</v>
      </c>
      <c r="D400" s="69">
        <v>38653116877</v>
      </c>
      <c r="E400" s="9">
        <v>1824</v>
      </c>
      <c r="F400" s="25">
        <v>43091</v>
      </c>
      <c r="G400" s="70" t="s">
        <v>25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692</v>
      </c>
      <c r="B401" s="67">
        <v>37686754839</v>
      </c>
      <c r="C401" s="72" t="s">
        <v>693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694</v>
      </c>
      <c r="B402" s="67"/>
      <c r="C402" s="29" t="s">
        <v>695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696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25</v>
      </c>
      <c r="H403" s="9"/>
      <c r="I403" s="8"/>
      <c r="J403" s="8"/>
      <c r="K403" s="8"/>
      <c r="L403" s="8"/>
      <c r="M403" s="8"/>
    </row>
    <row r="404" spans="1:13">
      <c r="A404" s="71" t="s">
        <v>697</v>
      </c>
      <c r="B404" s="67">
        <v>44864217874</v>
      </c>
      <c r="C404" s="72" t="s">
        <v>698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699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25</v>
      </c>
      <c r="H405" s="9"/>
      <c r="I405" s="8"/>
      <c r="J405" s="8"/>
      <c r="K405" s="8"/>
      <c r="L405" s="9" t="s">
        <v>262</v>
      </c>
      <c r="M405" s="8"/>
    </row>
    <row r="406" spans="1:13">
      <c r="A406" s="15" t="s">
        <v>700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25</v>
      </c>
      <c r="H406" s="9"/>
      <c r="I406" s="8"/>
      <c r="J406" s="8"/>
      <c r="K406" s="8"/>
      <c r="L406" s="9" t="s">
        <v>179</v>
      </c>
      <c r="M406" s="8"/>
    </row>
    <row r="407" spans="1:13">
      <c r="A407" s="13" t="s">
        <v>701</v>
      </c>
      <c r="B407" s="67">
        <v>1329442512</v>
      </c>
      <c r="C407" s="68" t="s">
        <v>702</v>
      </c>
      <c r="D407" s="69">
        <v>1320825516</v>
      </c>
      <c r="E407" s="9">
        <v>1214</v>
      </c>
      <c r="F407" s="25">
        <v>42989</v>
      </c>
      <c r="G407" s="70" t="s">
        <v>25</v>
      </c>
      <c r="H407" s="9"/>
      <c r="I407" s="8"/>
      <c r="J407" s="8"/>
      <c r="K407" s="8"/>
      <c r="L407" s="8"/>
      <c r="M407" s="8"/>
    </row>
    <row r="408" spans="1:13">
      <c r="A408" s="71" t="s">
        <v>703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704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705</v>
      </c>
      <c r="B410" s="67"/>
      <c r="C410" s="29" t="s">
        <v>138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706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25</v>
      </c>
      <c r="H411" s="9"/>
      <c r="I411" s="8"/>
      <c r="J411" s="8"/>
      <c r="K411" s="8"/>
      <c r="L411" s="8"/>
      <c r="M411" s="8"/>
    </row>
    <row r="412" spans="1:13">
      <c r="A412" s="71" t="s">
        <v>707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25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708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709</v>
      </c>
      <c r="B414" s="67">
        <v>93440340520</v>
      </c>
      <c r="C414" s="68" t="s">
        <v>710</v>
      </c>
      <c r="D414" s="69">
        <v>8858333845</v>
      </c>
      <c r="E414" s="9">
        <v>1267</v>
      </c>
      <c r="F414" s="25">
        <v>42998</v>
      </c>
      <c r="G414" s="70" t="s">
        <v>25</v>
      </c>
      <c r="H414" s="9"/>
      <c r="I414" s="8"/>
      <c r="J414" s="8"/>
      <c r="K414" s="8"/>
      <c r="L414" s="8"/>
      <c r="M414" s="8"/>
    </row>
    <row r="415" spans="1:13">
      <c r="A415" s="29" t="s">
        <v>711</v>
      </c>
      <c r="B415" s="67">
        <v>21947877801</v>
      </c>
      <c r="C415" s="29" t="s">
        <v>712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713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25</v>
      </c>
      <c r="H416" s="9"/>
      <c r="I416" s="8"/>
      <c r="J416" s="8"/>
      <c r="K416" s="8"/>
      <c r="L416" s="8"/>
      <c r="M416" s="8"/>
    </row>
    <row r="417" spans="1:13">
      <c r="A417" s="71" t="s">
        <v>714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25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715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25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716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25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717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25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718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719</v>
      </c>
      <c r="B422" s="67">
        <v>11163355810</v>
      </c>
      <c r="C422" s="72" t="s">
        <v>720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721</v>
      </c>
      <c r="B423" s="67">
        <v>12870537859</v>
      </c>
      <c r="C423" s="72" t="s">
        <v>722</v>
      </c>
      <c r="D423" s="69">
        <v>59856912849</v>
      </c>
      <c r="E423" s="9">
        <v>1417</v>
      </c>
      <c r="F423" s="25">
        <v>43017</v>
      </c>
      <c r="G423" s="70" t="s">
        <v>25</v>
      </c>
      <c r="H423" s="9"/>
      <c r="I423" s="8"/>
      <c r="J423" s="8"/>
      <c r="K423" s="8"/>
      <c r="L423" s="9" t="s">
        <v>262</v>
      </c>
      <c r="M423" s="8"/>
    </row>
    <row r="424" spans="1:13">
      <c r="A424" s="14" t="s">
        <v>723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25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724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725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25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726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25</v>
      </c>
      <c r="H427" s="9"/>
      <c r="I427" s="8"/>
      <c r="J427" s="8"/>
      <c r="K427" s="8"/>
      <c r="L427" s="8"/>
      <c r="M427" s="8"/>
    </row>
    <row r="428" spans="1:13">
      <c r="A428" s="15" t="s">
        <v>727</v>
      </c>
      <c r="B428" s="67">
        <v>34133269888</v>
      </c>
      <c r="C428" s="72" t="s">
        <v>728</v>
      </c>
      <c r="D428" s="69">
        <v>35360635860</v>
      </c>
      <c r="E428" s="9">
        <v>1824</v>
      </c>
      <c r="F428" s="25">
        <v>43091</v>
      </c>
      <c r="G428" s="70" t="s">
        <v>25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729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25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730</v>
      </c>
      <c r="B430" s="67">
        <v>26370314846</v>
      </c>
      <c r="C430" s="72" t="s">
        <v>731</v>
      </c>
      <c r="D430" s="69">
        <v>26923862809</v>
      </c>
      <c r="E430" s="9">
        <v>117</v>
      </c>
      <c r="F430" s="25">
        <v>43117</v>
      </c>
      <c r="G430" s="70" t="s">
        <v>25</v>
      </c>
      <c r="H430" s="9"/>
      <c r="I430" s="8"/>
      <c r="J430" s="8"/>
      <c r="K430" s="8"/>
      <c r="L430" s="9" t="s">
        <v>179</v>
      </c>
      <c r="M430" s="8"/>
    </row>
    <row r="431" spans="1:13">
      <c r="A431" s="71" t="s">
        <v>732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733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25</v>
      </c>
      <c r="H432" s="9"/>
      <c r="I432" s="8"/>
      <c r="J432" s="8"/>
      <c r="K432" s="8"/>
      <c r="L432" s="8"/>
      <c r="M432" s="8"/>
    </row>
    <row r="433" spans="1:13">
      <c r="A433" s="71" t="s">
        <v>734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25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735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25</v>
      </c>
      <c r="H434" s="9"/>
      <c r="I434" s="8"/>
      <c r="J434" s="8"/>
      <c r="K434" s="8"/>
      <c r="L434" s="8"/>
      <c r="M434" s="8"/>
    </row>
    <row r="435" spans="1:13">
      <c r="A435" s="71" t="s">
        <v>736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25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737</v>
      </c>
      <c r="B436" s="67"/>
      <c r="C436" s="29" t="s">
        <v>138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738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40</v>
      </c>
      <c r="H437" s="9"/>
      <c r="I437" s="8"/>
      <c r="J437" s="8"/>
      <c r="K437" s="8"/>
      <c r="L437" s="9" t="s">
        <v>179</v>
      </c>
      <c r="M437" s="8"/>
    </row>
    <row r="438" spans="1:13">
      <c r="A438" s="71" t="s">
        <v>739</v>
      </c>
      <c r="B438" s="67">
        <v>28413241847</v>
      </c>
      <c r="C438" s="72" t="s">
        <v>740</v>
      </c>
      <c r="D438" s="69">
        <v>14661915895</v>
      </c>
      <c r="E438" s="9">
        <v>810</v>
      </c>
      <c r="F438" s="25">
        <v>42915</v>
      </c>
      <c r="G438" s="70" t="s">
        <v>25</v>
      </c>
      <c r="H438" s="9"/>
      <c r="I438" s="8"/>
      <c r="J438" s="8"/>
      <c r="K438" s="8"/>
      <c r="L438" s="9" t="s">
        <v>147</v>
      </c>
      <c r="M438" s="8"/>
    </row>
    <row r="439" spans="1:13">
      <c r="A439" s="15" t="s">
        <v>741</v>
      </c>
      <c r="B439" s="67">
        <v>12898733806</v>
      </c>
      <c r="C439" s="72" t="s">
        <v>742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743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25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744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745</v>
      </c>
      <c r="B442" s="67">
        <v>667192328</v>
      </c>
      <c r="C442" s="29" t="s">
        <v>746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747</v>
      </c>
      <c r="B443" s="67">
        <v>3474339443</v>
      </c>
      <c r="C443" s="72" t="s">
        <v>748</v>
      </c>
      <c r="D443" s="69">
        <v>58073604515</v>
      </c>
      <c r="E443" s="9">
        <v>810</v>
      </c>
      <c r="F443" s="25">
        <v>42915</v>
      </c>
      <c r="G443" s="70" t="s">
        <v>25</v>
      </c>
      <c r="H443" s="9"/>
      <c r="I443" s="8"/>
      <c r="J443" s="8"/>
      <c r="K443" s="8"/>
      <c r="L443" s="9" t="s">
        <v>147</v>
      </c>
      <c r="M443" s="8"/>
    </row>
    <row r="444" spans="1:13">
      <c r="A444" s="71" t="s">
        <v>749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25</v>
      </c>
      <c r="H444" s="9"/>
      <c r="I444" s="8"/>
      <c r="J444" s="8"/>
      <c r="K444" s="8"/>
      <c r="L444" s="8"/>
      <c r="M444" s="8"/>
    </row>
    <row r="445" spans="1:13">
      <c r="A445" s="14" t="s">
        <v>750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751</v>
      </c>
      <c r="B446" s="67">
        <v>70014140349</v>
      </c>
      <c r="C446" s="72" t="s">
        <v>752</v>
      </c>
      <c r="D446" s="69">
        <v>16412436863</v>
      </c>
      <c r="E446" s="9">
        <v>1262</v>
      </c>
      <c r="F446" s="25">
        <v>42997</v>
      </c>
      <c r="G446" s="70" t="s">
        <v>25</v>
      </c>
      <c r="H446" s="9"/>
      <c r="I446" s="8"/>
      <c r="J446" s="8"/>
      <c r="K446" s="8"/>
      <c r="L446" s="8"/>
      <c r="M446" s="8"/>
    </row>
    <row r="447" spans="1:13">
      <c r="A447" s="71" t="s">
        <v>753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754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25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755</v>
      </c>
      <c r="B449" s="67">
        <v>42230945807</v>
      </c>
      <c r="C449" s="29" t="s">
        <v>756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757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25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758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25</v>
      </c>
      <c r="H451" s="9"/>
      <c r="I451" s="8"/>
      <c r="J451" s="8"/>
      <c r="K451" s="8"/>
      <c r="L451" s="8"/>
      <c r="M451" s="8"/>
    </row>
    <row r="452" spans="1:13">
      <c r="A452" s="13" t="s">
        <v>759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25</v>
      </c>
      <c r="H452" s="9"/>
      <c r="I452" s="8"/>
      <c r="J452" s="8"/>
      <c r="K452" s="8"/>
      <c r="L452" s="9" t="s">
        <v>169</v>
      </c>
      <c r="M452" s="8"/>
    </row>
    <row r="453" spans="1:13">
      <c r="A453" s="71" t="s">
        <v>760</v>
      </c>
      <c r="B453" s="67">
        <v>7380335456</v>
      </c>
      <c r="C453" s="72" t="s">
        <v>761</v>
      </c>
      <c r="D453" s="69">
        <v>7548744439</v>
      </c>
      <c r="E453" s="9">
        <v>810</v>
      </c>
      <c r="F453" s="25">
        <v>42915</v>
      </c>
      <c r="G453" s="70" t="s">
        <v>25</v>
      </c>
      <c r="H453" s="9"/>
      <c r="I453" s="8"/>
      <c r="J453" s="8"/>
      <c r="K453" s="8"/>
      <c r="L453" s="9" t="s">
        <v>147</v>
      </c>
      <c r="M453" s="8"/>
    </row>
    <row r="454" spans="1:13">
      <c r="A454" s="18" t="s">
        <v>762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763</v>
      </c>
      <c r="B455" s="67">
        <v>38529900847</v>
      </c>
      <c r="C455" s="72" t="s">
        <v>764</v>
      </c>
      <c r="D455" s="69">
        <v>36056823830</v>
      </c>
      <c r="E455" s="9">
        <v>262</v>
      </c>
      <c r="F455" s="25">
        <v>43160</v>
      </c>
      <c r="G455" s="70" t="s">
        <v>25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765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25</v>
      </c>
      <c r="H456" s="9"/>
      <c r="I456" s="8"/>
      <c r="J456" s="8"/>
      <c r="K456" s="8"/>
      <c r="L456" s="9" t="s">
        <v>262</v>
      </c>
      <c r="M456" s="8"/>
    </row>
    <row r="457" spans="1:13">
      <c r="A457" s="13" t="s">
        <v>766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25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767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25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768</v>
      </c>
      <c r="B459" s="67">
        <v>11806390817</v>
      </c>
      <c r="C459" s="72" t="s">
        <v>769</v>
      </c>
      <c r="D459" s="69">
        <v>6924399860</v>
      </c>
      <c r="E459" s="9">
        <v>85</v>
      </c>
      <c r="F459" s="25">
        <v>43109</v>
      </c>
      <c r="G459" s="70" t="s">
        <v>25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770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771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25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772</v>
      </c>
      <c r="B462" s="67">
        <v>32734621835</v>
      </c>
      <c r="C462" s="77" t="s">
        <v>773</v>
      </c>
      <c r="D462" s="69" t="s">
        <v>774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775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25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776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777</v>
      </c>
      <c r="B465" s="67">
        <v>31367730805</v>
      </c>
      <c r="C465" s="68" t="s">
        <v>778</v>
      </c>
      <c r="D465" s="69">
        <v>39532354867</v>
      </c>
      <c r="E465" s="9">
        <v>1350</v>
      </c>
      <c r="F465" s="25">
        <v>43006</v>
      </c>
      <c r="G465" s="70" t="s">
        <v>25</v>
      </c>
      <c r="H465" s="9"/>
      <c r="I465" s="8"/>
      <c r="J465" s="8"/>
      <c r="K465" s="8"/>
      <c r="L465" s="8"/>
      <c r="M465" s="8"/>
    </row>
    <row r="466" spans="1:13">
      <c r="A466" s="71" t="s">
        <v>779</v>
      </c>
      <c r="B466" s="67">
        <v>5579867611</v>
      </c>
      <c r="C466" s="72" t="s">
        <v>780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781</v>
      </c>
      <c r="B467" s="67">
        <v>17118545813</v>
      </c>
      <c r="C467" s="72" t="s">
        <v>782</v>
      </c>
      <c r="D467" s="69">
        <v>29932279803</v>
      </c>
      <c r="E467" s="9">
        <v>262</v>
      </c>
      <c r="F467" s="25">
        <v>43160</v>
      </c>
      <c r="G467" s="70" t="s">
        <v>25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783</v>
      </c>
      <c r="B468" s="67">
        <v>35031003855</v>
      </c>
      <c r="C468" s="72" t="s">
        <v>784</v>
      </c>
      <c r="D468" s="69">
        <v>41246529840</v>
      </c>
      <c r="E468" s="9">
        <v>1422</v>
      </c>
      <c r="F468" s="25">
        <v>43018</v>
      </c>
      <c r="G468" s="70" t="s">
        <v>25</v>
      </c>
      <c r="H468" s="9"/>
      <c r="I468" s="8"/>
      <c r="J468" s="8"/>
      <c r="K468" s="8"/>
      <c r="L468" s="8"/>
      <c r="M468" s="8"/>
    </row>
    <row r="469" spans="1:13">
      <c r="A469" s="32" t="s">
        <v>785</v>
      </c>
      <c r="B469" s="67">
        <v>17803718884</v>
      </c>
      <c r="C469" s="32" t="s">
        <v>786</v>
      </c>
      <c r="D469" s="69">
        <v>364628880</v>
      </c>
      <c r="E469" s="9">
        <v>1570</v>
      </c>
      <c r="F469" s="25">
        <v>43077</v>
      </c>
      <c r="G469" s="70" t="s">
        <v>25</v>
      </c>
      <c r="H469" s="9"/>
      <c r="I469" s="8"/>
      <c r="J469" s="8"/>
      <c r="K469" s="8"/>
      <c r="L469" s="8"/>
      <c r="M469" s="8"/>
    </row>
    <row r="470" spans="1:13">
      <c r="A470" s="71" t="s">
        <v>787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25</v>
      </c>
      <c r="H470" s="9"/>
      <c r="I470" s="8"/>
      <c r="J470" s="8"/>
      <c r="K470" s="8"/>
      <c r="L470" s="9" t="s">
        <v>179</v>
      </c>
      <c r="M470" s="8"/>
    </row>
    <row r="471" spans="1:13">
      <c r="A471" s="13" t="s">
        <v>788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25</v>
      </c>
      <c r="H471" s="9"/>
      <c r="I471" s="8"/>
      <c r="J471" s="8"/>
      <c r="K471" s="8"/>
      <c r="L471" s="8"/>
      <c r="M471" s="8"/>
    </row>
    <row r="472" spans="1:13">
      <c r="A472" s="71" t="s">
        <v>789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25</v>
      </c>
      <c r="H472" s="9"/>
      <c r="I472" s="8"/>
      <c r="J472" s="8"/>
      <c r="K472" s="8"/>
      <c r="L472" s="8"/>
      <c r="M472" s="8"/>
    </row>
    <row r="473" spans="1:13">
      <c r="A473" s="29" t="s">
        <v>790</v>
      </c>
      <c r="B473" s="67">
        <v>22740303831</v>
      </c>
      <c r="C473" s="18" t="s">
        <v>138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791</v>
      </c>
      <c r="B474" s="67">
        <v>35482535800</v>
      </c>
      <c r="C474" s="72" t="s">
        <v>792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793</v>
      </c>
      <c r="B475" s="67">
        <v>22213116806</v>
      </c>
      <c r="C475" s="72" t="s">
        <v>794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795</v>
      </c>
      <c r="B476" s="67">
        <v>22168840814</v>
      </c>
      <c r="C476" s="29" t="s">
        <v>796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797</v>
      </c>
      <c r="B477" s="67">
        <v>30609785818</v>
      </c>
      <c r="C477" s="18" t="s">
        <v>798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799</v>
      </c>
      <c r="B478" s="67">
        <v>18515704897</v>
      </c>
      <c r="C478" s="18" t="s">
        <v>138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800</v>
      </c>
      <c r="B479" s="67">
        <v>14683022800</v>
      </c>
      <c r="C479" s="72" t="s">
        <v>801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802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803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25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804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805</v>
      </c>
      <c r="B483" s="67"/>
      <c r="C483" s="29" t="s">
        <v>138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806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25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807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25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808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25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809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25</v>
      </c>
      <c r="H487" s="9"/>
      <c r="I487" s="8"/>
      <c r="J487" s="8"/>
      <c r="K487" s="8"/>
      <c r="L487" s="9" t="s">
        <v>169</v>
      </c>
      <c r="M487" s="8"/>
    </row>
    <row r="488" spans="1:13">
      <c r="A488" s="13" t="s">
        <v>810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25</v>
      </c>
      <c r="H488" s="9"/>
      <c r="I488" s="8"/>
      <c r="J488" s="8"/>
      <c r="K488" s="8"/>
      <c r="L488" s="8"/>
      <c r="M488" s="8"/>
    </row>
    <row r="489" spans="1:13">
      <c r="A489" s="71" t="s">
        <v>811</v>
      </c>
      <c r="B489" s="67">
        <v>36664921855</v>
      </c>
      <c r="C489" s="72" t="s">
        <v>812</v>
      </c>
      <c r="D489" s="69">
        <v>28495923823</v>
      </c>
      <c r="E489" s="9">
        <v>117</v>
      </c>
      <c r="F489" s="25">
        <v>43117</v>
      </c>
      <c r="G489" s="70" t="s">
        <v>32</v>
      </c>
      <c r="H489" s="9"/>
      <c r="I489" s="8"/>
      <c r="J489" s="8"/>
      <c r="K489" s="8"/>
      <c r="L489" s="9" t="s">
        <v>179</v>
      </c>
      <c r="M489" s="8"/>
    </row>
    <row r="490" spans="1:13">
      <c r="A490" s="79" t="s">
        <v>813</v>
      </c>
      <c r="B490" s="80">
        <v>22561317854</v>
      </c>
      <c r="C490" s="81" t="s">
        <v>814</v>
      </c>
      <c r="D490" s="82">
        <v>26718748803</v>
      </c>
      <c r="E490" s="47">
        <v>1106</v>
      </c>
      <c r="F490" s="48">
        <v>42965</v>
      </c>
      <c r="G490" s="83" t="s">
        <v>32</v>
      </c>
      <c r="H490" s="47"/>
      <c r="I490" s="49"/>
      <c r="J490" s="49"/>
      <c r="K490" s="49"/>
      <c r="L490" s="49"/>
      <c r="M490" s="49"/>
    </row>
    <row r="491" spans="1:13">
      <c r="A491" s="15" t="s">
        <v>815</v>
      </c>
      <c r="B491" s="67">
        <v>34870463857</v>
      </c>
      <c r="C491" s="72" t="s">
        <v>816</v>
      </c>
      <c r="D491" s="69">
        <v>7049816531</v>
      </c>
      <c r="E491" s="9">
        <v>292</v>
      </c>
      <c r="F491" s="25">
        <v>43168</v>
      </c>
      <c r="G491" s="70" t="s">
        <v>25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817</v>
      </c>
      <c r="B492" s="67">
        <v>35225854885</v>
      </c>
      <c r="C492" s="72" t="s">
        <v>818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819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25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820</v>
      </c>
      <c r="B494" s="67">
        <v>35929092826</v>
      </c>
      <c r="C494" s="72" t="s">
        <v>821</v>
      </c>
      <c r="D494" s="69">
        <v>29462804893</v>
      </c>
      <c r="E494" s="9">
        <v>1267</v>
      </c>
      <c r="F494" s="25">
        <v>42998</v>
      </c>
      <c r="G494" s="70" t="s">
        <v>25</v>
      </c>
      <c r="H494" s="9"/>
      <c r="I494" s="8"/>
      <c r="J494" s="8"/>
      <c r="K494" s="8"/>
      <c r="L494" s="8"/>
      <c r="M494" s="8"/>
    </row>
    <row r="495" spans="1:13">
      <c r="A495" s="71" t="s">
        <v>822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823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824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825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25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826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40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827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828</v>
      </c>
      <c r="B501" s="67">
        <v>24660726886</v>
      </c>
      <c r="C501" s="72" t="s">
        <v>829</v>
      </c>
      <c r="D501" s="69">
        <v>96400951504</v>
      </c>
      <c r="E501" s="9">
        <v>292</v>
      </c>
      <c r="F501" s="25">
        <v>43168</v>
      </c>
      <c r="G501" s="70" t="s">
        <v>32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830</v>
      </c>
      <c r="B502" s="69">
        <v>27863381827</v>
      </c>
      <c r="C502" s="71" t="s">
        <v>831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832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25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833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834</v>
      </c>
      <c r="B505" s="67">
        <v>25856034821</v>
      </c>
      <c r="C505" s="72" t="s">
        <v>835</v>
      </c>
      <c r="D505" s="69">
        <v>74821083353</v>
      </c>
      <c r="E505" s="9">
        <v>810</v>
      </c>
      <c r="F505" s="25">
        <v>42915</v>
      </c>
      <c r="G505" s="70" t="s">
        <v>25</v>
      </c>
      <c r="H505" s="9"/>
      <c r="I505" s="8"/>
      <c r="J505" s="8"/>
      <c r="K505" s="8"/>
      <c r="L505" s="9" t="s">
        <v>147</v>
      </c>
      <c r="M505" s="8"/>
    </row>
    <row r="506" spans="1:13">
      <c r="A506" s="71" t="s">
        <v>836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308</v>
      </c>
      <c r="M506" s="8"/>
    </row>
    <row r="507" spans="1:13">
      <c r="A507" s="71" t="s">
        <v>837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838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308</v>
      </c>
      <c r="M508" s="8"/>
    </row>
    <row r="509" spans="1:13">
      <c r="A509" s="29" t="s">
        <v>839</v>
      </c>
      <c r="B509" s="67">
        <v>4802267843</v>
      </c>
      <c r="C509" s="29" t="s">
        <v>840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841</v>
      </c>
      <c r="B510" s="67">
        <v>6672502807</v>
      </c>
      <c r="C510" s="72" t="s">
        <v>842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308</v>
      </c>
      <c r="M510" s="8"/>
    </row>
    <row r="511" spans="1:13">
      <c r="A511" s="18" t="s">
        <v>843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844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845</v>
      </c>
      <c r="B513" s="67">
        <v>37233245843</v>
      </c>
      <c r="C513" s="29" t="s">
        <v>846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847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848</v>
      </c>
      <c r="B515" s="67">
        <v>33456412835</v>
      </c>
      <c r="C515" s="72" t="s">
        <v>849</v>
      </c>
      <c r="D515" s="69">
        <v>9387669882</v>
      </c>
      <c r="E515" s="9">
        <v>229</v>
      </c>
      <c r="F515" s="25">
        <v>43151</v>
      </c>
      <c r="G515" s="70" t="s">
        <v>40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850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25</v>
      </c>
      <c r="H516" s="9"/>
      <c r="I516" s="8"/>
      <c r="J516" s="8"/>
      <c r="K516" s="8"/>
      <c r="L516" s="8"/>
      <c r="M516" s="8"/>
    </row>
    <row r="517" spans="1:13">
      <c r="A517" s="72" t="s">
        <v>851</v>
      </c>
      <c r="B517" s="67">
        <v>10317452894</v>
      </c>
      <c r="C517" s="72" t="s">
        <v>852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853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25</v>
      </c>
      <c r="H518" s="9"/>
      <c r="I518" s="8"/>
      <c r="J518" s="8"/>
      <c r="K518" s="8"/>
      <c r="L518" s="8"/>
      <c r="M518" s="8"/>
    </row>
    <row r="519" spans="1:13">
      <c r="A519" s="29" t="s">
        <v>854</v>
      </c>
      <c r="B519" s="67"/>
      <c r="C519" s="29" t="s">
        <v>855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856</v>
      </c>
      <c r="B520" s="67">
        <v>42782953591</v>
      </c>
      <c r="C520" s="72" t="s">
        <v>857</v>
      </c>
      <c r="D520" s="69">
        <v>53921186587</v>
      </c>
      <c r="E520" s="9">
        <v>85</v>
      </c>
      <c r="F520" s="25">
        <v>43109</v>
      </c>
      <c r="G520" s="70" t="s">
        <v>25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858</v>
      </c>
      <c r="B521" s="67">
        <v>3086762896</v>
      </c>
      <c r="C521" s="72" t="s">
        <v>859</v>
      </c>
      <c r="D521" s="69">
        <v>89632877853</v>
      </c>
      <c r="E521" s="9">
        <v>810</v>
      </c>
      <c r="F521" s="25">
        <v>42915</v>
      </c>
      <c r="G521" s="70" t="s">
        <v>25</v>
      </c>
      <c r="H521" s="9"/>
      <c r="I521" s="8"/>
      <c r="J521" s="8"/>
      <c r="K521" s="8"/>
      <c r="L521" s="9" t="s">
        <v>147</v>
      </c>
      <c r="M521" s="8"/>
    </row>
    <row r="522" spans="1:13">
      <c r="A522" s="71" t="s">
        <v>860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25</v>
      </c>
      <c r="H522" s="9"/>
      <c r="I522" s="8"/>
      <c r="J522" s="8"/>
      <c r="K522" s="8"/>
      <c r="L522" s="8"/>
      <c r="M522" s="8"/>
    </row>
    <row r="523" spans="1:13">
      <c r="A523" s="13" t="s">
        <v>861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25</v>
      </c>
      <c r="H523" s="9"/>
      <c r="I523" s="8"/>
      <c r="J523" s="8"/>
      <c r="K523" s="8"/>
      <c r="L523" s="9" t="s">
        <v>262</v>
      </c>
      <c r="M523" s="8"/>
    </row>
    <row r="524" spans="1:13">
      <c r="A524" s="33" t="s">
        <v>862</v>
      </c>
      <c r="B524" s="67">
        <v>22624049843</v>
      </c>
      <c r="C524" s="32" t="s">
        <v>863</v>
      </c>
      <c r="D524" s="69">
        <v>32978302801</v>
      </c>
      <c r="E524" s="9">
        <v>1570</v>
      </c>
      <c r="F524" s="25">
        <v>43077</v>
      </c>
      <c r="G524" s="70" t="s">
        <v>25</v>
      </c>
      <c r="H524" s="9"/>
      <c r="I524" s="8"/>
      <c r="J524" s="8"/>
      <c r="K524" s="8"/>
      <c r="L524" s="8"/>
      <c r="M524" s="8"/>
    </row>
    <row r="525" spans="1:13">
      <c r="A525" s="15" t="s">
        <v>864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865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25</v>
      </c>
      <c r="H526" s="9"/>
      <c r="I526" s="8"/>
      <c r="J526" s="8"/>
      <c r="K526" s="8"/>
      <c r="L526" s="9" t="s">
        <v>169</v>
      </c>
      <c r="M526" s="8"/>
    </row>
    <row r="527" spans="1:13">
      <c r="A527" s="71" t="s">
        <v>866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25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867</v>
      </c>
      <c r="B528" s="67">
        <v>27112847869</v>
      </c>
      <c r="C528" s="72" t="s">
        <v>868</v>
      </c>
      <c r="D528" s="69">
        <v>37782363420</v>
      </c>
      <c r="E528" s="9">
        <v>1106</v>
      </c>
      <c r="F528" s="25">
        <v>42965</v>
      </c>
      <c r="G528" s="70" t="s">
        <v>25</v>
      </c>
      <c r="H528" s="9"/>
      <c r="I528" s="8"/>
      <c r="J528" s="8"/>
      <c r="K528" s="8"/>
      <c r="L528" s="8"/>
      <c r="M528" s="8"/>
    </row>
    <row r="529" spans="1:13">
      <c r="A529" s="15" t="s">
        <v>869</v>
      </c>
      <c r="B529" s="67">
        <v>32811648895</v>
      </c>
      <c r="C529" s="72" t="s">
        <v>870</v>
      </c>
      <c r="D529" s="69">
        <v>25428395818</v>
      </c>
      <c r="E529" s="9">
        <v>85</v>
      </c>
      <c r="F529" s="25">
        <v>43109</v>
      </c>
      <c r="G529" s="70" t="s">
        <v>25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871</v>
      </c>
      <c r="B530" s="67">
        <v>12811159835</v>
      </c>
      <c r="C530" s="72" t="s">
        <v>872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873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874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875</v>
      </c>
      <c r="B533" s="67">
        <v>83941010468</v>
      </c>
      <c r="C533" s="18" t="s">
        <v>876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877</v>
      </c>
      <c r="B534" s="67">
        <v>43152462808</v>
      </c>
      <c r="C534" s="29" t="s">
        <v>878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879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880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25</v>
      </c>
      <c r="H536" s="9"/>
      <c r="I536" s="8"/>
      <c r="J536" s="8"/>
      <c r="K536" s="8"/>
      <c r="L536" s="8"/>
      <c r="M536" s="8"/>
    </row>
    <row r="537" spans="1:13">
      <c r="A537" s="29" t="s">
        <v>881</v>
      </c>
      <c r="B537" s="67"/>
      <c r="C537" s="18" t="s">
        <v>138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882</v>
      </c>
      <c r="B538" s="67">
        <v>41249931886</v>
      </c>
      <c r="C538" s="72" t="s">
        <v>883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884</v>
      </c>
      <c r="B539" s="67">
        <v>34361118809</v>
      </c>
      <c r="C539" s="72" t="s">
        <v>885</v>
      </c>
      <c r="D539" s="69">
        <v>14784595813</v>
      </c>
      <c r="E539" s="9">
        <v>85</v>
      </c>
      <c r="F539" s="25">
        <v>43109</v>
      </c>
      <c r="G539" s="70" t="s">
        <v>25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886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25</v>
      </c>
      <c r="H540" s="9"/>
      <c r="I540" s="8"/>
      <c r="J540" s="8"/>
      <c r="K540" s="8"/>
      <c r="L540" s="9" t="s">
        <v>511</v>
      </c>
      <c r="M540" s="8"/>
    </row>
    <row r="541" spans="1:13">
      <c r="A541" s="71" t="s">
        <v>887</v>
      </c>
      <c r="B541" s="67">
        <v>45469747875</v>
      </c>
      <c r="C541" s="72" t="s">
        <v>888</v>
      </c>
      <c r="D541" s="69">
        <v>39042679816</v>
      </c>
      <c r="E541" s="9">
        <v>117</v>
      </c>
      <c r="F541" s="25">
        <v>43117</v>
      </c>
      <c r="G541" s="70" t="s">
        <v>25</v>
      </c>
      <c r="H541" s="9"/>
      <c r="I541" s="8"/>
      <c r="J541" s="8"/>
      <c r="K541" s="8"/>
      <c r="L541" s="9" t="s">
        <v>179</v>
      </c>
      <c r="M541" s="8"/>
    </row>
    <row r="542" spans="1:13">
      <c r="A542" s="71" t="s">
        <v>889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890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25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891</v>
      </c>
      <c r="B544" s="67">
        <v>33199855822</v>
      </c>
      <c r="C544" s="18" t="s">
        <v>892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893</v>
      </c>
      <c r="B545" s="67">
        <v>32878318870</v>
      </c>
      <c r="C545" s="18" t="s">
        <v>894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895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25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896</v>
      </c>
      <c r="B547" s="67">
        <v>31328839800</v>
      </c>
      <c r="C547" s="72" t="s">
        <v>897</v>
      </c>
      <c r="D547" s="69">
        <v>13482435898</v>
      </c>
      <c r="E547" s="9">
        <v>262</v>
      </c>
      <c r="F547" s="25">
        <v>43160</v>
      </c>
      <c r="G547" s="70" t="s">
        <v>25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898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25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899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25</v>
      </c>
      <c r="H549" s="9"/>
      <c r="I549" s="8"/>
      <c r="J549" s="8"/>
      <c r="K549" s="8"/>
      <c r="L549" s="9" t="s">
        <v>179</v>
      </c>
      <c r="M549" s="8"/>
    </row>
    <row r="550" spans="1:13">
      <c r="A550" s="73" t="s">
        <v>900</v>
      </c>
      <c r="B550" s="67">
        <v>33311756843</v>
      </c>
      <c r="C550" s="72" t="s">
        <v>901</v>
      </c>
      <c r="D550" s="69">
        <v>31561945811</v>
      </c>
      <c r="E550" s="9">
        <v>1106</v>
      </c>
      <c r="F550" s="25">
        <v>42965</v>
      </c>
      <c r="G550" s="70" t="s">
        <v>25</v>
      </c>
      <c r="H550" s="9"/>
      <c r="I550" s="8"/>
      <c r="J550" s="8"/>
      <c r="K550" s="8"/>
      <c r="L550" s="8"/>
      <c r="M550" s="8"/>
    </row>
    <row r="551" spans="1:13">
      <c r="A551" s="71" t="s">
        <v>902</v>
      </c>
      <c r="B551" s="67" t="s">
        <v>903</v>
      </c>
      <c r="C551" s="77" t="s">
        <v>904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905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25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906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25</v>
      </c>
      <c r="H553" s="9"/>
      <c r="I553" s="8"/>
      <c r="J553" s="8"/>
      <c r="K553" s="8"/>
      <c r="L553" s="8"/>
      <c r="M553" s="8"/>
    </row>
    <row r="554" spans="1:13">
      <c r="A554" s="29" t="s">
        <v>907</v>
      </c>
      <c r="B554" s="67"/>
      <c r="C554" s="18" t="s">
        <v>138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908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25</v>
      </c>
      <c r="H555" s="9"/>
      <c r="I555" s="8"/>
      <c r="J555" s="8"/>
      <c r="K555" s="8"/>
      <c r="L555" s="8"/>
      <c r="M555" s="8"/>
    </row>
    <row r="556" spans="1:13">
      <c r="A556" s="13" t="s">
        <v>909</v>
      </c>
      <c r="B556" s="67">
        <v>37608246847</v>
      </c>
      <c r="C556" s="68" t="s">
        <v>910</v>
      </c>
      <c r="D556" s="69">
        <v>27976942875</v>
      </c>
      <c r="E556" s="9">
        <v>608</v>
      </c>
      <c r="F556" s="25">
        <v>43012</v>
      </c>
      <c r="G556" s="70" t="s">
        <v>25</v>
      </c>
      <c r="H556" s="9"/>
      <c r="I556" s="8"/>
      <c r="J556" s="8"/>
      <c r="K556" s="8"/>
      <c r="L556" s="8"/>
      <c r="M556" s="8"/>
    </row>
    <row r="557" spans="1:13">
      <c r="A557" s="14" t="s">
        <v>911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912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913</v>
      </c>
      <c r="B559" s="67">
        <v>39990709866</v>
      </c>
      <c r="C559" s="72" t="s">
        <v>914</v>
      </c>
      <c r="D559" s="69">
        <v>46936249850</v>
      </c>
      <c r="E559" s="9">
        <v>229</v>
      </c>
      <c r="F559" s="25">
        <v>43151</v>
      </c>
      <c r="G559" s="70" t="s">
        <v>25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915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916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25</v>
      </c>
      <c r="H561" s="9"/>
      <c r="I561" s="8"/>
      <c r="J561" s="8"/>
      <c r="K561" s="8"/>
      <c r="L561" s="8"/>
      <c r="M561" s="8"/>
    </row>
    <row r="562" spans="1:13">
      <c r="A562" s="71" t="s">
        <v>917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25</v>
      </c>
      <c r="H562" s="9"/>
      <c r="I562" s="8"/>
      <c r="J562" s="8"/>
      <c r="K562" s="8"/>
      <c r="L562" s="9" t="s">
        <v>147</v>
      </c>
      <c r="M562" s="8"/>
    </row>
    <row r="563" spans="1:13">
      <c r="A563" s="71" t="s">
        <v>918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919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920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25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921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922</v>
      </c>
      <c r="B567" s="67">
        <v>9056201867</v>
      </c>
      <c r="C567" s="72" t="s">
        <v>923</v>
      </c>
      <c r="D567" s="69">
        <v>59754605815</v>
      </c>
      <c r="E567" s="9">
        <v>810</v>
      </c>
      <c r="F567" s="25">
        <v>42915</v>
      </c>
      <c r="G567" s="70" t="s">
        <v>25</v>
      </c>
      <c r="H567" s="9"/>
      <c r="I567" s="8"/>
      <c r="J567" s="8"/>
      <c r="K567" s="8"/>
      <c r="L567" s="9" t="s">
        <v>147</v>
      </c>
      <c r="M567" s="8"/>
    </row>
    <row r="568" spans="1:13">
      <c r="A568" s="71" t="s">
        <v>924</v>
      </c>
      <c r="B568" s="67">
        <v>4434698656</v>
      </c>
      <c r="C568" s="72" t="s">
        <v>925</v>
      </c>
      <c r="D568" s="69">
        <v>75851300400</v>
      </c>
      <c r="E568" s="9">
        <v>810</v>
      </c>
      <c r="F568" s="25">
        <v>42915</v>
      </c>
      <c r="G568" s="70" t="s">
        <v>25</v>
      </c>
      <c r="H568" s="9"/>
      <c r="I568" s="8"/>
      <c r="J568" s="8"/>
      <c r="K568" s="8"/>
      <c r="L568" s="9" t="s">
        <v>147</v>
      </c>
      <c r="M568" s="8"/>
    </row>
    <row r="569" spans="1:13">
      <c r="A569" s="71" t="s">
        <v>926</v>
      </c>
      <c r="B569" s="67">
        <v>27030279824</v>
      </c>
      <c r="C569" s="72" t="s">
        <v>927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928</v>
      </c>
      <c r="B570" s="67">
        <v>30478760884</v>
      </c>
      <c r="C570" s="77" t="s">
        <v>929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930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25</v>
      </c>
      <c r="H571" s="76">
        <v>43213</v>
      </c>
      <c r="I571" s="8"/>
      <c r="J571" s="8"/>
      <c r="K571" s="8"/>
      <c r="L571" s="9" t="s">
        <v>147</v>
      </c>
      <c r="M571" s="8"/>
    </row>
    <row r="572" spans="1:13">
      <c r="A572" s="71" t="s">
        <v>931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25</v>
      </c>
      <c r="H572" s="76">
        <v>43213</v>
      </c>
      <c r="I572" s="8"/>
      <c r="J572" s="8"/>
      <c r="K572" s="8"/>
      <c r="L572" s="9" t="s">
        <v>262</v>
      </c>
      <c r="M572" s="8"/>
    </row>
    <row r="573" spans="1:13">
      <c r="A573" s="72" t="s">
        <v>932</v>
      </c>
      <c r="B573" s="67">
        <v>16583214806</v>
      </c>
      <c r="C573" s="72" t="s">
        <v>933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934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935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25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936</v>
      </c>
      <c r="B576" s="67">
        <v>6882969639</v>
      </c>
      <c r="C576" s="29" t="s">
        <v>937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938</v>
      </c>
      <c r="B577" s="67">
        <v>22449339892</v>
      </c>
      <c r="C577" s="29" t="s">
        <v>939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940</v>
      </c>
      <c r="B578" s="67"/>
      <c r="C578" s="18" t="s">
        <v>138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941</v>
      </c>
      <c r="B579" s="67">
        <v>22854740831</v>
      </c>
      <c r="C579" s="72" t="s">
        <v>942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943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944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25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945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25</v>
      </c>
      <c r="H582" s="9"/>
      <c r="I582" s="8"/>
      <c r="J582" s="8"/>
      <c r="K582" s="8"/>
      <c r="L582" s="9" t="s">
        <v>147</v>
      </c>
      <c r="M582" s="8"/>
    </row>
    <row r="583" spans="1:13">
      <c r="A583" s="71" t="s">
        <v>946</v>
      </c>
      <c r="B583" s="67">
        <v>47110994848</v>
      </c>
      <c r="C583" s="71" t="s">
        <v>947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948</v>
      </c>
      <c r="B584" s="67">
        <v>39353276845</v>
      </c>
      <c r="C584" s="72" t="s">
        <v>949</v>
      </c>
      <c r="D584" s="69">
        <v>33343612847</v>
      </c>
      <c r="E584" s="9">
        <v>1417</v>
      </c>
      <c r="F584" s="25">
        <v>43017</v>
      </c>
      <c r="G584" s="70" t="s">
        <v>32</v>
      </c>
      <c r="H584" s="9"/>
      <c r="I584" s="8"/>
      <c r="J584" s="8"/>
      <c r="K584" s="8"/>
      <c r="L584" s="9" t="s">
        <v>262</v>
      </c>
      <c r="M584" s="8"/>
    </row>
    <row r="585" spans="1:13">
      <c r="A585" s="13" t="s">
        <v>950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25</v>
      </c>
      <c r="H585" s="9"/>
      <c r="I585" s="8"/>
      <c r="J585" s="8"/>
      <c r="K585" s="8"/>
      <c r="L585" s="8"/>
      <c r="M585" s="8"/>
    </row>
    <row r="586" spans="1:13">
      <c r="A586" s="13" t="s">
        <v>951</v>
      </c>
      <c r="B586" s="67">
        <v>39937482801</v>
      </c>
      <c r="C586" s="68" t="s">
        <v>952</v>
      </c>
      <c r="D586" s="69">
        <v>36243454860</v>
      </c>
      <c r="E586" s="9">
        <v>1128</v>
      </c>
      <c r="F586" s="25">
        <v>42972</v>
      </c>
      <c r="G586" s="70" t="s">
        <v>25</v>
      </c>
      <c r="H586" s="9"/>
      <c r="I586" s="8"/>
      <c r="J586" s="8"/>
      <c r="K586" s="8"/>
      <c r="L586" s="8"/>
      <c r="M586" s="8"/>
    </row>
    <row r="587" spans="1:13">
      <c r="A587" s="13" t="s">
        <v>953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25</v>
      </c>
      <c r="H587" s="9"/>
      <c r="I587" s="8"/>
      <c r="J587" s="8"/>
      <c r="K587" s="8"/>
      <c r="L587" s="8"/>
      <c r="M587" s="8"/>
    </row>
    <row r="588" spans="1:13">
      <c r="A588" s="71" t="s">
        <v>954</v>
      </c>
      <c r="B588" s="67">
        <v>4090078466</v>
      </c>
      <c r="C588" s="72" t="s">
        <v>955</v>
      </c>
      <c r="D588" s="69">
        <v>31135278806</v>
      </c>
      <c r="E588" s="9">
        <v>1555</v>
      </c>
      <c r="F588" s="25">
        <v>43049</v>
      </c>
      <c r="G588" s="70" t="s">
        <v>32</v>
      </c>
      <c r="H588" s="9"/>
      <c r="I588" s="8"/>
      <c r="J588" s="8"/>
      <c r="K588" s="8"/>
      <c r="L588" s="9" t="s">
        <v>407</v>
      </c>
      <c r="M588" s="8"/>
    </row>
    <row r="589" spans="1:13">
      <c r="A589" s="72" t="s">
        <v>956</v>
      </c>
      <c r="B589" s="67">
        <v>22857706855</v>
      </c>
      <c r="C589" s="72" t="s">
        <v>957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958</v>
      </c>
      <c r="B590" s="67">
        <v>30278629873</v>
      </c>
      <c r="C590" s="72" t="s">
        <v>959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960</v>
      </c>
      <c r="B591" s="67"/>
      <c r="C591" s="29" t="s">
        <v>961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962</v>
      </c>
      <c r="B592" s="67">
        <v>35569130896</v>
      </c>
      <c r="C592" s="72" t="s">
        <v>963</v>
      </c>
      <c r="D592" s="69">
        <v>34252178878</v>
      </c>
      <c r="E592" s="9">
        <v>262</v>
      </c>
      <c r="F592" s="25">
        <v>43160</v>
      </c>
      <c r="G592" s="9" t="s">
        <v>25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964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25</v>
      </c>
      <c r="H593" s="9"/>
      <c r="I593" s="8"/>
      <c r="J593" s="8"/>
      <c r="K593" s="8"/>
      <c r="L593" s="8"/>
      <c r="M593" s="8"/>
    </row>
    <row r="594" spans="1:13">
      <c r="A594" s="71" t="s">
        <v>965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25</v>
      </c>
      <c r="H594" s="9"/>
      <c r="I594" s="8"/>
      <c r="J594" s="8"/>
      <c r="K594" s="8"/>
      <c r="L594" s="9" t="s">
        <v>407</v>
      </c>
      <c r="M594" s="8"/>
    </row>
    <row r="595" spans="1:13">
      <c r="A595" s="72" t="s">
        <v>966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967</v>
      </c>
      <c r="B596" s="67">
        <v>5704186580</v>
      </c>
      <c r="C596" s="72" t="s">
        <v>968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969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25</v>
      </c>
      <c r="H597" s="9"/>
      <c r="I597" s="8"/>
      <c r="J597" s="8"/>
      <c r="K597" s="8"/>
      <c r="L597" s="8"/>
      <c r="M597" s="8"/>
    </row>
    <row r="598" spans="1:13">
      <c r="A598" s="13" t="s">
        <v>970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25</v>
      </c>
      <c r="H598" s="9"/>
      <c r="I598" s="8"/>
      <c r="J598" s="8"/>
      <c r="K598" s="8"/>
      <c r="L598" s="8"/>
      <c r="M598" s="8"/>
    </row>
    <row r="599" spans="1:13">
      <c r="A599" s="71" t="s">
        <v>971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972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25</v>
      </c>
      <c r="H600" s="9"/>
      <c r="I600" s="8"/>
      <c r="J600" s="8"/>
      <c r="K600" s="8"/>
      <c r="L600" s="8"/>
      <c r="M600" s="8"/>
    </row>
    <row r="601" spans="1:13">
      <c r="A601" s="71" t="s">
        <v>973</v>
      </c>
      <c r="B601" s="67">
        <v>38453816808</v>
      </c>
      <c r="C601" s="72" t="s">
        <v>974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975</v>
      </c>
      <c r="B602" s="67">
        <v>46366084882</v>
      </c>
      <c r="C602" s="18" t="s">
        <v>138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976</v>
      </c>
      <c r="B603" s="67"/>
      <c r="C603" s="18" t="s">
        <v>138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977</v>
      </c>
      <c r="B604" s="67">
        <v>40415212898</v>
      </c>
      <c r="C604" s="72" t="s">
        <v>978</v>
      </c>
      <c r="D604" s="69">
        <v>35522659882</v>
      </c>
      <c r="E604" s="9">
        <v>262</v>
      </c>
      <c r="F604" s="25">
        <v>43160</v>
      </c>
      <c r="G604" s="70" t="s">
        <v>25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979</v>
      </c>
      <c r="B605" s="67">
        <v>41957432810</v>
      </c>
      <c r="C605" s="72" t="s">
        <v>980</v>
      </c>
      <c r="D605" s="69">
        <v>22992085855</v>
      </c>
      <c r="E605" s="9">
        <v>1824</v>
      </c>
      <c r="F605" s="25">
        <v>43091</v>
      </c>
      <c r="G605" s="70" t="s">
        <v>25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981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25</v>
      </c>
      <c r="H606" s="9"/>
      <c r="I606" s="8"/>
      <c r="J606" s="8"/>
      <c r="K606" s="8"/>
      <c r="L606" s="9" t="s">
        <v>179</v>
      </c>
      <c r="M606" s="8"/>
    </row>
    <row r="607" spans="1:13">
      <c r="A607" s="15" t="s">
        <v>982</v>
      </c>
      <c r="B607" s="67">
        <v>36252717886</v>
      </c>
      <c r="C607" s="72" t="s">
        <v>983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984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25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985</v>
      </c>
      <c r="B609" s="67">
        <v>23436019844</v>
      </c>
      <c r="C609" s="72" t="s">
        <v>986</v>
      </c>
      <c r="D609" s="69">
        <v>35927095852</v>
      </c>
      <c r="E609" s="9">
        <v>810</v>
      </c>
      <c r="F609" s="25">
        <v>42915</v>
      </c>
      <c r="G609" s="70" t="s">
        <v>25</v>
      </c>
      <c r="H609" s="9"/>
      <c r="I609" s="8"/>
      <c r="J609" s="8"/>
      <c r="K609" s="8"/>
      <c r="L609" s="9" t="s">
        <v>147</v>
      </c>
      <c r="M609" s="8"/>
    </row>
    <row r="610" spans="1:13">
      <c r="A610" s="71" t="s">
        <v>987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25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988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25</v>
      </c>
      <c r="H611" s="9"/>
      <c r="I611" s="8"/>
      <c r="J611" s="8"/>
      <c r="K611" s="8"/>
      <c r="L611" s="8"/>
      <c r="M611" s="8"/>
    </row>
    <row r="612" spans="1:13">
      <c r="A612" s="71" t="s">
        <v>989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25</v>
      </c>
      <c r="H612" s="9"/>
      <c r="I612" s="8"/>
      <c r="J612" s="8"/>
      <c r="K612" s="8"/>
      <c r="L612" s="8"/>
      <c r="M612" s="8"/>
    </row>
    <row r="613" spans="1:13">
      <c r="A613" s="71" t="s">
        <v>990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991</v>
      </c>
      <c r="B614" s="67">
        <v>32114645819</v>
      </c>
      <c r="C614" s="72" t="s">
        <v>992</v>
      </c>
      <c r="D614" s="69">
        <v>33183764857</v>
      </c>
      <c r="E614" s="9">
        <v>810</v>
      </c>
      <c r="F614" s="25">
        <v>42915</v>
      </c>
      <c r="G614" s="70" t="s">
        <v>25</v>
      </c>
      <c r="H614" s="9"/>
      <c r="I614" s="8"/>
      <c r="J614" s="8"/>
      <c r="K614" s="8"/>
      <c r="L614" s="9" t="s">
        <v>147</v>
      </c>
      <c r="M614" s="8"/>
    </row>
    <row r="615" spans="1:13">
      <c r="A615" s="29" t="s">
        <v>993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994</v>
      </c>
      <c r="B616" s="67">
        <v>4836720508</v>
      </c>
      <c r="C616" s="18" t="s">
        <v>995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996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25</v>
      </c>
      <c r="H617" s="9"/>
      <c r="I617" s="8"/>
      <c r="J617" s="8"/>
      <c r="K617" s="8"/>
      <c r="L617" s="8"/>
      <c r="M617" s="8"/>
    </row>
    <row r="618" spans="1:13">
      <c r="A618" s="29" t="s">
        <v>997</v>
      </c>
      <c r="B618" s="67">
        <v>42187654800</v>
      </c>
      <c r="C618" s="29" t="s">
        <v>998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999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25</v>
      </c>
      <c r="H619" s="9"/>
      <c r="I619" s="8"/>
      <c r="J619" s="8"/>
      <c r="K619" s="8"/>
      <c r="L619" s="9" t="s">
        <v>511</v>
      </c>
      <c r="M619" s="8"/>
    </row>
    <row r="620" spans="1:13">
      <c r="A620" s="71" t="s">
        <v>1000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1001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1002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1003</v>
      </c>
      <c r="B623" s="67">
        <v>1283631504</v>
      </c>
      <c r="C623" s="72" t="s">
        <v>1004</v>
      </c>
      <c r="D623" s="69">
        <v>62180886349</v>
      </c>
      <c r="E623" s="9">
        <v>1824</v>
      </c>
      <c r="F623" s="25">
        <v>43091</v>
      </c>
      <c r="G623" s="70" t="s">
        <v>25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1005</v>
      </c>
      <c r="B624" s="67">
        <v>5389709527</v>
      </c>
      <c r="C624" s="86" t="s">
        <v>1006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1007</v>
      </c>
      <c r="B625" s="67">
        <v>1262412528</v>
      </c>
      <c r="C625" s="68" t="s">
        <v>1008</v>
      </c>
      <c r="D625" s="69">
        <v>3045815502</v>
      </c>
      <c r="E625" s="9">
        <v>1241</v>
      </c>
      <c r="F625" s="25">
        <v>42992</v>
      </c>
      <c r="G625" s="70" t="s">
        <v>25</v>
      </c>
      <c r="H625" s="9"/>
      <c r="I625" s="8"/>
      <c r="J625" s="8"/>
      <c r="K625" s="8"/>
      <c r="L625" s="8"/>
      <c r="M625" s="8"/>
    </row>
    <row r="626" spans="1:13">
      <c r="A626" s="71" t="s">
        <v>1009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308</v>
      </c>
      <c r="M626" s="8"/>
    </row>
    <row r="627" spans="1:13">
      <c r="A627" s="71" t="s">
        <v>1010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233</v>
      </c>
      <c r="B628" s="67">
        <v>9704111460</v>
      </c>
      <c r="C628" s="72" t="s">
        <v>1011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1012</v>
      </c>
      <c r="B629" s="67">
        <v>41653576855</v>
      </c>
      <c r="C629" s="72" t="s">
        <v>1013</v>
      </c>
      <c r="D629" s="69">
        <v>33219880894</v>
      </c>
      <c r="E629" s="9">
        <v>1439</v>
      </c>
      <c r="F629" s="25">
        <v>43025</v>
      </c>
      <c r="G629" s="70" t="s">
        <v>25</v>
      </c>
      <c r="H629" s="9"/>
      <c r="I629" s="8"/>
      <c r="J629" s="8"/>
      <c r="K629" s="8"/>
      <c r="L629" s="9" t="s">
        <v>511</v>
      </c>
      <c r="M629" s="8"/>
    </row>
    <row r="630" spans="1:13">
      <c r="A630" s="71" t="s">
        <v>1014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25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1015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25</v>
      </c>
      <c r="H631" s="9"/>
      <c r="I631" s="8"/>
      <c r="J631" s="8"/>
      <c r="K631" s="8"/>
      <c r="L631" s="9" t="s">
        <v>147</v>
      </c>
      <c r="M631" s="8"/>
    </row>
    <row r="632" spans="1:13">
      <c r="A632" s="29" t="s">
        <v>1016</v>
      </c>
      <c r="B632" s="67">
        <v>29065742875</v>
      </c>
      <c r="C632" s="29" t="s">
        <v>1017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1018</v>
      </c>
      <c r="B633" s="67">
        <v>39491305867</v>
      </c>
      <c r="C633" s="72" t="s">
        <v>1019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1020</v>
      </c>
      <c r="B634" s="67">
        <v>35049140846</v>
      </c>
      <c r="C634" s="18" t="s">
        <v>1021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1022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25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1023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308</v>
      </c>
      <c r="M636" s="8"/>
    </row>
    <row r="637" spans="1:13">
      <c r="A637" s="71" t="s">
        <v>1024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25</v>
      </c>
      <c r="H637" s="9"/>
      <c r="I637" s="8"/>
      <c r="J637" s="8"/>
      <c r="K637" s="8"/>
      <c r="L637" s="8"/>
      <c r="M637" s="8"/>
    </row>
    <row r="638" spans="1:13">
      <c r="A638" s="18" t="s">
        <v>1025</v>
      </c>
      <c r="B638" s="67"/>
      <c r="C638" s="18" t="s">
        <v>1026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1027</v>
      </c>
      <c r="B639" s="67">
        <v>198674503</v>
      </c>
      <c r="C639" s="18" t="s">
        <v>1028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1029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1030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1031</v>
      </c>
      <c r="B642" s="67">
        <v>28074733858</v>
      </c>
      <c r="C642" s="72" t="s">
        <v>1032</v>
      </c>
      <c r="D642" s="69">
        <v>18033766867</v>
      </c>
      <c r="E642" s="9">
        <v>810</v>
      </c>
      <c r="F642" s="25">
        <v>42915</v>
      </c>
      <c r="G642" s="70" t="s">
        <v>25</v>
      </c>
      <c r="H642" s="9"/>
      <c r="I642" s="8"/>
      <c r="J642" s="8"/>
      <c r="K642" s="8"/>
      <c r="L642" s="9" t="s">
        <v>147</v>
      </c>
      <c r="M642" s="8"/>
    </row>
    <row r="643" spans="1:13">
      <c r="A643" s="71" t="s">
        <v>1033</v>
      </c>
      <c r="B643" s="67">
        <v>41583475800</v>
      </c>
      <c r="C643" s="72" t="s">
        <v>1034</v>
      </c>
      <c r="D643" s="69">
        <v>47688665817</v>
      </c>
      <c r="E643" s="9">
        <v>810</v>
      </c>
      <c r="F643" s="25">
        <v>42915</v>
      </c>
      <c r="G643" s="70" t="s">
        <v>25</v>
      </c>
      <c r="H643" s="9"/>
      <c r="I643" s="8"/>
      <c r="J643" s="8"/>
      <c r="K643" s="8"/>
      <c r="L643" s="9" t="s">
        <v>147</v>
      </c>
      <c r="M643" s="8"/>
    </row>
    <row r="644" spans="1:13">
      <c r="A644" s="71" t="s">
        <v>1035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25</v>
      </c>
      <c r="H644" s="9"/>
      <c r="I644" s="8"/>
      <c r="J644" s="8"/>
      <c r="K644" s="8"/>
      <c r="L644" s="9" t="s">
        <v>147</v>
      </c>
      <c r="M644" s="8"/>
    </row>
    <row r="645" spans="1:13">
      <c r="A645" s="13" t="s">
        <v>1036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25</v>
      </c>
      <c r="H645" s="9"/>
      <c r="I645" s="8"/>
      <c r="J645" s="8"/>
      <c r="K645" s="8"/>
      <c r="L645" s="8"/>
      <c r="M645" s="8"/>
    </row>
    <row r="646" spans="1:13">
      <c r="A646" s="29" t="s">
        <v>1037</v>
      </c>
      <c r="B646" s="67"/>
      <c r="C646" s="18" t="s">
        <v>138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1038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25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1039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25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1040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1041</v>
      </c>
      <c r="B650" s="67">
        <v>80234836334</v>
      </c>
      <c r="C650" s="72" t="s">
        <v>1042</v>
      </c>
      <c r="D650" s="69">
        <v>22522250841</v>
      </c>
      <c r="E650" s="9">
        <v>1267</v>
      </c>
      <c r="F650" s="25">
        <v>42998</v>
      </c>
      <c r="G650" s="70" t="s">
        <v>25</v>
      </c>
      <c r="H650" s="9"/>
      <c r="I650" s="8"/>
      <c r="J650" s="8"/>
      <c r="K650" s="8"/>
      <c r="L650" s="8"/>
      <c r="M650" s="8"/>
    </row>
    <row r="651" spans="1:13">
      <c r="A651" s="71" t="s">
        <v>1043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25</v>
      </c>
      <c r="H651" s="9"/>
      <c r="I651" s="8"/>
      <c r="J651" s="8"/>
      <c r="K651" s="8"/>
      <c r="L651" s="8"/>
      <c r="M651" s="8"/>
    </row>
    <row r="652" spans="1:13">
      <c r="A652" s="71" t="s">
        <v>1044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25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1045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1046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25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1047</v>
      </c>
      <c r="B655" s="67">
        <v>7385460895</v>
      </c>
      <c r="C655" s="72" t="s">
        <v>1048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1049</v>
      </c>
      <c r="B656" s="67">
        <v>31828009814</v>
      </c>
      <c r="C656" s="18" t="s">
        <v>1050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1051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25</v>
      </c>
      <c r="H657" s="9"/>
      <c r="I657" s="8"/>
      <c r="J657" s="8"/>
      <c r="K657" s="8"/>
      <c r="L657" s="8"/>
      <c r="M657" s="8"/>
    </row>
    <row r="658" spans="1:13">
      <c r="A658" s="71" t="s">
        <v>1052</v>
      </c>
      <c r="B658" s="67">
        <v>15090098840</v>
      </c>
      <c r="C658" s="72" t="s">
        <v>1053</v>
      </c>
      <c r="D658" s="69">
        <v>3376233845</v>
      </c>
      <c r="E658" s="9">
        <v>1752</v>
      </c>
      <c r="F658" s="25">
        <v>43051</v>
      </c>
      <c r="G658" s="70" t="s">
        <v>25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1054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25</v>
      </c>
      <c r="H659" s="9"/>
      <c r="I659" s="8"/>
      <c r="J659" s="8"/>
      <c r="K659" s="8"/>
      <c r="L659" s="8"/>
      <c r="M659" s="8"/>
    </row>
    <row r="660" spans="1:13">
      <c r="A660" s="71" t="s">
        <v>1055</v>
      </c>
      <c r="B660" s="67">
        <v>30652965865</v>
      </c>
      <c r="C660" s="72" t="s">
        <v>1056</v>
      </c>
      <c r="D660" s="69">
        <v>23330127813</v>
      </c>
      <c r="E660" s="9">
        <v>1214</v>
      </c>
      <c r="F660" s="25">
        <v>42989</v>
      </c>
      <c r="G660" s="70" t="s">
        <v>25</v>
      </c>
      <c r="H660" s="9"/>
      <c r="I660" s="8"/>
      <c r="J660" s="8"/>
      <c r="K660" s="8"/>
      <c r="L660" s="8"/>
      <c r="M660" s="8"/>
    </row>
    <row r="661" spans="1:13">
      <c r="A661" s="14" t="s">
        <v>1057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25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1058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1059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25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1060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308</v>
      </c>
      <c r="M664" s="8"/>
    </row>
    <row r="665" spans="1:13">
      <c r="A665" s="71" t="s">
        <v>1061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25</v>
      </c>
      <c r="H665" s="9"/>
      <c r="I665" s="8"/>
      <c r="J665" s="8"/>
      <c r="K665" s="8"/>
      <c r="L665" s="8"/>
      <c r="M665" s="8"/>
    </row>
    <row r="666" spans="1:13">
      <c r="A666" s="13" t="s">
        <v>1062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25</v>
      </c>
      <c r="H666" s="9"/>
      <c r="I666" s="8"/>
      <c r="J666" s="8"/>
      <c r="K666" s="8"/>
      <c r="L666" s="8"/>
      <c r="M666" s="8"/>
    </row>
    <row r="667" spans="1:13">
      <c r="A667" s="71" t="s">
        <v>1063</v>
      </c>
      <c r="B667" s="67">
        <v>39898491825</v>
      </c>
      <c r="C667" s="72" t="s">
        <v>1064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1065</v>
      </c>
      <c r="B668" s="67">
        <v>96629428587</v>
      </c>
      <c r="C668" s="29" t="s">
        <v>1066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1067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25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1068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25</v>
      </c>
      <c r="H670" s="9"/>
      <c r="I670" s="8"/>
      <c r="J670" s="8"/>
      <c r="K670" s="8"/>
      <c r="L670" s="8"/>
      <c r="M670" s="8"/>
    </row>
    <row r="671" spans="1:13">
      <c r="A671" s="14" t="s">
        <v>1069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1070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25</v>
      </c>
      <c r="H672" s="9"/>
      <c r="I672" s="8"/>
      <c r="J672" s="8"/>
      <c r="K672" s="8"/>
      <c r="L672" s="9" t="s">
        <v>262</v>
      </c>
      <c r="M672" s="8"/>
    </row>
    <row r="673" spans="1:13">
      <c r="A673" s="71" t="s">
        <v>1071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25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1072</v>
      </c>
      <c r="B674" s="67">
        <v>11438313810</v>
      </c>
      <c r="C674" s="72" t="s">
        <v>1073</v>
      </c>
      <c r="D674" s="69">
        <v>11400812844</v>
      </c>
      <c r="E674" s="9">
        <v>292</v>
      </c>
      <c r="F674" s="25">
        <v>43168</v>
      </c>
      <c r="G674" s="70" t="s">
        <v>25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1074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1075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25</v>
      </c>
      <c r="H676" s="9"/>
      <c r="I676" s="8"/>
      <c r="J676" s="8"/>
      <c r="K676" s="8"/>
      <c r="L676" s="8"/>
      <c r="M676" s="8"/>
    </row>
    <row r="677" spans="1:13">
      <c r="A677" s="14" t="s">
        <v>1076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25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1077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1078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1079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25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1080</v>
      </c>
      <c r="B681" s="34">
        <v>31970473894</v>
      </c>
      <c r="C681" s="17" t="s">
        <v>1081</v>
      </c>
      <c r="D681" s="35">
        <v>22945039885</v>
      </c>
      <c r="E681" s="36">
        <v>1128</v>
      </c>
      <c r="F681" s="37">
        <v>42972</v>
      </c>
      <c r="G681" s="38" t="s">
        <v>25</v>
      </c>
      <c r="H681" s="9"/>
      <c r="I681" s="8"/>
      <c r="J681" s="8"/>
      <c r="K681" s="8"/>
      <c r="L681" s="8"/>
      <c r="M681" s="8"/>
    </row>
    <row r="682" spans="1:13">
      <c r="A682" s="72" t="s">
        <v>1082</v>
      </c>
      <c r="B682" s="67">
        <v>29486419850</v>
      </c>
      <c r="C682" s="72" t="s">
        <v>1083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1084</v>
      </c>
      <c r="B683" s="67">
        <v>73699993272</v>
      </c>
      <c r="C683" s="72" t="s">
        <v>1085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1086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25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1087</v>
      </c>
      <c r="B685" s="67">
        <v>34833459817</v>
      </c>
      <c r="C685" s="68" t="s">
        <v>1088</v>
      </c>
      <c r="D685" s="69">
        <v>32077064870</v>
      </c>
      <c r="E685" s="9">
        <v>1128</v>
      </c>
      <c r="F685" s="25">
        <v>42972</v>
      </c>
      <c r="G685" s="70" t="s">
        <v>25</v>
      </c>
      <c r="H685" s="9"/>
      <c r="I685" s="8"/>
      <c r="J685" s="8"/>
      <c r="K685" s="8"/>
      <c r="L685" s="8"/>
      <c r="M685" s="8"/>
    </row>
    <row r="686" spans="1:13">
      <c r="A686" s="13" t="s">
        <v>1089</v>
      </c>
      <c r="B686" s="67">
        <v>15203953880</v>
      </c>
      <c r="C686" s="72" t="s">
        <v>1090</v>
      </c>
      <c r="D686" s="69">
        <v>16339364810</v>
      </c>
      <c r="E686" s="9">
        <v>229</v>
      </c>
      <c r="F686" s="25">
        <v>43151</v>
      </c>
      <c r="G686" s="70" t="s">
        <v>32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1091</v>
      </c>
      <c r="B687" s="67">
        <v>23891239882</v>
      </c>
      <c r="C687" s="72" t="s">
        <v>1092</v>
      </c>
      <c r="D687" s="69">
        <v>22474449892</v>
      </c>
      <c r="E687" s="9">
        <v>1555</v>
      </c>
      <c r="F687" s="25">
        <v>43049</v>
      </c>
      <c r="G687" s="70" t="s">
        <v>25</v>
      </c>
      <c r="H687" s="9"/>
      <c r="I687" s="8"/>
      <c r="J687" s="8"/>
      <c r="K687" s="8"/>
      <c r="L687" s="9" t="s">
        <v>407</v>
      </c>
      <c r="M687" s="8"/>
    </row>
    <row r="688" spans="1:13">
      <c r="A688" s="15" t="s">
        <v>1093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25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1094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25</v>
      </c>
      <c r="H689" s="9"/>
      <c r="I689" s="8"/>
      <c r="J689" s="8"/>
      <c r="K689" s="8"/>
      <c r="L689" s="9" t="s">
        <v>147</v>
      </c>
      <c r="M689" s="8"/>
    </row>
    <row r="690" spans="1:13">
      <c r="A690" s="72" t="s">
        <v>1095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308</v>
      </c>
      <c r="M690" s="8"/>
    </row>
    <row r="691" spans="1:13">
      <c r="A691" s="13" t="s">
        <v>1096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25</v>
      </c>
      <c r="H691" s="9"/>
      <c r="I691" s="8"/>
      <c r="J691" s="8"/>
      <c r="K691" s="8"/>
      <c r="L691" s="8"/>
      <c r="M691" s="8"/>
    </row>
    <row r="692" spans="1:13">
      <c r="A692" s="30" t="s">
        <v>1097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1098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25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1099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1100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25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1101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32</v>
      </c>
      <c r="H696" s="9"/>
      <c r="I696" s="8"/>
      <c r="J696" s="8"/>
      <c r="K696" s="8"/>
      <c r="L696" s="8"/>
      <c r="M696" s="8"/>
    </row>
    <row r="697" spans="1:13">
      <c r="A697" s="71" t="s">
        <v>1102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25</v>
      </c>
      <c r="H697" s="9"/>
      <c r="I697" s="8"/>
      <c r="J697" s="8"/>
      <c r="K697" s="8"/>
      <c r="L697" s="8"/>
      <c r="M697" s="8"/>
    </row>
    <row r="698" spans="1:13">
      <c r="A698" s="71" t="s">
        <v>1103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25</v>
      </c>
      <c r="H698" s="9"/>
      <c r="I698" s="8"/>
      <c r="J698" s="8"/>
      <c r="K698" s="8"/>
      <c r="L698" s="9" t="s">
        <v>147</v>
      </c>
      <c r="M698" s="8"/>
    </row>
    <row r="699" spans="1:13">
      <c r="A699" s="71" t="s">
        <v>1104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1105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25</v>
      </c>
      <c r="H700" s="9"/>
      <c r="I700" s="8"/>
      <c r="J700" s="8"/>
      <c r="K700" s="8"/>
      <c r="L700" s="9" t="s">
        <v>169</v>
      </c>
      <c r="M700" s="8"/>
    </row>
    <row r="701" spans="1:13">
      <c r="A701" s="71" t="s">
        <v>1106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1107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1108</v>
      </c>
      <c r="B703" s="67">
        <v>25698933820</v>
      </c>
      <c r="C703" s="72" t="s">
        <v>1109</v>
      </c>
      <c r="D703" s="69">
        <v>14047433837</v>
      </c>
      <c r="E703" s="9">
        <v>810</v>
      </c>
      <c r="F703" s="25">
        <v>42915</v>
      </c>
      <c r="G703" s="70" t="s">
        <v>25</v>
      </c>
      <c r="H703" s="76">
        <v>43213</v>
      </c>
      <c r="I703" s="8"/>
      <c r="J703" s="8"/>
      <c r="K703" s="8"/>
      <c r="L703" s="9" t="s">
        <v>147</v>
      </c>
      <c r="M703" s="8"/>
    </row>
    <row r="704" spans="1:13">
      <c r="A704" s="71" t="s">
        <v>1110</v>
      </c>
      <c r="B704" s="67">
        <v>34806644315</v>
      </c>
      <c r="C704" s="72" t="s">
        <v>1111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1112</v>
      </c>
      <c r="B705" s="67">
        <v>33189488886</v>
      </c>
      <c r="C705" s="72" t="s">
        <v>1113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1114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25</v>
      </c>
      <c r="H706" s="76">
        <v>43213</v>
      </c>
      <c r="I706" s="8"/>
      <c r="J706" s="8"/>
      <c r="K706" s="8"/>
      <c r="L706" s="9" t="s">
        <v>147</v>
      </c>
      <c r="M706" s="8"/>
    </row>
    <row r="707" spans="1:13">
      <c r="A707" s="71" t="s">
        <v>1115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25</v>
      </c>
      <c r="H707" s="76">
        <v>43213</v>
      </c>
      <c r="I707" s="8"/>
      <c r="J707" s="8"/>
      <c r="K707" s="8"/>
      <c r="L707" s="9" t="s">
        <v>407</v>
      </c>
      <c r="M707" s="8"/>
    </row>
    <row r="708" spans="1:13">
      <c r="A708" s="13" t="s">
        <v>1116</v>
      </c>
      <c r="B708" s="67">
        <v>28390636549</v>
      </c>
      <c r="C708" s="72" t="s">
        <v>1117</v>
      </c>
      <c r="D708" s="69">
        <v>49042904534</v>
      </c>
      <c r="E708" s="9">
        <v>1343</v>
      </c>
      <c r="F708" s="25">
        <v>43004</v>
      </c>
      <c r="G708" s="70" t="s">
        <v>25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1118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1119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25</v>
      </c>
      <c r="H710" s="76">
        <v>43213</v>
      </c>
      <c r="I710" s="8"/>
      <c r="J710" s="8"/>
      <c r="K710" s="8"/>
      <c r="L710" s="9" t="s">
        <v>147</v>
      </c>
      <c r="M710" s="8"/>
    </row>
    <row r="711" spans="1:13">
      <c r="A711" s="71" t="s">
        <v>1120</v>
      </c>
      <c r="B711" s="67">
        <v>27863123534</v>
      </c>
      <c r="C711" s="72" t="s">
        <v>1121</v>
      </c>
      <c r="D711" s="69">
        <v>33480142800</v>
      </c>
      <c r="E711" s="9">
        <v>1214</v>
      </c>
      <c r="F711" s="25">
        <v>42989</v>
      </c>
      <c r="G711" s="70" t="s">
        <v>25</v>
      </c>
      <c r="H711" s="9"/>
      <c r="I711" s="8"/>
      <c r="J711" s="8"/>
      <c r="K711" s="8"/>
      <c r="L711" s="8"/>
      <c r="M711" s="8"/>
    </row>
    <row r="712" spans="1:13">
      <c r="A712" s="72" t="s">
        <v>1122</v>
      </c>
      <c r="B712" s="67">
        <v>39454972804</v>
      </c>
      <c r="C712" s="72" t="s">
        <v>1123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1124</v>
      </c>
      <c r="B713" s="67"/>
      <c r="C713" s="29" t="s">
        <v>1125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1126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25</v>
      </c>
      <c r="H714" s="9"/>
      <c r="I714" s="8"/>
      <c r="J714" s="8"/>
      <c r="K714" s="8"/>
      <c r="L714" s="8"/>
      <c r="M714" s="8"/>
    </row>
    <row r="715" spans="1:13">
      <c r="A715" s="15" t="s">
        <v>1127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25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1128</v>
      </c>
      <c r="B716" s="67">
        <v>17810014803</v>
      </c>
      <c r="C716" s="72" t="s">
        <v>1129</v>
      </c>
      <c r="D716" s="69">
        <v>28934526807</v>
      </c>
      <c r="E716" s="9">
        <v>292</v>
      </c>
      <c r="F716" s="25">
        <v>43168</v>
      </c>
      <c r="G716" s="9" t="s">
        <v>25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1130</v>
      </c>
      <c r="B717" s="67">
        <v>724258574</v>
      </c>
      <c r="C717" s="72" t="s">
        <v>1131</v>
      </c>
      <c r="D717" s="69">
        <v>18303361856</v>
      </c>
      <c r="E717" s="9">
        <v>262</v>
      </c>
      <c r="F717" s="25">
        <v>43160</v>
      </c>
      <c r="G717" s="70" t="s">
        <v>25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1132</v>
      </c>
      <c r="B718" s="67">
        <v>37453999863</v>
      </c>
      <c r="C718" s="72" t="s">
        <v>1133</v>
      </c>
      <c r="D718" s="69"/>
      <c r="E718" s="9">
        <v>1241</v>
      </c>
      <c r="F718" s="25">
        <v>42992</v>
      </c>
      <c r="G718" s="70" t="s">
        <v>25</v>
      </c>
      <c r="H718" s="9"/>
      <c r="I718" s="8"/>
      <c r="J718" s="8"/>
      <c r="K718" s="8"/>
      <c r="L718" s="8"/>
      <c r="M718" s="8"/>
    </row>
    <row r="719" spans="1:13">
      <c r="A719" s="71" t="s">
        <v>1134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1135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25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1136</v>
      </c>
      <c r="B721" s="67">
        <v>30308539850</v>
      </c>
      <c r="C721" s="72" t="s">
        <v>1137</v>
      </c>
      <c r="D721" s="69">
        <v>84739517434</v>
      </c>
      <c r="E721" s="9">
        <v>810</v>
      </c>
      <c r="F721" s="25">
        <v>42915</v>
      </c>
      <c r="G721" s="70" t="s">
        <v>25</v>
      </c>
      <c r="H721" s="9"/>
      <c r="I721" s="8"/>
      <c r="J721" s="8"/>
      <c r="K721" s="8"/>
      <c r="L721" s="9" t="s">
        <v>147</v>
      </c>
      <c r="M721" s="8"/>
    </row>
    <row r="722" spans="1:13">
      <c r="A722" s="71" t="s">
        <v>1138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1139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1140</v>
      </c>
      <c r="B724" s="67">
        <v>21716687845</v>
      </c>
      <c r="C724" s="15" t="s">
        <v>1141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1142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25</v>
      </c>
      <c r="H725" s="9"/>
      <c r="I725" s="8"/>
      <c r="J725" s="8"/>
      <c r="K725" s="8"/>
      <c r="L725" s="8"/>
      <c r="M725" s="8"/>
    </row>
    <row r="726" spans="1:13">
      <c r="A726" s="14" t="s">
        <v>1143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25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1144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25</v>
      </c>
      <c r="H727" s="9"/>
      <c r="I727" s="8"/>
      <c r="J727" s="8"/>
      <c r="K727" s="8"/>
      <c r="L727" s="9" t="s">
        <v>262</v>
      </c>
      <c r="M727" s="8"/>
    </row>
    <row r="728" spans="1:13">
      <c r="A728" s="14" t="s">
        <v>1145</v>
      </c>
      <c r="B728" s="67">
        <v>99658925553</v>
      </c>
      <c r="C728" s="72" t="s">
        <v>1146</v>
      </c>
      <c r="D728" s="69">
        <v>99610108504</v>
      </c>
      <c r="E728" s="9">
        <v>262</v>
      </c>
      <c r="F728" s="25">
        <v>43160</v>
      </c>
      <c r="G728" s="70" t="s">
        <v>25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1147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25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1148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25</v>
      </c>
      <c r="H730" s="9"/>
      <c r="I730" s="8"/>
      <c r="J730" s="8"/>
      <c r="K730" s="8"/>
      <c r="L730" s="8"/>
      <c r="M730" s="8"/>
    </row>
    <row r="731" spans="1:13">
      <c r="A731" s="29" t="s">
        <v>1149</v>
      </c>
      <c r="B731" s="67"/>
      <c r="C731" s="18" t="s">
        <v>138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1150</v>
      </c>
      <c r="B732" s="67">
        <v>25905224870</v>
      </c>
      <c r="C732" s="68" t="s">
        <v>1151</v>
      </c>
      <c r="D732" s="69">
        <v>36185256304</v>
      </c>
      <c r="E732" s="9">
        <v>1824</v>
      </c>
      <c r="F732" s="25">
        <v>43091</v>
      </c>
      <c r="G732" s="70" t="s">
        <v>25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1152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25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1153</v>
      </c>
      <c r="B734" s="67">
        <v>33160363856</v>
      </c>
      <c r="C734" s="72" t="s">
        <v>1154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1155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25</v>
      </c>
      <c r="H735" s="9"/>
      <c r="I735" s="8"/>
      <c r="J735" s="8"/>
      <c r="K735" s="8"/>
      <c r="L735" s="9" t="s">
        <v>262</v>
      </c>
      <c r="M735" s="8"/>
    </row>
    <row r="736" spans="1:13">
      <c r="A736" s="15" t="s">
        <v>1156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25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1157</v>
      </c>
      <c r="B737" s="67">
        <v>71752722434</v>
      </c>
      <c r="C737" s="18" t="s">
        <v>138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1158</v>
      </c>
      <c r="B738" s="67">
        <v>8590565890</v>
      </c>
      <c r="C738" s="72" t="s">
        <v>1159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308</v>
      </c>
      <c r="M738" s="8"/>
    </row>
    <row r="739" spans="1:13">
      <c r="A739" s="71" t="s">
        <v>1160</v>
      </c>
      <c r="B739" s="67">
        <v>35556660883</v>
      </c>
      <c r="C739" s="72" t="s">
        <v>1161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1162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1163</v>
      </c>
      <c r="B741" s="67">
        <v>25905305870</v>
      </c>
      <c r="C741" s="72" t="s">
        <v>1164</v>
      </c>
      <c r="D741" s="69">
        <v>11480794830</v>
      </c>
      <c r="E741" s="9">
        <v>1267</v>
      </c>
      <c r="F741" s="25">
        <v>42998</v>
      </c>
      <c r="G741" s="70" t="s">
        <v>25</v>
      </c>
      <c r="H741" s="9"/>
      <c r="I741" s="8"/>
      <c r="J741" s="8"/>
      <c r="K741" s="8"/>
      <c r="L741" s="8"/>
      <c r="M741" s="8"/>
    </row>
    <row r="742" spans="1:13">
      <c r="A742" s="71" t="s">
        <v>1165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1166</v>
      </c>
      <c r="B743" s="67">
        <v>18360141800</v>
      </c>
      <c r="C743" s="72" t="s">
        <v>1167</v>
      </c>
      <c r="D743" s="69">
        <v>48201979591</v>
      </c>
      <c r="E743" s="9">
        <v>117</v>
      </c>
      <c r="F743" s="25">
        <v>43117</v>
      </c>
      <c r="G743" s="70" t="s">
        <v>25</v>
      </c>
      <c r="H743" s="9"/>
      <c r="I743" s="8"/>
      <c r="J743" s="8"/>
      <c r="K743" s="8"/>
      <c r="L743" s="9" t="s">
        <v>179</v>
      </c>
      <c r="M743" s="8"/>
    </row>
    <row r="744" spans="1:13">
      <c r="A744" s="15" t="s">
        <v>1168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179</v>
      </c>
      <c r="M744" s="8"/>
    </row>
    <row r="745" spans="1:13">
      <c r="A745" s="71" t="s">
        <v>1169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1170</v>
      </c>
      <c r="B746" s="67">
        <v>36613647829</v>
      </c>
      <c r="C746" s="72" t="s">
        <v>1171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1172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25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1173</v>
      </c>
      <c r="B748" s="67">
        <v>25332480881</v>
      </c>
      <c r="C748" s="18" t="s">
        <v>138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1174</v>
      </c>
      <c r="B749" s="67">
        <v>16365042809</v>
      </c>
      <c r="C749" s="72" t="s">
        <v>1175</v>
      </c>
      <c r="D749" s="69">
        <v>26488933850</v>
      </c>
      <c r="E749" s="9">
        <v>117</v>
      </c>
      <c r="F749" s="25">
        <v>43117</v>
      </c>
      <c r="G749" s="70" t="s">
        <v>25</v>
      </c>
      <c r="H749" s="25">
        <v>43151</v>
      </c>
      <c r="I749" s="8"/>
      <c r="J749" s="8"/>
      <c r="K749" s="8"/>
      <c r="L749" s="9" t="s">
        <v>179</v>
      </c>
      <c r="M749" s="8"/>
    </row>
    <row r="750" spans="1:13">
      <c r="A750" s="15" t="s">
        <v>1176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25</v>
      </c>
      <c r="H750" s="25">
        <v>43151</v>
      </c>
      <c r="I750" s="8"/>
      <c r="J750" s="8"/>
      <c r="K750" s="8"/>
      <c r="L750" s="9" t="s">
        <v>179</v>
      </c>
      <c r="M750" s="8"/>
    </row>
    <row r="751" spans="1:13">
      <c r="A751" s="71" t="s">
        <v>1177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1178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32</v>
      </c>
      <c r="H752" s="9"/>
      <c r="I752" s="8"/>
      <c r="J752" s="8"/>
      <c r="K752" s="8"/>
      <c r="L752" s="8"/>
      <c r="M752" s="8"/>
    </row>
    <row r="753" spans="1:13">
      <c r="A753" s="71" t="s">
        <v>1179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25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1180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25</v>
      </c>
      <c r="H754" s="9"/>
      <c r="I754" s="8"/>
      <c r="J754" s="8"/>
      <c r="K754" s="8"/>
      <c r="L754" s="8"/>
      <c r="M754" s="8"/>
    </row>
    <row r="755" spans="1:13">
      <c r="A755" s="29" t="s">
        <v>1181</v>
      </c>
      <c r="B755" s="67"/>
      <c r="C755" s="18" t="s">
        <v>138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1182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1183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25</v>
      </c>
      <c r="H757" s="9"/>
      <c r="I757" s="8"/>
      <c r="J757" s="8"/>
      <c r="K757" s="8"/>
      <c r="L757" s="8"/>
      <c r="M757" s="8"/>
    </row>
    <row r="758" spans="1:13">
      <c r="A758" s="71" t="s">
        <v>1184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1185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147</v>
      </c>
      <c r="M759" s="8"/>
    </row>
    <row r="760" spans="1:13">
      <c r="A760" s="71" t="s">
        <v>1186</v>
      </c>
      <c r="B760" s="67">
        <v>41756319847</v>
      </c>
      <c r="C760" s="72" t="s">
        <v>1187</v>
      </c>
      <c r="D760" s="69">
        <v>28780799817</v>
      </c>
      <c r="E760" s="9">
        <v>1489</v>
      </c>
      <c r="F760" s="25">
        <v>43038</v>
      </c>
      <c r="G760" s="70" t="s">
        <v>40</v>
      </c>
      <c r="H760" s="9"/>
      <c r="I760" s="8"/>
      <c r="J760" s="8"/>
      <c r="K760" s="8"/>
      <c r="L760" s="9" t="s">
        <v>169</v>
      </c>
      <c r="M760" s="8"/>
    </row>
    <row r="761" spans="1:13">
      <c r="A761" s="71" t="s">
        <v>1188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25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1189</v>
      </c>
      <c r="B762" s="67"/>
      <c r="C762" s="29" t="s">
        <v>138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1190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1191</v>
      </c>
      <c r="B764" s="67">
        <v>39762019873</v>
      </c>
      <c r="C764" s="68" t="s">
        <v>1192</v>
      </c>
      <c r="D764" s="69">
        <v>28639452890</v>
      </c>
      <c r="E764" s="9">
        <v>1128</v>
      </c>
      <c r="F764" s="25">
        <v>42972</v>
      </c>
      <c r="G764" s="70" t="s">
        <v>25</v>
      </c>
      <c r="H764" s="9"/>
      <c r="I764" s="8"/>
      <c r="J764" s="8"/>
      <c r="K764" s="8"/>
      <c r="L764" s="8"/>
      <c r="M764" s="8"/>
    </row>
    <row r="765" spans="1:13">
      <c r="A765" s="71" t="s">
        <v>1193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25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1194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1195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25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1196</v>
      </c>
      <c r="B768" s="67">
        <v>21914504828</v>
      </c>
      <c r="C768" s="72" t="s">
        <v>1197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1198</v>
      </c>
      <c r="B769" s="67">
        <v>11259745830</v>
      </c>
      <c r="C769" s="72" t="s">
        <v>1199</v>
      </c>
      <c r="D769" s="69">
        <v>49121901368</v>
      </c>
      <c r="E769" s="9">
        <v>262</v>
      </c>
      <c r="F769" s="25">
        <v>43160</v>
      </c>
      <c r="G769" s="70" t="s">
        <v>25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1200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25</v>
      </c>
      <c r="H770" s="9"/>
      <c r="I770" s="8"/>
      <c r="J770" s="8"/>
      <c r="K770" s="8"/>
      <c r="L770" s="8"/>
      <c r="M770" s="8"/>
    </row>
    <row r="771" spans="1:13">
      <c r="A771" s="72" t="s">
        <v>1201</v>
      </c>
      <c r="B771" s="67">
        <v>22547591839</v>
      </c>
      <c r="C771" s="72" t="s">
        <v>1202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1203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1204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1205</v>
      </c>
      <c r="B774" s="67">
        <v>9881940400</v>
      </c>
      <c r="C774" s="72" t="s">
        <v>1206</v>
      </c>
      <c r="D774" s="69">
        <v>1778905501</v>
      </c>
      <c r="E774" s="9">
        <v>262</v>
      </c>
      <c r="F774" s="25">
        <v>43160</v>
      </c>
      <c r="G774" s="70" t="s">
        <v>32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1207</v>
      </c>
      <c r="B775" s="67">
        <v>18240627889</v>
      </c>
      <c r="C775" s="77" t="s">
        <v>1208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1209</v>
      </c>
      <c r="B776" s="67">
        <v>34715955890</v>
      </c>
      <c r="C776" s="72" t="s">
        <v>1210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1211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25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1212</v>
      </c>
      <c r="B778" s="67">
        <v>2413902490</v>
      </c>
      <c r="C778" s="77" t="s">
        <v>1213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1214</v>
      </c>
      <c r="B779" s="67">
        <v>30558706894</v>
      </c>
      <c r="C779" s="72" t="s">
        <v>1215</v>
      </c>
      <c r="D779" s="69">
        <v>87700352372</v>
      </c>
      <c r="E779" s="9">
        <v>810</v>
      </c>
      <c r="F779" s="25">
        <v>42915</v>
      </c>
      <c r="G779" s="70" t="s">
        <v>25</v>
      </c>
      <c r="H779" s="9"/>
      <c r="I779" s="8"/>
      <c r="J779" s="8"/>
      <c r="K779" s="8"/>
      <c r="L779" s="9" t="s">
        <v>147</v>
      </c>
      <c r="M779" s="8"/>
    </row>
    <row r="780" spans="1:13">
      <c r="A780" s="71" t="s">
        <v>1216</v>
      </c>
      <c r="B780" s="67">
        <v>27926471836</v>
      </c>
      <c r="C780" s="72" t="s">
        <v>1217</v>
      </c>
      <c r="D780" s="69">
        <v>2210309484</v>
      </c>
      <c r="E780" s="9">
        <v>1439</v>
      </c>
      <c r="F780" s="25">
        <v>43025</v>
      </c>
      <c r="G780" s="70" t="s">
        <v>32</v>
      </c>
      <c r="H780" s="9"/>
      <c r="I780" s="8"/>
      <c r="J780" s="8"/>
      <c r="K780" s="8"/>
      <c r="L780" s="9" t="s">
        <v>511</v>
      </c>
      <c r="M780" s="8"/>
    </row>
    <row r="781" spans="1:13">
      <c r="A781" s="15" t="s">
        <v>1218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25</v>
      </c>
      <c r="H781" s="9"/>
      <c r="I781" s="8"/>
      <c r="J781" s="8"/>
      <c r="K781" s="8"/>
      <c r="L781" s="9" t="s">
        <v>179</v>
      </c>
      <c r="M781" s="8"/>
    </row>
    <row r="782" spans="1:13">
      <c r="A782" s="71" t="s">
        <v>1219</v>
      </c>
      <c r="B782" s="67">
        <v>47361352391</v>
      </c>
      <c r="C782" s="72" t="s">
        <v>1220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1221</v>
      </c>
      <c r="B783" s="67">
        <v>32763223826</v>
      </c>
      <c r="C783" s="72" t="s">
        <v>1222</v>
      </c>
      <c r="D783" s="69">
        <v>27936363807</v>
      </c>
      <c r="E783" s="9">
        <v>608</v>
      </c>
      <c r="F783" s="25">
        <v>43012</v>
      </c>
      <c r="G783" s="70" t="s">
        <v>25</v>
      </c>
      <c r="H783" s="9"/>
      <c r="I783" s="8"/>
      <c r="J783" s="8"/>
      <c r="K783" s="8"/>
      <c r="L783" s="8"/>
      <c r="M783" s="8"/>
    </row>
    <row r="784" spans="1:13">
      <c r="A784" s="18" t="s">
        <v>1223</v>
      </c>
      <c r="B784" s="67"/>
      <c r="C784" s="18" t="s">
        <v>1224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1225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25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1226</v>
      </c>
      <c r="B786" s="67">
        <v>39068600869</v>
      </c>
      <c r="C786" s="72"/>
      <c r="D786" s="69"/>
      <c r="E786" s="9"/>
      <c r="F786" s="25"/>
      <c r="G786" s="70" t="s">
        <v>25</v>
      </c>
      <c r="H786" s="9"/>
      <c r="I786" s="8"/>
      <c r="J786" s="8"/>
      <c r="K786" s="8"/>
      <c r="L786" s="8"/>
      <c r="M786" s="8"/>
    </row>
    <row r="787" spans="1:13">
      <c r="A787" s="29" t="s">
        <v>1227</v>
      </c>
      <c r="B787" s="67">
        <v>31875471847</v>
      </c>
      <c r="C787" s="18" t="s">
        <v>1228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1229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1230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1231</v>
      </c>
      <c r="B790" s="67">
        <v>11634805844</v>
      </c>
      <c r="C790" s="29" t="s">
        <v>138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1232</v>
      </c>
      <c r="B791" s="67">
        <v>39485124856</v>
      </c>
      <c r="C791" s="72" t="s">
        <v>1233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1234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1235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1236</v>
      </c>
      <c r="B794" s="67">
        <v>32221516877</v>
      </c>
      <c r="C794" s="72" t="s">
        <v>1237</v>
      </c>
      <c r="D794" s="69">
        <v>18338419800</v>
      </c>
      <c r="E794" s="9">
        <v>1752</v>
      </c>
      <c r="F794" s="25">
        <v>43051</v>
      </c>
      <c r="G794" s="70" t="s">
        <v>25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1238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1239</v>
      </c>
      <c r="B796" s="67">
        <v>43951626810</v>
      </c>
      <c r="C796" s="72" t="s">
        <v>1240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1241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1242</v>
      </c>
      <c r="B798" s="67">
        <v>40840895836</v>
      </c>
      <c r="C798" s="72" t="s">
        <v>1243</v>
      </c>
      <c r="D798" s="69">
        <v>39329913890</v>
      </c>
      <c r="E798" s="9">
        <v>1106</v>
      </c>
      <c r="F798" s="25">
        <v>42965</v>
      </c>
      <c r="G798" s="70" t="s">
        <v>25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1244</v>
      </c>
      <c r="B799" s="67">
        <v>30969194809</v>
      </c>
      <c r="C799" s="72" t="s">
        <v>1245</v>
      </c>
      <c r="D799" s="69">
        <v>13013456876</v>
      </c>
      <c r="E799" s="9">
        <v>810</v>
      </c>
      <c r="F799" s="25">
        <v>42915</v>
      </c>
      <c r="G799" s="70" t="s">
        <v>25</v>
      </c>
      <c r="H799" s="76">
        <v>43213</v>
      </c>
      <c r="I799" s="8"/>
      <c r="J799" s="8"/>
      <c r="K799" s="8"/>
      <c r="L799" s="9" t="s">
        <v>147</v>
      </c>
      <c r="M799" s="8"/>
    </row>
    <row r="800" spans="1:13">
      <c r="A800" s="71" t="s">
        <v>1246</v>
      </c>
      <c r="B800" s="67">
        <v>33186484855</v>
      </c>
      <c r="C800" s="77" t="s">
        <v>1247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1248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25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1249</v>
      </c>
      <c r="B802" s="67">
        <v>27298776819</v>
      </c>
      <c r="C802" s="72" t="s">
        <v>1250</v>
      </c>
      <c r="D802" s="69">
        <v>31387900544</v>
      </c>
      <c r="E802" s="9">
        <v>229</v>
      </c>
      <c r="F802" s="25">
        <v>43151</v>
      </c>
      <c r="G802" s="70" t="s">
        <v>25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1251</v>
      </c>
      <c r="B803" s="67">
        <v>28802120811</v>
      </c>
      <c r="C803" s="72" t="s">
        <v>1252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1253</v>
      </c>
      <c r="B804" s="67">
        <v>34581351898</v>
      </c>
      <c r="C804" s="18" t="s">
        <v>1254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1255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1256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25</v>
      </c>
      <c r="H806" s="9"/>
      <c r="I806" s="8"/>
      <c r="J806" s="8"/>
      <c r="K806" s="8"/>
      <c r="L806" s="8"/>
      <c r="M806" s="8"/>
    </row>
    <row r="807" spans="1:13">
      <c r="A807" s="29" t="s">
        <v>1257</v>
      </c>
      <c r="B807" s="67"/>
      <c r="C807" s="29" t="s">
        <v>138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1258</v>
      </c>
      <c r="B808" s="67">
        <v>40324052391</v>
      </c>
      <c r="C808" s="72" t="s">
        <v>1259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1260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25</v>
      </c>
      <c r="H809" s="9"/>
      <c r="I809" s="8"/>
      <c r="J809" s="8"/>
      <c r="K809" s="8"/>
      <c r="L809" s="9" t="s">
        <v>147</v>
      </c>
      <c r="M809" s="8"/>
    </row>
    <row r="810" spans="1:13">
      <c r="A810" s="71" t="s">
        <v>1261</v>
      </c>
      <c r="B810" s="67">
        <v>29022777847</v>
      </c>
      <c r="C810" s="72" t="s">
        <v>1262</v>
      </c>
      <c r="D810" s="69">
        <v>33430349400</v>
      </c>
      <c r="E810" s="9">
        <v>262</v>
      </c>
      <c r="F810" s="25">
        <v>43160</v>
      </c>
      <c r="G810" s="70" t="s">
        <v>25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1263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25</v>
      </c>
      <c r="H811" s="9"/>
      <c r="I811" s="8"/>
      <c r="J811" s="8"/>
      <c r="K811" s="8"/>
      <c r="L811" s="8"/>
      <c r="M811" s="8"/>
    </row>
    <row r="812" spans="1:13">
      <c r="A812" s="71" t="s">
        <v>1264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1265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25</v>
      </c>
      <c r="H813" s="9"/>
      <c r="I813" s="8"/>
      <c r="J813" s="8"/>
      <c r="K813" s="8"/>
      <c r="L813" s="8"/>
      <c r="M813" s="8"/>
    </row>
    <row r="814" spans="1:13">
      <c r="A814" s="71" t="s">
        <v>1266</v>
      </c>
      <c r="B814" s="67">
        <v>43523026865</v>
      </c>
      <c r="C814" s="72" t="s">
        <v>1267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1268</v>
      </c>
      <c r="B815" s="67"/>
      <c r="C815" s="29" t="s">
        <v>138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1269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25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1270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25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1271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25</v>
      </c>
      <c r="H818" s="9"/>
      <c r="I818" s="8"/>
      <c r="J818" s="8"/>
      <c r="K818" s="8"/>
      <c r="L818" s="9" t="s">
        <v>147</v>
      </c>
      <c r="M818" s="8"/>
    </row>
    <row r="819" spans="1:13">
      <c r="A819" s="71" t="s">
        <v>1272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1273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1274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25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1275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25</v>
      </c>
      <c r="H822" s="9"/>
      <c r="I822" s="8"/>
      <c r="J822" s="8"/>
      <c r="K822" s="8"/>
      <c r="L822" s="8"/>
      <c r="M822" s="8"/>
    </row>
    <row r="823" spans="1:13">
      <c r="A823" s="71" t="s">
        <v>1276</v>
      </c>
      <c r="B823" s="67">
        <v>5102923480</v>
      </c>
      <c r="C823" s="72" t="s">
        <v>1277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1278</v>
      </c>
      <c r="B824" s="67">
        <v>7268622406</v>
      </c>
      <c r="C824" s="72" t="s">
        <v>1279</v>
      </c>
      <c r="D824" s="69">
        <v>40507630874</v>
      </c>
      <c r="E824" s="9">
        <v>1267</v>
      </c>
      <c r="F824" s="25">
        <v>42998</v>
      </c>
      <c r="G824" s="70" t="s">
        <v>25</v>
      </c>
      <c r="H824" s="9"/>
      <c r="I824" s="8"/>
      <c r="J824" s="8"/>
      <c r="K824" s="8"/>
      <c r="L824" s="8"/>
      <c r="M824" s="8"/>
    </row>
    <row r="825" spans="1:13">
      <c r="A825" s="71" t="s">
        <v>1280</v>
      </c>
      <c r="B825" s="67" t="s">
        <v>1281</v>
      </c>
      <c r="C825" s="77" t="s">
        <v>1282</v>
      </c>
      <c r="D825" s="69" t="s">
        <v>1283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1284</v>
      </c>
      <c r="B826" s="67"/>
      <c r="C826" s="29" t="s">
        <v>138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1285</v>
      </c>
      <c r="B827" s="67">
        <v>31429224827</v>
      </c>
      <c r="C827" s="72" t="s">
        <v>1286</v>
      </c>
      <c r="D827" s="69">
        <v>27263725894</v>
      </c>
      <c r="E827" s="9">
        <v>292</v>
      </c>
      <c r="F827" s="25">
        <v>43168</v>
      </c>
      <c r="G827" s="70" t="s">
        <v>32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1287</v>
      </c>
      <c r="B828" s="67">
        <v>3753540420</v>
      </c>
      <c r="C828" s="72" t="s">
        <v>1224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1288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1289</v>
      </c>
      <c r="B830" s="67">
        <v>36723660803</v>
      </c>
      <c r="C830" s="72" t="s">
        <v>1290</v>
      </c>
      <c r="D830" s="69">
        <v>32763586899</v>
      </c>
      <c r="E830" s="9">
        <v>608</v>
      </c>
      <c r="F830" s="25">
        <v>43012</v>
      </c>
      <c r="G830" s="70" t="s">
        <v>25</v>
      </c>
      <c r="H830" s="9"/>
      <c r="I830" s="8"/>
      <c r="J830" s="8"/>
      <c r="K830" s="8"/>
      <c r="L830" s="8"/>
      <c r="M830" s="8"/>
    </row>
    <row r="831" spans="1:13">
      <c r="A831" s="13" t="s">
        <v>1291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25</v>
      </c>
      <c r="H831" s="9"/>
      <c r="I831" s="8"/>
      <c r="J831" s="8"/>
      <c r="K831" s="8"/>
      <c r="L831" s="8"/>
      <c r="M831" s="8"/>
    </row>
    <row r="832" spans="1:13">
      <c r="A832" s="72" t="s">
        <v>1292</v>
      </c>
      <c r="B832" s="67">
        <v>166405462</v>
      </c>
      <c r="C832" s="15" t="s">
        <v>1293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1294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25</v>
      </c>
      <c r="H833" s="9"/>
      <c r="I833" s="8"/>
      <c r="J833" s="8"/>
      <c r="K833" s="8"/>
      <c r="L833" s="9" t="s">
        <v>147</v>
      </c>
      <c r="M833" s="8"/>
    </row>
    <row r="834" spans="1:13">
      <c r="A834" s="15" t="s">
        <v>1295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25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1296</v>
      </c>
      <c r="B835" s="67">
        <v>13621159835</v>
      </c>
      <c r="C835" s="72" t="s">
        <v>1297</v>
      </c>
      <c r="D835" s="69">
        <v>35124170867</v>
      </c>
      <c r="E835" s="9">
        <v>229</v>
      </c>
      <c r="F835" s="25">
        <v>43151</v>
      </c>
      <c r="G835" s="70" t="s">
        <v>25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1298</v>
      </c>
      <c r="B836" s="67">
        <v>34649647878</v>
      </c>
      <c r="C836" s="72" t="s">
        <v>1299</v>
      </c>
      <c r="D836" s="69">
        <v>17811429802</v>
      </c>
      <c r="E836" s="9">
        <v>810</v>
      </c>
      <c r="F836" s="25">
        <v>42915</v>
      </c>
      <c r="G836" s="70" t="s">
        <v>25</v>
      </c>
      <c r="H836" s="9"/>
      <c r="I836" s="8"/>
      <c r="J836" s="8"/>
      <c r="K836" s="8"/>
      <c r="L836" s="9" t="s">
        <v>147</v>
      </c>
      <c r="M836" s="8"/>
    </row>
    <row r="837" spans="1:13">
      <c r="A837" s="71" t="s">
        <v>1300</v>
      </c>
      <c r="B837" s="67">
        <v>25809517846</v>
      </c>
      <c r="C837" s="73" t="s">
        <v>1301</v>
      </c>
      <c r="D837" s="69">
        <v>68856830434</v>
      </c>
      <c r="E837" s="9">
        <v>292</v>
      </c>
      <c r="F837" s="25">
        <v>43168</v>
      </c>
      <c r="G837" s="70" t="s">
        <v>32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1302</v>
      </c>
      <c r="B838" s="67">
        <v>6952730435</v>
      </c>
      <c r="C838" s="72" t="s">
        <v>1303</v>
      </c>
      <c r="D838" s="69">
        <v>8004608477</v>
      </c>
      <c r="E838" s="9">
        <v>810</v>
      </c>
      <c r="F838" s="25">
        <v>42915</v>
      </c>
      <c r="G838" s="70" t="s">
        <v>25</v>
      </c>
      <c r="H838" s="9"/>
      <c r="I838" s="8"/>
      <c r="J838" s="8"/>
      <c r="K838" s="8"/>
      <c r="L838" s="9" t="s">
        <v>147</v>
      </c>
      <c r="M838" s="8"/>
    </row>
    <row r="839" spans="1:13">
      <c r="A839" s="71" t="s">
        <v>1304</v>
      </c>
      <c r="B839" s="67">
        <v>23440697800</v>
      </c>
      <c r="C839" s="72" t="s">
        <v>1305</v>
      </c>
      <c r="D839" s="69">
        <v>93690177553</v>
      </c>
      <c r="E839" s="9">
        <v>292</v>
      </c>
      <c r="F839" s="25">
        <v>43168</v>
      </c>
      <c r="G839" s="70" t="s">
        <v>25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1306</v>
      </c>
      <c r="B840" s="67">
        <v>93567421549</v>
      </c>
      <c r="C840" s="72" t="s">
        <v>1307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1308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1309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25</v>
      </c>
      <c r="H842" s="9"/>
      <c r="I842" s="8"/>
      <c r="J842" s="8"/>
      <c r="K842" s="8"/>
      <c r="L842" s="9" t="s">
        <v>179</v>
      </c>
      <c r="M842" s="8"/>
    </row>
    <row r="843" spans="1:13">
      <c r="A843" s="71" t="s">
        <v>1310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25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1311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1312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25</v>
      </c>
      <c r="H845" s="9"/>
      <c r="I845" s="8"/>
      <c r="J845" s="8"/>
      <c r="K845" s="8"/>
      <c r="L845" s="9" t="s">
        <v>179</v>
      </c>
      <c r="M845" s="8"/>
    </row>
    <row r="846" spans="1:13">
      <c r="A846" s="71" t="s">
        <v>1313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25</v>
      </c>
      <c r="H846" s="9"/>
      <c r="I846" s="8"/>
      <c r="J846" s="8"/>
      <c r="K846" s="8"/>
      <c r="L846" s="9" t="s">
        <v>262</v>
      </c>
      <c r="M846" s="8"/>
    </row>
    <row r="847" spans="1:13">
      <c r="A847" s="71" t="s">
        <v>1314</v>
      </c>
      <c r="B847" s="67">
        <v>10762166843</v>
      </c>
      <c r="C847" s="72" t="s">
        <v>1315</v>
      </c>
      <c r="D847" s="69">
        <v>18471490811</v>
      </c>
      <c r="E847" s="9">
        <v>1752</v>
      </c>
      <c r="F847" s="25">
        <v>43051</v>
      </c>
      <c r="G847" s="83" t="s">
        <v>25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1316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1317</v>
      </c>
      <c r="B849" s="67">
        <v>38988535863</v>
      </c>
      <c r="C849" s="72" t="s">
        <v>1318</v>
      </c>
      <c r="D849" s="69">
        <v>34543536886</v>
      </c>
      <c r="E849" s="9">
        <v>1555</v>
      </c>
      <c r="F849" s="25">
        <v>43049</v>
      </c>
      <c r="G849" s="70" t="s">
        <v>25</v>
      </c>
      <c r="H849" s="9"/>
      <c r="I849" s="8"/>
      <c r="J849" s="8"/>
      <c r="K849" s="8"/>
      <c r="L849" s="9" t="s">
        <v>407</v>
      </c>
      <c r="M849" s="8"/>
    </row>
    <row r="850" spans="1:13">
      <c r="A850" s="71" t="s">
        <v>1319</v>
      </c>
      <c r="B850" s="67">
        <v>81902581334</v>
      </c>
      <c r="C850" s="72" t="s">
        <v>1320</v>
      </c>
      <c r="D850" s="69">
        <v>42305020368</v>
      </c>
      <c r="E850" s="9">
        <v>1752</v>
      </c>
      <c r="F850" s="25">
        <v>43051</v>
      </c>
      <c r="G850" s="70" t="s">
        <v>25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1321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1322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25</v>
      </c>
      <c r="H852" s="9"/>
      <c r="I852" s="8"/>
      <c r="J852" s="8"/>
      <c r="K852" s="8"/>
      <c r="L852" s="8"/>
      <c r="M852" s="8"/>
    </row>
    <row r="853" spans="1:13">
      <c r="A853" s="72" t="s">
        <v>1323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25</v>
      </c>
      <c r="H853" s="9"/>
      <c r="I853" s="8"/>
      <c r="J853" s="8"/>
      <c r="K853" s="8"/>
      <c r="L853" s="8"/>
      <c r="M853" s="8"/>
    </row>
    <row r="854" spans="1:13">
      <c r="A854" s="15" t="s">
        <v>1324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1325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25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1326</v>
      </c>
      <c r="B856" s="67">
        <v>36135801520</v>
      </c>
      <c r="C856" s="15" t="s">
        <v>1327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1328</v>
      </c>
      <c r="B857" s="67">
        <v>43231450802</v>
      </c>
      <c r="C857" s="72" t="s">
        <v>1329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1330</v>
      </c>
      <c r="B858" s="67">
        <v>38163601817</v>
      </c>
      <c r="C858" s="72" t="s">
        <v>1331</v>
      </c>
      <c r="D858" s="69">
        <v>36840584836</v>
      </c>
      <c r="E858" s="9">
        <v>292</v>
      </c>
      <c r="F858" s="25">
        <v>43168</v>
      </c>
      <c r="G858" s="70" t="s">
        <v>25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1332</v>
      </c>
      <c r="B859" s="67">
        <v>40853154805</v>
      </c>
      <c r="C859" s="72" t="s">
        <v>1333</v>
      </c>
      <c r="D859" s="69">
        <v>23596403804</v>
      </c>
      <c r="E859" s="9">
        <v>229</v>
      </c>
      <c r="F859" s="25">
        <v>43151</v>
      </c>
      <c r="G859" s="70" t="s">
        <v>25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1334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25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1335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1336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25</v>
      </c>
      <c r="H862" s="9"/>
      <c r="I862" s="8"/>
      <c r="J862" s="8"/>
      <c r="K862" s="8"/>
      <c r="L862" s="9" t="s">
        <v>407</v>
      </c>
      <c r="M862" s="8"/>
    </row>
    <row r="863" spans="1:13">
      <c r="A863" s="14" t="s">
        <v>1337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25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1338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25</v>
      </c>
      <c r="H864" s="9"/>
      <c r="I864" s="8"/>
      <c r="J864" s="8"/>
      <c r="K864" s="8"/>
      <c r="L864" s="8"/>
      <c r="M864" s="8"/>
    </row>
    <row r="865" spans="1:13">
      <c r="A865" s="71" t="s">
        <v>1339</v>
      </c>
      <c r="B865" s="67">
        <v>30708968805</v>
      </c>
      <c r="C865" s="72" t="s">
        <v>1340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1341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1342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25</v>
      </c>
      <c r="H867" s="9"/>
      <c r="I867" s="8"/>
      <c r="J867" s="8"/>
      <c r="K867" s="8"/>
      <c r="L867" s="9" t="s">
        <v>147</v>
      </c>
      <c r="M867" s="8"/>
    </row>
    <row r="868" spans="1:13">
      <c r="A868" s="71" t="s">
        <v>1343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1344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25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1345</v>
      </c>
      <c r="B870" s="67">
        <v>41379878829</v>
      </c>
      <c r="C870" s="72" t="s">
        <v>1346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1347</v>
      </c>
      <c r="B871" s="67">
        <v>31471499863</v>
      </c>
      <c r="C871" s="72" t="s">
        <v>1348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1349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25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1350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25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1351</v>
      </c>
      <c r="B874" s="67">
        <v>27878860866</v>
      </c>
      <c r="C874" s="72" t="s">
        <v>1352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1353</v>
      </c>
      <c r="B875" s="67">
        <v>25002291813</v>
      </c>
      <c r="C875" s="72" t="s">
        <v>1354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1355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1356</v>
      </c>
      <c r="B877" s="67"/>
      <c r="C877" s="29" t="s">
        <v>1357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1358</v>
      </c>
      <c r="B878" s="67">
        <v>7205116589</v>
      </c>
      <c r="C878" s="72" t="s">
        <v>1359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1360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1361</v>
      </c>
      <c r="B880" s="67">
        <v>82084602491</v>
      </c>
      <c r="C880" s="72" t="s">
        <v>1362</v>
      </c>
      <c r="D880" s="69">
        <v>74937758420</v>
      </c>
      <c r="E880" s="9">
        <v>292</v>
      </c>
      <c r="F880" s="25">
        <v>43168</v>
      </c>
      <c r="G880" s="9" t="s">
        <v>25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1363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1364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1365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25</v>
      </c>
      <c r="H883" s="9"/>
      <c r="I883" s="8"/>
      <c r="J883" s="8"/>
      <c r="K883" s="8"/>
      <c r="L883" s="8"/>
      <c r="M883" s="8"/>
    </row>
    <row r="884" spans="1:13">
      <c r="A884" s="13" t="s">
        <v>1366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25</v>
      </c>
      <c r="H884" s="9"/>
      <c r="I884" s="8"/>
      <c r="J884" s="8"/>
      <c r="K884" s="8"/>
      <c r="L884" s="8"/>
      <c r="M884" s="8"/>
    </row>
    <row r="885" spans="1:13">
      <c r="A885" s="71" t="s">
        <v>1367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1368</v>
      </c>
      <c r="B886" s="67">
        <v>63234904553</v>
      </c>
      <c r="C886" s="68" t="s">
        <v>1369</v>
      </c>
      <c r="D886" s="69">
        <v>1193464870</v>
      </c>
      <c r="E886" s="9">
        <v>1128</v>
      </c>
      <c r="F886" s="25">
        <v>42972</v>
      </c>
      <c r="G886" s="70" t="s">
        <v>25</v>
      </c>
      <c r="H886" s="9"/>
      <c r="I886" s="8"/>
      <c r="J886" s="8"/>
      <c r="K886" s="8"/>
      <c r="L886" s="8"/>
      <c r="M886" s="8"/>
    </row>
    <row r="887" spans="1:13">
      <c r="A887" s="71" t="s">
        <v>1370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1371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1372</v>
      </c>
      <c r="B889" s="67">
        <v>30967680808</v>
      </c>
      <c r="C889" s="18" t="s">
        <v>1373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1374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25</v>
      </c>
      <c r="H890" s="9"/>
      <c r="I890" s="8"/>
      <c r="J890" s="8"/>
      <c r="K890" s="8"/>
      <c r="L890" s="9" t="s">
        <v>147</v>
      </c>
      <c r="M890" s="8"/>
    </row>
    <row r="891" spans="1:13">
      <c r="A891" s="15" t="s">
        <v>1375</v>
      </c>
      <c r="B891" s="67">
        <v>3570397696</v>
      </c>
      <c r="C891" s="72" t="s">
        <v>1376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1377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1378</v>
      </c>
      <c r="B893" s="67">
        <v>1170658547</v>
      </c>
      <c r="C893" s="72" t="s">
        <v>1379</v>
      </c>
      <c r="D893" s="69">
        <v>2695281560</v>
      </c>
      <c r="E893" s="9">
        <v>1824</v>
      </c>
      <c r="F893" s="25">
        <v>43091</v>
      </c>
      <c r="G893" s="70" t="s">
        <v>32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1380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25</v>
      </c>
      <c r="H894" s="9"/>
      <c r="I894" s="8"/>
      <c r="J894" s="8"/>
      <c r="K894" s="8"/>
      <c r="L894" s="9" t="s">
        <v>147</v>
      </c>
      <c r="M894" s="8"/>
    </row>
    <row r="895" spans="1:13">
      <c r="A895" s="71" t="s">
        <v>1381</v>
      </c>
      <c r="B895" s="67">
        <v>29927032811</v>
      </c>
      <c r="C895" s="72" t="s">
        <v>1382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1383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1384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25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1385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25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1386</v>
      </c>
      <c r="B899" s="67">
        <v>37064427877</v>
      </c>
      <c r="C899" s="68" t="s">
        <v>1387</v>
      </c>
      <c r="D899" s="69">
        <v>34881680854</v>
      </c>
      <c r="E899" s="9">
        <v>1128</v>
      </c>
      <c r="F899" s="25">
        <v>42972</v>
      </c>
      <c r="G899" s="70" t="s">
        <v>25</v>
      </c>
      <c r="H899" s="9"/>
      <c r="I899" s="8"/>
      <c r="J899" s="8"/>
      <c r="K899" s="8"/>
      <c r="L899" s="8"/>
      <c r="M899" s="8"/>
    </row>
    <row r="900" spans="1:13">
      <c r="A900" s="15" t="s">
        <v>1388</v>
      </c>
      <c r="B900" s="67">
        <v>34712023821</v>
      </c>
      <c r="C900" s="72" t="s">
        <v>1389</v>
      </c>
      <c r="D900" s="69">
        <v>80700918868</v>
      </c>
      <c r="E900" s="9">
        <v>117</v>
      </c>
      <c r="F900" s="25">
        <v>43117</v>
      </c>
      <c r="G900" s="70" t="s">
        <v>25</v>
      </c>
      <c r="H900" s="9"/>
      <c r="I900" s="8"/>
      <c r="J900" s="8"/>
      <c r="K900" s="8"/>
      <c r="L900" s="9" t="s">
        <v>179</v>
      </c>
      <c r="M900" s="8"/>
    </row>
    <row r="901" spans="1:13">
      <c r="A901" s="71" t="s">
        <v>1390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25</v>
      </c>
      <c r="H901" s="9"/>
      <c r="I901" s="8"/>
      <c r="J901" s="8"/>
      <c r="K901" s="8"/>
      <c r="L901" s="9" t="s">
        <v>147</v>
      </c>
      <c r="M901" s="8"/>
    </row>
    <row r="902" spans="1:13">
      <c r="A902" s="71" t="s">
        <v>1391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1392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25</v>
      </c>
      <c r="H903" s="9"/>
      <c r="I903" s="8"/>
      <c r="J903" s="8"/>
      <c r="K903" s="8"/>
      <c r="L903" s="8"/>
      <c r="M903" s="8"/>
    </row>
    <row r="904" spans="1:13">
      <c r="A904" s="72" t="s">
        <v>1393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25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1394</v>
      </c>
      <c r="B905" s="67">
        <v>42517278865</v>
      </c>
      <c r="C905" s="72" t="s">
        <v>1395</v>
      </c>
      <c r="D905" s="69">
        <v>45677965863</v>
      </c>
      <c r="E905" s="9">
        <v>117</v>
      </c>
      <c r="F905" s="25">
        <v>43117</v>
      </c>
      <c r="G905" s="70" t="s">
        <v>25</v>
      </c>
      <c r="H905" s="9"/>
      <c r="I905" s="8"/>
      <c r="J905" s="8"/>
      <c r="K905" s="8"/>
      <c r="L905" s="9" t="s">
        <v>179</v>
      </c>
      <c r="M905" s="8"/>
    </row>
    <row r="906" spans="1:13">
      <c r="A906" s="18" t="s">
        <v>1396</v>
      </c>
      <c r="B906" s="67">
        <v>34053574897</v>
      </c>
      <c r="C906" s="8" t="s">
        <v>1397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1398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25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1399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25</v>
      </c>
      <c r="H908" s="9"/>
      <c r="I908" s="8"/>
      <c r="J908" s="8"/>
      <c r="K908" s="8"/>
      <c r="L908" s="8"/>
      <c r="M908" s="8"/>
    </row>
    <row r="909" spans="1:13">
      <c r="A909" s="71" t="s">
        <v>1400</v>
      </c>
      <c r="B909" s="67">
        <v>32391122802</v>
      </c>
      <c r="C909" s="72" t="s">
        <v>1401</v>
      </c>
      <c r="D909" s="69">
        <v>21653624825</v>
      </c>
      <c r="E909" s="9">
        <v>262</v>
      </c>
      <c r="F909" s="25">
        <v>43160</v>
      </c>
      <c r="G909" s="9" t="s">
        <v>25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1402</v>
      </c>
      <c r="B910" s="67"/>
      <c r="C910" s="29" t="s">
        <v>1403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1404</v>
      </c>
      <c r="B911" s="67">
        <v>39641812858</v>
      </c>
      <c r="C911" s="72" t="s">
        <v>1405</v>
      </c>
      <c r="D911" s="69">
        <v>23425114859</v>
      </c>
      <c r="E911" s="9">
        <v>262</v>
      </c>
      <c r="F911" s="25">
        <v>43160</v>
      </c>
      <c r="G911" s="70" t="s">
        <v>25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1406</v>
      </c>
      <c r="B912" s="67">
        <v>7664892481</v>
      </c>
      <c r="C912" s="72" t="s">
        <v>1407</v>
      </c>
      <c r="D912" s="69">
        <v>37120937804</v>
      </c>
      <c r="E912" s="9">
        <v>1570</v>
      </c>
      <c r="F912" s="25">
        <v>43077</v>
      </c>
      <c r="G912" s="70" t="s">
        <v>25</v>
      </c>
      <c r="H912" s="9"/>
      <c r="I912" s="8"/>
      <c r="J912" s="8"/>
      <c r="K912" s="8"/>
      <c r="L912" s="8"/>
      <c r="M912" s="8"/>
    </row>
    <row r="913" spans="1:13">
      <c r="A913" s="71" t="s">
        <v>1408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25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1409</v>
      </c>
      <c r="B914" s="67">
        <v>35535310883</v>
      </c>
      <c r="C914" s="72" t="s">
        <v>1410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1411</v>
      </c>
      <c r="B915" s="67">
        <v>40993785867</v>
      </c>
      <c r="C915" s="72" t="s">
        <v>1412</v>
      </c>
      <c r="D915" s="69">
        <v>39284894883</v>
      </c>
      <c r="E915" s="9">
        <v>262</v>
      </c>
      <c r="F915" s="25">
        <v>43160</v>
      </c>
      <c r="G915" s="70" t="s">
        <v>25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1413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25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1414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25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1415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25</v>
      </c>
      <c r="H918" s="9"/>
      <c r="I918" s="8"/>
      <c r="J918" s="8"/>
      <c r="K918" s="8"/>
      <c r="L918" s="8"/>
      <c r="M918" s="8"/>
    </row>
    <row r="919" spans="1:13">
      <c r="A919" s="71" t="s">
        <v>1416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25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1417</v>
      </c>
      <c r="B920" s="67">
        <v>39485589816</v>
      </c>
      <c r="C920" s="72" t="s">
        <v>1418</v>
      </c>
      <c r="D920" s="69">
        <v>6884648589</v>
      </c>
      <c r="E920" s="9">
        <v>85</v>
      </c>
      <c r="F920" s="25">
        <v>43109</v>
      </c>
      <c r="G920" s="70" t="s">
        <v>25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1419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1420</v>
      </c>
      <c r="B922" s="67">
        <v>39454700804</v>
      </c>
      <c r="C922" s="72" t="s">
        <v>1421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1422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1423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1424</v>
      </c>
      <c r="B925" s="67">
        <v>19681993810</v>
      </c>
      <c r="C925" s="72" t="s">
        <v>1425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1426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25</v>
      </c>
      <c r="H926" s="9"/>
      <c r="I926" s="8"/>
      <c r="J926" s="8"/>
      <c r="K926" s="8"/>
      <c r="L926" s="9" t="s">
        <v>147</v>
      </c>
      <c r="M926" s="8"/>
    </row>
    <row r="927" spans="1:13">
      <c r="A927" s="71" t="s">
        <v>1427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1428</v>
      </c>
      <c r="B928" s="67">
        <v>32424255881</v>
      </c>
      <c r="C928" s="72" t="s">
        <v>1429</v>
      </c>
      <c r="D928" s="69">
        <v>4615874596</v>
      </c>
      <c r="E928" s="9">
        <v>229</v>
      </c>
      <c r="F928" s="25">
        <v>43151</v>
      </c>
      <c r="G928" s="70" t="s">
        <v>25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1430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25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1431</v>
      </c>
      <c r="B930" s="67">
        <v>77663551591</v>
      </c>
      <c r="C930" s="72" t="s">
        <v>1432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1433</v>
      </c>
      <c r="B931" s="67">
        <v>30768670837</v>
      </c>
      <c r="C931" s="72" t="s">
        <v>1434</v>
      </c>
      <c r="D931" s="69">
        <v>17858599860</v>
      </c>
      <c r="E931" s="9">
        <v>810</v>
      </c>
      <c r="F931" s="25">
        <v>42915</v>
      </c>
      <c r="G931" s="70" t="s">
        <v>25</v>
      </c>
      <c r="H931" s="9"/>
      <c r="I931" s="8"/>
      <c r="J931" s="8"/>
      <c r="K931" s="8"/>
      <c r="L931" s="9" t="s">
        <v>147</v>
      </c>
      <c r="M931" s="8"/>
    </row>
    <row r="932" spans="1:13">
      <c r="A932" s="71" t="s">
        <v>1435</v>
      </c>
      <c r="B932" s="67">
        <v>40801562864</v>
      </c>
      <c r="C932" s="72" t="s">
        <v>1436</v>
      </c>
      <c r="D932" s="69">
        <v>40630792879</v>
      </c>
      <c r="E932" s="9">
        <v>117</v>
      </c>
      <c r="F932" s="25">
        <v>43117</v>
      </c>
      <c r="G932" s="70" t="s">
        <v>32</v>
      </c>
      <c r="H932" s="9"/>
      <c r="I932" s="8"/>
      <c r="J932" s="8"/>
      <c r="K932" s="8"/>
      <c r="L932" s="9" t="s">
        <v>179</v>
      </c>
      <c r="M932" s="8"/>
    </row>
    <row r="933" spans="1:13">
      <c r="A933" s="71" t="s">
        <v>1437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25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1438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25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1439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1440</v>
      </c>
      <c r="B936" s="67">
        <v>33897782847</v>
      </c>
      <c r="C936" s="72" t="s">
        <v>1441</v>
      </c>
      <c r="D936" s="69">
        <v>22207136876</v>
      </c>
      <c r="E936" s="9">
        <v>1267</v>
      </c>
      <c r="F936" s="25">
        <v>42998</v>
      </c>
      <c r="G936" s="70" t="s">
        <v>25</v>
      </c>
      <c r="H936" s="9"/>
      <c r="I936" s="8"/>
      <c r="J936" s="8"/>
      <c r="K936" s="8"/>
      <c r="L936" s="8"/>
      <c r="M936" s="8"/>
    </row>
    <row r="937" spans="1:13">
      <c r="A937" s="72" t="s">
        <v>1442</v>
      </c>
      <c r="B937" s="67">
        <v>31219124885</v>
      </c>
      <c r="C937" s="72" t="s">
        <v>1443</v>
      </c>
      <c r="D937" s="69">
        <v>53808967315</v>
      </c>
      <c r="E937" s="9">
        <v>292</v>
      </c>
      <c r="F937" s="25">
        <v>43168</v>
      </c>
      <c r="G937" s="70" t="s">
        <v>25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1444</v>
      </c>
      <c r="B938" s="67">
        <v>32332935851</v>
      </c>
      <c r="C938" s="18" t="s">
        <v>1445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1446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1447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40</v>
      </c>
      <c r="H940" s="47"/>
      <c r="I940" s="49"/>
      <c r="J940" s="49"/>
      <c r="K940" s="49"/>
      <c r="L940" s="9" t="s">
        <v>179</v>
      </c>
      <c r="M940" s="49"/>
    </row>
    <row r="941" spans="1:13">
      <c r="A941" s="71" t="s">
        <v>1448</v>
      </c>
      <c r="B941" s="67">
        <v>35124692804</v>
      </c>
      <c r="C941" s="72" t="s">
        <v>1449</v>
      </c>
      <c r="D941" s="69">
        <v>17091274814</v>
      </c>
      <c r="E941" s="9">
        <v>262</v>
      </c>
      <c r="F941" s="25">
        <v>43160</v>
      </c>
      <c r="G941" s="70" t="s">
        <v>25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1450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1451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1452</v>
      </c>
      <c r="B944" s="67">
        <v>35271393895</v>
      </c>
      <c r="C944" s="72" t="s">
        <v>1453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1454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25</v>
      </c>
      <c r="H945" s="9"/>
      <c r="I945" s="8"/>
      <c r="J945" s="8"/>
      <c r="K945" s="8"/>
      <c r="L945" s="8"/>
      <c r="M945" s="8"/>
    </row>
    <row r="946" spans="1:13">
      <c r="A946" s="15" t="s">
        <v>1455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308</v>
      </c>
      <c r="M946" s="8"/>
    </row>
    <row r="947" spans="1:13">
      <c r="A947" s="71" t="s">
        <v>1456</v>
      </c>
      <c r="B947" s="67">
        <v>899199399</v>
      </c>
      <c r="C947" s="72" t="s">
        <v>1457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1458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25</v>
      </c>
      <c r="H948" s="9"/>
      <c r="I948" s="8"/>
      <c r="J948" s="8"/>
      <c r="K948" s="8"/>
      <c r="L948" s="9" t="s">
        <v>147</v>
      </c>
      <c r="M948" s="8"/>
    </row>
    <row r="949" spans="1:13">
      <c r="A949" s="15" t="s">
        <v>1459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1460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25</v>
      </c>
      <c r="H950" s="9"/>
      <c r="I950" s="8"/>
      <c r="J950" s="8"/>
      <c r="K950" s="8"/>
      <c r="L950" s="8"/>
      <c r="M950" s="8"/>
    </row>
    <row r="951" spans="1:13">
      <c r="A951" s="15" t="s">
        <v>1461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32</v>
      </c>
      <c r="H951" s="9"/>
      <c r="I951" s="8"/>
      <c r="J951" s="8"/>
      <c r="K951" s="8"/>
      <c r="L951" s="9" t="s">
        <v>179</v>
      </c>
      <c r="M951" s="8"/>
    </row>
    <row r="952" spans="1:13">
      <c r="A952" s="15" t="s">
        <v>1462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25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1463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25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1464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25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1465</v>
      </c>
      <c r="B955" s="67">
        <v>19584308890</v>
      </c>
      <c r="C955" s="72" t="s">
        <v>1466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1467</v>
      </c>
      <c r="B956" s="67">
        <v>3220872441</v>
      </c>
      <c r="C956" s="72" t="s">
        <v>1468</v>
      </c>
      <c r="D956" s="69">
        <v>11805166808</v>
      </c>
      <c r="E956" s="9">
        <v>810</v>
      </c>
      <c r="F956" s="25">
        <v>42915</v>
      </c>
      <c r="G956" s="70" t="s">
        <v>25</v>
      </c>
      <c r="H956" s="9"/>
      <c r="I956" s="8"/>
      <c r="J956" s="8"/>
      <c r="K956" s="8"/>
      <c r="L956" s="9" t="s">
        <v>147</v>
      </c>
      <c r="M956" s="8"/>
    </row>
    <row r="957" spans="1:13">
      <c r="A957" s="73" t="s">
        <v>1469</v>
      </c>
      <c r="B957" s="67">
        <v>29773950832</v>
      </c>
      <c r="C957" s="72" t="s">
        <v>1470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1471</v>
      </c>
      <c r="B958" s="78" t="s">
        <v>1472</v>
      </c>
      <c r="C958" s="72" t="s">
        <v>1473</v>
      </c>
      <c r="D958" s="69">
        <v>84102780300</v>
      </c>
      <c r="E958" s="9">
        <v>292</v>
      </c>
      <c r="F958" s="25">
        <v>43168</v>
      </c>
      <c r="G958" s="9" t="s">
        <v>25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1474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25</v>
      </c>
      <c r="H959" s="9"/>
      <c r="I959" s="8"/>
      <c r="J959" s="8"/>
      <c r="K959" s="8"/>
      <c r="L959" s="8"/>
      <c r="M959" s="8"/>
    </row>
    <row r="960" spans="1:13">
      <c r="A960" s="71" t="s">
        <v>1475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1476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25</v>
      </c>
      <c r="H961" s="9"/>
      <c r="I961" s="8"/>
      <c r="J961" s="8"/>
      <c r="K961" s="8"/>
      <c r="L961" s="8"/>
      <c r="M961" s="8"/>
    </row>
    <row r="962" spans="1:13">
      <c r="A962" s="71" t="s">
        <v>1477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25</v>
      </c>
      <c r="H962" s="9"/>
      <c r="I962" s="8"/>
      <c r="J962" s="8"/>
      <c r="K962" s="8"/>
      <c r="L962" s="9" t="s">
        <v>407</v>
      </c>
      <c r="M962" s="8"/>
    </row>
    <row r="963" spans="1:13">
      <c r="A963" s="15" t="s">
        <v>1478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25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1479</v>
      </c>
      <c r="B964" s="67">
        <v>46248420300</v>
      </c>
      <c r="C964" s="72" t="s">
        <v>1480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1481</v>
      </c>
      <c r="B965" s="67">
        <v>84090294304</v>
      </c>
      <c r="C965" s="72" t="s">
        <v>1482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1483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1484</v>
      </c>
      <c r="B967" s="67">
        <v>918071313</v>
      </c>
      <c r="C967" s="72" t="s">
        <v>1485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1486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25</v>
      </c>
      <c r="H968" s="9"/>
      <c r="I968" s="8"/>
      <c r="J968" s="8"/>
      <c r="K968" s="8"/>
      <c r="L968" s="9" t="s">
        <v>179</v>
      </c>
      <c r="M968" s="8"/>
    </row>
    <row r="969" spans="1:13">
      <c r="A969" s="71" t="s">
        <v>1487</v>
      </c>
      <c r="B969" s="67">
        <v>86465651300</v>
      </c>
      <c r="C969" s="72" t="s">
        <v>1488</v>
      </c>
      <c r="D969" s="69">
        <v>7091216792</v>
      </c>
      <c r="E969" s="9">
        <v>1350</v>
      </c>
      <c r="F969" s="25">
        <v>43006</v>
      </c>
      <c r="G969" s="70" t="s">
        <v>25</v>
      </c>
      <c r="H969" s="9"/>
      <c r="I969" s="8"/>
      <c r="J969" s="8"/>
      <c r="K969" s="8"/>
      <c r="L969" s="8"/>
      <c r="M969" s="8"/>
    </row>
    <row r="970" spans="1:13">
      <c r="A970" s="72" t="s">
        <v>1489</v>
      </c>
      <c r="B970" s="67">
        <v>22893362893</v>
      </c>
      <c r="C970" s="72" t="s">
        <v>1490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1491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25</v>
      </c>
      <c r="H971" s="9"/>
      <c r="I971" s="8"/>
      <c r="J971" s="8"/>
      <c r="K971" s="8"/>
      <c r="L971" s="9" t="s">
        <v>262</v>
      </c>
      <c r="M971" s="8"/>
    </row>
    <row r="972" spans="1:13">
      <c r="A972" s="29" t="s">
        <v>1492</v>
      </c>
      <c r="B972" s="67">
        <v>9964640854</v>
      </c>
      <c r="C972" s="18" t="s">
        <v>138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1493</v>
      </c>
      <c r="B973" s="67">
        <v>46593499854</v>
      </c>
      <c r="C973" s="29" t="s">
        <v>1494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1495</v>
      </c>
      <c r="B974" s="67">
        <v>34412339807</v>
      </c>
      <c r="C974" s="72" t="s">
        <v>1496</v>
      </c>
      <c r="D974" s="69">
        <v>30849792860</v>
      </c>
      <c r="E974" s="9">
        <v>1824</v>
      </c>
      <c r="F974" s="25">
        <v>43091</v>
      </c>
      <c r="G974" s="70" t="s">
        <v>25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1497</v>
      </c>
      <c r="B975" s="67">
        <v>63905825449</v>
      </c>
      <c r="C975" s="72" t="s">
        <v>1498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1499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25</v>
      </c>
      <c r="H976" s="9"/>
      <c r="I976" s="8"/>
      <c r="J976" s="8"/>
      <c r="K976" s="8"/>
      <c r="L976" s="9" t="s">
        <v>147</v>
      </c>
      <c r="M976" s="8"/>
    </row>
    <row r="977" spans="1:13">
      <c r="A977" s="71" t="s">
        <v>1500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25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1501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25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1502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25</v>
      </c>
      <c r="H979" s="9"/>
      <c r="I979" s="8"/>
      <c r="J979" s="8"/>
      <c r="K979" s="8"/>
      <c r="L979" s="9" t="s">
        <v>147</v>
      </c>
      <c r="M979" s="8"/>
    </row>
    <row r="980" spans="1:13">
      <c r="A980" s="18" t="s">
        <v>1503</v>
      </c>
      <c r="B980" s="67">
        <v>18473037812</v>
      </c>
      <c r="C980" s="18" t="s">
        <v>1504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1505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1506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25</v>
      </c>
      <c r="H982" s="9"/>
      <c r="I982" s="8"/>
      <c r="J982" s="8"/>
      <c r="K982" s="8"/>
      <c r="L982" s="8"/>
      <c r="M982" s="8"/>
    </row>
    <row r="983" spans="1:13">
      <c r="A983" s="71" t="s">
        <v>1507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1508</v>
      </c>
      <c r="B984" s="67">
        <v>30458696889</v>
      </c>
      <c r="C984" s="68" t="s">
        <v>1509</v>
      </c>
      <c r="D984" s="69">
        <v>25196748814</v>
      </c>
      <c r="E984" s="9">
        <v>1267</v>
      </c>
      <c r="F984" s="25">
        <v>42998</v>
      </c>
      <c r="G984" s="70" t="s">
        <v>32</v>
      </c>
      <c r="H984" s="9"/>
      <c r="I984" s="8"/>
      <c r="J984" s="8"/>
      <c r="K984" s="8"/>
      <c r="L984" s="8"/>
      <c r="M984" s="8"/>
    </row>
    <row r="985" spans="1:13">
      <c r="A985" s="71" t="s">
        <v>1510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25</v>
      </c>
      <c r="H985" s="9"/>
      <c r="I985" s="8"/>
      <c r="J985" s="8"/>
      <c r="K985" s="8"/>
      <c r="L985" s="8"/>
      <c r="M985" s="8"/>
    </row>
    <row r="986" spans="1:13">
      <c r="A986" s="29" t="s">
        <v>1511</v>
      </c>
      <c r="B986" s="67"/>
      <c r="C986" s="29" t="s">
        <v>1512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1513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1514</v>
      </c>
      <c r="B988" s="67" t="s">
        <v>1515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1516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1517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1518</v>
      </c>
      <c r="B991" s="67"/>
      <c r="C991" s="18" t="s">
        <v>138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1519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1520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1521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25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1522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1523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25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1524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1525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1526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1527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25</v>
      </c>
      <c r="H1000" s="9"/>
      <c r="I1000" s="8"/>
      <c r="J1000" s="8"/>
      <c r="K1000" s="8"/>
      <c r="L1000" s="8"/>
      <c r="M1000" s="8"/>
    </row>
    <row r="1001" spans="1:13">
      <c r="A1001" s="15" t="s">
        <v>1528</v>
      </c>
      <c r="B1001" s="67">
        <v>39651975334</v>
      </c>
      <c r="C1001" s="72" t="s">
        <v>1529</v>
      </c>
      <c r="D1001" s="69">
        <v>35104799808</v>
      </c>
      <c r="E1001" s="9">
        <v>229</v>
      </c>
      <c r="F1001" s="25">
        <v>43151</v>
      </c>
      <c r="G1001" s="70" t="s">
        <v>25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1530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25</v>
      </c>
      <c r="H1002" s="9"/>
      <c r="I1002" s="8"/>
      <c r="J1002" s="8"/>
      <c r="K1002" s="8"/>
      <c r="L1002" s="8"/>
      <c r="M1002" s="8"/>
    </row>
    <row r="1003" spans="1:13">
      <c r="A1003" s="71" t="s">
        <v>1531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25</v>
      </c>
      <c r="H1003" s="9"/>
      <c r="I1003" s="8"/>
      <c r="J1003" s="8"/>
      <c r="K1003" s="8"/>
      <c r="L1003" s="8"/>
      <c r="M1003" s="8"/>
    </row>
    <row r="1004" spans="1:13">
      <c r="A1004" s="14" t="s">
        <v>1532</v>
      </c>
      <c r="B1004" s="67">
        <v>46226383801</v>
      </c>
      <c r="C1004" s="72" t="s">
        <v>1533</v>
      </c>
      <c r="D1004" s="69">
        <v>46166460821</v>
      </c>
      <c r="E1004" s="9">
        <v>292</v>
      </c>
      <c r="F1004" s="25">
        <v>43168</v>
      </c>
      <c r="G1004" s="70" t="s">
        <v>25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1534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25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1535</v>
      </c>
      <c r="B1006" s="67">
        <v>37051448803</v>
      </c>
      <c r="C1006" s="72" t="s">
        <v>1536</v>
      </c>
      <c r="D1006" s="69">
        <v>22442223813</v>
      </c>
      <c r="E1006" s="9">
        <v>1489</v>
      </c>
      <c r="F1006" s="25">
        <v>43038</v>
      </c>
      <c r="G1006" s="70" t="s">
        <v>25</v>
      </c>
      <c r="H1006" s="9"/>
      <c r="I1006" s="8"/>
      <c r="J1006" s="8"/>
      <c r="K1006" s="8"/>
      <c r="L1006" s="9" t="s">
        <v>169</v>
      </c>
      <c r="M1006" s="8"/>
    </row>
    <row r="1007" spans="1:13">
      <c r="A1007" s="71" t="s">
        <v>1537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1538</v>
      </c>
      <c r="B1008" s="67">
        <v>50092450865</v>
      </c>
      <c r="C1008" s="72" t="s">
        <v>1539</v>
      </c>
      <c r="D1008" s="69">
        <v>34366320827</v>
      </c>
      <c r="E1008" s="9">
        <v>608</v>
      </c>
      <c r="F1008" s="25">
        <v>43012</v>
      </c>
      <c r="G1008" s="70" t="s">
        <v>25</v>
      </c>
      <c r="H1008" s="9"/>
      <c r="I1008" s="8"/>
      <c r="J1008" s="8"/>
      <c r="K1008" s="8"/>
      <c r="L1008" s="8"/>
      <c r="M1008" s="8"/>
    </row>
    <row r="1009" spans="1:13">
      <c r="A1009" s="71" t="s">
        <v>1540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25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1541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25</v>
      </c>
      <c r="H1010" s="9"/>
      <c r="I1010" s="8"/>
      <c r="J1010" s="8"/>
      <c r="K1010" s="8"/>
      <c r="L1010" s="8"/>
      <c r="M1010" s="8"/>
    </row>
    <row r="1011" spans="1:13">
      <c r="A1011" s="15" t="s">
        <v>1542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25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1543</v>
      </c>
      <c r="B1012" s="67">
        <v>36501110807</v>
      </c>
      <c r="C1012" s="72" t="s">
        <v>1544</v>
      </c>
      <c r="D1012" s="69">
        <v>36592467860</v>
      </c>
      <c r="E1012" s="9">
        <v>262</v>
      </c>
      <c r="F1012" s="25">
        <v>43160</v>
      </c>
      <c r="G1012" s="70" t="s">
        <v>25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1545</v>
      </c>
      <c r="B1013" s="67">
        <v>34470374822</v>
      </c>
      <c r="C1013" s="29" t="s">
        <v>1546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1547</v>
      </c>
      <c r="B1014" s="67">
        <v>40814125883</v>
      </c>
      <c r="C1014" s="72" t="s">
        <v>1548</v>
      </c>
      <c r="D1014" s="69">
        <v>27095684898</v>
      </c>
      <c r="E1014" s="9">
        <v>810</v>
      </c>
      <c r="F1014" s="25">
        <v>42915</v>
      </c>
      <c r="G1014" s="70" t="s">
        <v>25</v>
      </c>
      <c r="H1014" s="9"/>
      <c r="I1014" s="8"/>
      <c r="J1014" s="8"/>
      <c r="K1014" s="8"/>
      <c r="L1014" s="9" t="s">
        <v>147</v>
      </c>
      <c r="M1014" s="8"/>
    </row>
    <row r="1015" spans="1:13">
      <c r="A1015" s="71" t="s">
        <v>1549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1550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25</v>
      </c>
      <c r="H1016" s="9"/>
      <c r="I1016" s="8"/>
      <c r="J1016" s="8"/>
      <c r="K1016" s="8"/>
      <c r="L1016" s="8"/>
      <c r="M1016" s="8"/>
    </row>
    <row r="1017" spans="1:13">
      <c r="A1017" s="71" t="s">
        <v>1551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1552</v>
      </c>
      <c r="B1018" s="67"/>
      <c r="C1018" s="18" t="s">
        <v>138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1553</v>
      </c>
      <c r="B1019" s="67">
        <v>26492754808</v>
      </c>
      <c r="C1019" s="9" t="s">
        <v>138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1554</v>
      </c>
      <c r="B1020" s="67">
        <v>526417595</v>
      </c>
      <c r="C1020" s="72" t="s">
        <v>1555</v>
      </c>
      <c r="D1020" s="69">
        <v>25810630847</v>
      </c>
      <c r="E1020" s="9">
        <v>262</v>
      </c>
      <c r="F1020" s="25">
        <v>43160</v>
      </c>
      <c r="G1020" s="9" t="s">
        <v>25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1556</v>
      </c>
      <c r="B1021" s="67">
        <v>26362064852</v>
      </c>
      <c r="C1021" s="77" t="s">
        <v>1557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308</v>
      </c>
      <c r="M1021" s="8"/>
    </row>
    <row r="1022" spans="1:13">
      <c r="A1022" s="71" t="s">
        <v>1558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25</v>
      </c>
      <c r="H1022" s="9"/>
      <c r="I1022" s="8"/>
      <c r="J1022" s="8"/>
      <c r="K1022" s="8"/>
      <c r="L1022" s="9" t="s">
        <v>169</v>
      </c>
      <c r="M1022" s="8"/>
    </row>
    <row r="1023" spans="1:13">
      <c r="A1023" s="71" t="s">
        <v>1559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25</v>
      </c>
      <c r="H1023" s="9"/>
      <c r="I1023" s="8"/>
      <c r="J1023" s="8"/>
      <c r="K1023" s="8"/>
      <c r="L1023" s="9" t="s">
        <v>147</v>
      </c>
      <c r="M1023" s="8"/>
    </row>
    <row r="1024" spans="1:13">
      <c r="A1024" s="71" t="s">
        <v>1560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1561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1562</v>
      </c>
      <c r="B1026" s="67">
        <v>41791708846</v>
      </c>
      <c r="C1026" s="72" t="s">
        <v>1563</v>
      </c>
      <c r="D1026" s="69">
        <v>41003253806</v>
      </c>
      <c r="E1026" s="9">
        <v>262</v>
      </c>
      <c r="F1026" s="25">
        <v>43160</v>
      </c>
      <c r="G1026" s="70" t="s">
        <v>25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1564</v>
      </c>
      <c r="B1027" s="67"/>
      <c r="C1027" s="29" t="s">
        <v>1565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1566</v>
      </c>
      <c r="B1028" s="67">
        <v>34575373800</v>
      </c>
      <c r="C1028" s="72" t="s">
        <v>1567</v>
      </c>
      <c r="D1028" s="69">
        <v>22427117846</v>
      </c>
      <c r="E1028" s="9">
        <v>1350</v>
      </c>
      <c r="F1028" s="25">
        <v>43006</v>
      </c>
      <c r="G1028" s="70" t="s">
        <v>25</v>
      </c>
      <c r="H1028" s="9"/>
      <c r="I1028" s="8"/>
      <c r="J1028" s="8"/>
      <c r="K1028" s="8"/>
      <c r="L1028" s="8"/>
      <c r="M1028" s="8"/>
    </row>
    <row r="1029" spans="1:13">
      <c r="A1029" s="71" t="s">
        <v>1568</v>
      </c>
      <c r="B1029" s="67">
        <v>79215262334</v>
      </c>
      <c r="C1029" s="72" t="s">
        <v>1569</v>
      </c>
      <c r="D1029" s="69">
        <v>76370372315</v>
      </c>
      <c r="E1029" s="9">
        <v>1451</v>
      </c>
      <c r="F1029" s="25">
        <v>43027</v>
      </c>
      <c r="G1029" s="70" t="s">
        <v>32</v>
      </c>
      <c r="H1029" s="9"/>
      <c r="I1029" s="8"/>
      <c r="J1029" s="8"/>
      <c r="K1029" s="8"/>
      <c r="L1029" s="8"/>
      <c r="M1029" s="8"/>
    </row>
    <row r="1030" spans="1:13">
      <c r="A1030" s="13" t="s">
        <v>1570</v>
      </c>
      <c r="B1030" s="67">
        <v>15208922843</v>
      </c>
      <c r="C1030" s="72" t="s">
        <v>1571</v>
      </c>
      <c r="D1030" s="69">
        <v>34068960810</v>
      </c>
      <c r="E1030" s="9">
        <v>229</v>
      </c>
      <c r="F1030" s="25">
        <v>43151</v>
      </c>
      <c r="G1030" s="70" t="s">
        <v>40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1572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1573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1574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25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1575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308</v>
      </c>
      <c r="M1034" s="8"/>
    </row>
    <row r="1035" spans="1:13">
      <c r="A1035" s="71" t="s">
        <v>1576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1577</v>
      </c>
      <c r="B1036" s="67">
        <v>99570467304</v>
      </c>
      <c r="C1036" s="72" t="s">
        <v>1578</v>
      </c>
      <c r="D1036" s="69">
        <v>7702980877</v>
      </c>
      <c r="E1036" s="9">
        <v>229</v>
      </c>
      <c r="F1036" s="25">
        <v>43151</v>
      </c>
      <c r="G1036" s="70" t="s">
        <v>25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1579</v>
      </c>
      <c r="B1037" s="67">
        <v>18710956549</v>
      </c>
      <c r="C1037" s="72" t="s">
        <v>1580</v>
      </c>
      <c r="D1037" s="69">
        <v>85859141572</v>
      </c>
      <c r="E1037" s="9">
        <v>1417</v>
      </c>
      <c r="F1037" s="25">
        <v>43017</v>
      </c>
      <c r="G1037" s="70" t="s">
        <v>25</v>
      </c>
      <c r="H1037" s="76">
        <v>43213</v>
      </c>
      <c r="I1037" s="8"/>
      <c r="J1037" s="8"/>
      <c r="K1037" s="8"/>
      <c r="L1037" s="9" t="s">
        <v>262</v>
      </c>
      <c r="M1037" s="8"/>
    </row>
    <row r="1038" spans="1:13">
      <c r="A1038" s="71" t="s">
        <v>1581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1582</v>
      </c>
      <c r="B1039" s="67">
        <v>42748662890</v>
      </c>
      <c r="C1039" s="18" t="s">
        <v>1583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1584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25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1585</v>
      </c>
      <c r="B1041" s="67">
        <v>23367537829</v>
      </c>
      <c r="C1041" s="72" t="s">
        <v>1586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1587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25</v>
      </c>
      <c r="H1042" s="9"/>
      <c r="I1042" s="8"/>
      <c r="J1042" s="8"/>
      <c r="K1042" s="8"/>
      <c r="L1042" s="8"/>
      <c r="M1042" s="8"/>
    </row>
    <row r="1043" spans="1:13">
      <c r="A1043" s="15" t="s">
        <v>1588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1589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25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1590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25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1591</v>
      </c>
      <c r="B1046" s="67">
        <v>74603671415</v>
      </c>
      <c r="C1046" s="72" t="s">
        <v>1592</v>
      </c>
      <c r="D1046" s="69">
        <v>28040569885</v>
      </c>
      <c r="E1046" s="9">
        <v>1267</v>
      </c>
      <c r="F1046" s="25">
        <v>42998</v>
      </c>
      <c r="G1046" s="70" t="s">
        <v>32</v>
      </c>
      <c r="H1046" s="9"/>
      <c r="I1046" s="8"/>
      <c r="J1046" s="8"/>
      <c r="K1046" s="8"/>
      <c r="L1046" s="8"/>
      <c r="M1046" s="8"/>
    </row>
    <row r="1047" spans="1:13">
      <c r="A1047" s="72" t="s">
        <v>1593</v>
      </c>
      <c r="B1047" s="67">
        <v>41590060865</v>
      </c>
      <c r="C1047" s="72" t="s">
        <v>1594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1595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25</v>
      </c>
      <c r="H1048" s="9"/>
      <c r="I1048" s="8"/>
      <c r="J1048" s="8"/>
      <c r="K1048" s="8"/>
      <c r="L1048" s="9" t="s">
        <v>147</v>
      </c>
      <c r="M1048" s="8"/>
    </row>
    <row r="1049" spans="1:13">
      <c r="A1049" s="13" t="s">
        <v>1596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25</v>
      </c>
      <c r="H1049" s="9"/>
      <c r="I1049" s="8"/>
      <c r="J1049" s="8"/>
      <c r="K1049" s="8"/>
      <c r="L1049" s="8"/>
      <c r="M1049" s="8"/>
    </row>
    <row r="1050" spans="1:13">
      <c r="A1050" s="71" t="s">
        <v>1597</v>
      </c>
      <c r="B1050" s="67">
        <v>35741867898</v>
      </c>
      <c r="C1050" s="72" t="s">
        <v>1598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1599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1600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1601</v>
      </c>
      <c r="B1053" s="67">
        <v>27928359820</v>
      </c>
      <c r="C1053" s="72" t="s">
        <v>1602</v>
      </c>
      <c r="D1053" s="69">
        <v>61803766468</v>
      </c>
      <c r="E1053" s="9">
        <v>810</v>
      </c>
      <c r="F1053" s="25">
        <v>42915</v>
      </c>
      <c r="G1053" s="70" t="s">
        <v>25</v>
      </c>
      <c r="H1053" s="9"/>
      <c r="I1053" s="8"/>
      <c r="J1053" s="8"/>
      <c r="K1053" s="8"/>
      <c r="L1053" s="9" t="s">
        <v>147</v>
      </c>
      <c r="M1053" s="8"/>
    </row>
    <row r="1054" spans="1:13">
      <c r="A1054" s="71" t="s">
        <v>1603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25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1604</v>
      </c>
      <c r="B1055" s="67">
        <v>59431920506</v>
      </c>
      <c r="C1055" s="18" t="s">
        <v>138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1605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25</v>
      </c>
      <c r="H1056" s="9"/>
      <c r="I1056" s="8"/>
      <c r="J1056" s="8"/>
      <c r="K1056" s="8"/>
      <c r="L1056" s="8"/>
      <c r="M1056" s="8"/>
    </row>
    <row r="1057" spans="1:13">
      <c r="A1057" s="71" t="s">
        <v>1606</v>
      </c>
      <c r="B1057" s="67" t="s">
        <v>1607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1608</v>
      </c>
      <c r="B1058" s="67">
        <v>34366747880</v>
      </c>
      <c r="C1058" s="77" t="s">
        <v>1609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308</v>
      </c>
      <c r="M1058" s="8"/>
    </row>
    <row r="1059" spans="1:13">
      <c r="A1059" s="71" t="s">
        <v>1610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25</v>
      </c>
      <c r="H1059" s="9"/>
      <c r="I1059" s="8"/>
      <c r="J1059" s="8"/>
      <c r="K1059" s="8"/>
      <c r="L1059" s="9" t="s">
        <v>169</v>
      </c>
      <c r="M1059" s="8"/>
    </row>
    <row r="1060" spans="1:13">
      <c r="A1060" s="14" t="s">
        <v>1611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25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1612</v>
      </c>
      <c r="B1061" s="67">
        <v>19580560811</v>
      </c>
      <c r="C1061" s="68" t="s">
        <v>1613</v>
      </c>
      <c r="D1061" s="69">
        <v>28925414848</v>
      </c>
      <c r="E1061" s="9">
        <v>1359</v>
      </c>
      <c r="F1061" s="25">
        <v>43006</v>
      </c>
      <c r="G1061" s="70" t="s">
        <v>32</v>
      </c>
      <c r="H1061" s="9"/>
      <c r="I1061" s="8"/>
      <c r="J1061" s="8"/>
      <c r="K1061" s="8"/>
      <c r="L1061" s="8"/>
      <c r="M1061" s="8"/>
    </row>
    <row r="1062" spans="1:13">
      <c r="A1062" s="29" t="s">
        <v>1614</v>
      </c>
      <c r="B1062" s="67">
        <v>34230472838</v>
      </c>
      <c r="C1062" s="9" t="s">
        <v>138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1615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1616</v>
      </c>
      <c r="B1064" s="67">
        <v>42398811883</v>
      </c>
      <c r="C1064" s="72" t="s">
        <v>1617</v>
      </c>
      <c r="D1064" s="69">
        <v>33876650836</v>
      </c>
      <c r="E1064" s="9">
        <v>117</v>
      </c>
      <c r="F1064" s="25">
        <v>43117</v>
      </c>
      <c r="G1064" s="70" t="s">
        <v>32</v>
      </c>
      <c r="H1064" s="9"/>
      <c r="I1064" s="8"/>
      <c r="J1064" s="8"/>
      <c r="K1064" s="8"/>
      <c r="L1064" s="9" t="s">
        <v>179</v>
      </c>
      <c r="M1064" s="8"/>
    </row>
    <row r="1065" spans="1:13">
      <c r="A1065" s="13" t="s">
        <v>1618</v>
      </c>
      <c r="B1065" s="67">
        <v>3876363829</v>
      </c>
      <c r="C1065" s="72" t="s">
        <v>1619</v>
      </c>
      <c r="D1065" s="69">
        <v>9491364847</v>
      </c>
      <c r="E1065" s="9">
        <v>1359</v>
      </c>
      <c r="F1065" s="25">
        <v>43006</v>
      </c>
      <c r="G1065" s="70" t="s">
        <v>25</v>
      </c>
      <c r="H1065" s="9"/>
      <c r="I1065" s="8"/>
      <c r="J1065" s="8"/>
      <c r="K1065" s="8"/>
      <c r="L1065" s="8"/>
      <c r="M1065" s="8"/>
    </row>
    <row r="1066" spans="1:13">
      <c r="A1066" s="71" t="s">
        <v>1620</v>
      </c>
      <c r="B1066" s="67">
        <v>27340044884</v>
      </c>
      <c r="C1066" s="72" t="s">
        <v>1621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1622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1623</v>
      </c>
      <c r="B1068" s="67">
        <v>38422303892</v>
      </c>
      <c r="C1068" s="72" t="s">
        <v>1624</v>
      </c>
      <c r="D1068" s="69">
        <v>33753889857</v>
      </c>
      <c r="E1068" s="9">
        <v>608</v>
      </c>
      <c r="F1068" s="25">
        <v>43012</v>
      </c>
      <c r="G1068" s="70" t="s">
        <v>25</v>
      </c>
      <c r="H1068" s="9"/>
      <c r="I1068" s="8"/>
      <c r="J1068" s="8"/>
      <c r="K1068" s="8"/>
      <c r="L1068" s="8"/>
      <c r="M1068" s="8"/>
    </row>
    <row r="1069" spans="1:13">
      <c r="A1069" s="13" t="s">
        <v>1625</v>
      </c>
      <c r="B1069" s="67">
        <v>36171676837</v>
      </c>
      <c r="C1069" s="68" t="s">
        <v>1626</v>
      </c>
      <c r="D1069" s="69">
        <v>1470162580</v>
      </c>
      <c r="E1069" s="9">
        <v>1128</v>
      </c>
      <c r="F1069" s="25">
        <v>42972</v>
      </c>
      <c r="G1069" s="70" t="s">
        <v>25</v>
      </c>
      <c r="H1069" s="9"/>
      <c r="I1069" s="8"/>
      <c r="J1069" s="8"/>
      <c r="K1069" s="8"/>
      <c r="L1069" s="8"/>
      <c r="M1069" s="8"/>
    </row>
    <row r="1070" spans="1:13">
      <c r="A1070" s="14" t="s">
        <v>1627</v>
      </c>
      <c r="B1070" s="67">
        <v>42047014859</v>
      </c>
      <c r="C1070" s="72" t="s">
        <v>1628</v>
      </c>
      <c r="D1070" s="69">
        <v>9300065424</v>
      </c>
      <c r="E1070" s="9">
        <v>1417</v>
      </c>
      <c r="F1070" s="25">
        <v>43017</v>
      </c>
      <c r="G1070" s="70" t="s">
        <v>32</v>
      </c>
      <c r="H1070" s="9"/>
      <c r="I1070" s="8"/>
      <c r="J1070" s="8"/>
      <c r="K1070" s="8"/>
      <c r="L1070" s="9" t="s">
        <v>262</v>
      </c>
      <c r="M1070" s="8"/>
    </row>
    <row r="1071" spans="1:13">
      <c r="A1071" s="29" t="s">
        <v>1629</v>
      </c>
      <c r="B1071" s="67">
        <v>34822545830</v>
      </c>
      <c r="C1071" s="18" t="s">
        <v>138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1630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1631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25</v>
      </c>
      <c r="H1073" s="9"/>
      <c r="I1073" s="8"/>
      <c r="J1073" s="8"/>
      <c r="K1073" s="8"/>
      <c r="L1073" s="8"/>
      <c r="M1073" s="8"/>
    </row>
    <row r="1074" spans="1:13">
      <c r="A1074" s="71" t="s">
        <v>1632</v>
      </c>
      <c r="B1074" s="67">
        <v>1737249308</v>
      </c>
      <c r="C1074" s="72" t="s">
        <v>1633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1634</v>
      </c>
      <c r="B1075" s="67">
        <v>3844142576</v>
      </c>
      <c r="C1075" s="72" t="s">
        <v>1635</v>
      </c>
      <c r="D1075" s="69">
        <v>35502503801</v>
      </c>
      <c r="E1075" s="9">
        <v>810</v>
      </c>
      <c r="F1075" s="25">
        <v>42915</v>
      </c>
      <c r="G1075" s="70" t="s">
        <v>25</v>
      </c>
      <c r="H1075" s="9"/>
      <c r="I1075" s="8"/>
      <c r="J1075" s="8"/>
      <c r="K1075" s="8"/>
      <c r="L1075" s="9" t="s">
        <v>147</v>
      </c>
      <c r="M1075" s="8"/>
    </row>
    <row r="1076" spans="1:13">
      <c r="A1076" s="71" t="s">
        <v>1636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1637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25</v>
      </c>
      <c r="H1077" s="9"/>
      <c r="I1077" s="8"/>
      <c r="J1077" s="8"/>
      <c r="K1077" s="8"/>
      <c r="L1077" s="8"/>
      <c r="M1077" s="8"/>
    </row>
    <row r="1078" spans="1:13">
      <c r="A1078" s="30" t="s">
        <v>1638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1639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25</v>
      </c>
      <c r="H1079" s="9"/>
      <c r="I1079" s="8"/>
      <c r="J1079" s="8"/>
      <c r="K1079" s="8"/>
      <c r="L1079" s="9" t="s">
        <v>179</v>
      </c>
      <c r="M1079" s="8"/>
    </row>
    <row r="1080" spans="1:13">
      <c r="A1080" s="18" t="s">
        <v>1640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1641</v>
      </c>
      <c r="B1081" s="67">
        <v>44410556843</v>
      </c>
      <c r="C1081" s="72" t="s">
        <v>1642</v>
      </c>
      <c r="D1081" s="69">
        <v>39436457898</v>
      </c>
      <c r="E1081" s="9">
        <v>262</v>
      </c>
      <c r="F1081" s="25">
        <v>43160</v>
      </c>
      <c r="G1081" s="70" t="s">
        <v>25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1643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25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1644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1645</v>
      </c>
      <c r="B1084" s="67">
        <v>7838810884</v>
      </c>
      <c r="C1084" s="72" t="s">
        <v>1646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1647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25</v>
      </c>
      <c r="H1085" s="9"/>
      <c r="I1085" s="8"/>
      <c r="J1085" s="8"/>
      <c r="K1085" s="8"/>
      <c r="L1085" s="8"/>
      <c r="M1085" s="8"/>
    </row>
    <row r="1086" spans="1:13">
      <c r="A1086" s="73" t="s">
        <v>1648</v>
      </c>
      <c r="B1086" s="67">
        <v>18239878857</v>
      </c>
      <c r="C1086" s="72" t="s">
        <v>1649</v>
      </c>
      <c r="D1086" s="69">
        <v>18871709870</v>
      </c>
      <c r="E1086" s="9">
        <v>85</v>
      </c>
      <c r="F1086" s="25">
        <v>43109</v>
      </c>
      <c r="G1086" s="70" t="s">
        <v>25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1650</v>
      </c>
      <c r="B1087" s="67">
        <v>33213821802</v>
      </c>
      <c r="C1087" s="18" t="s">
        <v>138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1651</v>
      </c>
      <c r="B1088" s="67">
        <v>39075719833</v>
      </c>
      <c r="C1088" s="72" t="s">
        <v>1652</v>
      </c>
      <c r="D1088" s="69">
        <v>29754975809</v>
      </c>
      <c r="E1088" s="9">
        <v>810</v>
      </c>
      <c r="F1088" s="25">
        <v>42915</v>
      </c>
      <c r="G1088" s="70" t="s">
        <v>32</v>
      </c>
      <c r="H1088" s="9"/>
      <c r="I1088" s="8"/>
      <c r="J1088" s="8"/>
      <c r="K1088" s="8"/>
      <c r="L1088" s="9" t="s">
        <v>147</v>
      </c>
      <c r="M1088" s="8"/>
    </row>
    <row r="1089" spans="1:13">
      <c r="A1089" s="71" t="s">
        <v>1653</v>
      </c>
      <c r="B1089" s="67">
        <v>22599824842</v>
      </c>
      <c r="C1089" s="73" t="s">
        <v>1654</v>
      </c>
      <c r="D1089" s="69" t="s">
        <v>1655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1656</v>
      </c>
      <c r="B1090" s="67">
        <v>41719739889</v>
      </c>
      <c r="C1090" s="72" t="s">
        <v>1657</v>
      </c>
      <c r="D1090" s="69">
        <v>35883252800</v>
      </c>
      <c r="E1090" s="9">
        <v>1752</v>
      </c>
      <c r="F1090" s="25">
        <v>43051</v>
      </c>
      <c r="G1090" s="70" t="s">
        <v>25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1658</v>
      </c>
      <c r="B1091" s="67">
        <v>31524778800</v>
      </c>
      <c r="C1091" s="72" t="s">
        <v>1659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1660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1661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1662</v>
      </c>
      <c r="B1094" s="67">
        <v>6614830376</v>
      </c>
      <c r="C1094" s="72" t="s">
        <v>1663</v>
      </c>
      <c r="D1094" s="69">
        <v>6372277352</v>
      </c>
      <c r="E1094" s="9">
        <v>229</v>
      </c>
      <c r="F1094" s="25">
        <v>43151</v>
      </c>
      <c r="G1094" s="70" t="s">
        <v>25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1664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1665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25</v>
      </c>
      <c r="H1096" s="9"/>
      <c r="I1096" s="8"/>
      <c r="J1096" s="8"/>
      <c r="K1096" s="8"/>
      <c r="L1096" s="8"/>
      <c r="M1096" s="8"/>
    </row>
    <row r="1097" spans="1:13">
      <c r="A1097" s="71" t="s">
        <v>1666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1667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25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1668</v>
      </c>
      <c r="B1099" s="67">
        <v>23047254818</v>
      </c>
      <c r="C1099" s="18" t="s">
        <v>138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1669</v>
      </c>
      <c r="B1100" s="69">
        <v>15755371504</v>
      </c>
      <c r="C1100" s="71" t="s">
        <v>1670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1671</v>
      </c>
      <c r="B1101" s="67"/>
      <c r="C1101" s="29" t="s">
        <v>138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1672</v>
      </c>
      <c r="B1102" s="67">
        <v>37975016845</v>
      </c>
      <c r="C1102" s="72" t="s">
        <v>1673</v>
      </c>
      <c r="D1102" s="69">
        <v>31274964865</v>
      </c>
      <c r="E1102" s="9">
        <v>810</v>
      </c>
      <c r="F1102" s="25">
        <v>42915</v>
      </c>
      <c r="G1102" s="70" t="s">
        <v>25</v>
      </c>
      <c r="H1102" s="9"/>
      <c r="I1102" s="8"/>
      <c r="J1102" s="8"/>
      <c r="K1102" s="8"/>
      <c r="L1102" s="9" t="s">
        <v>147</v>
      </c>
      <c r="M1102" s="8"/>
    </row>
    <row r="1103" spans="1:13">
      <c r="A1103" s="71" t="s">
        <v>1674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1675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1676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25</v>
      </c>
      <c r="H1105" s="9"/>
      <c r="I1105" s="8"/>
      <c r="J1105" s="8"/>
      <c r="K1105" s="8"/>
      <c r="L1105" s="9" t="s">
        <v>179</v>
      </c>
      <c r="M1105" s="8"/>
    </row>
    <row r="1106" spans="1:13">
      <c r="A1106" s="14" t="s">
        <v>1677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25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1678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1679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25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1680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1681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1682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25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1683</v>
      </c>
      <c r="B1112" s="67"/>
      <c r="C1112" s="29" t="s">
        <v>1684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1685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1686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1687</v>
      </c>
      <c r="B1115" s="67">
        <v>31228148899</v>
      </c>
      <c r="C1115" s="18" t="s">
        <v>1688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1689</v>
      </c>
      <c r="B1116" s="67">
        <v>28077309810</v>
      </c>
      <c r="C1116" s="72" t="s">
        <v>1690</v>
      </c>
      <c r="D1116" s="69">
        <v>62568370530</v>
      </c>
      <c r="E1116" s="9">
        <v>229</v>
      </c>
      <c r="F1116" s="25">
        <v>43151</v>
      </c>
      <c r="G1116" s="70" t="s">
        <v>25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1691</v>
      </c>
      <c r="B1117" s="67">
        <v>43681754845</v>
      </c>
      <c r="C1117" s="72" t="s">
        <v>1692</v>
      </c>
      <c r="D1117" s="69">
        <v>51120226805</v>
      </c>
      <c r="E1117" s="9">
        <v>1555</v>
      </c>
      <c r="F1117" s="25">
        <v>43049</v>
      </c>
      <c r="G1117" s="70" t="s">
        <v>25</v>
      </c>
      <c r="H1117" s="9"/>
      <c r="I1117" s="8"/>
      <c r="J1117" s="8"/>
      <c r="K1117" s="8"/>
      <c r="L1117" s="9" t="s">
        <v>407</v>
      </c>
      <c r="M1117" s="8"/>
    </row>
    <row r="1118" spans="1:13">
      <c r="A1118" s="29" t="s">
        <v>1693</v>
      </c>
      <c r="B1118" s="67"/>
      <c r="C1118" s="29" t="s">
        <v>1694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1695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1696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25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1697</v>
      </c>
      <c r="B1121" s="67">
        <v>44708151870</v>
      </c>
      <c r="C1121" s="88" t="s">
        <v>1698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1699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1700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1701</v>
      </c>
      <c r="B1124" s="67">
        <v>8368671817</v>
      </c>
      <c r="C1124" s="72" t="s">
        <v>1702</v>
      </c>
      <c r="D1124" s="69">
        <v>19184424877</v>
      </c>
      <c r="E1124" s="9">
        <v>292</v>
      </c>
      <c r="F1124" s="25">
        <v>43168</v>
      </c>
      <c r="G1124" s="70" t="s">
        <v>25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1703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25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1704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25</v>
      </c>
      <c r="H1126" s="9"/>
      <c r="I1126" s="8"/>
      <c r="J1126" s="8"/>
      <c r="K1126" s="8"/>
      <c r="L1126" s="9" t="s">
        <v>147</v>
      </c>
      <c r="M1126" s="8"/>
    </row>
    <row r="1127" spans="1:13">
      <c r="A1127" s="18" t="s">
        <v>1705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1706</v>
      </c>
      <c r="B1128" s="67">
        <v>45127604825</v>
      </c>
      <c r="C1128" s="72" t="s">
        <v>1707</v>
      </c>
      <c r="D1128" s="69" t="s">
        <v>1708</v>
      </c>
      <c r="E1128" s="9">
        <v>229</v>
      </c>
      <c r="F1128" s="25">
        <v>43151</v>
      </c>
      <c r="G1128" s="70" t="s">
        <v>40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1709</v>
      </c>
      <c r="B1129" s="67">
        <v>42987674856</v>
      </c>
      <c r="C1129" s="72" t="s">
        <v>1710</v>
      </c>
      <c r="D1129" s="69">
        <v>38745840890</v>
      </c>
      <c r="E1129" s="9">
        <v>85</v>
      </c>
      <c r="F1129" s="25">
        <v>43109</v>
      </c>
      <c r="G1129" s="70" t="s">
        <v>25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1711</v>
      </c>
      <c r="B1130" s="67">
        <v>36406558855</v>
      </c>
      <c r="C1130" s="72" t="s">
        <v>1712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1713</v>
      </c>
      <c r="B1131" s="67">
        <v>22758320843</v>
      </c>
      <c r="C1131" s="72" t="s">
        <v>1714</v>
      </c>
      <c r="D1131" s="69">
        <v>14229403810</v>
      </c>
      <c r="E1131" s="9">
        <v>1752</v>
      </c>
      <c r="F1131" s="25">
        <v>43051</v>
      </c>
      <c r="G1131" s="70" t="s">
        <v>25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1715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1716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25</v>
      </c>
      <c r="H1133" s="9"/>
      <c r="I1133" s="8"/>
      <c r="J1133" s="8"/>
      <c r="K1133" s="8"/>
      <c r="L1133" s="8"/>
      <c r="M1133" s="8"/>
    </row>
    <row r="1134" spans="1:13">
      <c r="A1134" s="71" t="s">
        <v>1717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25</v>
      </c>
      <c r="H1134" s="9"/>
      <c r="I1134" s="8"/>
      <c r="J1134" s="8"/>
      <c r="K1134" s="8"/>
      <c r="L1134" s="8"/>
      <c r="M1134" s="8"/>
    </row>
    <row r="1135" spans="1:13">
      <c r="A1135" s="13" t="s">
        <v>1718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25</v>
      </c>
      <c r="H1135" s="9"/>
      <c r="I1135" s="8"/>
      <c r="J1135" s="8"/>
      <c r="K1135" s="8"/>
      <c r="L1135" s="8"/>
      <c r="M1135" s="8"/>
    </row>
    <row r="1136" spans="1:13">
      <c r="A1136" s="73" t="s">
        <v>1719</v>
      </c>
      <c r="B1136" s="67">
        <v>32518683810</v>
      </c>
      <c r="C1136" s="72" t="s">
        <v>1720</v>
      </c>
      <c r="D1136" s="69">
        <v>32570919829</v>
      </c>
      <c r="E1136" s="9">
        <v>262</v>
      </c>
      <c r="F1136" s="25">
        <v>43160</v>
      </c>
      <c r="G1136" s="70" t="s">
        <v>32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1721</v>
      </c>
      <c r="B1137" s="67">
        <v>35723911805</v>
      </c>
      <c r="C1137" s="18" t="s">
        <v>138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1722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25</v>
      </c>
      <c r="H1138" s="9"/>
      <c r="I1138" s="8"/>
      <c r="J1138" s="8"/>
      <c r="K1138" s="8"/>
      <c r="L1138" s="8"/>
      <c r="M1138" s="8"/>
    </row>
    <row r="1139" spans="1:13">
      <c r="A1139" s="71" t="s">
        <v>1723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25</v>
      </c>
      <c r="H1139" s="9"/>
      <c r="I1139" s="8"/>
      <c r="J1139" s="8"/>
      <c r="K1139" s="8"/>
      <c r="L1139" s="8"/>
      <c r="M1139" s="8"/>
    </row>
    <row r="1140" spans="1:13">
      <c r="A1140" s="71" t="s">
        <v>1724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25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1725</v>
      </c>
      <c r="B1141" s="67">
        <v>9527670667</v>
      </c>
      <c r="C1141" s="18" t="s">
        <v>1726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1727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25</v>
      </c>
      <c r="H1142" s="9"/>
      <c r="I1142" s="8"/>
      <c r="J1142" s="8"/>
      <c r="K1142" s="8"/>
      <c r="L1142" s="8"/>
      <c r="M1142" s="8"/>
    </row>
    <row r="1143" spans="1:13">
      <c r="A1143" s="51" t="s">
        <v>1728</v>
      </c>
      <c r="B1143" s="80">
        <v>15404916842</v>
      </c>
      <c r="C1143" s="81" t="s">
        <v>1729</v>
      </c>
      <c r="D1143" s="82">
        <v>26437120487</v>
      </c>
      <c r="E1143" s="47">
        <v>1752</v>
      </c>
      <c r="F1143" s="48">
        <v>43051</v>
      </c>
      <c r="G1143" s="83" t="s">
        <v>40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1730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25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1731</v>
      </c>
      <c r="B1145" s="67">
        <v>16618981816</v>
      </c>
      <c r="C1145" s="77" t="s">
        <v>1732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1733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25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1734</v>
      </c>
      <c r="B1147" s="67">
        <v>14396561857</v>
      </c>
      <c r="C1147" s="72" t="s">
        <v>1735</v>
      </c>
      <c r="D1147" s="69">
        <v>26877955854</v>
      </c>
      <c r="E1147" s="9">
        <v>1350</v>
      </c>
      <c r="F1147" s="25">
        <v>43006</v>
      </c>
      <c r="G1147" s="70" t="s">
        <v>25</v>
      </c>
      <c r="H1147" s="9"/>
      <c r="I1147" s="8"/>
      <c r="J1147" s="8"/>
      <c r="K1147" s="8"/>
      <c r="L1147" s="8"/>
      <c r="M1147" s="8"/>
    </row>
    <row r="1148" spans="1:13">
      <c r="A1148" s="71" t="s">
        <v>1736</v>
      </c>
      <c r="B1148" s="67">
        <v>89014774591</v>
      </c>
      <c r="C1148" s="72" t="s">
        <v>1737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1738</v>
      </c>
      <c r="B1149" s="67">
        <v>36708561883</v>
      </c>
      <c r="C1149" s="72" t="s">
        <v>1739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1740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25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1741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25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1742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25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1743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1744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1745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25</v>
      </c>
      <c r="H1155" s="9"/>
      <c r="I1155" s="8"/>
      <c r="J1155" s="8"/>
      <c r="K1155" s="8"/>
      <c r="L1155" s="8"/>
      <c r="M1155" s="8"/>
    </row>
    <row r="1156" spans="1:13">
      <c r="A1156" s="71" t="s">
        <v>1746</v>
      </c>
      <c r="B1156" s="67">
        <v>35706404852</v>
      </c>
      <c r="C1156" s="72"/>
      <c r="D1156" s="69"/>
      <c r="E1156" s="9">
        <v>117</v>
      </c>
      <c r="F1156" s="25"/>
      <c r="G1156" s="70" t="s">
        <v>40</v>
      </c>
      <c r="H1156" s="9"/>
      <c r="I1156" s="8"/>
      <c r="J1156" s="8"/>
      <c r="K1156" s="8"/>
      <c r="L1156" s="8"/>
      <c r="M1156" s="8"/>
    </row>
    <row r="1157" spans="1:13">
      <c r="A1157" s="71" t="s">
        <v>1747</v>
      </c>
      <c r="B1157" s="67">
        <v>2044062348</v>
      </c>
      <c r="C1157" s="72" t="s">
        <v>1748</v>
      </c>
      <c r="D1157" s="69">
        <v>61505005353</v>
      </c>
      <c r="E1157" s="9">
        <v>1214</v>
      </c>
      <c r="F1157" s="25">
        <v>42989</v>
      </c>
      <c r="G1157" s="70" t="s">
        <v>25</v>
      </c>
      <c r="H1157" s="9"/>
      <c r="I1157" s="8"/>
      <c r="J1157" s="8"/>
      <c r="K1157" s="8"/>
      <c r="L1157" s="8"/>
      <c r="M1157" s="8"/>
    </row>
    <row r="1158" spans="1:13">
      <c r="A1158" s="71" t="s">
        <v>1749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25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1750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1751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25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1752</v>
      </c>
      <c r="B1161" s="67">
        <v>11126789801</v>
      </c>
      <c r="C1161" s="72" t="s">
        <v>1753</v>
      </c>
      <c r="D1161" s="69">
        <v>13442330823</v>
      </c>
      <c r="E1161" s="9">
        <v>85</v>
      </c>
      <c r="F1161" s="25">
        <v>43109</v>
      </c>
      <c r="G1161" s="70" t="s">
        <v>25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1754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25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1755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25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1756</v>
      </c>
      <c r="B1164" s="67">
        <v>42134258861</v>
      </c>
      <c r="C1164" s="72" t="s">
        <v>1757</v>
      </c>
      <c r="D1164" s="69">
        <v>36485490817</v>
      </c>
      <c r="E1164" s="9">
        <v>262</v>
      </c>
      <c r="F1164" s="25">
        <v>43160</v>
      </c>
      <c r="G1164" s="9" t="s">
        <v>25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1758</v>
      </c>
      <c r="B1165" s="67">
        <v>1772681318</v>
      </c>
      <c r="C1165" s="72" t="s">
        <v>1759</v>
      </c>
      <c r="D1165" s="69">
        <v>88109810306</v>
      </c>
      <c r="E1165" s="9">
        <v>85</v>
      </c>
      <c r="F1165" s="25">
        <v>43109</v>
      </c>
      <c r="G1165" s="70" t="s">
        <v>25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1760</v>
      </c>
      <c r="B1166" s="67">
        <v>88244881291</v>
      </c>
      <c r="C1166" s="72" t="s">
        <v>1761</v>
      </c>
      <c r="D1166" s="69">
        <v>71885609272</v>
      </c>
      <c r="E1166" s="9">
        <v>292</v>
      </c>
      <c r="F1166" s="25">
        <v>43168</v>
      </c>
      <c r="G1166" s="9" t="s">
        <v>25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1762</v>
      </c>
      <c r="B1167" s="67">
        <v>33535539838</v>
      </c>
      <c r="C1167" s="72" t="s">
        <v>1763</v>
      </c>
      <c r="D1167" s="69">
        <v>19438586830</v>
      </c>
      <c r="E1167" s="9">
        <v>85</v>
      </c>
      <c r="F1167" s="25">
        <v>43109</v>
      </c>
      <c r="G1167" s="70" t="s">
        <v>25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1764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25</v>
      </c>
      <c r="H1168" s="9"/>
      <c r="I1168" s="8"/>
      <c r="J1168" s="8"/>
      <c r="K1168" s="8"/>
      <c r="L1168" s="8"/>
      <c r="M1168" s="8"/>
    </row>
    <row r="1169" spans="1:13">
      <c r="A1169" s="71" t="s">
        <v>1765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25</v>
      </c>
      <c r="H1169" s="9"/>
      <c r="I1169" s="8"/>
      <c r="J1169" s="8"/>
      <c r="K1169" s="8"/>
      <c r="L1169" s="9" t="s">
        <v>179</v>
      </c>
      <c r="M1169" s="8"/>
    </row>
    <row r="1170" spans="1:13">
      <c r="A1170" s="71" t="s">
        <v>1766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1767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25</v>
      </c>
      <c r="H1171" s="9"/>
      <c r="I1171" s="8"/>
      <c r="J1171" s="8"/>
      <c r="K1171" s="8"/>
      <c r="L1171" s="9" t="s">
        <v>147</v>
      </c>
      <c r="M1171" s="8"/>
    </row>
    <row r="1172" spans="1:13">
      <c r="A1172" s="71" t="s">
        <v>1768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25</v>
      </c>
      <c r="H1172" s="9"/>
      <c r="I1172" s="8"/>
      <c r="J1172" s="8"/>
      <c r="K1172" s="8"/>
      <c r="L1172" s="9" t="s">
        <v>407</v>
      </c>
      <c r="M1172" s="8"/>
    </row>
    <row r="1173" spans="1:13">
      <c r="A1173" s="72" t="s">
        <v>1769</v>
      </c>
      <c r="B1173" s="67">
        <v>42160981850</v>
      </c>
      <c r="C1173" s="72" t="s">
        <v>1770</v>
      </c>
      <c r="D1173" s="69">
        <v>40077808894</v>
      </c>
      <c r="E1173" s="9">
        <v>608</v>
      </c>
      <c r="F1173" s="25">
        <v>43012</v>
      </c>
      <c r="G1173" s="70" t="s">
        <v>25</v>
      </c>
      <c r="H1173" s="9"/>
      <c r="I1173" s="8"/>
      <c r="J1173" s="8"/>
      <c r="K1173" s="8"/>
      <c r="L1173" s="8"/>
      <c r="M1173" s="8"/>
    </row>
    <row r="1174" spans="1:13">
      <c r="A1174" s="71" t="s">
        <v>1771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32</v>
      </c>
      <c r="H1174" s="9"/>
      <c r="I1174" s="8"/>
      <c r="J1174" s="8"/>
      <c r="K1174" s="8"/>
      <c r="L1174" s="8"/>
      <c r="M1174" s="8"/>
    </row>
    <row r="1175" spans="1:13">
      <c r="A1175" s="71" t="s">
        <v>1772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1773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308</v>
      </c>
      <c r="M1176" s="8"/>
    </row>
    <row r="1177" spans="1:13">
      <c r="A1177" s="29" t="s">
        <v>1774</v>
      </c>
      <c r="B1177" s="67"/>
      <c r="C1177" s="29" t="s">
        <v>1775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1776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1777</v>
      </c>
      <c r="B1179" s="67">
        <v>11754585469</v>
      </c>
      <c r="C1179" s="77" t="s">
        <v>1778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308</v>
      </c>
      <c r="M1179" s="8"/>
    </row>
    <row r="1180" spans="1:13">
      <c r="A1180" s="29" t="s">
        <v>1779</v>
      </c>
      <c r="B1180" s="67">
        <v>7621874503</v>
      </c>
      <c r="C1180" s="29" t="s">
        <v>1780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1781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25</v>
      </c>
      <c r="H1181" s="9"/>
      <c r="I1181" s="8"/>
      <c r="J1181" s="8"/>
      <c r="K1181" s="8"/>
      <c r="L1181" s="8"/>
      <c r="M1181" s="8"/>
    </row>
    <row r="1182" spans="1:13">
      <c r="A1182" s="13" t="s">
        <v>1782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25</v>
      </c>
      <c r="H1182" s="9"/>
      <c r="I1182" s="8"/>
      <c r="J1182" s="8"/>
      <c r="K1182" s="8"/>
      <c r="L1182" s="9" t="s">
        <v>407</v>
      </c>
      <c r="M1182" s="8"/>
    </row>
    <row r="1183" spans="1:13">
      <c r="A1183" s="29" t="s">
        <v>1783</v>
      </c>
      <c r="B1183" s="67">
        <v>29913700841</v>
      </c>
      <c r="C1183" s="18" t="s">
        <v>138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1784</v>
      </c>
      <c r="B1184" s="67">
        <v>28907743843</v>
      </c>
      <c r="C1184" s="29" t="s">
        <v>1785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1786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25</v>
      </c>
      <c r="H1185" s="9"/>
      <c r="I1185" s="8"/>
      <c r="J1185" s="8"/>
      <c r="K1185" s="8"/>
      <c r="L1185" s="9" t="s">
        <v>147</v>
      </c>
      <c r="M1185" s="8"/>
    </row>
    <row r="1186" spans="1:13">
      <c r="A1186" s="29" t="s">
        <v>1787</v>
      </c>
      <c r="B1186" s="67"/>
      <c r="C1186" s="18" t="s">
        <v>138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1788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25</v>
      </c>
      <c r="H1187" s="9"/>
      <c r="I1187" s="8"/>
      <c r="J1187" s="8"/>
      <c r="K1187" s="8"/>
      <c r="L1187" s="9" t="s">
        <v>147</v>
      </c>
      <c r="M1187" s="8"/>
    </row>
    <row r="1188" spans="1:13">
      <c r="A1188" s="73" t="s">
        <v>1789</v>
      </c>
      <c r="B1188" s="67">
        <v>1198397500</v>
      </c>
      <c r="C1188" s="72" t="s">
        <v>1790</v>
      </c>
      <c r="D1188" s="69">
        <v>87142503572</v>
      </c>
      <c r="E1188" s="9">
        <v>810</v>
      </c>
      <c r="F1188" s="25">
        <v>42915</v>
      </c>
      <c r="G1188" s="70" t="s">
        <v>25</v>
      </c>
      <c r="H1188" s="9"/>
      <c r="I1188" s="8"/>
      <c r="J1188" s="8"/>
      <c r="K1188" s="8"/>
      <c r="L1188" s="9" t="s">
        <v>147</v>
      </c>
      <c r="M1188" s="8"/>
    </row>
    <row r="1189" spans="1:13">
      <c r="A1189" s="29" t="s">
        <v>1791</v>
      </c>
      <c r="B1189" s="67">
        <v>17487364852</v>
      </c>
      <c r="C1189" s="29" t="s">
        <v>1792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1793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25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1794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1795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1796</v>
      </c>
      <c r="B1193" s="67">
        <v>32993187805</v>
      </c>
      <c r="C1193" s="72" t="s">
        <v>1797</v>
      </c>
      <c r="D1193" s="69">
        <v>2605272460</v>
      </c>
      <c r="E1193" s="9">
        <v>1439</v>
      </c>
      <c r="F1193" s="25">
        <v>43025</v>
      </c>
      <c r="G1193" s="70" t="s">
        <v>25</v>
      </c>
      <c r="H1193" s="9"/>
      <c r="I1193" s="8"/>
      <c r="J1193" s="8"/>
      <c r="K1193" s="8"/>
      <c r="L1193" s="9" t="s">
        <v>511</v>
      </c>
      <c r="M1193" s="8"/>
    </row>
    <row r="1194" spans="1:13">
      <c r="A1194" s="71" t="s">
        <v>1798</v>
      </c>
      <c r="B1194" s="67">
        <v>33182368885</v>
      </c>
      <c r="C1194" s="77" t="s">
        <v>1799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1800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25</v>
      </c>
      <c r="H1195" s="9"/>
      <c r="I1195" s="8"/>
      <c r="J1195" s="8"/>
      <c r="K1195" s="8"/>
      <c r="L1195" s="8"/>
      <c r="M1195" s="8"/>
    </row>
    <row r="1196" spans="1:13">
      <c r="A1196" s="71" t="s">
        <v>1801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25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1802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25</v>
      </c>
      <c r="H1197" s="9"/>
      <c r="I1197" s="8"/>
      <c r="J1197" s="8"/>
      <c r="K1197" s="8"/>
      <c r="L1197" s="8"/>
      <c r="M1197" s="8"/>
    </row>
    <row r="1198" spans="1:13">
      <c r="A1198" s="71" t="s">
        <v>1803</v>
      </c>
      <c r="B1198" s="67">
        <v>32557609846</v>
      </c>
      <c r="C1198" s="72" t="s">
        <v>1804</v>
      </c>
      <c r="D1198" s="69">
        <v>19150806904</v>
      </c>
      <c r="E1198" s="9">
        <v>1241</v>
      </c>
      <c r="F1198" s="25">
        <v>42992</v>
      </c>
      <c r="G1198" s="70" t="s">
        <v>25</v>
      </c>
      <c r="H1198" s="9"/>
      <c r="I1198" s="8"/>
      <c r="J1198" s="8"/>
      <c r="K1198" s="8"/>
      <c r="L1198" s="8"/>
      <c r="M1198" s="8"/>
    </row>
    <row r="1199" spans="1:13">
      <c r="A1199" s="13" t="s">
        <v>1805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25</v>
      </c>
      <c r="H1199" s="9"/>
      <c r="I1199" s="8"/>
      <c r="J1199" s="8"/>
      <c r="K1199" s="8"/>
      <c r="L1199" s="8"/>
      <c r="M1199" s="8"/>
    </row>
    <row r="1200" spans="1:13">
      <c r="A1200" s="14" t="s">
        <v>1806</v>
      </c>
      <c r="B1200" s="67">
        <v>38236980871</v>
      </c>
      <c r="C1200" s="72" t="s">
        <v>1807</v>
      </c>
      <c r="D1200" s="69">
        <v>5177834360</v>
      </c>
      <c r="E1200" s="9">
        <v>262</v>
      </c>
      <c r="F1200" s="25">
        <v>43160</v>
      </c>
      <c r="G1200" s="70" t="s">
        <v>25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1808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25</v>
      </c>
      <c r="H1201" s="9"/>
      <c r="I1201" s="8"/>
      <c r="J1201" s="8"/>
      <c r="K1201" s="8"/>
      <c r="L1201" s="9" t="s">
        <v>147</v>
      </c>
      <c r="M1201" s="8"/>
    </row>
    <row r="1202" spans="1:13">
      <c r="A1202" s="72" t="s">
        <v>1809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1810</v>
      </c>
      <c r="B1203" s="67">
        <v>177446102</v>
      </c>
      <c r="C1203" s="72" t="s">
        <v>1811</v>
      </c>
      <c r="D1203" s="69">
        <v>31301235806</v>
      </c>
      <c r="E1203" s="9">
        <v>229</v>
      </c>
      <c r="F1203" s="25">
        <v>43151</v>
      </c>
      <c r="G1203" s="70" t="s">
        <v>25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1812</v>
      </c>
      <c r="B1204" s="67"/>
      <c r="C1204" s="29" t="s">
        <v>138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1813</v>
      </c>
      <c r="B1205" s="67">
        <v>22394984805</v>
      </c>
      <c r="C1205" s="72" t="s">
        <v>1814</v>
      </c>
      <c r="D1205" s="69">
        <v>29161087858</v>
      </c>
      <c r="E1205" s="9">
        <v>1106</v>
      </c>
      <c r="F1205" s="25">
        <v>42965</v>
      </c>
      <c r="G1205" s="70" t="s">
        <v>25</v>
      </c>
      <c r="H1205" s="9"/>
      <c r="I1205" s="8"/>
      <c r="J1205" s="8"/>
      <c r="K1205" s="8"/>
      <c r="L1205" s="8"/>
      <c r="M1205" s="8"/>
    </row>
    <row r="1206" spans="1:13">
      <c r="A1206" s="13" t="s">
        <v>1815</v>
      </c>
      <c r="B1206" s="67">
        <v>22495577806</v>
      </c>
      <c r="C1206" s="72" t="s">
        <v>1816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1817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1818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1819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25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1820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1821</v>
      </c>
      <c r="B1211" s="67">
        <v>37304527897</v>
      </c>
      <c r="C1211" s="72" t="s">
        <v>1822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1823</v>
      </c>
      <c r="B1212" s="67">
        <v>11328067807</v>
      </c>
      <c r="C1212" s="72" t="s">
        <v>1824</v>
      </c>
      <c r="D1212" s="69">
        <v>60769793800</v>
      </c>
      <c r="E1212" s="9">
        <v>262</v>
      </c>
      <c r="F1212" s="25">
        <v>43160</v>
      </c>
      <c r="G1212" s="70" t="s">
        <v>25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1825</v>
      </c>
      <c r="B1213" s="67">
        <v>4007781575</v>
      </c>
      <c r="C1213" s="72" t="s">
        <v>1826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1827</v>
      </c>
      <c r="B1214" s="67">
        <v>38448111842</v>
      </c>
      <c r="C1214" s="72" t="s">
        <v>1828</v>
      </c>
      <c r="D1214" s="69">
        <v>38350911824</v>
      </c>
      <c r="E1214" s="9"/>
      <c r="F1214" s="25"/>
      <c r="G1214" s="70" t="s">
        <v>25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1829</v>
      </c>
      <c r="B1215" s="67"/>
      <c r="C1215" s="18" t="s">
        <v>138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1830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25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1831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25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1832</v>
      </c>
      <c r="B1218" s="67">
        <v>29040829802</v>
      </c>
      <c r="C1218" s="68" t="s">
        <v>1833</v>
      </c>
      <c r="D1218" s="69">
        <v>17804755864</v>
      </c>
      <c r="E1218" s="9">
        <v>1128</v>
      </c>
      <c r="F1218" s="25">
        <v>42972</v>
      </c>
      <c r="G1218" s="70" t="s">
        <v>25</v>
      </c>
      <c r="H1218" s="9"/>
      <c r="I1218" s="8"/>
      <c r="J1218" s="8"/>
      <c r="K1218" s="8"/>
      <c r="L1218" s="8"/>
      <c r="M1218" s="8"/>
    </row>
    <row r="1219" spans="1:13">
      <c r="A1219" s="71" t="s">
        <v>1834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1835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25</v>
      </c>
      <c r="H1220" s="9"/>
      <c r="I1220" s="8"/>
      <c r="J1220" s="8"/>
      <c r="K1220" s="8"/>
      <c r="L1220" s="9" t="s">
        <v>262</v>
      </c>
      <c r="M1220" s="8"/>
    </row>
    <row r="1221" spans="1:13">
      <c r="A1221" s="14" t="s">
        <v>1836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1837</v>
      </c>
      <c r="B1222" s="67">
        <v>22614376841</v>
      </c>
      <c r="C1222" s="18" t="s">
        <v>138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1838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1839</v>
      </c>
      <c r="B1224" s="67">
        <v>95023003515</v>
      </c>
      <c r="C1224" s="72" t="s">
        <v>1840</v>
      </c>
      <c r="D1224" s="69">
        <v>2283584507</v>
      </c>
      <c r="E1224" s="9">
        <v>117</v>
      </c>
      <c r="F1224" s="25">
        <v>43117</v>
      </c>
      <c r="G1224" s="70" t="s">
        <v>25</v>
      </c>
      <c r="H1224" s="9"/>
      <c r="I1224" s="8"/>
      <c r="J1224" s="8"/>
      <c r="K1224" s="8"/>
      <c r="L1224" s="9" t="s">
        <v>179</v>
      </c>
      <c r="M1224" s="8"/>
    </row>
    <row r="1225" spans="1:13">
      <c r="A1225" s="15" t="s">
        <v>1841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25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1842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1843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25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1844</v>
      </c>
      <c r="B1228" s="67">
        <v>40584610807</v>
      </c>
      <c r="C1228" s="72" t="s">
        <v>1845</v>
      </c>
      <c r="D1228" s="69">
        <v>29182543801</v>
      </c>
      <c r="E1228" s="9">
        <v>810</v>
      </c>
      <c r="F1228" s="25">
        <v>42915</v>
      </c>
      <c r="G1228" s="70" t="s">
        <v>25</v>
      </c>
      <c r="H1228" s="9"/>
      <c r="I1228" s="8"/>
      <c r="J1228" s="8"/>
      <c r="K1228" s="8"/>
      <c r="L1228" s="9" t="s">
        <v>147</v>
      </c>
      <c r="M1228" s="8"/>
    </row>
    <row r="1229" spans="1:13">
      <c r="A1229" s="71" t="s">
        <v>1846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25</v>
      </c>
      <c r="H1229" s="9"/>
      <c r="I1229" s="8"/>
      <c r="J1229" s="8"/>
      <c r="K1229" s="8"/>
      <c r="L1229" s="8"/>
      <c r="M1229" s="8"/>
    </row>
    <row r="1230" spans="1:13">
      <c r="A1230" s="18" t="s">
        <v>1847</v>
      </c>
      <c r="B1230" s="67">
        <v>2330650590</v>
      </c>
      <c r="C1230" s="18" t="s">
        <v>401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1848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308</v>
      </c>
      <c r="M1231" s="8"/>
    </row>
    <row r="1232" spans="1:13">
      <c r="A1232" s="71" t="s">
        <v>1849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25</v>
      </c>
      <c r="H1232" s="9"/>
      <c r="I1232" s="8"/>
      <c r="J1232" s="8"/>
      <c r="K1232" s="8"/>
      <c r="L1232" s="8"/>
      <c r="M1232" s="8"/>
    </row>
    <row r="1233" spans="1:13">
      <c r="A1233" s="71" t="s">
        <v>1850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1851</v>
      </c>
      <c r="B1234" s="67">
        <v>35116318826</v>
      </c>
      <c r="C1234" s="72" t="s">
        <v>1852</v>
      </c>
      <c r="D1234" s="69">
        <v>22432837860</v>
      </c>
      <c r="E1234" s="9">
        <v>1824</v>
      </c>
      <c r="F1234" s="25">
        <v>43091</v>
      </c>
      <c r="G1234" s="70" t="s">
        <v>25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1853</v>
      </c>
      <c r="B1235" s="67">
        <v>40048912808</v>
      </c>
      <c r="C1235" s="72" t="s">
        <v>1854</v>
      </c>
      <c r="D1235" s="69">
        <v>43519054841</v>
      </c>
      <c r="E1235" s="9">
        <v>262</v>
      </c>
      <c r="F1235" s="25">
        <v>43160</v>
      </c>
      <c r="G1235" s="70" t="s">
        <v>25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1855</v>
      </c>
      <c r="B1236" s="67">
        <v>26016197831</v>
      </c>
      <c r="C1236" s="15" t="s">
        <v>1856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1857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25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1858</v>
      </c>
      <c r="B1238" s="67">
        <v>40121535878</v>
      </c>
      <c r="C1238" s="72" t="s">
        <v>1859</v>
      </c>
      <c r="D1238" s="69">
        <v>33343601802</v>
      </c>
      <c r="E1238" s="9">
        <v>292</v>
      </c>
      <c r="F1238" s="25">
        <v>43168</v>
      </c>
      <c r="G1238" s="70" t="s">
        <v>25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1860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25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1861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25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1862</v>
      </c>
      <c r="B1241" s="67">
        <v>31029975892</v>
      </c>
      <c r="C1241" s="72" t="s">
        <v>1863</v>
      </c>
      <c r="D1241" s="69">
        <v>36873004472</v>
      </c>
      <c r="E1241" s="9">
        <v>1106</v>
      </c>
      <c r="F1241" s="25">
        <v>42965</v>
      </c>
      <c r="G1241" s="9" t="s">
        <v>25</v>
      </c>
      <c r="H1241" s="9"/>
      <c r="I1241" s="8"/>
      <c r="J1241" s="8"/>
      <c r="K1241" s="8"/>
      <c r="L1241" s="8"/>
      <c r="M1241" s="8"/>
    </row>
    <row r="1242" spans="1:13">
      <c r="A1242" s="72" t="s">
        <v>1864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25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1865</v>
      </c>
      <c r="B1243" s="67">
        <v>36051592814</v>
      </c>
      <c r="C1243" s="72" t="s">
        <v>1866</v>
      </c>
      <c r="D1243" s="69">
        <v>13109522847</v>
      </c>
      <c r="E1243" s="9">
        <v>810</v>
      </c>
      <c r="F1243" s="25">
        <v>42915</v>
      </c>
      <c r="G1243" s="70" t="s">
        <v>25</v>
      </c>
      <c r="H1243" s="9"/>
      <c r="I1243" s="8"/>
      <c r="J1243" s="8"/>
      <c r="K1243" s="8"/>
      <c r="L1243" s="9" t="s">
        <v>147</v>
      </c>
      <c r="M1243" s="8"/>
    </row>
    <row r="1244" spans="1:13">
      <c r="A1244" s="71" t="s">
        <v>1867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1868</v>
      </c>
      <c r="B1245" s="67">
        <v>28142782820</v>
      </c>
      <c r="C1245" s="18" t="s">
        <v>1869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1870</v>
      </c>
      <c r="B1246" s="67">
        <v>30088939880</v>
      </c>
      <c r="C1246" s="72" t="s">
        <v>1871</v>
      </c>
      <c r="D1246" s="69">
        <v>2051861579</v>
      </c>
      <c r="E1246" s="9">
        <v>292</v>
      </c>
      <c r="F1246" s="25">
        <v>43168</v>
      </c>
      <c r="G1246" s="9" t="s">
        <v>25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1872</v>
      </c>
      <c r="B1247" s="67">
        <v>11525085476</v>
      </c>
      <c r="C1247" s="72" t="s">
        <v>1873</v>
      </c>
      <c r="D1247" s="69">
        <v>9293576473</v>
      </c>
      <c r="E1247" s="9">
        <v>262</v>
      </c>
      <c r="F1247" s="25">
        <v>43160</v>
      </c>
      <c r="G1247" s="70" t="s">
        <v>25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1874</v>
      </c>
      <c r="B1248" s="67"/>
      <c r="C1248" s="29" t="s">
        <v>1875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1876</v>
      </c>
      <c r="B1249" s="67">
        <v>31265129843</v>
      </c>
      <c r="C1249" s="68" t="s">
        <v>1877</v>
      </c>
      <c r="D1249" s="69">
        <v>2078435546</v>
      </c>
      <c r="E1249" s="9">
        <v>1241</v>
      </c>
      <c r="F1249" s="25">
        <v>42992</v>
      </c>
      <c r="G1249" s="70" t="s">
        <v>25</v>
      </c>
      <c r="H1249" s="9"/>
      <c r="I1249" s="8"/>
      <c r="J1249" s="8"/>
      <c r="K1249" s="8"/>
      <c r="L1249" s="8"/>
      <c r="M1249" s="8"/>
    </row>
    <row r="1250" spans="1:13">
      <c r="A1250" s="15" t="s">
        <v>1878</v>
      </c>
      <c r="B1250" s="67">
        <v>22524200817</v>
      </c>
      <c r="C1250" s="72" t="s">
        <v>1879</v>
      </c>
      <c r="D1250" s="69">
        <v>22961531861</v>
      </c>
      <c r="E1250" s="9">
        <v>229</v>
      </c>
      <c r="F1250" s="25">
        <v>43151</v>
      </c>
      <c r="G1250" s="70" t="s">
        <v>32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1880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25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1881</v>
      </c>
      <c r="B1252" s="67">
        <v>29736807860</v>
      </c>
      <c r="C1252" s="72" t="s">
        <v>1882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1883</v>
      </c>
      <c r="B1253" s="67">
        <v>4890860398</v>
      </c>
      <c r="C1253" s="72" t="s">
        <v>1884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1885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25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1886</v>
      </c>
      <c r="B1255" s="67">
        <v>35336343889</v>
      </c>
      <c r="C1255" s="18" t="s">
        <v>1887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1888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308</v>
      </c>
      <c r="M1256" s="8"/>
    </row>
    <row r="1257" spans="1:13">
      <c r="A1257" s="14" t="s">
        <v>1889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1890</v>
      </c>
      <c r="B1258" s="67">
        <v>39107511809</v>
      </c>
      <c r="C1258" s="72" t="s">
        <v>1891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1892</v>
      </c>
      <c r="B1259" s="67">
        <v>6652314584</v>
      </c>
      <c r="C1259" s="72" t="s">
        <v>1893</v>
      </c>
      <c r="D1259" s="69">
        <v>4945754500</v>
      </c>
      <c r="E1259" s="9">
        <v>85</v>
      </c>
      <c r="F1259" s="25">
        <v>43109</v>
      </c>
      <c r="G1259" s="70" t="s">
        <v>32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1894</v>
      </c>
      <c r="B1260" s="67">
        <v>43135974847</v>
      </c>
      <c r="C1260" s="73" t="s">
        <v>1895</v>
      </c>
      <c r="D1260" s="69" t="s">
        <v>1896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308</v>
      </c>
      <c r="M1260" s="8"/>
    </row>
    <row r="1261" spans="1:13">
      <c r="A1261" s="13" t="s">
        <v>1897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25</v>
      </c>
      <c r="H1261" s="9"/>
      <c r="I1261" s="8"/>
      <c r="J1261" s="8"/>
      <c r="K1261" s="8"/>
      <c r="L1261" s="8"/>
      <c r="M1261" s="8"/>
    </row>
    <row r="1262" spans="1:13">
      <c r="A1262" s="71" t="s">
        <v>1898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308</v>
      </c>
      <c r="M1262" s="8"/>
    </row>
    <row r="1263" spans="1:13">
      <c r="A1263" s="14" t="s">
        <v>1899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25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1900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1901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32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1902</v>
      </c>
      <c r="B1266" s="67">
        <v>1748350943</v>
      </c>
      <c r="C1266" s="72" t="s">
        <v>1903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1904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1905</v>
      </c>
      <c r="B1268" s="67">
        <v>23502610851</v>
      </c>
      <c r="C1268" s="73" t="s">
        <v>1906</v>
      </c>
      <c r="D1268" s="69" t="s">
        <v>1907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1908</v>
      </c>
      <c r="B1269" s="67">
        <v>48857598896</v>
      </c>
      <c r="C1269" s="72" t="s">
        <v>1909</v>
      </c>
      <c r="D1269" s="69">
        <v>36223394896</v>
      </c>
      <c r="E1269" s="9">
        <v>262</v>
      </c>
      <c r="F1269" s="25">
        <v>43160</v>
      </c>
      <c r="G1269" s="46" t="s">
        <v>32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1910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1911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1912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25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1913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308</v>
      </c>
      <c r="M1273" s="8"/>
    </row>
    <row r="1274" spans="1:13">
      <c r="A1274" s="71" t="s">
        <v>1914</v>
      </c>
      <c r="B1274" s="78" t="s">
        <v>1915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1916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25</v>
      </c>
      <c r="H1275" s="9"/>
      <c r="I1275" s="8"/>
      <c r="J1275" s="8"/>
      <c r="K1275" s="8"/>
      <c r="L1275" s="8"/>
      <c r="M1275" s="8"/>
    </row>
    <row r="1276" spans="1:13">
      <c r="A1276" s="71" t="s">
        <v>1917</v>
      </c>
      <c r="B1276" s="67">
        <v>16354483876</v>
      </c>
      <c r="C1276" s="68" t="s">
        <v>1918</v>
      </c>
      <c r="D1276" s="69">
        <v>2853992845</v>
      </c>
      <c r="E1276" s="9">
        <v>1267</v>
      </c>
      <c r="F1276" s="25">
        <v>42998</v>
      </c>
      <c r="G1276" s="70" t="s">
        <v>25</v>
      </c>
      <c r="H1276" s="9"/>
      <c r="I1276" s="8"/>
      <c r="J1276" s="8"/>
      <c r="K1276" s="8"/>
      <c r="L1276" s="8"/>
      <c r="M1276" s="8"/>
    </row>
    <row r="1277" spans="1:13">
      <c r="A1277" s="71" t="s">
        <v>1919</v>
      </c>
      <c r="B1277" s="67">
        <v>40753885816</v>
      </c>
      <c r="C1277" s="72" t="s">
        <v>1920</v>
      </c>
      <c r="D1277" s="69">
        <v>35877507850</v>
      </c>
      <c r="E1277" s="9">
        <v>85</v>
      </c>
      <c r="F1277" s="25">
        <v>43109</v>
      </c>
      <c r="G1277" s="70" t="s">
        <v>25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1921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25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1922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25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1923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1924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25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1925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1926</v>
      </c>
      <c r="B1283" s="67">
        <v>44632196800</v>
      </c>
      <c r="C1283" s="72" t="s">
        <v>1927</v>
      </c>
      <c r="D1283" s="69">
        <v>38901506831</v>
      </c>
      <c r="E1283" s="9">
        <v>1359</v>
      </c>
      <c r="F1283" s="25">
        <v>43006</v>
      </c>
      <c r="G1283" s="9" t="s">
        <v>25</v>
      </c>
      <c r="H1283" s="9"/>
      <c r="I1283" s="8"/>
      <c r="J1283" s="8"/>
      <c r="K1283" s="8"/>
      <c r="L1283" s="8"/>
      <c r="M1283" s="8"/>
    </row>
    <row r="1284" spans="1:13">
      <c r="A1284" s="18" t="s">
        <v>1928</v>
      </c>
      <c r="B1284" s="67"/>
      <c r="C1284" s="18" t="s">
        <v>1929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1930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25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1931</v>
      </c>
      <c r="B1286" s="67">
        <v>7354753505</v>
      </c>
      <c r="C1286" s="72" t="s">
        <v>1932</v>
      </c>
      <c r="D1286" s="69">
        <v>26646541876</v>
      </c>
      <c r="E1286" s="9">
        <v>117</v>
      </c>
      <c r="F1286" s="25">
        <v>43117</v>
      </c>
      <c r="G1286" s="70" t="s">
        <v>25</v>
      </c>
      <c r="H1286" s="9"/>
      <c r="I1286" s="8"/>
      <c r="J1286" s="8"/>
      <c r="K1286" s="8"/>
      <c r="L1286" s="9" t="s">
        <v>179</v>
      </c>
      <c r="M1286" s="8"/>
    </row>
    <row r="1287" spans="1:13">
      <c r="A1287" s="71" t="s">
        <v>1933</v>
      </c>
      <c r="B1287" s="67">
        <v>45378515890</v>
      </c>
      <c r="C1287" s="72" t="s">
        <v>1934</v>
      </c>
      <c r="D1287" s="69">
        <v>35635754520</v>
      </c>
      <c r="E1287" s="9">
        <v>1752</v>
      </c>
      <c r="F1287" s="25">
        <v>43051</v>
      </c>
      <c r="G1287" s="70" t="s">
        <v>25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1935</v>
      </c>
      <c r="B1288" s="67">
        <v>41274505844</v>
      </c>
      <c r="C1288" s="18" t="s">
        <v>1936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1937</v>
      </c>
      <c r="B1289" s="67">
        <v>46583836831</v>
      </c>
      <c r="C1289" s="72" t="s">
        <v>1938</v>
      </c>
      <c r="D1289" s="69">
        <v>39199167867</v>
      </c>
      <c r="E1289" s="9">
        <v>292</v>
      </c>
      <c r="F1289" s="25">
        <v>43168</v>
      </c>
      <c r="G1289" s="9" t="s">
        <v>25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1939</v>
      </c>
      <c r="B1290" s="67"/>
      <c r="C1290" s="29" t="s">
        <v>1940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1941</v>
      </c>
      <c r="B1291" s="67">
        <v>37483362847</v>
      </c>
      <c r="C1291" s="29" t="s">
        <v>1942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1943</v>
      </c>
      <c r="B1292" s="67">
        <v>43663899837</v>
      </c>
      <c r="C1292" s="18" t="s">
        <v>1944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1945</v>
      </c>
      <c r="B1293" s="67">
        <v>39203446850</v>
      </c>
      <c r="C1293" s="72" t="s">
        <v>1946</v>
      </c>
      <c r="D1293" s="69">
        <v>39255518836</v>
      </c>
      <c r="E1293" s="9">
        <v>292</v>
      </c>
      <c r="F1293" s="25">
        <v>43168</v>
      </c>
      <c r="G1293" s="70" t="s">
        <v>25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1947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1948</v>
      </c>
      <c r="B1295" s="67">
        <v>45722318850</v>
      </c>
      <c r="C1295" s="72" t="s">
        <v>1949</v>
      </c>
      <c r="D1295" s="69">
        <v>61122102313</v>
      </c>
      <c r="E1295" s="9">
        <v>229</v>
      </c>
      <c r="F1295" s="25">
        <v>43151</v>
      </c>
      <c r="G1295" s="70" t="s">
        <v>25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1950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25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1951</v>
      </c>
      <c r="B1297" s="67">
        <v>47697684861</v>
      </c>
      <c r="C1297" s="72" t="s">
        <v>1952</v>
      </c>
      <c r="D1297" s="69">
        <v>42642601838</v>
      </c>
      <c r="E1297" s="9">
        <v>229</v>
      </c>
      <c r="F1297" s="25">
        <v>43151</v>
      </c>
      <c r="G1297" s="70" t="s">
        <v>25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1953</v>
      </c>
      <c r="B1298" s="67">
        <v>97503479515</v>
      </c>
      <c r="C1298" s="15" t="s">
        <v>1954</v>
      </c>
      <c r="D1298" s="69">
        <v>28269015830</v>
      </c>
      <c r="E1298" s="9">
        <v>262</v>
      </c>
      <c r="F1298" s="25">
        <v>43160</v>
      </c>
      <c r="G1298" s="70" t="s">
        <v>25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1955</v>
      </c>
      <c r="B1299" s="67">
        <v>84327510491</v>
      </c>
      <c r="C1299" s="72" t="s">
        <v>1956</v>
      </c>
      <c r="D1299" s="69">
        <v>17305875856</v>
      </c>
      <c r="E1299" s="9">
        <v>292</v>
      </c>
      <c r="F1299" s="25">
        <v>43168</v>
      </c>
      <c r="G1299" s="70" t="s">
        <v>25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1957</v>
      </c>
      <c r="B1300" s="67">
        <v>24870791854</v>
      </c>
      <c r="C1300" s="68" t="s">
        <v>1958</v>
      </c>
      <c r="D1300" s="69">
        <v>4398744835</v>
      </c>
      <c r="E1300" s="9">
        <v>1128</v>
      </c>
      <c r="F1300" s="25">
        <v>42972</v>
      </c>
      <c r="G1300" s="70" t="s">
        <v>25</v>
      </c>
      <c r="H1300" s="9"/>
      <c r="I1300" s="8"/>
      <c r="J1300" s="8"/>
      <c r="K1300" s="8"/>
      <c r="L1300" s="8"/>
      <c r="M1300" s="8"/>
    </row>
    <row r="1301" spans="1:13">
      <c r="A1301" s="71" t="s">
        <v>1959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25</v>
      </c>
      <c r="H1301" s="9"/>
      <c r="I1301" s="8"/>
      <c r="J1301" s="8"/>
      <c r="K1301" s="8"/>
      <c r="L1301" s="8"/>
      <c r="M1301" s="8"/>
    </row>
    <row r="1302" spans="1:13">
      <c r="A1302" s="29" t="s">
        <v>1960</v>
      </c>
      <c r="B1302" s="67"/>
      <c r="C1302" s="18" t="s">
        <v>138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1961</v>
      </c>
      <c r="B1303" s="67">
        <v>25533246851</v>
      </c>
      <c r="C1303" s="72" t="s">
        <v>1962</v>
      </c>
      <c r="D1303" s="69">
        <v>2336832836</v>
      </c>
      <c r="E1303" s="9">
        <v>810</v>
      </c>
      <c r="F1303" s="25">
        <v>42915</v>
      </c>
      <c r="G1303" s="70" t="s">
        <v>25</v>
      </c>
      <c r="H1303" s="9"/>
      <c r="I1303" s="8"/>
      <c r="J1303" s="8"/>
      <c r="K1303" s="8"/>
      <c r="L1303" s="9" t="s">
        <v>147</v>
      </c>
      <c r="M1303" s="8"/>
    </row>
    <row r="1304" spans="1:13">
      <c r="A1304" s="71" t="s">
        <v>1963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25</v>
      </c>
      <c r="H1304" s="9"/>
      <c r="I1304" s="8"/>
      <c r="J1304" s="8"/>
      <c r="K1304" s="8"/>
      <c r="L1304" s="8"/>
      <c r="M1304" s="8"/>
    </row>
    <row r="1305" spans="1:13">
      <c r="A1305" s="15" t="s">
        <v>1964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1965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1966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1967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1968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1969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1970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25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1971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25</v>
      </c>
      <c r="H1312" s="9"/>
      <c r="I1312" s="8"/>
      <c r="J1312" s="8"/>
      <c r="K1312" s="8"/>
      <c r="L1312" s="8"/>
      <c r="M1312" s="8"/>
    </row>
    <row r="1313" spans="1:13">
      <c r="A1313" s="18" t="s">
        <v>1972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1973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1974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25</v>
      </c>
      <c r="H1315" s="9"/>
      <c r="I1315" s="8"/>
      <c r="J1315" s="8"/>
      <c r="K1315" s="8"/>
      <c r="L1315" s="9" t="s">
        <v>262</v>
      </c>
      <c r="M1315" s="8"/>
    </row>
    <row r="1316" spans="1:13">
      <c r="A1316" s="71" t="s">
        <v>1975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25</v>
      </c>
      <c r="H1316" s="9"/>
      <c r="I1316" s="8"/>
      <c r="J1316" s="8"/>
      <c r="K1316" s="8"/>
      <c r="L1316" s="8"/>
      <c r="M1316" s="8"/>
    </row>
    <row r="1317" spans="1:13">
      <c r="A1317" s="18" t="s">
        <v>1976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1977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25</v>
      </c>
      <c r="H1318" s="9"/>
      <c r="I1318" s="8"/>
      <c r="J1318" s="8"/>
      <c r="K1318" s="8"/>
      <c r="L1318" s="9" t="s">
        <v>511</v>
      </c>
      <c r="M1318" s="8"/>
    </row>
    <row r="1319" spans="1:13">
      <c r="A1319" s="15" t="s">
        <v>1978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1979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1980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25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1981</v>
      </c>
      <c r="B1322" s="67">
        <v>10519320921</v>
      </c>
      <c r="C1322" s="77" t="s">
        <v>1982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1983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25</v>
      </c>
      <c r="H1323" s="9"/>
      <c r="I1323" s="8"/>
      <c r="J1323" s="8"/>
      <c r="K1323" s="8"/>
      <c r="L1323" s="8"/>
      <c r="M1323" s="8"/>
    </row>
    <row r="1324" spans="1:13">
      <c r="A1324" s="29" t="s">
        <v>1984</v>
      </c>
      <c r="B1324" s="67"/>
      <c r="C1324" s="18" t="s">
        <v>138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1985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1986</v>
      </c>
      <c r="B1326" s="67"/>
      <c r="C1326" s="29" t="s">
        <v>138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1987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25</v>
      </c>
      <c r="H1327" s="9"/>
      <c r="I1327" s="8"/>
      <c r="J1327" s="8"/>
      <c r="K1327" s="8"/>
      <c r="L1327" s="8"/>
      <c r="M1327" s="8"/>
    </row>
    <row r="1328" spans="1:13">
      <c r="A1328" s="71" t="s">
        <v>1988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1989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25</v>
      </c>
      <c r="H1329" s="9"/>
      <c r="I1329" s="8"/>
      <c r="J1329" s="8"/>
      <c r="K1329" s="8"/>
      <c r="L1329" s="8"/>
      <c r="M1329" s="8"/>
    </row>
    <row r="1330" spans="1:13">
      <c r="A1330" s="15" t="s">
        <v>1990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1991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25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1992</v>
      </c>
      <c r="B1332" s="67">
        <v>27211072830</v>
      </c>
      <c r="C1332" s="72" t="s">
        <v>1993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1994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1995</v>
      </c>
      <c r="B1334" s="67">
        <v>35197770880</v>
      </c>
      <c r="C1334" s="72" t="s">
        <v>1996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1997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1998</v>
      </c>
      <c r="B1336" s="67">
        <v>35236970857</v>
      </c>
      <c r="C1336" s="68" t="s">
        <v>1999</v>
      </c>
      <c r="D1336" s="69">
        <v>41901199894</v>
      </c>
      <c r="E1336" s="9">
        <v>1417</v>
      </c>
      <c r="F1336" s="25">
        <v>43017</v>
      </c>
      <c r="G1336" s="70" t="s">
        <v>25</v>
      </c>
      <c r="H1336" s="76">
        <v>43213</v>
      </c>
      <c r="I1336" s="8"/>
      <c r="J1336" s="8"/>
      <c r="K1336" s="8"/>
      <c r="L1336" s="9" t="s">
        <v>262</v>
      </c>
      <c r="M1336" s="8"/>
    </row>
    <row r="1337" spans="1:13">
      <c r="A1337" s="71" t="s">
        <v>2000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25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2001</v>
      </c>
      <c r="B1338" s="67"/>
      <c r="C1338" s="29" t="s">
        <v>138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2002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25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2003</v>
      </c>
      <c r="B1340" s="67">
        <v>5263835850</v>
      </c>
      <c r="C1340" s="72" t="s">
        <v>2004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2005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25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2006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25</v>
      </c>
      <c r="H1342" s="76">
        <v>43213</v>
      </c>
      <c r="I1342" s="8"/>
      <c r="J1342" s="8"/>
      <c r="K1342" s="8"/>
      <c r="L1342" s="9" t="s">
        <v>179</v>
      </c>
      <c r="M1342" s="8"/>
    </row>
    <row r="1343" spans="1:13">
      <c r="A1343" s="29" t="s">
        <v>2007</v>
      </c>
      <c r="B1343" s="67">
        <v>31148209808</v>
      </c>
      <c r="C1343" s="18" t="s">
        <v>138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2008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2009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25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2010</v>
      </c>
      <c r="B1346" s="67">
        <v>85794398507</v>
      </c>
      <c r="C1346" s="72" t="s">
        <v>2011</v>
      </c>
      <c r="D1346" s="69">
        <v>59689188534</v>
      </c>
      <c r="E1346" s="9">
        <v>292</v>
      </c>
      <c r="F1346" s="25">
        <v>43168</v>
      </c>
      <c r="G1346" s="70" t="s">
        <v>25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2012</v>
      </c>
      <c r="B1347" s="67">
        <v>2770765442</v>
      </c>
      <c r="C1347" s="72" t="s">
        <v>2013</v>
      </c>
      <c r="D1347" s="69">
        <v>24730161866</v>
      </c>
      <c r="E1347" s="9">
        <v>229</v>
      </c>
      <c r="F1347" s="25">
        <v>43151</v>
      </c>
      <c r="G1347" s="70" t="s">
        <v>25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2014</v>
      </c>
      <c r="B1348" s="67">
        <v>1295044838</v>
      </c>
      <c r="C1348" s="72" t="s">
        <v>2015</v>
      </c>
      <c r="D1348" s="69">
        <v>29976206860</v>
      </c>
      <c r="E1348" s="9">
        <v>485</v>
      </c>
      <c r="F1348" s="25">
        <v>43196</v>
      </c>
      <c r="G1348" s="70" t="s">
        <v>32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2016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25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2017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2018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2019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25</v>
      </c>
      <c r="H1352" s="9"/>
      <c r="I1352" s="8"/>
      <c r="J1352" s="8"/>
      <c r="K1352" s="8"/>
      <c r="L1352" s="8"/>
      <c r="M1352" s="8"/>
    </row>
    <row r="1353" spans="1:13">
      <c r="A1353" s="71" t="s">
        <v>2020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25</v>
      </c>
      <c r="H1353" s="9"/>
      <c r="I1353" s="8"/>
      <c r="J1353" s="8"/>
      <c r="K1353" s="8"/>
      <c r="L1353" s="8"/>
      <c r="M1353" s="8"/>
    </row>
    <row r="1354" spans="1:13">
      <c r="A1354" s="15" t="s">
        <v>2021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2022</v>
      </c>
      <c r="B1355" s="67">
        <v>75678772520</v>
      </c>
      <c r="C1355" s="72" t="s">
        <v>2023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2024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2025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2026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25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2027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25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2028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25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2029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25</v>
      </c>
      <c r="H1361" s="9"/>
      <c r="I1361" s="8"/>
      <c r="J1361" s="8"/>
      <c r="K1361" s="8"/>
      <c r="L1361" s="8"/>
      <c r="M1361" s="8"/>
    </row>
    <row r="1362" spans="1:13">
      <c r="A1362" s="29" t="s">
        <v>2030</v>
      </c>
      <c r="B1362" s="67"/>
      <c r="C1362" s="18" t="s">
        <v>138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2031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2032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2033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25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2034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25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2035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2036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25</v>
      </c>
      <c r="H1368" s="9"/>
      <c r="I1368" s="8"/>
      <c r="J1368" s="8"/>
      <c r="K1368" s="8"/>
      <c r="L1368" s="9" t="s">
        <v>179</v>
      </c>
      <c r="M1368" s="8"/>
    </row>
    <row r="1369" spans="1:13">
      <c r="A1369" s="29" t="s">
        <v>2037</v>
      </c>
      <c r="B1369" s="67"/>
      <c r="C1369" s="29" t="s">
        <v>138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2038</v>
      </c>
      <c r="B1370" s="67">
        <v>87915170520</v>
      </c>
      <c r="C1370" s="72" t="s">
        <v>2039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2040</v>
      </c>
      <c r="B1371" s="67">
        <v>30693970855</v>
      </c>
      <c r="C1371" s="72" t="s">
        <v>2041</v>
      </c>
      <c r="D1371" s="69">
        <v>6402681610</v>
      </c>
      <c r="E1371" s="9">
        <v>608</v>
      </c>
      <c r="F1371" s="25">
        <v>43012</v>
      </c>
      <c r="G1371" s="70" t="s">
        <v>32</v>
      </c>
      <c r="H1371" s="9"/>
      <c r="I1371" s="8"/>
      <c r="J1371" s="8"/>
      <c r="K1371" s="8"/>
      <c r="L1371" s="8"/>
      <c r="M1371" s="8"/>
    </row>
    <row r="1372" spans="1:13">
      <c r="A1372" s="71" t="s">
        <v>2042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2043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2044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2045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25</v>
      </c>
      <c r="H1375" s="9"/>
      <c r="I1375" s="8"/>
      <c r="J1375" s="8"/>
      <c r="K1375" s="8"/>
      <c r="L1375" s="8"/>
      <c r="M1375" s="8"/>
    </row>
    <row r="1376" spans="1:13">
      <c r="A1376" s="71" t="s">
        <v>2046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25</v>
      </c>
      <c r="H1376" s="9"/>
      <c r="I1376" s="8"/>
      <c r="J1376" s="8"/>
      <c r="K1376" s="8"/>
      <c r="L1376" s="9" t="s">
        <v>147</v>
      </c>
      <c r="M1376" s="8"/>
    </row>
    <row r="1377" spans="1:13">
      <c r="A1377" s="71" t="s">
        <v>2047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25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2048</v>
      </c>
      <c r="B1378" s="78" t="s">
        <v>2049</v>
      </c>
      <c r="C1378" s="72"/>
      <c r="D1378" s="69"/>
      <c r="E1378" s="9">
        <v>292</v>
      </c>
      <c r="F1378" s="25">
        <v>43168</v>
      </c>
      <c r="G1378" s="9" t="s">
        <v>25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2050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2051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25</v>
      </c>
      <c r="H1380" s="9"/>
      <c r="I1380" s="8"/>
      <c r="J1380" s="8"/>
      <c r="K1380" s="8"/>
      <c r="L1380" s="8"/>
      <c r="M1380" s="8"/>
    </row>
    <row r="1381" spans="1:13">
      <c r="A1381" s="71" t="s">
        <v>2052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25</v>
      </c>
      <c r="H1381" s="9"/>
      <c r="I1381" s="8"/>
      <c r="J1381" s="8"/>
      <c r="K1381" s="8"/>
      <c r="L1381" s="9" t="s">
        <v>407</v>
      </c>
      <c r="M1381" s="8"/>
    </row>
    <row r="1382" spans="1:13">
      <c r="A1382" s="71" t="s">
        <v>2053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2054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2055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25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2056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25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2057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25</v>
      </c>
      <c r="H1386" s="9"/>
      <c r="I1386" s="8"/>
      <c r="J1386" s="8"/>
      <c r="K1386" s="8"/>
      <c r="L1386" s="8"/>
      <c r="M1386" s="8"/>
    </row>
    <row r="1387" spans="1:13">
      <c r="A1387" s="29" t="s">
        <v>2058</v>
      </c>
      <c r="B1387" s="67">
        <v>5753509894</v>
      </c>
      <c r="C1387" s="9" t="s">
        <v>138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2059</v>
      </c>
      <c r="B1388" s="67"/>
      <c r="C1388" s="18" t="s">
        <v>2060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2061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2062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25</v>
      </c>
      <c r="H1390" s="9"/>
      <c r="I1390" s="8"/>
      <c r="J1390" s="8"/>
      <c r="K1390" s="8"/>
      <c r="L1390" s="9" t="s">
        <v>147</v>
      </c>
      <c r="M1390" s="8"/>
    </row>
    <row r="1391" spans="1:13">
      <c r="A1391" s="71" t="s">
        <v>2063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25</v>
      </c>
      <c r="H1391" s="9"/>
      <c r="I1391" s="8"/>
      <c r="J1391" s="8"/>
      <c r="K1391" s="8"/>
      <c r="L1391" s="9" t="s">
        <v>147</v>
      </c>
      <c r="M1391" s="8"/>
    </row>
    <row r="1392" spans="1:13">
      <c r="A1392" s="13" t="s">
        <v>2064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25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2065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32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2066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2067</v>
      </c>
      <c r="B1395" s="67">
        <v>61260606449</v>
      </c>
      <c r="C1395" s="72" t="s">
        <v>2068</v>
      </c>
      <c r="D1395" s="69">
        <v>73505854468</v>
      </c>
      <c r="E1395" s="9">
        <v>608</v>
      </c>
      <c r="F1395" s="25">
        <v>43012</v>
      </c>
      <c r="G1395" s="70" t="s">
        <v>25</v>
      </c>
      <c r="H1395" s="9"/>
      <c r="I1395" s="8"/>
      <c r="J1395" s="8"/>
      <c r="K1395" s="8"/>
      <c r="L1395" s="8"/>
      <c r="M1395" s="8"/>
    </row>
    <row r="1396" spans="1:13">
      <c r="A1396" s="71" t="s">
        <v>2069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25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2070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2071</v>
      </c>
      <c r="B1398" s="67">
        <v>68516274853</v>
      </c>
      <c r="C1398" s="18" t="s">
        <v>138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2072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25</v>
      </c>
      <c r="H1399" s="9"/>
      <c r="I1399" s="8"/>
      <c r="J1399" s="8"/>
      <c r="K1399" s="8"/>
      <c r="L1399" s="9" t="s">
        <v>169</v>
      </c>
      <c r="M1399" s="8"/>
    </row>
    <row r="1400" spans="1:13">
      <c r="A1400" s="15" t="s">
        <v>2073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25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2074</v>
      </c>
      <c r="B1401" s="67">
        <v>85576492820</v>
      </c>
      <c r="C1401" s="72" t="s">
        <v>2075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2076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2077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25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2078</v>
      </c>
      <c r="B1404" s="67">
        <v>27903916882</v>
      </c>
      <c r="C1404" s="32" t="s">
        <v>2079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2080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25</v>
      </c>
      <c r="H1405" s="9"/>
      <c r="I1405" s="8"/>
      <c r="J1405" s="8"/>
      <c r="K1405" s="8"/>
      <c r="L1405" s="9" t="s">
        <v>169</v>
      </c>
      <c r="M1405" s="8"/>
    </row>
    <row r="1406" spans="1:13">
      <c r="A1406" s="71" t="s">
        <v>2081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32</v>
      </c>
      <c r="H1406" s="9"/>
      <c r="I1406" s="8"/>
      <c r="J1406" s="8"/>
      <c r="K1406" s="8"/>
      <c r="L1406" s="8"/>
      <c r="M1406" s="8"/>
    </row>
    <row r="1407" spans="1:13">
      <c r="A1407" s="71" t="s">
        <v>2082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25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2083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25</v>
      </c>
      <c r="H1408" s="9"/>
      <c r="I1408" s="8"/>
      <c r="J1408" s="8"/>
      <c r="K1408" s="8"/>
      <c r="L1408" s="9" t="s">
        <v>147</v>
      </c>
      <c r="M1408" s="8"/>
    </row>
    <row r="1409" spans="1:13">
      <c r="A1409" s="15" t="s">
        <v>2084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25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2085</v>
      </c>
      <c r="B1410" s="67">
        <v>754731863</v>
      </c>
      <c r="C1410" s="72" t="s">
        <v>2086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2087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25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2088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25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2089</v>
      </c>
      <c r="B1413" s="67" t="s">
        <v>2090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2091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25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2092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25</v>
      </c>
      <c r="H1415" s="9"/>
      <c r="I1415" s="8"/>
      <c r="J1415" s="8"/>
      <c r="K1415" s="8"/>
      <c r="L1415" s="9" t="s">
        <v>147</v>
      </c>
      <c r="M1415" s="8"/>
    </row>
    <row r="1416" spans="1:13">
      <c r="A1416" s="71" t="s">
        <v>2093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25</v>
      </c>
      <c r="H1416" s="9"/>
      <c r="I1416" s="8"/>
      <c r="J1416" s="8"/>
      <c r="K1416" s="8"/>
      <c r="L1416" s="8"/>
      <c r="M1416" s="8"/>
    </row>
    <row r="1417" spans="1:13">
      <c r="A1417" s="15" t="s">
        <v>2094</v>
      </c>
      <c r="B1417" s="67">
        <v>32045988880</v>
      </c>
      <c r="C1417" s="72" t="s">
        <v>2095</v>
      </c>
      <c r="D1417" s="69">
        <v>28522432880</v>
      </c>
      <c r="E1417" s="9">
        <v>85</v>
      </c>
      <c r="F1417" s="25">
        <v>43109</v>
      </c>
      <c r="G1417" s="70" t="s">
        <v>25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2096</v>
      </c>
      <c r="B1418" s="67">
        <v>14692639806</v>
      </c>
      <c r="C1418" s="18" t="s">
        <v>138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2097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2098</v>
      </c>
      <c r="B1420" s="67">
        <v>25745713801</v>
      </c>
      <c r="C1420" s="29" t="s">
        <v>2099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2100</v>
      </c>
      <c r="B1421" s="67">
        <v>10373973802</v>
      </c>
      <c r="C1421" s="72" t="s">
        <v>2101</v>
      </c>
      <c r="D1421" s="69">
        <v>3613530813</v>
      </c>
      <c r="E1421" s="9">
        <v>1752</v>
      </c>
      <c r="F1421" s="25">
        <v>43051</v>
      </c>
      <c r="G1421" s="70" t="s">
        <v>25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2102</v>
      </c>
      <c r="B1422" s="67">
        <v>25397304859</v>
      </c>
      <c r="C1422" s="29" t="s">
        <v>2103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2104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2105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25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2106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2107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2108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25</v>
      </c>
      <c r="H1427" s="9"/>
      <c r="I1427" s="8"/>
      <c r="J1427" s="8"/>
      <c r="K1427" s="8"/>
      <c r="L1427" s="8"/>
      <c r="M1427" s="8"/>
    </row>
    <row r="1428" spans="1:13">
      <c r="A1428" s="72" t="s">
        <v>2109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25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2110</v>
      </c>
      <c r="B1429" s="67">
        <v>31115215833</v>
      </c>
      <c r="C1429" s="72" t="s">
        <v>2111</v>
      </c>
      <c r="D1429" s="69">
        <v>54134781515</v>
      </c>
      <c r="E1429" s="9">
        <v>608</v>
      </c>
      <c r="F1429" s="25">
        <v>43012</v>
      </c>
      <c r="G1429" s="70" t="s">
        <v>25</v>
      </c>
      <c r="H1429" s="9"/>
      <c r="I1429" s="8"/>
      <c r="J1429" s="8"/>
      <c r="K1429" s="8"/>
      <c r="L1429" s="8"/>
      <c r="M1429" s="8"/>
    </row>
    <row r="1430" spans="1:13">
      <c r="A1430" s="15" t="s">
        <v>2112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25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2113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25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2114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25</v>
      </c>
      <c r="H1432" s="9"/>
      <c r="I1432" s="8"/>
      <c r="J1432" s="8"/>
      <c r="K1432" s="8"/>
      <c r="L1432" s="8"/>
      <c r="M1432" s="8"/>
    </row>
    <row r="1433" spans="1:13">
      <c r="A1433" s="71" t="s">
        <v>2115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25</v>
      </c>
      <c r="H1433" s="9"/>
      <c r="I1433" s="8"/>
      <c r="J1433" s="8"/>
      <c r="K1433" s="8"/>
      <c r="L1433" s="8"/>
      <c r="M1433" s="8"/>
    </row>
    <row r="1434" spans="1:13">
      <c r="A1434" s="71" t="s">
        <v>2116</v>
      </c>
      <c r="B1434" s="67">
        <v>35198444863</v>
      </c>
      <c r="C1434" s="72" t="s">
        <v>2117</v>
      </c>
      <c r="D1434" s="69">
        <v>30956969810</v>
      </c>
      <c r="E1434" s="9">
        <v>1489</v>
      </c>
      <c r="F1434" s="25">
        <v>43038</v>
      </c>
      <c r="G1434" s="70" t="s">
        <v>25</v>
      </c>
      <c r="H1434" s="9"/>
      <c r="I1434" s="8"/>
      <c r="J1434" s="8"/>
      <c r="K1434" s="8"/>
      <c r="L1434" s="9" t="s">
        <v>169</v>
      </c>
      <c r="M1434" s="8"/>
    </row>
    <row r="1435" spans="1:13">
      <c r="A1435" s="72" t="s">
        <v>2118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2119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25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2120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25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2121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25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2122</v>
      </c>
      <c r="B1439" s="67">
        <v>1930099517</v>
      </c>
      <c r="C1439" s="68" t="s">
        <v>2123</v>
      </c>
      <c r="D1439" s="69">
        <v>91788226534</v>
      </c>
      <c r="E1439" s="9">
        <v>1752</v>
      </c>
      <c r="F1439" s="25">
        <v>43051</v>
      </c>
      <c r="G1439" s="70" t="s">
        <v>25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2124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2125</v>
      </c>
      <c r="B1441" s="67">
        <v>31068143819</v>
      </c>
      <c r="C1441" s="72" t="s">
        <v>2126</v>
      </c>
      <c r="D1441" s="69">
        <v>27121002809</v>
      </c>
      <c r="E1441" s="9">
        <v>608</v>
      </c>
      <c r="F1441" s="25">
        <v>43012</v>
      </c>
      <c r="G1441" s="70" t="s">
        <v>32</v>
      </c>
      <c r="H1441" s="9"/>
      <c r="I1441" s="8"/>
      <c r="J1441" s="8"/>
      <c r="K1441" s="8"/>
      <c r="L1441" s="8"/>
      <c r="M1441" s="8"/>
    </row>
    <row r="1442" spans="1:13">
      <c r="A1442" s="71" t="s">
        <v>2127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25</v>
      </c>
      <c r="H1442" s="9"/>
      <c r="I1442" s="8"/>
      <c r="J1442" s="8"/>
      <c r="K1442" s="8"/>
      <c r="L1442" s="9" t="s">
        <v>511</v>
      </c>
      <c r="M1442" s="8"/>
    </row>
    <row r="1443" spans="1:13">
      <c r="A1443" s="15" t="s">
        <v>2128</v>
      </c>
      <c r="B1443" s="67">
        <v>33100600800</v>
      </c>
      <c r="C1443" s="72" t="s">
        <v>2129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2130</v>
      </c>
      <c r="B1444" s="67">
        <v>23284980865</v>
      </c>
      <c r="C1444" s="72" t="s">
        <v>2131</v>
      </c>
      <c r="D1444" s="69">
        <v>8170993792</v>
      </c>
      <c r="E1444" s="9">
        <v>1214</v>
      </c>
      <c r="F1444" s="25">
        <v>42989</v>
      </c>
      <c r="G1444" s="70" t="s">
        <v>25</v>
      </c>
      <c r="H1444" s="9"/>
      <c r="I1444" s="8"/>
      <c r="J1444" s="8"/>
      <c r="K1444" s="8"/>
      <c r="L1444" s="8"/>
      <c r="M1444" s="8"/>
    </row>
    <row r="1445" spans="1:13">
      <c r="A1445" s="73" t="s">
        <v>2132</v>
      </c>
      <c r="B1445" s="67">
        <v>27235231874</v>
      </c>
      <c r="C1445" s="72" t="s">
        <v>2133</v>
      </c>
      <c r="D1445" s="69">
        <v>36182133520</v>
      </c>
      <c r="E1445" s="9">
        <v>1106</v>
      </c>
      <c r="F1445" s="25">
        <v>42965</v>
      </c>
      <c r="G1445" s="70" t="s">
        <v>25</v>
      </c>
      <c r="H1445" s="9"/>
      <c r="I1445" s="8"/>
      <c r="J1445" s="8"/>
      <c r="K1445" s="8"/>
      <c r="L1445" s="8"/>
      <c r="M1445" s="8"/>
    </row>
    <row r="1446" spans="1:13">
      <c r="A1446" s="71" t="s">
        <v>2134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2135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25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2136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2137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2138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2139</v>
      </c>
      <c r="B1451" s="67">
        <v>774242809</v>
      </c>
      <c r="C1451" s="72" t="s">
        <v>2140</v>
      </c>
      <c r="D1451" s="69">
        <v>16619607829</v>
      </c>
      <c r="E1451" s="9">
        <v>1824</v>
      </c>
      <c r="F1451" s="25">
        <v>43091</v>
      </c>
      <c r="G1451" s="70" t="s">
        <v>25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2141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25</v>
      </c>
      <c r="H1452" s="9"/>
      <c r="I1452" s="8"/>
      <c r="J1452" s="8"/>
      <c r="K1452" s="8"/>
      <c r="L1452" s="8"/>
      <c r="M1452" s="8"/>
    </row>
    <row r="1453" spans="1:13">
      <c r="A1453" s="71" t="s">
        <v>2142</v>
      </c>
      <c r="B1453" s="67">
        <v>34817829850</v>
      </c>
      <c r="C1453" s="72" t="s">
        <v>2143</v>
      </c>
      <c r="D1453" s="69">
        <v>8025534863</v>
      </c>
      <c r="E1453" s="9">
        <v>1241</v>
      </c>
      <c r="F1453" s="25">
        <v>42992</v>
      </c>
      <c r="G1453" s="70" t="s">
        <v>40</v>
      </c>
      <c r="H1453" s="9"/>
      <c r="I1453" s="8"/>
      <c r="J1453" s="8"/>
      <c r="K1453" s="8"/>
      <c r="L1453" s="8"/>
      <c r="M1453" s="8"/>
    </row>
    <row r="1454" spans="1:13">
      <c r="A1454" s="71" t="s">
        <v>2144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2145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25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2146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25</v>
      </c>
      <c r="H1456" s="9"/>
      <c r="I1456" s="8"/>
      <c r="J1456" s="8"/>
      <c r="K1456" s="8"/>
      <c r="L1456" s="8"/>
      <c r="M1456" s="8"/>
    </row>
    <row r="1457" spans="1:13">
      <c r="A1457" s="71" t="s">
        <v>2147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308</v>
      </c>
      <c r="M1457" s="8"/>
    </row>
    <row r="1458" spans="1:13">
      <c r="A1458" s="14" t="s">
        <v>2148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25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2149</v>
      </c>
      <c r="B1459" s="67">
        <v>32547457873</v>
      </c>
      <c r="C1459" s="72" t="s">
        <v>2150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2151</v>
      </c>
      <c r="B1460" s="67">
        <v>16784597800</v>
      </c>
      <c r="C1460" s="72" t="s">
        <v>2152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1199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2153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25</v>
      </c>
      <c r="H1462" s="9"/>
      <c r="I1462" s="8"/>
      <c r="J1462" s="8"/>
      <c r="K1462" s="8"/>
      <c r="L1462" s="8"/>
      <c r="M1462" s="8"/>
    </row>
    <row r="1463" spans="1:13">
      <c r="A1463" s="71" t="s">
        <v>2154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2155</v>
      </c>
      <c r="B1464" s="67">
        <v>2467378403</v>
      </c>
      <c r="C1464" s="72" t="s">
        <v>2156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2157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2158</v>
      </c>
      <c r="B1466" s="67">
        <v>34247512862</v>
      </c>
      <c r="C1466" s="77" t="s">
        <v>2159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308</v>
      </c>
      <c r="M1466" s="8"/>
    </row>
    <row r="1467" spans="1:13">
      <c r="A1467" s="71" t="s">
        <v>2160</v>
      </c>
      <c r="B1467" s="67" t="s">
        <v>2161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2162</v>
      </c>
      <c r="B1468" s="67">
        <v>47168211889</v>
      </c>
      <c r="C1468" s="72" t="s">
        <v>2163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2164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25</v>
      </c>
      <c r="H1469" s="9"/>
      <c r="I1469" s="8"/>
      <c r="J1469" s="8"/>
      <c r="K1469" s="8"/>
      <c r="L1469" s="8"/>
      <c r="M1469" s="8"/>
    </row>
    <row r="1470" spans="1:13">
      <c r="A1470" s="71" t="s">
        <v>2165</v>
      </c>
      <c r="B1470" s="67">
        <v>1532239521</v>
      </c>
      <c r="C1470" s="72" t="s">
        <v>2166</v>
      </c>
      <c r="D1470" s="69">
        <v>37104060804</v>
      </c>
      <c r="E1470" s="9">
        <v>810</v>
      </c>
      <c r="F1470" s="25">
        <v>42915</v>
      </c>
      <c r="G1470" s="70" t="s">
        <v>25</v>
      </c>
      <c r="H1470" s="9"/>
      <c r="I1470" s="8"/>
      <c r="J1470" s="8"/>
      <c r="K1470" s="8"/>
      <c r="L1470" s="9" t="s">
        <v>147</v>
      </c>
      <c r="M1470" s="8"/>
    </row>
    <row r="1471" spans="1:13">
      <c r="A1471" s="15" t="s">
        <v>2167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25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2168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25</v>
      </c>
      <c r="H1472" s="9"/>
      <c r="I1472" s="8"/>
      <c r="J1472" s="8"/>
      <c r="K1472" s="8"/>
      <c r="L1472" s="9" t="s">
        <v>147</v>
      </c>
      <c r="M1472" s="8"/>
    </row>
    <row r="1473" spans="1:13">
      <c r="A1473" s="71" t="s">
        <v>2169</v>
      </c>
      <c r="B1473" s="67">
        <v>37117512881</v>
      </c>
      <c r="C1473" s="75" t="s">
        <v>2170</v>
      </c>
      <c r="D1473" s="69">
        <v>39740259871</v>
      </c>
      <c r="E1473" s="9">
        <v>1106</v>
      </c>
      <c r="F1473" s="25">
        <v>42965</v>
      </c>
      <c r="G1473" s="70" t="s">
        <v>25</v>
      </c>
      <c r="H1473" s="9"/>
      <c r="I1473" s="8"/>
      <c r="J1473" s="8"/>
      <c r="K1473" s="8"/>
      <c r="L1473" s="8"/>
      <c r="M1473" s="8"/>
    </row>
    <row r="1474" spans="1:13">
      <c r="A1474" s="13" t="s">
        <v>2171</v>
      </c>
      <c r="B1474" s="67">
        <v>39967942827</v>
      </c>
      <c r="C1474" s="72" t="s">
        <v>2172</v>
      </c>
      <c r="D1474" s="69">
        <v>32777947848</v>
      </c>
      <c r="E1474" s="9">
        <v>1267</v>
      </c>
      <c r="F1474" s="25">
        <v>42998</v>
      </c>
      <c r="G1474" s="70" t="s">
        <v>25</v>
      </c>
      <c r="H1474" s="9"/>
      <c r="I1474" s="8"/>
      <c r="J1474" s="8"/>
      <c r="K1474" s="8"/>
      <c r="L1474" s="8"/>
      <c r="M1474" s="8"/>
    </row>
    <row r="1475" spans="1:13">
      <c r="A1475" s="71" t="s">
        <v>2173</v>
      </c>
      <c r="B1475" s="67">
        <v>18464307802</v>
      </c>
      <c r="C1475" s="72" t="s">
        <v>2174</v>
      </c>
      <c r="D1475" s="69">
        <v>13642437842</v>
      </c>
      <c r="E1475" s="9">
        <v>608</v>
      </c>
      <c r="F1475" s="25">
        <v>43012</v>
      </c>
      <c r="G1475" s="70" t="s">
        <v>32</v>
      </c>
      <c r="H1475" s="9"/>
      <c r="I1475" s="8"/>
      <c r="J1475" s="8"/>
      <c r="K1475" s="8"/>
      <c r="L1475" s="8"/>
      <c r="M1475" s="8"/>
    </row>
    <row r="1476" spans="1:13">
      <c r="A1476" s="71" t="s">
        <v>2175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25</v>
      </c>
      <c r="H1476" s="9"/>
      <c r="I1476" s="8"/>
      <c r="J1476" s="8"/>
      <c r="K1476" s="8"/>
      <c r="L1476" s="8"/>
      <c r="M1476" s="8"/>
    </row>
    <row r="1477" spans="1:13">
      <c r="A1477" s="71" t="s">
        <v>2176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25</v>
      </c>
      <c r="H1477" s="9"/>
      <c r="I1477" s="8"/>
      <c r="J1477" s="8"/>
      <c r="K1477" s="8"/>
      <c r="L1477" s="8"/>
      <c r="M1477" s="8"/>
    </row>
    <row r="1478" spans="1:13">
      <c r="A1478" s="71" t="s">
        <v>2177</v>
      </c>
      <c r="B1478" s="67">
        <v>91413168515</v>
      </c>
      <c r="C1478" s="72" t="s">
        <v>2178</v>
      </c>
      <c r="D1478" s="69">
        <v>12713438861</v>
      </c>
      <c r="E1478" s="9">
        <v>810</v>
      </c>
      <c r="F1478" s="25">
        <v>42915</v>
      </c>
      <c r="G1478" s="70" t="s">
        <v>25</v>
      </c>
      <c r="H1478" s="9"/>
      <c r="I1478" s="8"/>
      <c r="J1478" s="8"/>
      <c r="K1478" s="8"/>
      <c r="L1478" s="9" t="s">
        <v>147</v>
      </c>
      <c r="M1478" s="8"/>
    </row>
    <row r="1479" spans="1:13">
      <c r="A1479" s="72" t="s">
        <v>2179</v>
      </c>
      <c r="B1479" s="67">
        <v>13554461806</v>
      </c>
      <c r="C1479" s="72" t="s">
        <v>2180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2181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25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2182</v>
      </c>
      <c r="B1481" s="67">
        <v>23473313882</v>
      </c>
      <c r="C1481" s="72" t="s">
        <v>2183</v>
      </c>
      <c r="D1481" s="69">
        <v>51042797404</v>
      </c>
      <c r="E1481" s="9">
        <v>485</v>
      </c>
      <c r="F1481" s="25">
        <v>43196</v>
      </c>
      <c r="G1481" s="70" t="s">
        <v>32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2184</v>
      </c>
      <c r="B1482" s="67">
        <v>7753877895</v>
      </c>
      <c r="C1482" s="68" t="s">
        <v>2185</v>
      </c>
      <c r="D1482" s="69">
        <v>66725372872</v>
      </c>
      <c r="E1482" s="9">
        <v>1214</v>
      </c>
      <c r="F1482" s="25">
        <v>42989</v>
      </c>
      <c r="G1482" s="70" t="s">
        <v>25</v>
      </c>
      <c r="H1482" s="9"/>
      <c r="I1482" s="8"/>
      <c r="J1482" s="8"/>
      <c r="K1482" s="8"/>
      <c r="L1482" s="8"/>
      <c r="M1482" s="8"/>
    </row>
    <row r="1483" spans="1:13">
      <c r="A1483" s="71" t="s">
        <v>2186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2187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25</v>
      </c>
      <c r="H1484" s="9"/>
      <c r="I1484" s="8"/>
      <c r="J1484" s="8"/>
      <c r="K1484" s="8"/>
      <c r="L1484" s="9" t="s">
        <v>147</v>
      </c>
      <c r="M1484" s="8"/>
    </row>
    <row r="1485" spans="1:13">
      <c r="A1485" s="71" t="s">
        <v>2188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25</v>
      </c>
      <c r="H1485" s="9"/>
      <c r="I1485" s="8"/>
      <c r="J1485" s="8"/>
      <c r="K1485" s="8"/>
      <c r="L1485" s="9" t="s">
        <v>147</v>
      </c>
      <c r="M1485" s="8"/>
    </row>
    <row r="1486" spans="1:13">
      <c r="A1486" s="13" t="s">
        <v>2189</v>
      </c>
      <c r="B1486" s="67">
        <v>40779583850</v>
      </c>
      <c r="C1486" s="68" t="s">
        <v>2190</v>
      </c>
      <c r="D1486" s="69">
        <v>36411481890</v>
      </c>
      <c r="E1486" s="9">
        <v>1343</v>
      </c>
      <c r="F1486" s="25">
        <v>43004</v>
      </c>
      <c r="G1486" s="70" t="s">
        <v>25</v>
      </c>
      <c r="H1486" s="9"/>
      <c r="I1486" s="8"/>
      <c r="J1486" s="8"/>
      <c r="K1486" s="8"/>
      <c r="L1486" s="8"/>
      <c r="M1486" s="8"/>
    </row>
    <row r="1487" spans="1:13">
      <c r="A1487" s="29" t="s">
        <v>2191</v>
      </c>
      <c r="B1487" s="67"/>
      <c r="C1487" s="29" t="s">
        <v>138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2192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2193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25</v>
      </c>
      <c r="H1489" s="9"/>
      <c r="I1489" s="8"/>
      <c r="J1489" s="8"/>
      <c r="K1489" s="8"/>
      <c r="L1489" s="9" t="s">
        <v>147</v>
      </c>
      <c r="M1489" s="8"/>
    </row>
    <row r="1490" spans="1:13">
      <c r="A1490" s="15" t="s">
        <v>2194</v>
      </c>
      <c r="B1490" s="67">
        <v>45854900866</v>
      </c>
      <c r="C1490" s="72" t="s">
        <v>2195</v>
      </c>
      <c r="D1490" s="69">
        <v>23474048813</v>
      </c>
      <c r="E1490" s="9">
        <v>229</v>
      </c>
      <c r="F1490" s="25">
        <v>43151</v>
      </c>
      <c r="G1490" s="70" t="s">
        <v>25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2196</v>
      </c>
      <c r="B1491" s="67">
        <v>40870285858</v>
      </c>
      <c r="C1491" s="72" t="s">
        <v>2197</v>
      </c>
      <c r="D1491" s="69">
        <v>39638342854</v>
      </c>
      <c r="E1491" s="9">
        <v>229</v>
      </c>
      <c r="F1491" s="25">
        <v>43151</v>
      </c>
      <c r="G1491" s="70" t="s">
        <v>40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2198</v>
      </c>
      <c r="B1492" s="67">
        <v>43053164809</v>
      </c>
      <c r="C1492" s="71" t="s">
        <v>2199</v>
      </c>
      <c r="D1492" s="69">
        <v>35649973857</v>
      </c>
      <c r="E1492" s="9">
        <v>292</v>
      </c>
      <c r="F1492" s="25">
        <v>43168</v>
      </c>
      <c r="G1492" s="70" t="s">
        <v>32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2200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2201</v>
      </c>
      <c r="B1494" s="67">
        <v>34727823829</v>
      </c>
      <c r="C1494" s="72" t="s">
        <v>2202</v>
      </c>
      <c r="D1494" s="69">
        <v>33790197807</v>
      </c>
      <c r="E1494" s="9">
        <v>262</v>
      </c>
      <c r="F1494" s="25">
        <v>43160</v>
      </c>
      <c r="G1494" s="70" t="s">
        <v>32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2203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2204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25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2205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2206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25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2207</v>
      </c>
      <c r="B1499" s="67">
        <v>13576812830</v>
      </c>
      <c r="C1499" s="72" t="s">
        <v>2208</v>
      </c>
      <c r="D1499" s="69">
        <v>1075554845</v>
      </c>
      <c r="E1499" s="9">
        <v>1489</v>
      </c>
      <c r="F1499" s="25">
        <v>43038</v>
      </c>
      <c r="G1499" s="70" t="s">
        <v>25</v>
      </c>
      <c r="H1499" s="9"/>
      <c r="I1499" s="8"/>
      <c r="J1499" s="8"/>
      <c r="K1499" s="8"/>
      <c r="L1499" s="9" t="s">
        <v>169</v>
      </c>
      <c r="M1499" s="8"/>
    </row>
    <row r="1500" spans="1:13">
      <c r="A1500" s="71" t="s">
        <v>2209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2210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2211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25</v>
      </c>
      <c r="H1502" s="9"/>
      <c r="I1502" s="8"/>
      <c r="J1502" s="8"/>
      <c r="K1502" s="8"/>
      <c r="L1502" s="9" t="s">
        <v>147</v>
      </c>
      <c r="M1502" s="8"/>
    </row>
    <row r="1503" spans="1:13">
      <c r="A1503" s="71" t="s">
        <v>2212</v>
      </c>
      <c r="B1503" s="67">
        <v>42490041800</v>
      </c>
      <c r="C1503" s="71" t="s">
        <v>2213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2214</v>
      </c>
      <c r="B1504" s="67">
        <v>37150144829</v>
      </c>
      <c r="C1504" s="72" t="s">
        <v>2215</v>
      </c>
      <c r="D1504" s="69">
        <v>33420633866</v>
      </c>
      <c r="E1504" s="9">
        <v>1417</v>
      </c>
      <c r="F1504" s="25">
        <v>43017</v>
      </c>
      <c r="G1504" s="70" t="s">
        <v>40</v>
      </c>
      <c r="H1504" s="9"/>
      <c r="I1504" s="8"/>
      <c r="J1504" s="8"/>
      <c r="K1504" s="8"/>
      <c r="L1504" s="9" t="s">
        <v>262</v>
      </c>
      <c r="M1504" s="8"/>
    </row>
    <row r="1505" spans="1:13">
      <c r="A1505" s="71" t="s">
        <v>2216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2217</v>
      </c>
      <c r="B1506" s="67">
        <v>95482300544</v>
      </c>
      <c r="C1506" s="72" t="s">
        <v>2218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2219</v>
      </c>
      <c r="B1507" s="67">
        <v>3915987590</v>
      </c>
      <c r="C1507" s="72" t="s">
        <v>2220</v>
      </c>
      <c r="D1507" s="69">
        <v>1733607501</v>
      </c>
      <c r="E1507" s="9">
        <v>85</v>
      </c>
      <c r="F1507" s="25">
        <v>43109</v>
      </c>
      <c r="G1507" s="70" t="s">
        <v>25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2221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25</v>
      </c>
      <c r="H1508" s="9"/>
      <c r="I1508" s="8"/>
      <c r="J1508" s="8"/>
      <c r="K1508" s="8"/>
      <c r="L1508" s="9" t="s">
        <v>511</v>
      </c>
      <c r="M1508" s="8"/>
    </row>
    <row r="1509" spans="1:13">
      <c r="A1509" s="71" t="s">
        <v>2222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25</v>
      </c>
      <c r="H1509" s="9"/>
      <c r="I1509" s="8"/>
      <c r="J1509" s="8"/>
      <c r="K1509" s="8"/>
      <c r="L1509" s="9" t="s">
        <v>179</v>
      </c>
      <c r="M1509" s="8"/>
    </row>
    <row r="1510" spans="1:13">
      <c r="A1510" s="29" t="s">
        <v>2223</v>
      </c>
      <c r="B1510" s="67"/>
      <c r="C1510" s="18" t="s">
        <v>138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2224</v>
      </c>
      <c r="B1511" s="80">
        <v>39490354864</v>
      </c>
      <c r="C1511" s="81" t="s">
        <v>2225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2226</v>
      </c>
      <c r="B1512" s="67">
        <v>36190827829</v>
      </c>
      <c r="C1512" s="72" t="s">
        <v>2227</v>
      </c>
      <c r="D1512" s="69">
        <v>6501914809</v>
      </c>
      <c r="E1512" s="9">
        <v>1489</v>
      </c>
      <c r="F1512" s="25">
        <v>43038</v>
      </c>
      <c r="G1512" s="70" t="s">
        <v>25</v>
      </c>
      <c r="H1512" s="9"/>
      <c r="I1512" s="8"/>
      <c r="J1512" s="8"/>
      <c r="K1512" s="8"/>
      <c r="L1512" s="9" t="s">
        <v>169</v>
      </c>
      <c r="M1512" s="8"/>
    </row>
    <row r="1513" spans="1:13">
      <c r="A1513" s="71" t="s">
        <v>2228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25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2229</v>
      </c>
      <c r="B1514" s="67">
        <v>37978221890</v>
      </c>
      <c r="C1514" s="15" t="s">
        <v>2230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2231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308</v>
      </c>
      <c r="M1515" s="8"/>
    </row>
    <row r="1516" spans="1:13">
      <c r="A1516" s="71" t="s">
        <v>2232</v>
      </c>
      <c r="B1516" s="67">
        <v>23341671854</v>
      </c>
      <c r="C1516" s="72" t="s">
        <v>2233</v>
      </c>
      <c r="D1516" s="69">
        <v>34413431820</v>
      </c>
      <c r="E1516" s="9">
        <v>810</v>
      </c>
      <c r="F1516" s="25">
        <v>42915</v>
      </c>
      <c r="G1516" s="83" t="s">
        <v>25</v>
      </c>
      <c r="H1516" s="9"/>
      <c r="I1516" s="8"/>
      <c r="J1516" s="8"/>
      <c r="K1516" s="8"/>
      <c r="L1516" s="9" t="s">
        <v>147</v>
      </c>
      <c r="M1516" s="8"/>
    </row>
    <row r="1517" spans="1:13">
      <c r="A1517" s="71" t="s">
        <v>2234</v>
      </c>
      <c r="B1517" s="67">
        <v>35934079816</v>
      </c>
      <c r="C1517" s="72" t="s">
        <v>2235</v>
      </c>
      <c r="D1517" s="69">
        <v>2511538512</v>
      </c>
      <c r="E1517" s="9">
        <v>262</v>
      </c>
      <c r="F1517" s="25">
        <v>43160</v>
      </c>
      <c r="G1517" s="70" t="s">
        <v>25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2236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25</v>
      </c>
      <c r="H1518" s="9"/>
      <c r="I1518" s="8"/>
      <c r="J1518" s="8"/>
      <c r="K1518" s="8"/>
      <c r="L1518" s="9" t="s">
        <v>179</v>
      </c>
      <c r="M1518" s="8"/>
    </row>
    <row r="1519" spans="1:13">
      <c r="A1519" s="71" t="s">
        <v>2237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25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2238</v>
      </c>
      <c r="B1520" s="67">
        <v>37395316819</v>
      </c>
      <c r="C1520" s="72" t="s">
        <v>2239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2240</v>
      </c>
      <c r="B1521" s="80">
        <v>47168651854</v>
      </c>
      <c r="C1521" s="50" t="s">
        <v>2241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2242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2243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25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2244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25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2245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2246</v>
      </c>
      <c r="B1526" s="67">
        <v>36776791848</v>
      </c>
      <c r="C1526" s="72" t="s">
        <v>2247</v>
      </c>
      <c r="D1526" s="69">
        <v>23340578869</v>
      </c>
      <c r="E1526" s="9">
        <v>608</v>
      </c>
      <c r="F1526" s="25">
        <v>43012</v>
      </c>
      <c r="G1526" s="70" t="s">
        <v>25</v>
      </c>
      <c r="H1526" s="9"/>
      <c r="I1526" s="8"/>
      <c r="J1526" s="8"/>
      <c r="K1526" s="8"/>
      <c r="L1526" s="8"/>
      <c r="M1526" s="8"/>
    </row>
    <row r="1527" spans="1:13">
      <c r="A1527" s="71" t="s">
        <v>2248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2249</v>
      </c>
      <c r="B1528" s="67">
        <v>32561817830</v>
      </c>
      <c r="C1528" s="72" t="s">
        <v>2250</v>
      </c>
      <c r="D1528" s="69">
        <v>30328335827</v>
      </c>
      <c r="E1528" s="9">
        <v>1824</v>
      </c>
      <c r="F1528" s="25">
        <v>43091</v>
      </c>
      <c r="G1528" s="70" t="s">
        <v>32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2251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25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2252</v>
      </c>
      <c r="B1530" s="67">
        <v>36044847829</v>
      </c>
      <c r="C1530" s="72" t="s">
        <v>2253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2254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2255</v>
      </c>
      <c r="B1532" s="67">
        <v>35070422820</v>
      </c>
      <c r="C1532" s="72" t="s">
        <v>2256</v>
      </c>
      <c r="D1532" s="69">
        <v>24871235831</v>
      </c>
      <c r="E1532" s="9">
        <v>292</v>
      </c>
      <c r="F1532" s="25">
        <v>43168</v>
      </c>
      <c r="G1532" s="70" t="s">
        <v>25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2257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308</v>
      </c>
      <c r="M1533" s="8"/>
    </row>
    <row r="1534" spans="1:13">
      <c r="A1534" s="15" t="s">
        <v>2258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2259</v>
      </c>
      <c r="B1535" s="67"/>
      <c r="C1535" s="29" t="s">
        <v>2260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2261</v>
      </c>
      <c r="B1536" s="67">
        <v>47240915840</v>
      </c>
      <c r="C1536" s="72"/>
      <c r="D1536" s="69"/>
      <c r="E1536" s="9"/>
      <c r="F1536" s="25"/>
      <c r="G1536" s="70" t="s">
        <v>25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2262</v>
      </c>
      <c r="B1537" s="67"/>
      <c r="C1537" s="18" t="s">
        <v>138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2263</v>
      </c>
      <c r="B1538" s="67">
        <v>42424051895</v>
      </c>
      <c r="C1538" s="72" t="s">
        <v>2264</v>
      </c>
      <c r="D1538" s="69">
        <v>34920392869</v>
      </c>
      <c r="E1538" s="9">
        <v>1214</v>
      </c>
      <c r="F1538" s="25">
        <v>42989</v>
      </c>
      <c r="G1538" s="70" t="s">
        <v>25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2265</v>
      </c>
      <c r="B1539" s="67">
        <v>45298965873</v>
      </c>
      <c r="C1539" s="18" t="s">
        <v>138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2266</v>
      </c>
      <c r="B1540" s="67">
        <v>48176009857</v>
      </c>
      <c r="C1540" s="18" t="s">
        <v>138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2267</v>
      </c>
      <c r="B1541" s="67">
        <v>32645353860</v>
      </c>
      <c r="C1541" s="71" t="s">
        <v>2268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2269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25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2270</v>
      </c>
      <c r="B1543" s="67">
        <v>34899686897</v>
      </c>
      <c r="C1543" s="72" t="s">
        <v>2271</v>
      </c>
      <c r="D1543" s="69">
        <v>34782852835</v>
      </c>
      <c r="E1543" s="9">
        <v>810</v>
      </c>
      <c r="F1543" s="25">
        <v>42915</v>
      </c>
      <c r="G1543" s="70" t="s">
        <v>25</v>
      </c>
      <c r="H1543" s="76">
        <v>43213</v>
      </c>
      <c r="I1543" s="8"/>
      <c r="J1543" s="8"/>
      <c r="K1543" s="8"/>
      <c r="L1543" s="9" t="s">
        <v>147</v>
      </c>
      <c r="M1543" s="8"/>
    </row>
    <row r="1544" spans="1:13">
      <c r="A1544" s="71" t="s">
        <v>2272</v>
      </c>
      <c r="B1544" s="67">
        <v>39778910812</v>
      </c>
      <c r="C1544" s="68" t="s">
        <v>2273</v>
      </c>
      <c r="D1544" s="69">
        <v>34703237806</v>
      </c>
      <c r="E1544" s="9">
        <v>1128</v>
      </c>
      <c r="F1544" s="25">
        <v>42972</v>
      </c>
      <c r="G1544" s="70" t="s">
        <v>25</v>
      </c>
      <c r="H1544" s="9"/>
      <c r="I1544" s="8"/>
      <c r="J1544" s="8"/>
      <c r="K1544" s="8"/>
      <c r="L1544" s="8"/>
      <c r="M1544" s="8"/>
    </row>
    <row r="1545" spans="1:13">
      <c r="A1545" s="71" t="s">
        <v>2274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308</v>
      </c>
      <c r="M1545" s="8"/>
    </row>
    <row r="1546" spans="1:13">
      <c r="A1546" s="72" t="s">
        <v>2275</v>
      </c>
      <c r="B1546" s="67">
        <v>22429349884</v>
      </c>
      <c r="C1546" s="72" t="s">
        <v>2276</v>
      </c>
      <c r="D1546" s="69">
        <v>32307277897</v>
      </c>
      <c r="E1546" s="9">
        <v>1417</v>
      </c>
      <c r="F1546" s="25">
        <v>43017</v>
      </c>
      <c r="G1546" s="70" t="s">
        <v>25</v>
      </c>
      <c r="H1546" s="9"/>
      <c r="I1546" s="8"/>
      <c r="J1546" s="8"/>
      <c r="K1546" s="8"/>
      <c r="L1546" s="9" t="s">
        <v>262</v>
      </c>
      <c r="M1546" s="8"/>
    </row>
    <row r="1547" spans="1:13">
      <c r="A1547" s="13" t="s">
        <v>2277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25</v>
      </c>
      <c r="H1547" s="9"/>
      <c r="I1547" s="8"/>
      <c r="J1547" s="8"/>
      <c r="K1547" s="8"/>
      <c r="L1547" s="8"/>
      <c r="M1547" s="8"/>
    </row>
    <row r="1548" spans="1:13">
      <c r="A1548" s="71" t="s">
        <v>2278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308</v>
      </c>
      <c r="M1548" s="8"/>
    </row>
    <row r="1549" spans="1:13">
      <c r="A1549" s="15" t="s">
        <v>2279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25</v>
      </c>
      <c r="H1549" s="9"/>
      <c r="I1549" s="8"/>
      <c r="J1549" s="8"/>
      <c r="K1549" s="8"/>
      <c r="L1549" s="9" t="s">
        <v>179</v>
      </c>
      <c r="M1549" s="8"/>
    </row>
    <row r="1550" spans="1:13">
      <c r="A1550" s="15" t="s">
        <v>2280</v>
      </c>
      <c r="B1550" s="67">
        <v>7081215432</v>
      </c>
      <c r="C1550" s="15" t="s">
        <v>2281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308</v>
      </c>
      <c r="M1550" s="8"/>
    </row>
    <row r="1551" spans="1:13">
      <c r="A1551" s="71" t="s">
        <v>2282</v>
      </c>
      <c r="B1551" s="67">
        <v>37104895809</v>
      </c>
      <c r="C1551" s="72" t="s">
        <v>2283</v>
      </c>
      <c r="D1551" s="69">
        <v>34256763856</v>
      </c>
      <c r="E1551" s="9">
        <v>1752</v>
      </c>
      <c r="F1551" s="25">
        <v>43051</v>
      </c>
      <c r="G1551" s="70" t="s">
        <v>40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2284</v>
      </c>
      <c r="B1552" s="67"/>
      <c r="C1552" s="29" t="s">
        <v>138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2285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308</v>
      </c>
      <c r="M1553" s="8"/>
    </row>
    <row r="1554" spans="1:13">
      <c r="A1554" s="14" t="s">
        <v>2286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25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2287</v>
      </c>
      <c r="B1555" s="67">
        <v>45862437835</v>
      </c>
      <c r="C1555" s="72" t="s">
        <v>2288</v>
      </c>
      <c r="D1555" s="69">
        <v>2301226280</v>
      </c>
      <c r="E1555" s="9">
        <v>1752</v>
      </c>
      <c r="F1555" s="25">
        <v>43051</v>
      </c>
      <c r="G1555" s="70" t="s">
        <v>25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2289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25</v>
      </c>
      <c r="H1556" s="9"/>
      <c r="I1556" s="8"/>
      <c r="J1556" s="8"/>
      <c r="K1556" s="8"/>
      <c r="L1556" s="8"/>
      <c r="M1556" s="8"/>
    </row>
    <row r="1557" spans="1:13">
      <c r="A1557" s="29" t="s">
        <v>2290</v>
      </c>
      <c r="B1557" s="67"/>
      <c r="C1557" s="29" t="s">
        <v>2291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2292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2293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308</v>
      </c>
      <c r="M1559" s="8"/>
    </row>
    <row r="1560" spans="1:13">
      <c r="A1560" s="71" t="s">
        <v>2294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25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2295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25</v>
      </c>
      <c r="H1561" s="9"/>
      <c r="I1561" s="8"/>
      <c r="J1561" s="8"/>
      <c r="K1561" s="8"/>
      <c r="L1561" s="8"/>
      <c r="M1561" s="8"/>
    </row>
    <row r="1562" spans="1:13">
      <c r="A1562" s="71" t="s">
        <v>2296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25</v>
      </c>
      <c r="H1562" s="9"/>
      <c r="I1562" s="8"/>
      <c r="J1562" s="8"/>
      <c r="K1562" s="8"/>
      <c r="L1562" s="9" t="s">
        <v>147</v>
      </c>
      <c r="M1562" s="8"/>
    </row>
    <row r="1563" spans="1:13">
      <c r="A1563" s="15" t="s">
        <v>2297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25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2298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25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2299</v>
      </c>
      <c r="B1565" s="67">
        <v>33390811826</v>
      </c>
      <c r="C1565" s="72" t="s">
        <v>2300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2301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25</v>
      </c>
      <c r="H1566" s="9"/>
      <c r="I1566" s="8"/>
      <c r="J1566" s="8"/>
      <c r="K1566" s="8"/>
      <c r="L1566" s="9" t="s">
        <v>262</v>
      </c>
      <c r="M1566" s="8"/>
    </row>
    <row r="1567" spans="1:13">
      <c r="A1567" s="29" t="s">
        <v>2302</v>
      </c>
      <c r="B1567" s="67">
        <v>22173656813</v>
      </c>
      <c r="C1567" s="18" t="s">
        <v>138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2303</v>
      </c>
      <c r="B1568" s="67">
        <v>30690514808</v>
      </c>
      <c r="C1568" s="72" t="s">
        <v>2304</v>
      </c>
      <c r="D1568" s="69">
        <v>22622085818</v>
      </c>
      <c r="E1568" s="9">
        <v>423</v>
      </c>
      <c r="F1568" s="25">
        <v>43182</v>
      </c>
      <c r="G1568" s="9" t="s">
        <v>25</v>
      </c>
      <c r="H1568" s="9"/>
      <c r="I1568" s="8"/>
      <c r="J1568" s="8"/>
      <c r="K1568" s="8"/>
      <c r="L1568" s="8"/>
      <c r="M1568" s="8"/>
    </row>
    <row r="1569" spans="1:13">
      <c r="A1569" s="71" t="s">
        <v>2305</v>
      </c>
      <c r="B1569" s="67">
        <v>43901748865</v>
      </c>
      <c r="C1569" s="72" t="s">
        <v>2306</v>
      </c>
      <c r="D1569" s="69">
        <v>34818027812</v>
      </c>
      <c r="E1569" s="9">
        <v>1824</v>
      </c>
      <c r="F1569" s="25">
        <v>43091</v>
      </c>
      <c r="G1569" s="70" t="s">
        <v>25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2307</v>
      </c>
      <c r="B1570" s="67"/>
      <c r="C1570" s="18" t="s">
        <v>138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2308</v>
      </c>
      <c r="B1571" s="67">
        <v>5212444390</v>
      </c>
      <c r="C1571" s="15" t="s">
        <v>2309</v>
      </c>
      <c r="D1571" s="69">
        <v>2231738350</v>
      </c>
      <c r="E1571" s="9">
        <v>292</v>
      </c>
      <c r="F1571" s="25">
        <v>43168</v>
      </c>
      <c r="G1571" s="70" t="s">
        <v>25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2310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2311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25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2312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2313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25</v>
      </c>
      <c r="H1575" s="9"/>
      <c r="I1575" s="8"/>
      <c r="J1575" s="8"/>
      <c r="K1575" s="8"/>
      <c r="L1575" s="9" t="s">
        <v>147</v>
      </c>
      <c r="M1575" s="8"/>
    </row>
    <row r="1576" spans="1:13">
      <c r="A1576" s="71" t="s">
        <v>2314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25</v>
      </c>
      <c r="H1576" s="9"/>
      <c r="I1576" s="8"/>
      <c r="J1576" s="8"/>
      <c r="K1576" s="8"/>
      <c r="L1576" s="8"/>
      <c r="M1576" s="8"/>
    </row>
    <row r="1577" spans="1:13">
      <c r="A1577" s="71" t="s">
        <v>2315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2316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2317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2318</v>
      </c>
      <c r="B1580" s="67">
        <v>88436144520</v>
      </c>
      <c r="C1580" s="29" t="s">
        <v>138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2319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2320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25</v>
      </c>
      <c r="H1582" s="9"/>
      <c r="I1582" s="8"/>
      <c r="J1582" s="8"/>
      <c r="K1582" s="8"/>
      <c r="L1582" s="8"/>
      <c r="M1582" s="8"/>
    </row>
    <row r="1583" spans="1:13">
      <c r="A1583" s="72" t="s">
        <v>2321</v>
      </c>
      <c r="B1583" s="67">
        <v>4967493580</v>
      </c>
      <c r="C1583" s="15" t="s">
        <v>2322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2323</v>
      </c>
      <c r="B1584" s="67">
        <v>28043649847</v>
      </c>
      <c r="C1584" s="72" t="s">
        <v>2324</v>
      </c>
      <c r="D1584" s="69">
        <v>37064432870</v>
      </c>
      <c r="E1584" s="9">
        <v>117</v>
      </c>
      <c r="F1584" s="25">
        <v>43117</v>
      </c>
      <c r="G1584" s="70" t="s">
        <v>25</v>
      </c>
      <c r="H1584" s="9"/>
      <c r="I1584" s="8"/>
      <c r="J1584" s="8"/>
      <c r="K1584" s="8"/>
      <c r="L1584" s="9" t="s">
        <v>179</v>
      </c>
      <c r="M1584" s="8"/>
    </row>
    <row r="1585" spans="1:13">
      <c r="A1585" s="71" t="s">
        <v>2325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25</v>
      </c>
      <c r="H1585" s="9"/>
      <c r="I1585" s="8"/>
      <c r="J1585" s="8"/>
      <c r="K1585" s="8"/>
      <c r="L1585" s="9" t="s">
        <v>147</v>
      </c>
      <c r="M1585" s="8"/>
    </row>
    <row r="1586" spans="1:13">
      <c r="A1586" s="73" t="s">
        <v>2326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25</v>
      </c>
      <c r="H1586" s="9"/>
      <c r="I1586" s="8"/>
      <c r="J1586" s="8"/>
      <c r="K1586" s="8"/>
      <c r="L1586" s="8"/>
      <c r="M1586" s="8"/>
    </row>
    <row r="1587" spans="1:13">
      <c r="A1587" s="15" t="s">
        <v>2327</v>
      </c>
      <c r="B1587" s="67">
        <v>45671290325</v>
      </c>
      <c r="C1587" s="72" t="s">
        <v>2328</v>
      </c>
      <c r="D1587" s="69">
        <v>13019071895</v>
      </c>
      <c r="E1587" s="9">
        <v>117</v>
      </c>
      <c r="F1587" s="25">
        <v>43117</v>
      </c>
      <c r="G1587" s="70" t="s">
        <v>40</v>
      </c>
      <c r="H1587" s="9"/>
      <c r="I1587" s="8"/>
      <c r="J1587" s="8"/>
      <c r="K1587" s="8"/>
      <c r="L1587" s="9" t="s">
        <v>179</v>
      </c>
      <c r="M1587" s="8"/>
    </row>
    <row r="1588" spans="1:13">
      <c r="A1588" s="13" t="s">
        <v>2329</v>
      </c>
      <c r="B1588" s="67">
        <v>7677424864</v>
      </c>
      <c r="C1588" s="72" t="s">
        <v>2330</v>
      </c>
      <c r="D1588" s="69">
        <v>6128186831</v>
      </c>
      <c r="E1588" s="9">
        <v>1570</v>
      </c>
      <c r="F1588" s="25">
        <v>43077</v>
      </c>
      <c r="G1588" s="70" t="s">
        <v>25</v>
      </c>
      <c r="H1588" s="9"/>
      <c r="I1588" s="8"/>
      <c r="J1588" s="8"/>
      <c r="K1588" s="8"/>
      <c r="L1588" s="8"/>
      <c r="M1588" s="8"/>
    </row>
    <row r="1589" spans="1:13">
      <c r="A1589" s="13" t="s">
        <v>2331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2332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25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2333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25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2334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2335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25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2336</v>
      </c>
      <c r="B1594" s="67"/>
      <c r="C1594" s="29" t="s">
        <v>138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2337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25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2338</v>
      </c>
      <c r="B1596" s="67">
        <v>47555303850</v>
      </c>
      <c r="C1596" s="18" t="s">
        <v>138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2339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25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2340</v>
      </c>
      <c r="B1598" s="67">
        <v>25966733805</v>
      </c>
      <c r="C1598" s="72" t="s">
        <v>2341</v>
      </c>
      <c r="D1598" s="69">
        <v>19681706854</v>
      </c>
      <c r="E1598" s="9">
        <v>1752</v>
      </c>
      <c r="F1598" s="25">
        <v>43051</v>
      </c>
      <c r="G1598" s="70" t="s">
        <v>32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2342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25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2343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25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2344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2345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25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2346</v>
      </c>
      <c r="B1603" s="67">
        <v>32448230846</v>
      </c>
      <c r="C1603" s="18" t="s">
        <v>2347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2348</v>
      </c>
      <c r="B1604" s="67">
        <v>56151250559</v>
      </c>
      <c r="C1604" s="18" t="s">
        <v>2349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2350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25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2351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2352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25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2353</v>
      </c>
      <c r="B1608" s="67">
        <v>36713930840</v>
      </c>
      <c r="C1608" s="68" t="s">
        <v>2354</v>
      </c>
      <c r="D1608" s="69">
        <v>30171047885</v>
      </c>
      <c r="E1608" s="9">
        <v>1128</v>
      </c>
      <c r="F1608" s="25">
        <v>42972</v>
      </c>
      <c r="G1608" s="70" t="s">
        <v>25</v>
      </c>
      <c r="H1608" s="9"/>
      <c r="I1608" s="8"/>
      <c r="J1608" s="8"/>
      <c r="K1608" s="8"/>
      <c r="L1608" s="8"/>
      <c r="M1608" s="8"/>
    </row>
    <row r="1609" spans="1:13">
      <c r="A1609" s="29" t="s">
        <v>2355</v>
      </c>
      <c r="B1609" s="67">
        <v>37138221827</v>
      </c>
      <c r="C1609" s="29" t="s">
        <v>2356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2357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25</v>
      </c>
      <c r="H1610" s="9"/>
      <c r="I1610" s="8"/>
      <c r="J1610" s="8"/>
      <c r="K1610" s="8"/>
      <c r="L1610" s="8"/>
      <c r="M1610" s="8"/>
    </row>
    <row r="1611" spans="1:13">
      <c r="A1611" s="71" t="s">
        <v>2358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25</v>
      </c>
      <c r="H1611" s="9"/>
      <c r="I1611" s="8"/>
      <c r="J1611" s="8"/>
      <c r="K1611" s="8"/>
      <c r="L1611" s="8"/>
      <c r="M1611" s="8"/>
    </row>
    <row r="1612" spans="1:13">
      <c r="A1612" s="71" t="s">
        <v>2359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25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2360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2361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25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2362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25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2363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25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2364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2365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25</v>
      </c>
      <c r="H1618" s="9"/>
      <c r="I1618" s="8"/>
      <c r="J1618" s="8"/>
      <c r="K1618" s="8"/>
      <c r="L1618" s="9" t="s">
        <v>147</v>
      </c>
      <c r="M1618" s="8"/>
    </row>
    <row r="1619" spans="1:13">
      <c r="A1619" s="71" t="s">
        <v>2366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25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2367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25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2368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2369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2370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25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2371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2372</v>
      </c>
      <c r="B1625" s="67">
        <v>37338189897</v>
      </c>
      <c r="C1625" s="72" t="s">
        <v>2373</v>
      </c>
      <c r="D1625" s="69">
        <v>27359655897</v>
      </c>
      <c r="E1625" s="9">
        <v>1824</v>
      </c>
      <c r="F1625" s="25">
        <v>43091</v>
      </c>
      <c r="G1625" s="70" t="s">
        <v>25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2374</v>
      </c>
      <c r="B1626" s="67">
        <v>45632601854</v>
      </c>
      <c r="C1626" s="32" t="s">
        <v>2375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308</v>
      </c>
      <c r="M1626" s="8"/>
    </row>
    <row r="1627" spans="1:13">
      <c r="A1627" s="29" t="s">
        <v>2376</v>
      </c>
      <c r="B1627" s="67"/>
      <c r="C1627" s="29" t="s">
        <v>2377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2378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2379</v>
      </c>
      <c r="B1629" s="67">
        <v>38150547886</v>
      </c>
      <c r="C1629" s="72" t="s">
        <v>2380</v>
      </c>
      <c r="D1629" s="69">
        <v>36270820871</v>
      </c>
      <c r="E1629" s="9">
        <v>262</v>
      </c>
      <c r="F1629" s="25">
        <v>43160</v>
      </c>
      <c r="G1629" s="9" t="s">
        <v>25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2381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2382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2383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2384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2385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25</v>
      </c>
      <c r="H1634" s="9"/>
      <c r="I1634" s="8"/>
      <c r="J1634" s="8"/>
      <c r="K1634" s="8"/>
      <c r="L1634" s="8"/>
      <c r="M1634" s="8"/>
    </row>
    <row r="1635" spans="1:13">
      <c r="A1635" s="71" t="s">
        <v>2386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25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2387</v>
      </c>
      <c r="B1636" s="67">
        <v>44852605858</v>
      </c>
      <c r="C1636" s="15" t="s">
        <v>2388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2389</v>
      </c>
      <c r="B1637" s="67">
        <v>42130610862</v>
      </c>
      <c r="C1637" s="29" t="s">
        <v>2390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2391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25</v>
      </c>
      <c r="H1638" s="9"/>
      <c r="I1638" s="8"/>
      <c r="J1638" s="8"/>
      <c r="K1638" s="8"/>
      <c r="L1638" s="9" t="s">
        <v>179</v>
      </c>
      <c r="M1638" s="8"/>
    </row>
    <row r="1639" spans="1:13">
      <c r="A1639" s="15" t="s">
        <v>2392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2393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25</v>
      </c>
      <c r="H1640" s="9"/>
      <c r="I1640" s="8"/>
      <c r="J1640" s="8"/>
      <c r="K1640" s="8"/>
      <c r="L1640" s="9" t="s">
        <v>179</v>
      </c>
      <c r="M1640" s="8"/>
    </row>
    <row r="1641" spans="1:13">
      <c r="A1641" s="71" t="s">
        <v>2394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25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2395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2396</v>
      </c>
      <c r="B1643" s="67">
        <v>25399089858</v>
      </c>
      <c r="C1643" s="18" t="s">
        <v>2397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2398</v>
      </c>
      <c r="B1644" s="67">
        <v>36758489817</v>
      </c>
      <c r="C1644" s="72" t="s">
        <v>2399</v>
      </c>
      <c r="D1644" s="69">
        <v>15602238808</v>
      </c>
      <c r="E1644" s="9">
        <v>117</v>
      </c>
      <c r="F1644" s="25">
        <v>43117</v>
      </c>
      <c r="G1644" s="70" t="s">
        <v>25</v>
      </c>
      <c r="H1644" s="9"/>
      <c r="I1644" s="8"/>
      <c r="J1644" s="8"/>
      <c r="K1644" s="8"/>
      <c r="L1644" s="9" t="s">
        <v>179</v>
      </c>
      <c r="M1644" s="8"/>
    </row>
    <row r="1645" spans="1:13">
      <c r="A1645" s="71" t="s">
        <v>2400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25</v>
      </c>
      <c r="H1645" s="9"/>
      <c r="I1645" s="8"/>
      <c r="J1645" s="8"/>
      <c r="K1645" s="8"/>
      <c r="L1645" s="8"/>
      <c r="M1645" s="8"/>
    </row>
    <row r="1646" spans="1:13">
      <c r="A1646" s="71" t="s">
        <v>2401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2402</v>
      </c>
      <c r="B1647" s="67">
        <v>3051791440</v>
      </c>
      <c r="C1647" s="72" t="s">
        <v>2403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2404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25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2405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2406</v>
      </c>
      <c r="B1650" s="67">
        <v>8774817841</v>
      </c>
      <c r="C1650" s="18" t="s">
        <v>138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2407</v>
      </c>
      <c r="B1651" s="67">
        <v>15730438850</v>
      </c>
      <c r="C1651" s="72" t="s">
        <v>2408</v>
      </c>
      <c r="D1651" s="69">
        <v>11253544883</v>
      </c>
      <c r="E1651" s="9">
        <v>1628</v>
      </c>
      <c r="F1651" s="25">
        <v>43077</v>
      </c>
      <c r="G1651" s="70" t="s">
        <v>25</v>
      </c>
      <c r="H1651" s="9"/>
      <c r="I1651" s="8"/>
      <c r="J1651" s="8"/>
      <c r="K1651" s="8"/>
      <c r="L1651" s="8"/>
      <c r="M1651" s="8"/>
    </row>
    <row r="1652" spans="1:13">
      <c r="A1652" s="72" t="s">
        <v>2409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2410</v>
      </c>
      <c r="B1653" s="67">
        <v>16416601800</v>
      </c>
      <c r="C1653" s="72" t="s">
        <v>2411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2412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2413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25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2414</v>
      </c>
      <c r="B1656" s="67">
        <v>6595999617</v>
      </c>
      <c r="C1656" s="68" t="s">
        <v>2415</v>
      </c>
      <c r="D1656" s="69">
        <v>9929242430</v>
      </c>
      <c r="E1656" s="9">
        <v>1128</v>
      </c>
      <c r="F1656" s="25">
        <v>42972</v>
      </c>
      <c r="G1656" s="70" t="s">
        <v>25</v>
      </c>
      <c r="H1656" s="9"/>
      <c r="I1656" s="8"/>
      <c r="J1656" s="8"/>
      <c r="K1656" s="8"/>
      <c r="L1656" s="8"/>
      <c r="M1656" s="8"/>
    </row>
    <row r="1657" spans="1:13">
      <c r="A1657" s="71" t="s">
        <v>2416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25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2417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2418</v>
      </c>
      <c r="B1659" s="67">
        <v>28785359874</v>
      </c>
      <c r="C1659" s="72" t="s">
        <v>2419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2420</v>
      </c>
      <c r="B1660" s="67">
        <v>36460261890</v>
      </c>
      <c r="C1660" s="72" t="s">
        <v>2421</v>
      </c>
      <c r="D1660" s="69">
        <v>7468402841</v>
      </c>
      <c r="E1660" s="9">
        <v>608</v>
      </c>
      <c r="F1660" s="25">
        <v>43012</v>
      </c>
      <c r="G1660" s="70" t="s">
        <v>25</v>
      </c>
      <c r="H1660" s="9"/>
      <c r="I1660" s="8"/>
      <c r="J1660" s="8"/>
      <c r="K1660" s="8"/>
      <c r="L1660" s="8"/>
      <c r="M1660" s="8"/>
    </row>
    <row r="1661" spans="1:13">
      <c r="A1661" s="15" t="s">
        <v>2422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25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2423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25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2424</v>
      </c>
      <c r="B1663" s="67">
        <v>34385358826</v>
      </c>
      <c r="C1663" s="72" t="s">
        <v>2425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2426</v>
      </c>
      <c r="B1664" s="67">
        <v>24820428870</v>
      </c>
      <c r="C1664" s="72" t="s">
        <v>2427</v>
      </c>
      <c r="D1664" s="69">
        <v>22012255833</v>
      </c>
      <c r="E1664" s="9">
        <v>1417</v>
      </c>
      <c r="F1664" s="25">
        <v>43017</v>
      </c>
      <c r="G1664" s="70" t="s">
        <v>25</v>
      </c>
      <c r="H1664" s="9"/>
      <c r="I1664" s="8"/>
      <c r="J1664" s="8"/>
      <c r="K1664" s="8"/>
      <c r="L1664" s="9" t="s">
        <v>262</v>
      </c>
      <c r="M1664" s="8"/>
    </row>
    <row r="1665" spans="1:13">
      <c r="A1665" s="29" t="s">
        <v>2428</v>
      </c>
      <c r="B1665" s="67">
        <v>31148609822</v>
      </c>
      <c r="C1665" s="29" t="s">
        <v>2429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2430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40</v>
      </c>
      <c r="H1666" s="9"/>
      <c r="I1666" s="8"/>
      <c r="J1666" s="8"/>
      <c r="K1666" s="8"/>
      <c r="L1666" s="9" t="s">
        <v>179</v>
      </c>
      <c r="M1666" s="8"/>
    </row>
    <row r="1667" spans="1:13">
      <c r="A1667" s="14" t="s">
        <v>2431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2431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25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2432</v>
      </c>
      <c r="B1669" s="67">
        <v>44772896856</v>
      </c>
      <c r="C1669" s="72" t="s">
        <v>2433</v>
      </c>
      <c r="D1669" s="69">
        <v>39313729873</v>
      </c>
      <c r="E1669" s="9">
        <v>117</v>
      </c>
      <c r="F1669" s="25">
        <v>43117</v>
      </c>
      <c r="G1669" s="70" t="s">
        <v>25</v>
      </c>
      <c r="H1669" s="9"/>
      <c r="I1669" s="8"/>
      <c r="J1669" s="8"/>
      <c r="K1669" s="8"/>
      <c r="L1669" s="9" t="s">
        <v>179</v>
      </c>
      <c r="M1669" s="8"/>
    </row>
    <row r="1670" spans="1:13">
      <c r="A1670" s="29" t="s">
        <v>2434</v>
      </c>
      <c r="B1670" s="67">
        <v>28501359840</v>
      </c>
      <c r="C1670" s="29" t="s">
        <v>2435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2436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2437</v>
      </c>
      <c r="B1672" s="67">
        <v>30131142828</v>
      </c>
      <c r="C1672" s="77" t="s">
        <v>2438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2439</v>
      </c>
      <c r="B1673" s="67"/>
      <c r="C1673" s="29" t="s">
        <v>138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2440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25</v>
      </c>
      <c r="H1674" s="9"/>
      <c r="I1674" s="8"/>
      <c r="J1674" s="8"/>
      <c r="K1674" s="8"/>
      <c r="L1674" s="8"/>
      <c r="M1674" s="8"/>
    </row>
    <row r="1675" spans="1:13">
      <c r="A1675" s="15" t="s">
        <v>2441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25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2442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25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2443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25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2444</v>
      </c>
      <c r="B1678" s="67">
        <v>30319988805</v>
      </c>
      <c r="C1678" s="29" t="s">
        <v>138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2445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2446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25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2447</v>
      </c>
      <c r="B1681" s="67">
        <v>1565236122</v>
      </c>
      <c r="C1681" s="72" t="s">
        <v>2448</v>
      </c>
      <c r="D1681" s="69">
        <v>218506589</v>
      </c>
      <c r="E1681" s="9">
        <v>1241</v>
      </c>
      <c r="F1681" s="25">
        <v>42992</v>
      </c>
      <c r="G1681" s="70" t="s">
        <v>25</v>
      </c>
      <c r="H1681" s="9"/>
      <c r="I1681" s="8"/>
      <c r="J1681" s="8"/>
      <c r="K1681" s="8"/>
      <c r="L1681" s="8"/>
      <c r="M1681" s="8"/>
    </row>
    <row r="1682" spans="1:13">
      <c r="A1682" s="71" t="s">
        <v>2449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2450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25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2451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2452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2453</v>
      </c>
      <c r="B1686" s="67">
        <v>28842233803</v>
      </c>
      <c r="C1686" s="72" t="s">
        <v>2454</v>
      </c>
      <c r="D1686" s="69">
        <v>39207708892</v>
      </c>
      <c r="E1686" s="9">
        <v>262</v>
      </c>
      <c r="F1686" s="25">
        <v>43160</v>
      </c>
      <c r="G1686" s="70" t="s">
        <v>32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2455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25</v>
      </c>
      <c r="H1687" s="9"/>
      <c r="I1687" s="8"/>
      <c r="J1687" s="8"/>
      <c r="K1687" s="8"/>
      <c r="L1687" s="9" t="s">
        <v>147</v>
      </c>
      <c r="M1687" s="8"/>
    </row>
    <row r="1688" spans="1:13">
      <c r="A1688" s="71" t="s">
        <v>2456</v>
      </c>
      <c r="B1688" s="67">
        <v>39111957883</v>
      </c>
      <c r="C1688" s="72" t="s">
        <v>2457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2458</v>
      </c>
      <c r="B1689" s="67">
        <v>26763450877</v>
      </c>
      <c r="C1689" s="72" t="s">
        <v>2459</v>
      </c>
      <c r="D1689" s="69">
        <v>23405053803</v>
      </c>
      <c r="E1689" s="9">
        <v>292</v>
      </c>
      <c r="F1689" s="25">
        <v>43168</v>
      </c>
      <c r="G1689" s="70" t="s">
        <v>25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2460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25</v>
      </c>
      <c r="H1690" s="9"/>
      <c r="I1690" s="8"/>
      <c r="J1690" s="8"/>
      <c r="K1690" s="8"/>
      <c r="L1690" s="9" t="s">
        <v>179</v>
      </c>
      <c r="M1690" s="8"/>
    </row>
    <row r="1691" spans="1:13">
      <c r="A1691" s="29" t="s">
        <v>2461</v>
      </c>
      <c r="B1691" s="67">
        <v>41696411831</v>
      </c>
      <c r="C1691" s="29" t="s">
        <v>2462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2463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2464</v>
      </c>
      <c r="B1693" s="67"/>
      <c r="C1693" s="18" t="s">
        <v>138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2465</v>
      </c>
      <c r="B1694" s="67">
        <v>8946062479</v>
      </c>
      <c r="C1694" s="15" t="s">
        <v>2466</v>
      </c>
      <c r="D1694" s="69">
        <v>9671165460</v>
      </c>
      <c r="E1694" s="9">
        <v>292</v>
      </c>
      <c r="F1694" s="25">
        <v>43168</v>
      </c>
      <c r="G1694" s="70" t="s">
        <v>32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2467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25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2468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25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2469</v>
      </c>
      <c r="B1697" s="67"/>
      <c r="C1697" s="18" t="s">
        <v>138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2470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25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2471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2472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2473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2474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2475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2476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2477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2478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25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2479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25</v>
      </c>
      <c r="H1707" s="9"/>
      <c r="I1707" s="8"/>
      <c r="J1707" s="8"/>
      <c r="K1707" s="8"/>
      <c r="L1707" s="9" t="s">
        <v>262</v>
      </c>
      <c r="M1707" s="8"/>
    </row>
    <row r="1708" spans="1:13">
      <c r="A1708" s="13" t="s">
        <v>2480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25</v>
      </c>
      <c r="H1708" s="9"/>
      <c r="I1708" s="8"/>
      <c r="J1708" s="8"/>
      <c r="K1708" s="8"/>
      <c r="L1708" s="8"/>
      <c r="M1708" s="8"/>
    </row>
    <row r="1709" spans="1:13">
      <c r="A1709" s="71" t="s">
        <v>2481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2482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2483</v>
      </c>
      <c r="B1711" s="67"/>
      <c r="C1711" s="18" t="s">
        <v>138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2484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25</v>
      </c>
      <c r="H1712" s="9"/>
      <c r="I1712" s="8"/>
      <c r="J1712" s="8"/>
      <c r="K1712" s="8"/>
      <c r="L1712" s="9" t="s">
        <v>179</v>
      </c>
      <c r="M1712" s="8"/>
    </row>
    <row r="1713" spans="1:13">
      <c r="A1713" s="71" t="s">
        <v>2485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25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2486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25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2487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2488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25</v>
      </c>
      <c r="H1716" s="9"/>
      <c r="I1716" s="8"/>
      <c r="J1716" s="8"/>
      <c r="K1716" s="8"/>
      <c r="L1716" s="9" t="s">
        <v>147</v>
      </c>
      <c r="M1716" s="8"/>
    </row>
    <row r="1717" spans="1:13">
      <c r="A1717" s="71" t="s">
        <v>2489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2490</v>
      </c>
      <c r="B1718" s="67">
        <v>26903961810</v>
      </c>
      <c r="C1718" s="72" t="s">
        <v>2491</v>
      </c>
      <c r="D1718" s="69">
        <v>40904229904</v>
      </c>
      <c r="E1718" s="9">
        <v>1555</v>
      </c>
      <c r="F1718" s="25">
        <v>43049</v>
      </c>
      <c r="G1718" s="70" t="s">
        <v>25</v>
      </c>
      <c r="H1718" s="9"/>
      <c r="I1718" s="8"/>
      <c r="J1718" s="8"/>
      <c r="K1718" s="8"/>
      <c r="L1718" s="9" t="s">
        <v>407</v>
      </c>
      <c r="M1718" s="8"/>
    </row>
    <row r="1719" spans="1:13">
      <c r="A1719" s="18" t="s">
        <v>2492</v>
      </c>
      <c r="B1719" s="67">
        <v>31611651875</v>
      </c>
      <c r="C1719" s="18" t="s">
        <v>2493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2494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25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2495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2496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25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2497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2498</v>
      </c>
      <c r="B1724" s="69">
        <v>22580790802</v>
      </c>
      <c r="C1724" s="71" t="s">
        <v>2499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2500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2501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2502</v>
      </c>
      <c r="B1727" s="69">
        <v>88565386520</v>
      </c>
      <c r="C1727" s="15" t="s">
        <v>2503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2504</v>
      </c>
      <c r="B1728" s="67">
        <v>1147816565</v>
      </c>
      <c r="C1728" s="72" t="s">
        <v>2505</v>
      </c>
      <c r="D1728" s="69">
        <v>24692193883</v>
      </c>
      <c r="E1728" s="9">
        <v>262</v>
      </c>
      <c r="F1728" s="25">
        <v>43160</v>
      </c>
      <c r="G1728" s="70" t="s">
        <v>25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2506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25</v>
      </c>
      <c r="H1729" s="9"/>
      <c r="I1729" s="8"/>
      <c r="J1729" s="8"/>
      <c r="K1729" s="8"/>
      <c r="L1729" s="9" t="s">
        <v>147</v>
      </c>
      <c r="M1729" s="8"/>
    </row>
    <row r="1730" spans="1:13">
      <c r="A1730" s="14" t="s">
        <v>2507</v>
      </c>
      <c r="B1730" s="67">
        <v>7039189402</v>
      </c>
      <c r="C1730" s="72" t="s">
        <v>2508</v>
      </c>
      <c r="D1730" s="69">
        <v>5531291558</v>
      </c>
      <c r="E1730" s="9">
        <v>262</v>
      </c>
      <c r="F1730" s="25">
        <v>43160</v>
      </c>
      <c r="G1730" s="70" t="s">
        <v>25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2509</v>
      </c>
      <c r="B1731" s="67">
        <v>34602647804</v>
      </c>
      <c r="C1731" s="72" t="s">
        <v>2510</v>
      </c>
      <c r="D1731" s="69">
        <v>27640163870</v>
      </c>
      <c r="E1731" s="9">
        <v>229</v>
      </c>
      <c r="F1731" s="25">
        <v>43151</v>
      </c>
      <c r="G1731" s="70" t="s">
        <v>25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2511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25</v>
      </c>
      <c r="H1732" s="9"/>
      <c r="I1732" s="8"/>
      <c r="J1732" s="8"/>
      <c r="K1732" s="8"/>
      <c r="L1732" s="8"/>
      <c r="M1732" s="8"/>
    </row>
    <row r="1733" spans="1:13">
      <c r="A1733" s="71" t="s">
        <v>2512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25</v>
      </c>
      <c r="H1733" s="9"/>
      <c r="I1733" s="8"/>
      <c r="J1733" s="8"/>
      <c r="K1733" s="8"/>
      <c r="L1733" s="9" t="s">
        <v>511</v>
      </c>
      <c r="M1733" s="8"/>
    </row>
    <row r="1734" spans="1:13">
      <c r="A1734" s="71" t="s">
        <v>2513</v>
      </c>
      <c r="B1734" s="67">
        <v>4656282570</v>
      </c>
      <c r="C1734" s="72" t="s">
        <v>2514</v>
      </c>
      <c r="D1734" s="69">
        <v>85025780578</v>
      </c>
      <c r="E1734" s="9">
        <v>85</v>
      </c>
      <c r="F1734" s="25">
        <v>43109</v>
      </c>
      <c r="G1734" s="70" t="s">
        <v>25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2515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2516</v>
      </c>
      <c r="B1736" s="67">
        <v>44808773805</v>
      </c>
      <c r="C1736" s="72" t="s">
        <v>2517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2518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25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2519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2520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25</v>
      </c>
      <c r="H1739" s="9"/>
      <c r="I1739" s="8"/>
      <c r="J1739" s="8"/>
      <c r="K1739" s="8"/>
      <c r="L1739" s="9" t="s">
        <v>147</v>
      </c>
      <c r="M1739" s="8"/>
    </row>
    <row r="1740" spans="1:13">
      <c r="A1740" s="71" t="s">
        <v>2521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40</v>
      </c>
      <c r="H1740" s="9"/>
      <c r="I1740" s="8"/>
      <c r="J1740" s="8"/>
      <c r="K1740" s="8"/>
      <c r="L1740" s="9" t="s">
        <v>262</v>
      </c>
      <c r="M1740" s="8"/>
    </row>
    <row r="1741" spans="1:13">
      <c r="A1741" s="15" t="s">
        <v>2522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25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2523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2524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2525</v>
      </c>
      <c r="B1744" s="67">
        <v>19129440491</v>
      </c>
      <c r="C1744" s="72" t="s">
        <v>2526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2527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25</v>
      </c>
      <c r="H1745" s="9"/>
      <c r="I1745" s="8"/>
      <c r="J1745" s="8"/>
      <c r="K1745" s="8"/>
      <c r="L1745" s="8"/>
      <c r="M1745" s="8"/>
    </row>
    <row r="1746" spans="1:13">
      <c r="A1746" s="71" t="s">
        <v>2528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25</v>
      </c>
      <c r="H1746" s="9"/>
      <c r="I1746" s="8"/>
      <c r="J1746" s="8"/>
      <c r="K1746" s="8"/>
      <c r="L1746" s="8"/>
      <c r="M1746" s="8"/>
    </row>
    <row r="1747" spans="1:13">
      <c r="A1747" s="15" t="s">
        <v>2529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25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2530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25</v>
      </c>
      <c r="H1748" s="9"/>
      <c r="I1748" s="8"/>
      <c r="J1748" s="8"/>
      <c r="K1748" s="8"/>
      <c r="L1748" s="9" t="s">
        <v>407</v>
      </c>
      <c r="M1748" s="8"/>
    </row>
    <row r="1749" spans="1:13">
      <c r="A1749" s="13" t="s">
        <v>2531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25</v>
      </c>
      <c r="H1749" s="9"/>
      <c r="I1749" s="8"/>
      <c r="J1749" s="8"/>
      <c r="K1749" s="8"/>
      <c r="L1749" s="8"/>
      <c r="M1749" s="8"/>
    </row>
    <row r="1750" spans="1:13">
      <c r="A1750" s="71" t="s">
        <v>2532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2533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25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2534</v>
      </c>
      <c r="B1752" s="67">
        <v>15634351871</v>
      </c>
      <c r="C1752" s="72" t="s">
        <v>2535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2536</v>
      </c>
      <c r="B1753" s="67">
        <v>35994306835</v>
      </c>
      <c r="C1753" s="72" t="s">
        <v>2537</v>
      </c>
      <c r="D1753" s="69">
        <v>25021610880</v>
      </c>
      <c r="E1753" s="9">
        <v>262</v>
      </c>
      <c r="F1753" s="25">
        <v>43160</v>
      </c>
      <c r="G1753" s="70" t="s">
        <v>25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2538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25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2539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2540</v>
      </c>
      <c r="B1756" s="67">
        <v>32525046854</v>
      </c>
      <c r="C1756" s="29" t="s">
        <v>138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2541</v>
      </c>
      <c r="B1757" s="67">
        <v>23704553816</v>
      </c>
      <c r="C1757" s="77" t="s">
        <v>2542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308</v>
      </c>
      <c r="M1757" s="8"/>
    </row>
    <row r="1758" spans="1:13">
      <c r="A1758" s="71" t="s">
        <v>2543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25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2544</v>
      </c>
      <c r="B1759" s="67">
        <v>3180351543</v>
      </c>
      <c r="C1759" s="72" t="s">
        <v>2545</v>
      </c>
      <c r="D1759" s="69">
        <v>38259838893</v>
      </c>
      <c r="E1759" s="9">
        <v>1752</v>
      </c>
      <c r="F1759" s="25">
        <v>43051</v>
      </c>
      <c r="G1759" s="70" t="s">
        <v>25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2546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25</v>
      </c>
      <c r="H1760" s="9"/>
      <c r="I1760" s="8"/>
      <c r="J1760" s="8"/>
      <c r="K1760" s="8"/>
      <c r="L1760" s="9" t="s">
        <v>147</v>
      </c>
      <c r="M1760" s="8"/>
    </row>
    <row r="1761" spans="1:13">
      <c r="A1761" s="71" t="s">
        <v>2547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25</v>
      </c>
      <c r="H1761" s="9"/>
      <c r="I1761" s="8"/>
      <c r="J1761" s="8"/>
      <c r="K1761" s="8"/>
      <c r="L1761" s="8"/>
      <c r="M1761" s="8"/>
    </row>
    <row r="1762" spans="1:13">
      <c r="A1762" s="14" t="s">
        <v>2548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2549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25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2550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25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2551</v>
      </c>
      <c r="B1765" s="80">
        <v>27034088896</v>
      </c>
      <c r="C1765" s="81" t="s">
        <v>2552</v>
      </c>
      <c r="D1765" s="82">
        <v>31801530831</v>
      </c>
      <c r="E1765" s="47">
        <v>1267</v>
      </c>
      <c r="F1765" s="48">
        <v>42998</v>
      </c>
      <c r="G1765" s="83" t="s">
        <v>32</v>
      </c>
      <c r="H1765" s="47"/>
      <c r="I1765" s="49"/>
      <c r="J1765" s="49"/>
      <c r="K1765" s="49"/>
      <c r="L1765" s="49"/>
      <c r="M1765" s="49"/>
    </row>
    <row r="1766" spans="1:13">
      <c r="A1766" s="15" t="s">
        <v>2553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2554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2555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25</v>
      </c>
      <c r="H1768" s="9"/>
      <c r="I1768" s="8"/>
      <c r="J1768" s="8"/>
      <c r="K1768" s="8"/>
      <c r="L1768" s="8"/>
      <c r="M1768" s="8"/>
    </row>
    <row r="1769" spans="1:13">
      <c r="A1769" s="71" t="s">
        <v>2556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25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2557</v>
      </c>
      <c r="B1770" s="67">
        <v>13035980861</v>
      </c>
      <c r="C1770" s="72" t="s">
        <v>2558</v>
      </c>
      <c r="D1770" s="69">
        <v>60623608553</v>
      </c>
      <c r="E1770" s="9">
        <v>1752</v>
      </c>
      <c r="F1770" s="25">
        <v>43051</v>
      </c>
      <c r="G1770" s="70" t="s">
        <v>25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2559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2560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25</v>
      </c>
      <c r="H1772" s="9"/>
      <c r="I1772" s="8"/>
      <c r="J1772" s="8"/>
      <c r="K1772" s="8"/>
      <c r="L1772" s="9" t="s">
        <v>147</v>
      </c>
      <c r="M1772" s="8"/>
    </row>
    <row r="1773" spans="1:13">
      <c r="A1773" s="29" t="s">
        <v>2561</v>
      </c>
      <c r="B1773" s="67">
        <v>7965453401</v>
      </c>
      <c r="C1773" s="29" t="s">
        <v>2562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2563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25</v>
      </c>
      <c r="H1774" s="9"/>
      <c r="I1774" s="8"/>
      <c r="J1774" s="8"/>
      <c r="K1774" s="8"/>
      <c r="L1774" s="8"/>
      <c r="M1774" s="8"/>
    </row>
    <row r="1775" spans="1:13">
      <c r="A1775" s="71" t="s">
        <v>2564</v>
      </c>
      <c r="B1775" s="67">
        <v>29335127850</v>
      </c>
      <c r="C1775" s="68" t="s">
        <v>2565</v>
      </c>
      <c r="D1775" s="69">
        <v>18384225877</v>
      </c>
      <c r="E1775" s="9">
        <v>1214</v>
      </c>
      <c r="F1775" s="25">
        <v>42989</v>
      </c>
      <c r="G1775" s="70" t="s">
        <v>25</v>
      </c>
      <c r="H1775" s="9"/>
      <c r="I1775" s="8"/>
      <c r="J1775" s="8"/>
      <c r="K1775" s="8"/>
      <c r="L1775" s="8"/>
      <c r="M1775" s="8"/>
    </row>
    <row r="1776" spans="1:13">
      <c r="A1776" s="71" t="s">
        <v>2566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25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2567</v>
      </c>
      <c r="B1777" s="67">
        <v>22530539880</v>
      </c>
      <c r="C1777" s="72" t="s">
        <v>2568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2569</v>
      </c>
      <c r="B1778" s="67">
        <v>22135571873</v>
      </c>
      <c r="C1778" s="72" t="s">
        <v>2570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2571</v>
      </c>
      <c r="B1779" s="67">
        <v>29928831823</v>
      </c>
      <c r="C1779" s="72" t="s">
        <v>2572</v>
      </c>
      <c r="D1779" s="69">
        <v>9500916428</v>
      </c>
      <c r="E1779" s="9">
        <v>810</v>
      </c>
      <c r="F1779" s="25">
        <v>42915</v>
      </c>
      <c r="G1779" s="70" t="s">
        <v>25</v>
      </c>
      <c r="H1779" s="9"/>
      <c r="I1779" s="8"/>
      <c r="J1779" s="8"/>
      <c r="K1779" s="8"/>
      <c r="L1779" s="9" t="s">
        <v>147</v>
      </c>
      <c r="M1779" s="8"/>
    </row>
    <row r="1780" spans="1:13">
      <c r="A1780" s="72" t="s">
        <v>2573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2574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25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2575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2576</v>
      </c>
      <c r="B1783" s="67"/>
      <c r="C1783" s="29" t="s">
        <v>138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2577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25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2578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25</v>
      </c>
      <c r="H1785" s="9"/>
      <c r="I1785" s="8"/>
      <c r="J1785" s="8"/>
      <c r="K1785" s="8"/>
      <c r="L1785" s="8"/>
      <c r="M1785" s="8"/>
    </row>
    <row r="1786" spans="1:13">
      <c r="A1786" s="71" t="s">
        <v>2579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25</v>
      </c>
      <c r="H1786" s="9"/>
      <c r="I1786" s="8"/>
      <c r="J1786" s="8"/>
      <c r="K1786" s="8"/>
      <c r="L1786" s="8"/>
      <c r="M1786" s="8"/>
    </row>
    <row r="1787" spans="1:13">
      <c r="A1787" s="71" t="s">
        <v>2580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25</v>
      </c>
      <c r="H1787" s="9"/>
      <c r="I1787" s="8"/>
      <c r="J1787" s="8"/>
      <c r="K1787" s="8"/>
      <c r="L1787" s="8"/>
      <c r="M1787" s="8"/>
    </row>
    <row r="1788" spans="1:13">
      <c r="A1788" s="71" t="s">
        <v>2581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25</v>
      </c>
      <c r="H1788" s="9"/>
      <c r="I1788" s="8"/>
      <c r="J1788" s="8"/>
      <c r="K1788" s="8"/>
      <c r="L1788" s="9" t="s">
        <v>147</v>
      </c>
      <c r="M1788" s="8"/>
    </row>
    <row r="1789" spans="1:13">
      <c r="A1789" s="71" t="s">
        <v>2582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25</v>
      </c>
      <c r="H1789" s="9"/>
      <c r="I1789" s="8"/>
      <c r="J1789" s="8"/>
      <c r="K1789" s="8"/>
      <c r="L1789" s="8"/>
      <c r="M1789" s="8"/>
    </row>
    <row r="1790" spans="1:13">
      <c r="A1790" s="71" t="s">
        <v>2583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25</v>
      </c>
      <c r="H1790" s="9"/>
      <c r="I1790" s="8"/>
      <c r="J1790" s="8"/>
      <c r="K1790" s="8"/>
      <c r="L1790" s="8"/>
      <c r="M1790" s="8"/>
    </row>
    <row r="1791" spans="1:13">
      <c r="A1791" s="15" t="s">
        <v>2584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25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2585</v>
      </c>
      <c r="B1792" s="67">
        <v>29652104825</v>
      </c>
      <c r="C1792" s="68" t="s">
        <v>2586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2587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25</v>
      </c>
      <c r="H1793" s="9"/>
      <c r="I1793" s="8"/>
      <c r="J1793" s="8"/>
      <c r="K1793" s="8"/>
      <c r="L1793" s="8"/>
      <c r="M1793" s="8"/>
    </row>
    <row r="1794" spans="1:13">
      <c r="A1794" s="14" t="s">
        <v>2588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2589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2590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25</v>
      </c>
      <c r="H1796" s="9"/>
      <c r="I1796" s="8"/>
      <c r="J1796" s="8"/>
      <c r="K1796" s="8"/>
      <c r="L1796" s="9" t="s">
        <v>511</v>
      </c>
      <c r="M1796" s="8"/>
    </row>
    <row r="1797" spans="1:13">
      <c r="A1797" s="71" t="s">
        <v>2591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25</v>
      </c>
      <c r="H1797" s="9"/>
      <c r="I1797" s="8"/>
      <c r="J1797" s="8"/>
      <c r="K1797" s="8"/>
      <c r="L1797" s="8"/>
      <c r="M1797" s="8"/>
    </row>
    <row r="1798" spans="1:13">
      <c r="A1798" s="29" t="s">
        <v>2592</v>
      </c>
      <c r="B1798" s="67">
        <v>6896659890</v>
      </c>
      <c r="C1798" s="29" t="s">
        <v>2593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2594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25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2595</v>
      </c>
      <c r="B1800" s="67">
        <v>60230380506</v>
      </c>
      <c r="C1800" s="72" t="s">
        <v>2596</v>
      </c>
      <c r="D1800" s="69">
        <v>30853536821</v>
      </c>
      <c r="E1800" s="9">
        <v>1570</v>
      </c>
      <c r="F1800" s="25">
        <v>43051</v>
      </c>
      <c r="G1800" s="70" t="s">
        <v>32</v>
      </c>
      <c r="H1800" s="9"/>
      <c r="I1800" s="8"/>
      <c r="J1800" s="8"/>
      <c r="K1800" s="8"/>
      <c r="L1800" s="8"/>
      <c r="M1800" s="8"/>
    </row>
    <row r="1801" spans="1:13">
      <c r="A1801" s="14" t="s">
        <v>2597</v>
      </c>
      <c r="B1801" s="67">
        <v>44556393817</v>
      </c>
      <c r="C1801" s="72" t="s">
        <v>2598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2599</v>
      </c>
      <c r="B1802" s="67">
        <v>35780076847</v>
      </c>
      <c r="C1802" s="29" t="s">
        <v>2600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2601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25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2602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25</v>
      </c>
      <c r="H1804" s="9"/>
      <c r="I1804" s="8"/>
      <c r="J1804" s="8"/>
      <c r="K1804" s="8"/>
      <c r="L1804" s="8"/>
      <c r="M1804" s="8"/>
    </row>
    <row r="1805" spans="1:13">
      <c r="A1805" s="71" t="s">
        <v>2603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2604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2605</v>
      </c>
      <c r="B1807" s="67">
        <v>8265497806</v>
      </c>
      <c r="C1807" s="18" t="s">
        <v>138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2606</v>
      </c>
      <c r="B1808" s="67">
        <v>27435732877</v>
      </c>
      <c r="C1808" s="29" t="s">
        <v>138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2607</v>
      </c>
      <c r="B1809" s="67">
        <v>17620421858</v>
      </c>
      <c r="C1809" s="72" t="s">
        <v>2608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2609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25</v>
      </c>
      <c r="H1810" s="9"/>
      <c r="I1810" s="8"/>
      <c r="J1810" s="8"/>
      <c r="K1810" s="8"/>
      <c r="L1810" s="8"/>
      <c r="M1810" s="8"/>
    </row>
    <row r="1811" spans="1:13">
      <c r="A1811" s="71" t="s">
        <v>2610</v>
      </c>
      <c r="B1811" s="78" t="s">
        <v>2611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2612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25</v>
      </c>
      <c r="H1812" s="9"/>
      <c r="I1812" s="8"/>
      <c r="J1812" s="8"/>
      <c r="K1812" s="8"/>
      <c r="L1812" s="8"/>
      <c r="M1812" s="8"/>
    </row>
    <row r="1813" spans="1:13">
      <c r="A1813" s="71" t="s">
        <v>2613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2614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2615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25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2616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308</v>
      </c>
      <c r="M1816" s="8"/>
    </row>
    <row r="1817" spans="1:13">
      <c r="A1817" s="14" t="s">
        <v>2617</v>
      </c>
      <c r="B1817" s="67">
        <v>24655581883</v>
      </c>
      <c r="C1817" s="72" t="s">
        <v>2618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2619</v>
      </c>
      <c r="B1818" s="67">
        <v>6455171861</v>
      </c>
      <c r="C1818" s="72" t="s">
        <v>2620</v>
      </c>
      <c r="D1818" s="69">
        <v>34375910534</v>
      </c>
      <c r="E1818" s="9">
        <v>1417</v>
      </c>
      <c r="F1818" s="25">
        <v>43017</v>
      </c>
      <c r="G1818" s="70" t="s">
        <v>25</v>
      </c>
      <c r="H1818" s="9"/>
      <c r="I1818" s="8"/>
      <c r="J1818" s="8"/>
      <c r="K1818" s="8"/>
      <c r="L1818" s="9" t="s">
        <v>262</v>
      </c>
      <c r="M1818" s="8"/>
    </row>
    <row r="1819" spans="1:13">
      <c r="A1819" s="71" t="s">
        <v>2621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25</v>
      </c>
      <c r="H1819" s="9"/>
      <c r="I1819" s="8"/>
      <c r="J1819" s="8"/>
      <c r="K1819" s="8"/>
      <c r="L1819" s="8"/>
      <c r="M1819" s="8"/>
    </row>
    <row r="1820" spans="1:13">
      <c r="A1820" s="71" t="s">
        <v>2622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25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2623</v>
      </c>
      <c r="B1821" s="67">
        <v>16417318850</v>
      </c>
      <c r="C1821" s="72" t="s">
        <v>2624</v>
      </c>
      <c r="D1821" s="69">
        <v>18195940846</v>
      </c>
      <c r="E1821" s="9">
        <v>810</v>
      </c>
      <c r="F1821" s="25">
        <v>42915</v>
      </c>
      <c r="G1821" s="70" t="s">
        <v>32</v>
      </c>
      <c r="H1821" s="9"/>
      <c r="I1821" s="8"/>
      <c r="J1821" s="8"/>
      <c r="K1821" s="8"/>
      <c r="L1821" s="9" t="s">
        <v>147</v>
      </c>
      <c r="M1821" s="8"/>
    </row>
    <row r="1822" spans="1:13">
      <c r="A1822" s="14" t="s">
        <v>2625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25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2626</v>
      </c>
      <c r="B1823" s="67">
        <v>14369207878</v>
      </c>
      <c r="C1823" s="72" t="s">
        <v>2627</v>
      </c>
      <c r="D1823" s="69">
        <v>7358923421</v>
      </c>
      <c r="E1823" s="9">
        <v>292</v>
      </c>
      <c r="F1823" s="25">
        <v>43168</v>
      </c>
      <c r="G1823" s="9" t="s">
        <v>25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2628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2628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2629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25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2630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2631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2632</v>
      </c>
      <c r="B1829" s="67" t="s">
        <v>2633</v>
      </c>
      <c r="C1829" s="72" t="s">
        <v>2634</v>
      </c>
      <c r="D1829" s="69">
        <v>43860821822</v>
      </c>
      <c r="E1829" s="9">
        <v>1752</v>
      </c>
      <c r="F1829" s="25">
        <v>43051</v>
      </c>
      <c r="G1829" s="70" t="s">
        <v>25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2632</v>
      </c>
      <c r="B1830" s="67"/>
      <c r="C1830" s="18" t="s">
        <v>138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2635</v>
      </c>
      <c r="B1831" s="67">
        <v>32969576856</v>
      </c>
      <c r="C1831" s="72" t="s">
        <v>2636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2637</v>
      </c>
      <c r="B1832" s="67">
        <v>23651706842</v>
      </c>
      <c r="C1832" s="18" t="s">
        <v>2638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2639</v>
      </c>
      <c r="B1833" s="67"/>
      <c r="C1833" s="29" t="s">
        <v>2640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2641</v>
      </c>
      <c r="B1834" s="67">
        <v>24891699809</v>
      </c>
      <c r="C1834" s="72" t="s">
        <v>2642</v>
      </c>
      <c r="D1834" s="69">
        <v>17610300861</v>
      </c>
      <c r="E1834" s="9">
        <v>262</v>
      </c>
      <c r="F1834" s="25">
        <v>43160</v>
      </c>
      <c r="G1834" s="70" t="s">
        <v>32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2643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25</v>
      </c>
      <c r="H1835" s="9"/>
      <c r="I1835" s="8"/>
      <c r="J1835" s="8"/>
      <c r="K1835" s="8"/>
      <c r="L1835" s="8"/>
      <c r="M1835" s="8"/>
    </row>
    <row r="1836" spans="1:13">
      <c r="A1836" s="71" t="s">
        <v>2644</v>
      </c>
      <c r="B1836" s="67">
        <v>79465617687</v>
      </c>
      <c r="C1836" s="77" t="s">
        <v>2645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308</v>
      </c>
      <c r="M1836" s="8"/>
    </row>
    <row r="1837" spans="1:13">
      <c r="A1837" s="29" t="s">
        <v>2646</v>
      </c>
      <c r="B1837" s="67"/>
      <c r="C1837" s="29" t="s">
        <v>138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2647</v>
      </c>
      <c r="B1838" s="67" t="s">
        <v>2648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2649</v>
      </c>
      <c r="B1839" s="67">
        <v>8545670893</v>
      </c>
      <c r="C1839" s="18" t="s">
        <v>2650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2649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25</v>
      </c>
      <c r="H1840" s="9"/>
      <c r="I1840" s="8"/>
      <c r="J1840" s="8"/>
      <c r="K1840" s="8"/>
      <c r="L1840" s="9" t="s">
        <v>147</v>
      </c>
      <c r="M1840" s="8"/>
    </row>
    <row r="1841" spans="1:13">
      <c r="A1841" s="72" t="s">
        <v>2651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2652</v>
      </c>
      <c r="B1842" s="67"/>
      <c r="C1842" s="29" t="s">
        <v>138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2653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25</v>
      </c>
      <c r="H1843" s="9"/>
      <c r="I1843" s="8"/>
      <c r="J1843" s="8"/>
      <c r="K1843" s="8"/>
      <c r="L1843" s="8"/>
      <c r="M1843" s="8"/>
    </row>
    <row r="1844" spans="1:13">
      <c r="A1844" s="72" t="s">
        <v>2654</v>
      </c>
      <c r="B1844" s="69">
        <v>84920157487</v>
      </c>
      <c r="C1844" s="71" t="s">
        <v>2655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2656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2657</v>
      </c>
      <c r="B1846" s="67">
        <v>35331745814</v>
      </c>
      <c r="C1846" s="75" t="s">
        <v>2658</v>
      </c>
      <c r="D1846" s="69">
        <v>33184459837</v>
      </c>
      <c r="E1846" s="9">
        <v>1106</v>
      </c>
      <c r="F1846" s="25">
        <v>42965</v>
      </c>
      <c r="G1846" s="70" t="s">
        <v>25</v>
      </c>
      <c r="H1846" s="9"/>
      <c r="I1846" s="8"/>
      <c r="J1846" s="8"/>
      <c r="K1846" s="8"/>
      <c r="L1846" s="8"/>
      <c r="M1846" s="8"/>
    </row>
    <row r="1847" spans="1:13">
      <c r="A1847" s="15" t="s">
        <v>2659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25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2660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2661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25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2662</v>
      </c>
      <c r="B1850" s="67">
        <v>14686278805</v>
      </c>
      <c r="C1850" s="18" t="s">
        <v>138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2663</v>
      </c>
      <c r="B1851" s="67">
        <v>14857592851</v>
      </c>
      <c r="C1851" s="72" t="s">
        <v>2664</v>
      </c>
      <c r="D1851" s="69">
        <v>35142215885</v>
      </c>
      <c r="E1851" s="9">
        <v>1106</v>
      </c>
      <c r="F1851" s="25">
        <v>42965</v>
      </c>
      <c r="G1851" s="70" t="s">
        <v>25</v>
      </c>
      <c r="H1851" s="9"/>
      <c r="I1851" s="8"/>
      <c r="J1851" s="8"/>
      <c r="K1851" s="8"/>
      <c r="L1851" s="8"/>
      <c r="M1851" s="8"/>
    </row>
    <row r="1852" spans="1:13">
      <c r="A1852" s="71" t="s">
        <v>2665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25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2666</v>
      </c>
      <c r="B1853" s="67">
        <v>35714112857</v>
      </c>
      <c r="C1853" s="72" t="s">
        <v>2667</v>
      </c>
      <c r="D1853" s="69">
        <v>32342783850</v>
      </c>
      <c r="E1853" s="9">
        <v>810</v>
      </c>
      <c r="F1853" s="25">
        <v>42915</v>
      </c>
      <c r="G1853" s="70" t="s">
        <v>25</v>
      </c>
      <c r="H1853" s="9"/>
      <c r="I1853" s="8"/>
      <c r="J1853" s="8"/>
      <c r="K1853" s="8"/>
      <c r="L1853" s="9" t="s">
        <v>147</v>
      </c>
      <c r="M1853" s="8"/>
    </row>
    <row r="1854" spans="1:13">
      <c r="A1854" s="15" t="s">
        <v>2668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2669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25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2670</v>
      </c>
      <c r="B1856" s="67">
        <v>22009621859</v>
      </c>
      <c r="C1856" s="72" t="s">
        <v>2671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2672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25</v>
      </c>
      <c r="H1857" s="9"/>
      <c r="I1857" s="8"/>
      <c r="J1857" s="8"/>
      <c r="K1857" s="8"/>
      <c r="L1857" s="9" t="s">
        <v>147</v>
      </c>
      <c r="M1857" s="8"/>
    </row>
    <row r="1858" spans="1:13">
      <c r="A1858" s="71" t="s">
        <v>2673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25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2674</v>
      </c>
      <c r="B1859" s="67">
        <v>32752183879</v>
      </c>
      <c r="C1859" s="72" t="s">
        <v>2675</v>
      </c>
      <c r="D1859" s="69">
        <v>15202346867</v>
      </c>
      <c r="E1859" s="9">
        <v>85</v>
      </c>
      <c r="F1859" s="25">
        <v>43109</v>
      </c>
      <c r="G1859" s="70" t="s">
        <v>25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2676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2677</v>
      </c>
      <c r="B1861" s="67">
        <v>13622732873</v>
      </c>
      <c r="C1861" s="68"/>
      <c r="D1861" s="69"/>
      <c r="E1861" s="9"/>
      <c r="F1861" s="25"/>
      <c r="G1861" s="70" t="s">
        <v>25</v>
      </c>
      <c r="H1861" s="9"/>
      <c r="I1861" s="8"/>
      <c r="J1861" s="8"/>
      <c r="K1861" s="8"/>
      <c r="L1861" s="8"/>
      <c r="M1861" s="8"/>
    </row>
    <row r="1862" spans="1:13">
      <c r="A1862" s="71" t="s">
        <v>2678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2679</v>
      </c>
      <c r="B1863" s="67">
        <v>17094778813</v>
      </c>
      <c r="C1863" s="72" t="s">
        <v>2680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2681</v>
      </c>
      <c r="B1864" s="67"/>
      <c r="C1864" s="72" t="s">
        <v>2682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2683</v>
      </c>
      <c r="B1865" s="67">
        <v>43289674878</v>
      </c>
      <c r="C1865" s="72" t="s">
        <v>2684</v>
      </c>
      <c r="D1865" s="69">
        <v>39726735823</v>
      </c>
      <c r="E1865" s="9">
        <v>810</v>
      </c>
      <c r="F1865" s="25">
        <v>42915</v>
      </c>
      <c r="G1865" s="70" t="s">
        <v>25</v>
      </c>
      <c r="H1865" s="9"/>
      <c r="I1865" s="8"/>
      <c r="J1865" s="8"/>
      <c r="K1865" s="8"/>
      <c r="L1865" s="9" t="s">
        <v>147</v>
      </c>
      <c r="M1865" s="8"/>
    </row>
    <row r="1866" spans="1:13">
      <c r="A1866" s="29" t="s">
        <v>2685</v>
      </c>
      <c r="B1866" s="67">
        <v>3778856812</v>
      </c>
      <c r="C1866" s="18" t="s">
        <v>138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2686</v>
      </c>
      <c r="B1867" s="67">
        <v>36074731888</v>
      </c>
      <c r="C1867" s="29" t="s">
        <v>138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2687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2688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25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2689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308</v>
      </c>
      <c r="M1870" s="8"/>
    </row>
    <row r="1871" spans="1:13">
      <c r="A1871" s="71" t="s">
        <v>2690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2691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25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2692</v>
      </c>
      <c r="B1873" s="67">
        <v>35885861803</v>
      </c>
      <c r="C1873" s="72" t="s">
        <v>2693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2694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2695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25</v>
      </c>
      <c r="H1875" s="9"/>
      <c r="I1875" s="8"/>
      <c r="J1875" s="8"/>
      <c r="K1875" s="8"/>
      <c r="L1875" s="9" t="s">
        <v>147</v>
      </c>
      <c r="M1875" s="8"/>
    </row>
    <row r="1876" spans="1:13">
      <c r="A1876" s="13" t="s">
        <v>2696</v>
      </c>
      <c r="B1876" s="67">
        <v>14888258821</v>
      </c>
      <c r="C1876" s="72" t="s">
        <v>2697</v>
      </c>
      <c r="D1876" s="69">
        <v>9173891827</v>
      </c>
      <c r="E1876" s="9">
        <v>229</v>
      </c>
      <c r="F1876" s="25">
        <v>43151</v>
      </c>
      <c r="G1876" s="70" t="s">
        <v>25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2698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25</v>
      </c>
      <c r="H1877" s="9"/>
      <c r="I1877" s="8"/>
      <c r="J1877" s="8"/>
      <c r="K1877" s="8"/>
      <c r="L1877" s="9" t="s">
        <v>511</v>
      </c>
      <c r="M1877" s="8"/>
    </row>
    <row r="1878" spans="1:13">
      <c r="A1878" s="73" t="s">
        <v>2699</v>
      </c>
      <c r="B1878" s="67">
        <v>36238125870</v>
      </c>
      <c r="C1878" s="72" t="s">
        <v>2700</v>
      </c>
      <c r="D1878" s="69">
        <v>44321368391</v>
      </c>
      <c r="E1878" s="9">
        <v>1106</v>
      </c>
      <c r="F1878" s="25">
        <v>42965</v>
      </c>
      <c r="G1878" s="70" t="s">
        <v>25</v>
      </c>
      <c r="H1878" s="9"/>
      <c r="I1878" s="8"/>
      <c r="J1878" s="8"/>
      <c r="K1878" s="8"/>
      <c r="L1878" s="8"/>
      <c r="M1878" s="8"/>
    </row>
    <row r="1879" spans="1:13">
      <c r="A1879" s="71" t="s">
        <v>2701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25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2702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2703</v>
      </c>
      <c r="B1881" s="67">
        <v>25970465836</v>
      </c>
      <c r="C1881" s="29" t="s">
        <v>2704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2705</v>
      </c>
      <c r="B1882" s="67">
        <v>26569869825</v>
      </c>
      <c r="C1882" s="15" t="s">
        <v>2706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2707</v>
      </c>
      <c r="B1883" s="67">
        <v>87835053349</v>
      </c>
      <c r="C1883" s="72" t="s">
        <v>2708</v>
      </c>
      <c r="D1883" s="69">
        <v>18172850840</v>
      </c>
      <c r="E1883" s="9">
        <v>1106</v>
      </c>
      <c r="F1883" s="25">
        <v>42965</v>
      </c>
      <c r="G1883" s="70" t="s">
        <v>25</v>
      </c>
      <c r="H1883" s="9"/>
      <c r="I1883" s="8"/>
      <c r="J1883" s="8"/>
      <c r="K1883" s="8"/>
      <c r="L1883" s="8"/>
      <c r="M1883" s="8"/>
    </row>
    <row r="1884" spans="1:13">
      <c r="A1884" s="71" t="s">
        <v>2709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308</v>
      </c>
      <c r="M1884" s="8"/>
    </row>
    <row r="1885" spans="1:13">
      <c r="A1885" s="72" t="s">
        <v>2710</v>
      </c>
      <c r="B1885" s="67">
        <v>32747471810</v>
      </c>
      <c r="C1885" s="72" t="s">
        <v>2711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2712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2713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25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2714</v>
      </c>
      <c r="B1888" s="67">
        <v>31413965822</v>
      </c>
      <c r="C1888" s="72" t="s">
        <v>2715</v>
      </c>
      <c r="D1888" s="69">
        <v>17486425882</v>
      </c>
      <c r="E1888" s="9">
        <v>1106</v>
      </c>
      <c r="F1888" s="25">
        <v>42965</v>
      </c>
      <c r="G1888" s="70" t="s">
        <v>25</v>
      </c>
      <c r="H1888" s="9"/>
      <c r="I1888" s="8"/>
      <c r="J1888" s="8"/>
      <c r="K1888" s="8"/>
      <c r="L1888" s="8"/>
      <c r="M1888" s="8"/>
    </row>
    <row r="1889" spans="1:13">
      <c r="A1889" s="33" t="s">
        <v>2716</v>
      </c>
      <c r="B1889" s="67">
        <v>35736302861</v>
      </c>
      <c r="C1889" s="72" t="s">
        <v>2717</v>
      </c>
      <c r="D1889" s="69">
        <v>39355200854</v>
      </c>
      <c r="E1889" s="9">
        <v>229</v>
      </c>
      <c r="F1889" s="25">
        <v>43151</v>
      </c>
      <c r="G1889" s="70" t="s">
        <v>25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2718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25</v>
      </c>
      <c r="H1890" s="9"/>
      <c r="I1890" s="8"/>
      <c r="J1890" s="8"/>
      <c r="K1890" s="8"/>
      <c r="L1890" s="8"/>
      <c r="M1890" s="8"/>
    </row>
    <row r="1891" spans="1:13">
      <c r="A1891" s="15" t="s">
        <v>2719</v>
      </c>
      <c r="B1891" s="67">
        <v>16364261825</v>
      </c>
      <c r="C1891" s="72" t="s">
        <v>2720</v>
      </c>
      <c r="D1891" s="69">
        <v>3293003427</v>
      </c>
      <c r="E1891" s="9">
        <v>117</v>
      </c>
      <c r="F1891" s="25">
        <v>43117</v>
      </c>
      <c r="G1891" s="70" t="s">
        <v>25</v>
      </c>
      <c r="H1891" s="9"/>
      <c r="I1891" s="8"/>
      <c r="J1891" s="8"/>
      <c r="K1891" s="8"/>
      <c r="L1891" s="9" t="s">
        <v>179</v>
      </c>
      <c r="M1891" s="8"/>
    </row>
    <row r="1892" spans="1:13">
      <c r="A1892" s="84" t="s">
        <v>2721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2722</v>
      </c>
      <c r="B1893" s="67">
        <v>33729129856</v>
      </c>
      <c r="C1893" s="72" t="s">
        <v>2723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2724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25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2725</v>
      </c>
      <c r="B1895" s="67">
        <v>6579182458</v>
      </c>
      <c r="C1895" s="72" t="s">
        <v>2726</v>
      </c>
      <c r="D1895" s="69">
        <v>7424068490</v>
      </c>
      <c r="E1895" s="9">
        <v>810</v>
      </c>
      <c r="F1895" s="25">
        <v>42915</v>
      </c>
      <c r="G1895" s="70" t="s">
        <v>25</v>
      </c>
      <c r="H1895" s="9"/>
      <c r="I1895" s="8"/>
      <c r="J1895" s="8"/>
      <c r="K1895" s="8"/>
      <c r="L1895" s="9" t="s">
        <v>147</v>
      </c>
      <c r="M1895" s="8"/>
    </row>
    <row r="1896" spans="1:13">
      <c r="A1896" s="71" t="s">
        <v>2727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2728</v>
      </c>
      <c r="B1897" s="67">
        <v>65195140553</v>
      </c>
      <c r="C1897" s="29" t="s">
        <v>138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2729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2729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25</v>
      </c>
      <c r="H1899" s="9"/>
      <c r="I1899" s="8"/>
      <c r="J1899" s="8"/>
      <c r="K1899" s="8"/>
      <c r="L1899" s="8"/>
      <c r="M1899" s="8"/>
    </row>
    <row r="1900" spans="1:13">
      <c r="A1900" s="71" t="s">
        <v>2730</v>
      </c>
      <c r="B1900" s="67">
        <v>17146759806</v>
      </c>
      <c r="C1900" s="72" t="s">
        <v>2731</v>
      </c>
      <c r="D1900" s="69">
        <v>39095494896</v>
      </c>
      <c r="E1900" s="9">
        <v>1262</v>
      </c>
      <c r="F1900" s="25">
        <v>42997</v>
      </c>
      <c r="G1900" s="70" t="s">
        <v>32</v>
      </c>
      <c r="H1900" s="9"/>
      <c r="I1900" s="8"/>
      <c r="J1900" s="8"/>
      <c r="K1900" s="8"/>
      <c r="L1900" s="8"/>
      <c r="M1900" s="8"/>
    </row>
    <row r="1901" spans="1:13">
      <c r="A1901" s="13" t="s">
        <v>2732</v>
      </c>
      <c r="B1901" s="67">
        <v>3893020403</v>
      </c>
      <c r="C1901" s="68" t="s">
        <v>2733</v>
      </c>
      <c r="D1901" s="69">
        <v>31615704809</v>
      </c>
      <c r="E1901" s="9">
        <v>1128</v>
      </c>
      <c r="F1901" s="25">
        <v>42972</v>
      </c>
      <c r="G1901" s="70" t="s">
        <v>25</v>
      </c>
      <c r="H1901" s="9"/>
      <c r="I1901" s="8"/>
      <c r="J1901" s="8"/>
      <c r="K1901" s="8"/>
      <c r="L1901" s="8"/>
      <c r="M1901" s="8"/>
    </row>
    <row r="1902" spans="1:13">
      <c r="A1902" s="73" t="s">
        <v>2734</v>
      </c>
      <c r="B1902" s="67">
        <v>70116695404</v>
      </c>
      <c r="C1902" s="72" t="s">
        <v>2735</v>
      </c>
      <c r="D1902" s="69">
        <v>66319943491</v>
      </c>
      <c r="E1902" s="9">
        <v>1106</v>
      </c>
      <c r="F1902" s="25">
        <v>42965</v>
      </c>
      <c r="G1902" s="70" t="s">
        <v>25</v>
      </c>
      <c r="H1902" s="9"/>
      <c r="I1902" s="8"/>
      <c r="J1902" s="8"/>
      <c r="K1902" s="8"/>
      <c r="L1902" s="8"/>
      <c r="M1902" s="8"/>
    </row>
    <row r="1903" spans="1:13">
      <c r="A1903" s="29" t="s">
        <v>2736</v>
      </c>
      <c r="B1903" s="67"/>
      <c r="C1903" s="29" t="s">
        <v>2737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2738</v>
      </c>
      <c r="B1904" s="67"/>
      <c r="C1904" s="29" t="s">
        <v>138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2739</v>
      </c>
      <c r="B1905" s="67"/>
      <c r="C1905" s="29" t="s">
        <v>2740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2741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25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2742</v>
      </c>
      <c r="B1907" s="67">
        <v>6936214436</v>
      </c>
      <c r="C1907" s="72" t="s">
        <v>2743</v>
      </c>
      <c r="D1907" s="69">
        <v>8583452423</v>
      </c>
      <c r="E1907" s="9">
        <v>85</v>
      </c>
      <c r="F1907" s="25">
        <v>43109</v>
      </c>
      <c r="G1907" s="70" t="s">
        <v>25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2744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25</v>
      </c>
      <c r="H1908" s="9"/>
      <c r="I1908" s="8"/>
      <c r="J1908" s="8"/>
      <c r="K1908" s="8"/>
      <c r="L1908" s="9" t="s">
        <v>147</v>
      </c>
      <c r="M1908" s="8"/>
    </row>
    <row r="1909" spans="1:13">
      <c r="A1909" s="15" t="s">
        <v>2745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25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2746</v>
      </c>
      <c r="B1910" s="67">
        <v>35264817847</v>
      </c>
      <c r="C1910" s="29" t="s">
        <v>138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2747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2748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25</v>
      </c>
      <c r="H1912" s="9"/>
      <c r="I1912" s="8"/>
      <c r="J1912" s="8"/>
      <c r="K1912" s="8"/>
      <c r="L1912" s="8"/>
      <c r="M1912" s="8"/>
    </row>
    <row r="1913" spans="1:13">
      <c r="A1913" s="71" t="s">
        <v>2749</v>
      </c>
      <c r="B1913" s="67">
        <v>90046226591</v>
      </c>
      <c r="C1913" s="72" t="s">
        <v>2750</v>
      </c>
      <c r="D1913" s="69">
        <v>74829505591</v>
      </c>
      <c r="E1913" s="9">
        <v>262</v>
      </c>
      <c r="F1913" s="25">
        <v>43160</v>
      </c>
      <c r="G1913" s="9" t="s">
        <v>25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2751</v>
      </c>
      <c r="B1914" s="67">
        <v>29871369867</v>
      </c>
      <c r="C1914" s="72" t="s">
        <v>2752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2753</v>
      </c>
      <c r="B1915" s="67">
        <v>26681571883</v>
      </c>
      <c r="C1915" s="71" t="s">
        <v>2754</v>
      </c>
      <c r="D1915" s="69">
        <v>18465693897</v>
      </c>
      <c r="E1915" s="9">
        <v>292</v>
      </c>
      <c r="F1915" s="25">
        <v>43168</v>
      </c>
      <c r="G1915" s="70" t="s">
        <v>25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2755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2756</v>
      </c>
      <c r="B1917" s="67">
        <v>26526680801</v>
      </c>
      <c r="C1917" s="68" t="s">
        <v>2757</v>
      </c>
      <c r="D1917" s="69">
        <v>7117205631</v>
      </c>
      <c r="E1917" s="9">
        <v>1128</v>
      </c>
      <c r="F1917" s="25">
        <v>42972</v>
      </c>
      <c r="G1917" s="70" t="s">
        <v>25</v>
      </c>
      <c r="H1917" s="9"/>
      <c r="I1917" s="8"/>
      <c r="J1917" s="8"/>
      <c r="K1917" s="8"/>
      <c r="L1917" s="8"/>
      <c r="M1917" s="8"/>
    </row>
    <row r="1918" spans="1:13">
      <c r="A1918" s="71" t="s">
        <v>2758</v>
      </c>
      <c r="B1918" s="67">
        <v>67285902420</v>
      </c>
      <c r="C1918" s="72" t="s">
        <v>1526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308</v>
      </c>
      <c r="M1918" s="8"/>
    </row>
    <row r="1919" spans="1:13">
      <c r="A1919" s="29" t="s">
        <v>2759</v>
      </c>
      <c r="B1919" s="67"/>
      <c r="C1919" s="18" t="s">
        <v>138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2760</v>
      </c>
      <c r="B1920" s="67">
        <v>1097111490</v>
      </c>
      <c r="C1920" s="77" t="s">
        <v>2761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308</v>
      </c>
      <c r="M1920" s="8"/>
    </row>
    <row r="1921" spans="1:13">
      <c r="A1921" s="71" t="s">
        <v>2762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25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2763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25</v>
      </c>
      <c r="H1922" s="9"/>
      <c r="I1922" s="8"/>
      <c r="J1922" s="8"/>
      <c r="K1922" s="8"/>
      <c r="L1922" s="8"/>
      <c r="M1922" s="8"/>
    </row>
    <row r="1923" spans="1:13">
      <c r="A1923" s="71" t="s">
        <v>2764</v>
      </c>
      <c r="B1923" s="67">
        <v>16756911856</v>
      </c>
      <c r="C1923" s="72" t="s">
        <v>2765</v>
      </c>
      <c r="D1923" s="69">
        <v>10411415808</v>
      </c>
      <c r="E1923" s="9">
        <v>1752</v>
      </c>
      <c r="F1923" s="25">
        <v>43051</v>
      </c>
      <c r="G1923" s="70" t="s">
        <v>25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2766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2767</v>
      </c>
      <c r="B1925" s="67"/>
      <c r="C1925" s="72" t="s">
        <v>2768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2769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32</v>
      </c>
      <c r="H1926" s="9"/>
      <c r="I1926" s="8"/>
      <c r="J1926" s="8"/>
      <c r="K1926" s="8"/>
      <c r="L1926" s="8"/>
      <c r="M1926" s="8"/>
    </row>
    <row r="1927" spans="1:13">
      <c r="A1927" s="72" t="s">
        <v>2770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2771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25</v>
      </c>
      <c r="H1928" s="9"/>
      <c r="I1928" s="8"/>
      <c r="J1928" s="8"/>
      <c r="K1928" s="8"/>
      <c r="L1928" s="9" t="s">
        <v>511</v>
      </c>
      <c r="M1928" s="8"/>
    </row>
    <row r="1929" spans="1:13">
      <c r="A1929" s="29" t="s">
        <v>2772</v>
      </c>
      <c r="B1929" s="67"/>
      <c r="C1929" s="29" t="s">
        <v>138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2773</v>
      </c>
      <c r="B1930" s="67"/>
      <c r="C1930" s="29" t="s">
        <v>2774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2775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25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2776</v>
      </c>
      <c r="B1932" s="67">
        <v>30900118830</v>
      </c>
      <c r="C1932" s="72" t="s">
        <v>2777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2778</v>
      </c>
      <c r="B1933" s="67">
        <v>64217299400</v>
      </c>
      <c r="C1933" s="18" t="s">
        <v>2779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2780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2781</v>
      </c>
      <c r="B1935" s="67">
        <v>95875409487</v>
      </c>
      <c r="C1935" s="72" t="s">
        <v>2782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2783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2784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25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2785</v>
      </c>
      <c r="B1938" s="67">
        <v>26655730325</v>
      </c>
      <c r="C1938" s="72" t="s">
        <v>2786</v>
      </c>
      <c r="D1938" s="69">
        <v>59222891520</v>
      </c>
      <c r="E1938" s="9">
        <v>262</v>
      </c>
      <c r="F1938" s="25">
        <v>43160</v>
      </c>
      <c r="G1938" s="70" t="s">
        <v>25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2787</v>
      </c>
      <c r="B1939" s="67">
        <v>15696788807</v>
      </c>
      <c r="C1939" s="72" t="s">
        <v>2788</v>
      </c>
      <c r="D1939" s="69">
        <v>4231184801</v>
      </c>
      <c r="E1939" s="9">
        <v>1555</v>
      </c>
      <c r="F1939" s="25">
        <v>43049</v>
      </c>
      <c r="G1939" s="70" t="s">
        <v>25</v>
      </c>
      <c r="H1939" s="9"/>
      <c r="I1939" s="8"/>
      <c r="J1939" s="8"/>
      <c r="K1939" s="8"/>
      <c r="L1939" s="9" t="s">
        <v>407</v>
      </c>
      <c r="M1939" s="8"/>
    </row>
    <row r="1940" spans="1:13">
      <c r="A1940" s="71" t="s">
        <v>2789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32</v>
      </c>
      <c r="H1940" s="9"/>
      <c r="I1940" s="8"/>
      <c r="J1940" s="8"/>
      <c r="K1940" s="8"/>
      <c r="L1940" s="8"/>
      <c r="M1940" s="8"/>
    </row>
    <row r="1941" spans="1:13">
      <c r="A1941" s="71" t="s">
        <v>2790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25</v>
      </c>
      <c r="H1941" s="9"/>
      <c r="I1941" s="8"/>
      <c r="J1941" s="8"/>
      <c r="K1941" s="8"/>
      <c r="L1941" s="9" t="s">
        <v>179</v>
      </c>
      <c r="M1941" s="8"/>
    </row>
    <row r="1942" spans="1:13">
      <c r="A1942" s="71" t="s">
        <v>2791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25</v>
      </c>
      <c r="H1942" s="9"/>
      <c r="I1942" s="8"/>
      <c r="J1942" s="8"/>
      <c r="K1942" s="8"/>
      <c r="L1942" s="8"/>
      <c r="M1942" s="8"/>
    </row>
    <row r="1943" spans="1:13">
      <c r="A1943" s="71" t="s">
        <v>2792</v>
      </c>
      <c r="B1943" s="67">
        <v>1280254688</v>
      </c>
      <c r="C1943" s="72" t="s">
        <v>2793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2794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25</v>
      </c>
      <c r="H1944" s="9"/>
      <c r="I1944" s="8"/>
      <c r="J1944" s="8"/>
      <c r="K1944" s="8"/>
      <c r="L1944" s="8"/>
      <c r="M1944" s="8"/>
    </row>
    <row r="1945" spans="1:13">
      <c r="A1945" s="15" t="s">
        <v>2795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2796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2797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25</v>
      </c>
      <c r="H1947" s="9"/>
      <c r="I1947" s="8"/>
      <c r="J1947" s="8"/>
      <c r="K1947" s="8"/>
      <c r="L1947" s="8"/>
      <c r="M1947" s="8"/>
    </row>
    <row r="1948" spans="1:13">
      <c r="A1948" s="14" t="s">
        <v>2798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2798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25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2798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25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2799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2800</v>
      </c>
      <c r="B1952" s="67">
        <v>33635659843</v>
      </c>
      <c r="C1952" s="29" t="s">
        <v>2801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2802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25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2802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308</v>
      </c>
      <c r="M1954" s="8"/>
    </row>
    <row r="1955" spans="1:13">
      <c r="A1955" s="71" t="s">
        <v>2803</v>
      </c>
      <c r="B1955" s="67">
        <v>36841231880</v>
      </c>
      <c r="C1955" s="77" t="s">
        <v>2804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2805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25</v>
      </c>
      <c r="H1956" s="9"/>
      <c r="I1956" s="8"/>
      <c r="J1956" s="8"/>
      <c r="K1956" s="8"/>
      <c r="L1956" s="9" t="s">
        <v>169</v>
      </c>
      <c r="M1956" s="8"/>
    </row>
    <row r="1957" spans="1:13">
      <c r="A1957" s="29" t="s">
        <v>2806</v>
      </c>
      <c r="B1957" s="67"/>
      <c r="C1957" s="29" t="s">
        <v>138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2807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25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2808</v>
      </c>
      <c r="B1959" s="67"/>
      <c r="C1959" s="29" t="s">
        <v>2809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2810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2811</v>
      </c>
      <c r="B1961" s="67">
        <v>64404714734</v>
      </c>
      <c r="C1961" s="29" t="s">
        <v>2812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2813</v>
      </c>
      <c r="B1962" s="67">
        <v>29783527878</v>
      </c>
      <c r="C1962" s="29" t="s">
        <v>2814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2815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25</v>
      </c>
      <c r="H1963" s="9"/>
      <c r="I1963" s="8"/>
      <c r="J1963" s="8"/>
      <c r="K1963" s="8"/>
      <c r="L1963" s="8"/>
      <c r="M1963" s="8"/>
    </row>
    <row r="1964" spans="1:13">
      <c r="A1964" s="18" t="s">
        <v>2816</v>
      </c>
      <c r="B1964" s="67">
        <v>70155356372</v>
      </c>
      <c r="C1964" s="18" t="s">
        <v>2817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2818</v>
      </c>
      <c r="B1965" s="67">
        <v>4350125337</v>
      </c>
      <c r="C1965" s="72" t="s">
        <v>2819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2820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40</v>
      </c>
      <c r="H1966" s="9"/>
      <c r="I1966" s="8"/>
      <c r="J1966" s="8"/>
      <c r="K1966" s="8"/>
      <c r="L1966" s="9" t="s">
        <v>262</v>
      </c>
      <c r="M1966" s="8"/>
    </row>
    <row r="1967" spans="1:13">
      <c r="A1967" s="72" t="s">
        <v>2821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25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2822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2823</v>
      </c>
      <c r="B1969" s="67"/>
      <c r="C1969" s="29" t="s">
        <v>138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2824</v>
      </c>
      <c r="B1970" s="67">
        <v>49628474812</v>
      </c>
      <c r="C1970" s="72" t="s">
        <v>2825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2826</v>
      </c>
      <c r="B1971" s="67">
        <v>37473032852</v>
      </c>
      <c r="C1971" s="72" t="s">
        <v>2827</v>
      </c>
      <c r="D1971" s="69">
        <v>21894541820</v>
      </c>
      <c r="E1971" s="9">
        <v>1824</v>
      </c>
      <c r="F1971" s="25">
        <v>43091</v>
      </c>
      <c r="G1971" s="70" t="s">
        <v>40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2828</v>
      </c>
      <c r="B1972" s="67">
        <v>36383878875</v>
      </c>
      <c r="C1972" s="72" t="s">
        <v>2829</v>
      </c>
      <c r="D1972" s="69">
        <v>39907872849</v>
      </c>
      <c r="E1972" s="9">
        <v>117</v>
      </c>
      <c r="F1972" s="25">
        <v>43117</v>
      </c>
      <c r="G1972" s="70" t="s">
        <v>32</v>
      </c>
      <c r="H1972" s="9"/>
      <c r="I1972" s="8"/>
      <c r="J1972" s="8"/>
      <c r="K1972" s="8"/>
      <c r="L1972" s="9" t="s">
        <v>179</v>
      </c>
      <c r="M1972" s="8"/>
    </row>
    <row r="1973" spans="1:13">
      <c r="A1973" s="71" t="s">
        <v>2830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25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2831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25</v>
      </c>
      <c r="H1974" s="9"/>
      <c r="I1974" s="8"/>
      <c r="J1974" s="8"/>
      <c r="K1974" s="8"/>
      <c r="L1974" s="8"/>
      <c r="M1974" s="8"/>
    </row>
    <row r="1975" spans="1:13">
      <c r="A1975" s="71" t="s">
        <v>2831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25</v>
      </c>
      <c r="H1975" s="9"/>
      <c r="I1975" s="8"/>
      <c r="J1975" s="8"/>
      <c r="K1975" s="8"/>
      <c r="L1975" s="8"/>
      <c r="M1975" s="8"/>
    </row>
    <row r="1976" spans="1:13">
      <c r="A1976" s="71" t="s">
        <v>2831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25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2832</v>
      </c>
      <c r="B1977" s="80">
        <v>87102331487</v>
      </c>
      <c r="C1977" s="81" t="s">
        <v>2833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147</v>
      </c>
      <c r="M1977" s="49"/>
    </row>
    <row r="1978" spans="1:13">
      <c r="A1978" s="15" t="s">
        <v>2834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25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2835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25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2836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25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2837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25</v>
      </c>
      <c r="H1981" s="9"/>
      <c r="I1981" s="8"/>
      <c r="J1981" s="8"/>
      <c r="K1981" s="8"/>
      <c r="L1981" s="9" t="s">
        <v>179</v>
      </c>
      <c r="M1981" s="8"/>
    </row>
    <row r="1982" spans="1:13">
      <c r="A1982" s="71" t="s">
        <v>2838</v>
      </c>
      <c r="B1982" s="67">
        <v>18360384886</v>
      </c>
      <c r="C1982" s="72" t="s">
        <v>2839</v>
      </c>
      <c r="D1982" s="69">
        <v>28828648848</v>
      </c>
      <c r="E1982" s="9">
        <v>1214</v>
      </c>
      <c r="F1982" s="25">
        <v>42989</v>
      </c>
      <c r="G1982" s="70" t="s">
        <v>25</v>
      </c>
      <c r="H1982" s="9"/>
      <c r="I1982" s="8"/>
      <c r="J1982" s="8"/>
      <c r="K1982" s="8"/>
      <c r="L1982" s="8"/>
      <c r="M1982" s="8"/>
    </row>
    <row r="1983" spans="1:13">
      <c r="A1983" s="71" t="s">
        <v>2840</v>
      </c>
      <c r="B1983" s="67">
        <v>8224204812</v>
      </c>
      <c r="C1983" s="72" t="s">
        <v>2841</v>
      </c>
      <c r="D1983" s="69">
        <v>5373139823</v>
      </c>
      <c r="E1983" s="9">
        <v>1752</v>
      </c>
      <c r="F1983" s="25">
        <v>43051</v>
      </c>
      <c r="G1983" s="70" t="s">
        <v>25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2842</v>
      </c>
      <c r="B1984" s="67">
        <v>61232386200</v>
      </c>
      <c r="C1984" s="72" t="s">
        <v>2843</v>
      </c>
      <c r="D1984" s="69">
        <v>30971900310</v>
      </c>
      <c r="E1984" s="9">
        <v>1267</v>
      </c>
      <c r="F1984" s="25">
        <v>42998</v>
      </c>
      <c r="G1984" s="70" t="s">
        <v>25</v>
      </c>
      <c r="H1984" s="9"/>
      <c r="I1984" s="8"/>
      <c r="J1984" s="8"/>
      <c r="K1984" s="8"/>
      <c r="L1984" s="8"/>
      <c r="M1984" s="8"/>
    </row>
    <row r="1985" spans="1:13">
      <c r="A1985" s="30" t="s">
        <v>2844</v>
      </c>
      <c r="B1985" s="67">
        <v>68688210420</v>
      </c>
      <c r="C1985" s="32" t="s">
        <v>2845</v>
      </c>
      <c r="D1985" s="69">
        <v>3241531805</v>
      </c>
      <c r="E1985" s="9">
        <v>1570</v>
      </c>
      <c r="F1985" s="25">
        <v>43077</v>
      </c>
      <c r="G1985" s="70" t="s">
        <v>25</v>
      </c>
      <c r="H1985" s="9"/>
      <c r="I1985" s="8"/>
      <c r="J1985" s="8"/>
      <c r="K1985" s="8"/>
      <c r="L1985" s="8"/>
      <c r="M1985" s="8"/>
    </row>
    <row r="1986" spans="1:13">
      <c r="A1986" s="72" t="s">
        <v>2846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25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2847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25</v>
      </c>
      <c r="H1987" s="9"/>
      <c r="I1987" s="8"/>
      <c r="J1987" s="8"/>
      <c r="K1987" s="8"/>
      <c r="L1987" s="8"/>
      <c r="M1987" s="8"/>
    </row>
    <row r="1988" spans="1:13">
      <c r="A1988" s="71" t="s">
        <v>2848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2849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25</v>
      </c>
      <c r="H1989" s="9"/>
      <c r="I1989" s="8"/>
      <c r="J1989" s="8"/>
      <c r="K1989" s="8"/>
      <c r="L1989" s="9" t="s">
        <v>147</v>
      </c>
      <c r="M1989" s="8"/>
    </row>
    <row r="1990" spans="1:13">
      <c r="A1990" s="71" t="s">
        <v>2850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25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2851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2852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2853</v>
      </c>
      <c r="B1993" s="67">
        <v>22566146896</v>
      </c>
      <c r="C1993" s="72" t="s">
        <v>2854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2855</v>
      </c>
      <c r="B1994" s="67">
        <v>27957199836</v>
      </c>
      <c r="C1994" s="72" t="s">
        <v>2856</v>
      </c>
      <c r="D1994" s="69">
        <v>14369564808</v>
      </c>
      <c r="E1994" s="9">
        <v>292</v>
      </c>
      <c r="F1994" s="25">
        <v>43168</v>
      </c>
      <c r="G1994" s="70" t="s">
        <v>25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2857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25</v>
      </c>
      <c r="H1995" s="9"/>
      <c r="I1995" s="8"/>
      <c r="J1995" s="8"/>
      <c r="K1995" s="8"/>
      <c r="L1995" s="9" t="s">
        <v>407</v>
      </c>
      <c r="M1995" s="8"/>
    </row>
    <row r="1996" spans="1:13">
      <c r="A1996" s="18" t="s">
        <v>2858</v>
      </c>
      <c r="B1996" s="67"/>
      <c r="C1996" s="18" t="s">
        <v>2859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2860</v>
      </c>
      <c r="B1997" s="67">
        <v>12723195805</v>
      </c>
      <c r="C1997" s="72" t="s">
        <v>2861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2862</v>
      </c>
      <c r="B1998" s="67">
        <v>15731373833</v>
      </c>
      <c r="C1998" s="75" t="s">
        <v>2863</v>
      </c>
      <c r="D1998" s="69">
        <v>12858074801</v>
      </c>
      <c r="E1998" s="9">
        <v>1106</v>
      </c>
      <c r="F1998" s="25">
        <v>42965</v>
      </c>
      <c r="G1998" s="70" t="s">
        <v>32</v>
      </c>
      <c r="H1998" s="9"/>
      <c r="I1998" s="8"/>
      <c r="J1998" s="8"/>
      <c r="K1998" s="8"/>
      <c r="L1998" s="8"/>
      <c r="M1998" s="8"/>
    </row>
    <row r="1999" spans="1:13">
      <c r="A1999" s="71" t="s">
        <v>2864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25</v>
      </c>
      <c r="H1999" s="9"/>
      <c r="I1999" s="8"/>
      <c r="J1999" s="8"/>
      <c r="K1999" s="8"/>
      <c r="L1999" s="9" t="s">
        <v>147</v>
      </c>
      <c r="M1999" s="8"/>
    </row>
    <row r="2000" spans="1:13">
      <c r="A2000" s="71" t="s">
        <v>2865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2866</v>
      </c>
      <c r="B2001" s="67">
        <v>38402878806</v>
      </c>
      <c r="C2001" s="72" t="s">
        <v>2867</v>
      </c>
      <c r="D2001" s="69">
        <v>23700547862</v>
      </c>
      <c r="E2001" s="9">
        <v>262</v>
      </c>
      <c r="F2001" s="25">
        <v>43160</v>
      </c>
      <c r="G2001" s="9" t="s">
        <v>25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2868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2869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2870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2871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2872</v>
      </c>
      <c r="B2006" s="67">
        <v>27023833862</v>
      </c>
      <c r="C2006" s="29" t="s">
        <v>2873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2874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2875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25</v>
      </c>
      <c r="H2008" s="9"/>
      <c r="I2008" s="8"/>
      <c r="J2008" s="8"/>
      <c r="K2008" s="8"/>
      <c r="L2008" s="9" t="s">
        <v>179</v>
      </c>
      <c r="M2008" s="8"/>
    </row>
    <row r="2009" spans="1:13">
      <c r="A2009" s="71" t="s">
        <v>2876</v>
      </c>
      <c r="B2009" s="67">
        <v>38815800344</v>
      </c>
      <c r="C2009" s="72" t="s">
        <v>2877</v>
      </c>
      <c r="D2009" s="69">
        <v>39085252334</v>
      </c>
      <c r="E2009" s="9">
        <v>85</v>
      </c>
      <c r="F2009" s="25">
        <v>43109</v>
      </c>
      <c r="G2009" s="70" t="s">
        <v>25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2878</v>
      </c>
      <c r="B2010" s="67">
        <v>36154299826</v>
      </c>
      <c r="C2010" s="72" t="s">
        <v>2879</v>
      </c>
      <c r="D2010" s="69">
        <v>34489273843</v>
      </c>
      <c r="E2010" s="9">
        <v>1267</v>
      </c>
      <c r="F2010" s="25">
        <v>42998</v>
      </c>
      <c r="G2010" s="70" t="s">
        <v>32</v>
      </c>
      <c r="H2010" s="9"/>
      <c r="I2010" s="8"/>
      <c r="J2010" s="8"/>
      <c r="K2010" s="8"/>
      <c r="L2010" s="8"/>
      <c r="M2010" s="8"/>
    </row>
    <row r="2011" spans="1:13">
      <c r="A2011" s="15" t="s">
        <v>2880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25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2881</v>
      </c>
      <c r="B2012" s="67"/>
      <c r="C2012" s="18" t="s">
        <v>138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2882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2883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25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2884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25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2885</v>
      </c>
      <c r="B2016" s="67">
        <v>64174182434</v>
      </c>
      <c r="C2016" s="72" t="s">
        <v>2886</v>
      </c>
      <c r="D2016" s="69">
        <v>98105183587</v>
      </c>
      <c r="E2016" s="9">
        <v>262</v>
      </c>
      <c r="F2016" s="25">
        <v>43160</v>
      </c>
      <c r="G2016" s="70" t="s">
        <v>25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2887</v>
      </c>
      <c r="B2017" s="67">
        <v>4148505485</v>
      </c>
      <c r="C2017" s="29" t="s">
        <v>2888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2889</v>
      </c>
      <c r="B2018" s="67">
        <v>39364828372</v>
      </c>
      <c r="C2018" s="72" t="s">
        <v>2890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2891</v>
      </c>
      <c r="B2019" s="67">
        <v>82046042468</v>
      </c>
      <c r="C2019" s="72" t="s">
        <v>2892</v>
      </c>
      <c r="D2019" s="69">
        <v>88251098491</v>
      </c>
      <c r="E2019" s="9">
        <v>85</v>
      </c>
      <c r="F2019" s="25">
        <v>43109</v>
      </c>
      <c r="G2019" s="70" t="s">
        <v>25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2893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25</v>
      </c>
      <c r="H2020" s="9"/>
      <c r="I2020" s="8"/>
      <c r="J2020" s="8"/>
      <c r="K2020" s="8"/>
      <c r="L2020" s="8"/>
      <c r="M2020" s="8"/>
    </row>
    <row r="2021" spans="1:13">
      <c r="A2021" s="14" t="s">
        <v>2894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25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2895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25</v>
      </c>
      <c r="H2022" s="9"/>
      <c r="I2022" s="8"/>
      <c r="J2022" s="8"/>
      <c r="K2022" s="8"/>
      <c r="L2022" s="9" t="s">
        <v>262</v>
      </c>
      <c r="M2022" s="8"/>
    </row>
    <row r="2023" spans="1:13">
      <c r="A2023" s="72" t="s">
        <v>2896</v>
      </c>
      <c r="B2023" s="67">
        <v>37806851836</v>
      </c>
      <c r="C2023" s="72" t="s">
        <v>2897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2898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2899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2900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2901</v>
      </c>
      <c r="B2027" s="67">
        <v>27506021811</v>
      </c>
      <c r="C2027" s="72" t="s">
        <v>2902</v>
      </c>
      <c r="D2027" s="69">
        <v>13130281851</v>
      </c>
      <c r="E2027" s="9">
        <v>810</v>
      </c>
      <c r="F2027" s="25">
        <v>42915</v>
      </c>
      <c r="G2027" s="70" t="s">
        <v>25</v>
      </c>
      <c r="H2027" s="9"/>
      <c r="I2027" s="8"/>
      <c r="J2027" s="8"/>
      <c r="K2027" s="8"/>
      <c r="L2027" s="9" t="s">
        <v>147</v>
      </c>
      <c r="M2027" s="8"/>
    </row>
    <row r="2028" spans="1:13">
      <c r="A2028" s="15" t="s">
        <v>2903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25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2904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25</v>
      </c>
      <c r="H2029" s="9"/>
      <c r="I2029" s="8"/>
      <c r="J2029" s="8"/>
      <c r="K2029" s="8"/>
      <c r="L2029" s="9" t="s">
        <v>262</v>
      </c>
      <c r="M2029" s="8"/>
    </row>
    <row r="2030" spans="1:13">
      <c r="A2030" s="15" t="s">
        <v>2905</v>
      </c>
      <c r="B2030" s="67">
        <v>660919346</v>
      </c>
      <c r="C2030" s="72" t="s">
        <v>2906</v>
      </c>
      <c r="D2030" s="69">
        <v>296516384</v>
      </c>
      <c r="E2030" s="9">
        <v>262</v>
      </c>
      <c r="F2030" s="25">
        <v>43160</v>
      </c>
      <c r="G2030" s="70" t="s">
        <v>32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2907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25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2908</v>
      </c>
      <c r="B2032" s="67">
        <v>55075746500</v>
      </c>
      <c r="C2032" s="72" t="s">
        <v>2909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2910</v>
      </c>
      <c r="B2033" s="67">
        <v>34549590807</v>
      </c>
      <c r="C2033" s="72" t="s">
        <v>2911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2912</v>
      </c>
      <c r="B2034" s="67"/>
      <c r="C2034" s="18" t="s">
        <v>138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2913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2914</v>
      </c>
      <c r="B2036" s="67">
        <v>41292199873</v>
      </c>
      <c r="C2036" s="72" t="s">
        <v>2915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2916</v>
      </c>
      <c r="B2037" s="67"/>
      <c r="C2037" s="29" t="s">
        <v>138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2917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2918</v>
      </c>
      <c r="B2039" s="67">
        <v>42318039860</v>
      </c>
      <c r="C2039" s="72" t="s">
        <v>2919</v>
      </c>
      <c r="D2039" s="69">
        <v>23059375801</v>
      </c>
      <c r="E2039" s="9">
        <v>85</v>
      </c>
      <c r="F2039" s="25">
        <v>43109</v>
      </c>
      <c r="G2039" s="70" t="s">
        <v>25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2920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25</v>
      </c>
      <c r="H2040" s="9"/>
      <c r="I2040" s="8"/>
      <c r="J2040" s="8"/>
      <c r="K2040" s="8"/>
      <c r="L2040" s="9" t="s">
        <v>147</v>
      </c>
      <c r="M2040" s="8"/>
    </row>
    <row r="2041" spans="1:13">
      <c r="A2041" s="71" t="s">
        <v>2921</v>
      </c>
      <c r="B2041" s="67">
        <v>2693234573</v>
      </c>
      <c r="C2041" s="71" t="s">
        <v>2922</v>
      </c>
      <c r="D2041" s="69">
        <v>36131987890</v>
      </c>
      <c r="E2041" s="9">
        <v>292</v>
      </c>
      <c r="F2041" s="25">
        <v>43168</v>
      </c>
      <c r="G2041" s="9" t="s">
        <v>25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2923</v>
      </c>
      <c r="B2042" s="67">
        <v>19677621807</v>
      </c>
      <c r="C2042" s="72" t="s">
        <v>2924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2925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25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2926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2927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25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2928</v>
      </c>
      <c r="B2046" s="67">
        <v>22583603825</v>
      </c>
      <c r="C2046" s="72" t="s">
        <v>2929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2930</v>
      </c>
      <c r="B2047" s="67">
        <v>14858077861</v>
      </c>
      <c r="C2047" s="15" t="s">
        <v>2931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2932</v>
      </c>
      <c r="B2048" s="67">
        <v>32291860879</v>
      </c>
      <c r="C2048" s="29" t="s">
        <v>2933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2934</v>
      </c>
      <c r="B2049" s="67">
        <v>76396126320</v>
      </c>
      <c r="C2049" s="72" t="s">
        <v>2935</v>
      </c>
      <c r="D2049" s="69">
        <v>62133390510</v>
      </c>
      <c r="E2049" s="9">
        <v>1262</v>
      </c>
      <c r="F2049" s="25">
        <v>42997</v>
      </c>
      <c r="G2049" s="70" t="s">
        <v>25</v>
      </c>
      <c r="H2049" s="9"/>
      <c r="I2049" s="8"/>
      <c r="J2049" s="8"/>
      <c r="K2049" s="8"/>
      <c r="L2049" s="8"/>
      <c r="M2049" s="8"/>
    </row>
    <row r="2050" spans="1:13">
      <c r="A2050" s="14" t="s">
        <v>2936</v>
      </c>
      <c r="B2050" s="67">
        <v>34303186880</v>
      </c>
      <c r="C2050" s="72" t="s">
        <v>2937</v>
      </c>
      <c r="D2050" s="69">
        <v>39695431852</v>
      </c>
      <c r="E2050" s="9">
        <v>1570</v>
      </c>
      <c r="F2050" s="25">
        <v>43077</v>
      </c>
      <c r="G2050" s="70" t="s">
        <v>25</v>
      </c>
      <c r="H2050" s="9"/>
      <c r="I2050" s="8"/>
      <c r="J2050" s="8"/>
      <c r="K2050" s="8"/>
      <c r="L2050" s="8"/>
      <c r="M2050" s="8"/>
    </row>
    <row r="2051" spans="1:13">
      <c r="A2051" s="18" t="s">
        <v>2938</v>
      </c>
      <c r="B2051" s="67">
        <v>14331980880</v>
      </c>
      <c r="C2051" s="8" t="s">
        <v>2939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2938</v>
      </c>
      <c r="B2052" s="67">
        <v>14331980880</v>
      </c>
      <c r="C2052" s="77" t="s">
        <v>2939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2940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2941</v>
      </c>
      <c r="B2054" s="67"/>
      <c r="C2054" s="29" t="s">
        <v>2942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2943</v>
      </c>
      <c r="B2055" s="67">
        <v>31662836848</v>
      </c>
      <c r="C2055" s="72" t="s">
        <v>2944</v>
      </c>
      <c r="D2055" s="69">
        <v>12871784809</v>
      </c>
      <c r="E2055" s="9">
        <v>1570</v>
      </c>
      <c r="F2055" s="25">
        <v>43077</v>
      </c>
      <c r="G2055" s="70" t="s">
        <v>25</v>
      </c>
      <c r="H2055" s="9"/>
      <c r="I2055" s="8"/>
      <c r="J2055" s="8"/>
      <c r="K2055" s="8"/>
      <c r="L2055" s="8"/>
      <c r="M2055" s="8"/>
    </row>
    <row r="2056" spans="1:13">
      <c r="A2056" s="14" t="s">
        <v>2945</v>
      </c>
      <c r="B2056" s="67">
        <v>39000389372</v>
      </c>
      <c r="C2056" s="72" t="s">
        <v>2946</v>
      </c>
      <c r="D2056" s="69">
        <v>14683732858</v>
      </c>
      <c r="E2056" s="9">
        <v>1417</v>
      </c>
      <c r="F2056" s="25">
        <v>43017</v>
      </c>
      <c r="G2056" s="70" t="s">
        <v>25</v>
      </c>
      <c r="H2056" s="9"/>
      <c r="I2056" s="8"/>
      <c r="J2056" s="8"/>
      <c r="K2056" s="8"/>
      <c r="L2056" s="9" t="s">
        <v>262</v>
      </c>
      <c r="M2056" s="8"/>
    </row>
    <row r="2057" spans="1:13">
      <c r="A2057" s="18" t="s">
        <v>2947</v>
      </c>
      <c r="B2057" s="67">
        <v>10349044856</v>
      </c>
      <c r="C2057" s="18" t="s">
        <v>2218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2948</v>
      </c>
      <c r="B2058" s="67">
        <v>25058845873</v>
      </c>
      <c r="C2058" s="71" t="s">
        <v>2949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2950</v>
      </c>
      <c r="B2059" s="67"/>
      <c r="C2059" s="29" t="s">
        <v>2951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2952</v>
      </c>
      <c r="B2060" s="67">
        <v>5088717431</v>
      </c>
      <c r="C2060" s="72" t="s">
        <v>2953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308</v>
      </c>
      <c r="M2060" s="8"/>
    </row>
    <row r="2061" spans="1:13">
      <c r="A2061" s="13" t="s">
        <v>2954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25</v>
      </c>
      <c r="H2061" s="9"/>
      <c r="I2061" s="8"/>
      <c r="J2061" s="8"/>
      <c r="K2061" s="8"/>
      <c r="L2061" s="8"/>
      <c r="M2061" s="8"/>
    </row>
    <row r="2062" spans="1:13">
      <c r="A2062" s="71" t="s">
        <v>2955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2956</v>
      </c>
      <c r="B2063" s="67">
        <v>33517044881</v>
      </c>
      <c r="C2063" s="72" t="s">
        <v>2957</v>
      </c>
      <c r="D2063" s="69">
        <v>28076571847</v>
      </c>
      <c r="E2063" s="9">
        <v>85</v>
      </c>
      <c r="F2063" s="25">
        <v>43109</v>
      </c>
      <c r="G2063" s="93" t="s">
        <v>32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2958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25</v>
      </c>
      <c r="H2064" s="9"/>
      <c r="I2064" s="8"/>
      <c r="J2064" s="8"/>
      <c r="K2064" s="8"/>
      <c r="L2064" s="8"/>
      <c r="M2064" s="8"/>
    </row>
    <row r="2065" spans="1:13">
      <c r="A2065" s="71" t="s">
        <v>2959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2960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25</v>
      </c>
      <c r="H2066" s="9"/>
      <c r="I2066" s="8"/>
      <c r="J2066" s="8"/>
      <c r="K2066" s="8"/>
      <c r="L2066" s="9" t="s">
        <v>407</v>
      </c>
      <c r="M2066" s="8"/>
    </row>
    <row r="2067" spans="1:13">
      <c r="A2067" s="71" t="s">
        <v>2961</v>
      </c>
      <c r="B2067" s="67">
        <v>16488724843</v>
      </c>
      <c r="C2067" s="73" t="s">
        <v>2962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2963</v>
      </c>
      <c r="B2068" s="67">
        <v>22230898876</v>
      </c>
      <c r="C2068" s="18" t="s">
        <v>138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2964</v>
      </c>
      <c r="B2069" s="67">
        <v>1218219866</v>
      </c>
      <c r="C2069" s="18" t="s">
        <v>138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2965</v>
      </c>
      <c r="B2070" s="67">
        <v>75696312772</v>
      </c>
      <c r="C2070" s="77" t="s">
        <v>2966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2967</v>
      </c>
      <c r="B2071" s="67">
        <v>12772099873</v>
      </c>
      <c r="C2071" s="29" t="s">
        <v>2968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2969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308</v>
      </c>
      <c r="M2072" s="8"/>
    </row>
    <row r="2073" spans="1:13">
      <c r="A2073" s="18" t="s">
        <v>426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426</v>
      </c>
      <c r="B2074" s="67">
        <v>40312801491</v>
      </c>
      <c r="C2074" s="72" t="s">
        <v>2970</v>
      </c>
      <c r="D2074" s="69">
        <v>36270235823</v>
      </c>
      <c r="E2074" s="9">
        <v>810</v>
      </c>
      <c r="F2074" s="25">
        <v>42915</v>
      </c>
      <c r="G2074" s="70" t="s">
        <v>25</v>
      </c>
      <c r="H2074" s="9"/>
      <c r="I2074" s="8"/>
      <c r="J2074" s="8"/>
      <c r="K2074" s="8"/>
      <c r="L2074" s="9" t="s">
        <v>147</v>
      </c>
      <c r="M2074" s="8"/>
    </row>
    <row r="2075" spans="1:13">
      <c r="A2075" s="71" t="s">
        <v>426</v>
      </c>
      <c r="B2075" s="67">
        <v>13016641895</v>
      </c>
      <c r="C2075" s="72" t="s">
        <v>2971</v>
      </c>
      <c r="D2075" s="69">
        <v>2681565731</v>
      </c>
      <c r="E2075" s="9">
        <v>810</v>
      </c>
      <c r="F2075" s="25">
        <v>42915</v>
      </c>
      <c r="G2075" s="70" t="s">
        <v>25</v>
      </c>
      <c r="H2075" s="9"/>
      <c r="I2075" s="8"/>
      <c r="J2075" s="8"/>
      <c r="K2075" s="8"/>
      <c r="L2075" s="9" t="s">
        <v>147</v>
      </c>
      <c r="M2075" s="8"/>
    </row>
    <row r="2076" spans="1:13">
      <c r="A2076" s="71" t="s">
        <v>2972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2973</v>
      </c>
      <c r="B2077" s="67">
        <v>18472653838</v>
      </c>
      <c r="C2077" s="72" t="s">
        <v>2974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2975</v>
      </c>
      <c r="B2078" s="67"/>
      <c r="C2078" s="18" t="s">
        <v>138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2976</v>
      </c>
      <c r="B2079" s="67">
        <v>21531362885</v>
      </c>
      <c r="C2079" s="72" t="s">
        <v>2977</v>
      </c>
      <c r="D2079" s="69">
        <v>27454333850</v>
      </c>
      <c r="E2079" s="9">
        <v>117</v>
      </c>
      <c r="F2079" s="25">
        <v>43117</v>
      </c>
      <c r="G2079" s="70" t="s">
        <v>25</v>
      </c>
      <c r="H2079" s="9"/>
      <c r="I2079" s="8"/>
      <c r="J2079" s="8"/>
      <c r="K2079" s="8"/>
      <c r="L2079" s="9" t="s">
        <v>179</v>
      </c>
      <c r="M2079" s="8"/>
    </row>
    <row r="2080" spans="1:13">
      <c r="A2080" s="13" t="s">
        <v>2976</v>
      </c>
      <c r="B2080" s="67">
        <v>35537854899</v>
      </c>
      <c r="C2080" s="72" t="s">
        <v>2978</v>
      </c>
      <c r="D2080" s="69">
        <v>35365081897</v>
      </c>
      <c r="E2080" s="9">
        <v>1128</v>
      </c>
      <c r="F2080" s="25">
        <v>42972</v>
      </c>
      <c r="G2080" s="70" t="s">
        <v>25</v>
      </c>
      <c r="H2080" s="9"/>
      <c r="I2080" s="8"/>
      <c r="J2080" s="8"/>
      <c r="K2080" s="8"/>
      <c r="L2080" s="8"/>
      <c r="M2080" s="8"/>
    </row>
    <row r="2081" spans="1:13">
      <c r="A2081" s="29" t="s">
        <v>2979</v>
      </c>
      <c r="B2081" s="67"/>
      <c r="C2081" s="29" t="s">
        <v>2980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2981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25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2982</v>
      </c>
      <c r="B2083" s="67">
        <v>35483702840</v>
      </c>
      <c r="C2083" s="72" t="s">
        <v>2983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2984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25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2985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308</v>
      </c>
      <c r="M2085" s="8"/>
    </row>
    <row r="2086" spans="1:13">
      <c r="A2086" s="72" t="s">
        <v>2986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2987</v>
      </c>
      <c r="B2087" s="67">
        <v>3322258440</v>
      </c>
      <c r="C2087" s="18" t="s">
        <v>2988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2989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2990</v>
      </c>
      <c r="B2089" s="67"/>
      <c r="C2089" s="18" t="s">
        <v>138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2991</v>
      </c>
      <c r="B2090" s="67">
        <v>25564758897</v>
      </c>
      <c r="C2090" s="72" t="s">
        <v>2992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2993</v>
      </c>
      <c r="B2091" s="67">
        <v>9722276875</v>
      </c>
      <c r="C2091" s="72" t="s">
        <v>2994</v>
      </c>
      <c r="D2091" s="69">
        <v>7777516825</v>
      </c>
      <c r="E2091" s="9">
        <v>810</v>
      </c>
      <c r="F2091" s="25">
        <v>42915</v>
      </c>
      <c r="G2091" s="70" t="s">
        <v>25</v>
      </c>
      <c r="H2091" s="9"/>
      <c r="I2091" s="8"/>
      <c r="J2091" s="8"/>
      <c r="K2091" s="8"/>
      <c r="L2091" s="9" t="s">
        <v>147</v>
      </c>
      <c r="M2091" s="8"/>
    </row>
    <row r="2092" spans="1:13">
      <c r="A2092" s="71" t="s">
        <v>2995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2996</v>
      </c>
      <c r="B2093" s="67">
        <v>27192176893</v>
      </c>
      <c r="C2093" s="68" t="s">
        <v>2997</v>
      </c>
      <c r="D2093" s="69">
        <v>8367664825</v>
      </c>
      <c r="E2093" s="9">
        <v>608</v>
      </c>
      <c r="F2093" s="25">
        <v>43012</v>
      </c>
      <c r="G2093" s="70" t="s">
        <v>25</v>
      </c>
      <c r="H2093" s="9"/>
      <c r="I2093" s="8"/>
      <c r="J2093" s="8"/>
      <c r="K2093" s="8"/>
      <c r="L2093" s="8"/>
      <c r="M2093" s="8"/>
    </row>
    <row r="2094" spans="1:13">
      <c r="A2094" s="18" t="s">
        <v>2998</v>
      </c>
      <c r="B2094" s="67">
        <v>16514255825</v>
      </c>
      <c r="C2094" s="18" t="s">
        <v>2999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3000</v>
      </c>
      <c r="B2095" s="67">
        <v>4809644324</v>
      </c>
      <c r="C2095" s="72" t="s">
        <v>3001</v>
      </c>
      <c r="D2095" s="69">
        <v>31827963808</v>
      </c>
      <c r="E2095" s="9">
        <v>1214</v>
      </c>
      <c r="F2095" s="25">
        <v>42989</v>
      </c>
      <c r="G2095" s="70" t="s">
        <v>25</v>
      </c>
      <c r="H2095" s="9"/>
      <c r="I2095" s="8"/>
      <c r="J2095" s="8"/>
      <c r="K2095" s="8"/>
      <c r="L2095" s="8"/>
      <c r="M2095" s="8"/>
    </row>
    <row r="2096" spans="1:13">
      <c r="A2096" s="71" t="s">
        <v>3002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25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3003</v>
      </c>
      <c r="B2097" s="67">
        <v>11894918428</v>
      </c>
      <c r="C2097" s="72" t="s">
        <v>3004</v>
      </c>
      <c r="D2097" s="69">
        <v>37623185810</v>
      </c>
      <c r="E2097" s="9">
        <v>810</v>
      </c>
      <c r="F2097" s="25">
        <v>42915</v>
      </c>
      <c r="G2097" s="70" t="s">
        <v>25</v>
      </c>
      <c r="H2097" s="9"/>
      <c r="I2097" s="8"/>
      <c r="J2097" s="8"/>
      <c r="K2097" s="8"/>
      <c r="L2097" s="9" t="s">
        <v>147</v>
      </c>
      <c r="M2097" s="8"/>
    </row>
    <row r="2098" spans="1:13">
      <c r="A2098" s="15" t="s">
        <v>3005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25</v>
      </c>
      <c r="H2098" s="9"/>
      <c r="I2098" s="8"/>
      <c r="J2098" s="8"/>
      <c r="K2098" s="8"/>
      <c r="L2098" s="8"/>
      <c r="M2098" s="8"/>
    </row>
    <row r="2099" spans="1:13">
      <c r="A2099" s="72" t="s">
        <v>3006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3007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308</v>
      </c>
      <c r="M2100" s="8"/>
    </row>
    <row r="2101" spans="1:13">
      <c r="A2101" s="15" t="s">
        <v>3008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3009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25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3010</v>
      </c>
      <c r="B2103" s="67"/>
      <c r="C2103" s="29" t="s">
        <v>138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3011</v>
      </c>
      <c r="B2104" s="67">
        <v>4241745377</v>
      </c>
      <c r="C2104" s="72" t="s">
        <v>3012</v>
      </c>
      <c r="D2104" s="69">
        <v>4417028303</v>
      </c>
      <c r="E2104" s="9">
        <v>85</v>
      </c>
      <c r="F2104" s="25">
        <v>43109</v>
      </c>
      <c r="G2104" s="70" t="s">
        <v>25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3013</v>
      </c>
      <c r="B2105" s="67"/>
      <c r="C2105" s="29" t="s">
        <v>3014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3015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25</v>
      </c>
      <c r="H2106" s="9"/>
      <c r="I2106" s="8"/>
      <c r="J2106" s="8"/>
      <c r="K2106" s="8"/>
      <c r="L2106" s="8"/>
      <c r="M2106" s="8"/>
    </row>
    <row r="2107" spans="1:13">
      <c r="A2107" s="71" t="s">
        <v>3016</v>
      </c>
      <c r="B2107" s="67">
        <v>2182682708</v>
      </c>
      <c r="C2107" s="72" t="s">
        <v>3017</v>
      </c>
      <c r="D2107" s="69">
        <v>1409950727</v>
      </c>
      <c r="E2107" s="9">
        <v>810</v>
      </c>
      <c r="F2107" s="25">
        <v>42915</v>
      </c>
      <c r="G2107" s="70" t="s">
        <v>40</v>
      </c>
      <c r="H2107" s="9"/>
      <c r="I2107" s="8"/>
      <c r="J2107" s="8"/>
      <c r="K2107" s="8"/>
      <c r="L2107" s="9" t="s">
        <v>147</v>
      </c>
      <c r="M2107" s="8"/>
    </row>
    <row r="2108" spans="1:13">
      <c r="A2108" s="71" t="s">
        <v>3018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3019</v>
      </c>
      <c r="B2109" s="67">
        <v>11694151808</v>
      </c>
      <c r="C2109" s="72" t="s">
        <v>3020</v>
      </c>
      <c r="D2109" s="69">
        <v>29721167800</v>
      </c>
      <c r="E2109" s="9">
        <v>485</v>
      </c>
      <c r="F2109" s="25">
        <v>43196</v>
      </c>
      <c r="G2109" s="70" t="s">
        <v>32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3021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25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3022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3023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25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3024</v>
      </c>
      <c r="B2113" s="67">
        <v>24613427843</v>
      </c>
      <c r="C2113" s="72" t="s">
        <v>3025</v>
      </c>
      <c r="D2113" s="69">
        <v>6003706821</v>
      </c>
      <c r="E2113" s="9">
        <v>810</v>
      </c>
      <c r="F2113" s="25">
        <v>42915</v>
      </c>
      <c r="G2113" s="70" t="s">
        <v>25</v>
      </c>
      <c r="H2113" s="76">
        <v>43213</v>
      </c>
      <c r="I2113" s="8"/>
      <c r="J2113" s="8"/>
      <c r="K2113" s="8"/>
      <c r="L2113" s="9" t="s">
        <v>147</v>
      </c>
      <c r="M2113" s="8"/>
    </row>
    <row r="2114" spans="1:13">
      <c r="A2114" s="72" t="s">
        <v>3026</v>
      </c>
      <c r="B2114" s="67">
        <v>61234508400</v>
      </c>
      <c r="C2114" s="72" t="s">
        <v>3027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3028</v>
      </c>
      <c r="B2115" s="67"/>
      <c r="C2115" s="18" t="s">
        <v>138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3029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25</v>
      </c>
      <c r="H2116" s="76">
        <v>43213</v>
      </c>
      <c r="I2116" s="8"/>
      <c r="J2116" s="8"/>
      <c r="K2116" s="8"/>
      <c r="L2116" s="9" t="s">
        <v>147</v>
      </c>
      <c r="M2116" s="8"/>
    </row>
    <row r="2117" spans="1:13">
      <c r="A2117" s="71" t="s">
        <v>3030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40</v>
      </c>
      <c r="H2117" s="76">
        <v>43213</v>
      </c>
      <c r="I2117" s="8"/>
      <c r="J2117" s="8"/>
      <c r="K2117" s="8"/>
      <c r="L2117" s="9" t="s">
        <v>407</v>
      </c>
      <c r="M2117" s="8"/>
    </row>
    <row r="2118" spans="1:13">
      <c r="A2118" s="71" t="s">
        <v>3031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3032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3033</v>
      </c>
      <c r="B2120" s="67">
        <v>3493507364</v>
      </c>
      <c r="C2120" s="72" t="s">
        <v>3034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3035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25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3036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25</v>
      </c>
      <c r="H2122" s="9"/>
      <c r="I2122" s="8"/>
      <c r="J2122" s="8"/>
      <c r="K2122" s="8"/>
      <c r="L2122" s="9" t="s">
        <v>147</v>
      </c>
      <c r="M2122" s="8"/>
    </row>
    <row r="2123" spans="1:13">
      <c r="A2123" s="71" t="s">
        <v>3037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3038</v>
      </c>
      <c r="B2124" s="67">
        <v>31365484858</v>
      </c>
      <c r="C2124" s="71" t="s">
        <v>3039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3040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25</v>
      </c>
      <c r="H2125" s="9"/>
      <c r="I2125" s="8"/>
      <c r="J2125" s="8"/>
      <c r="K2125" s="8"/>
      <c r="L2125" s="8"/>
      <c r="M2125" s="8"/>
    </row>
    <row r="2126" spans="1:13">
      <c r="A2126" s="71" t="s">
        <v>3041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25</v>
      </c>
      <c r="H2126" s="9"/>
      <c r="I2126" s="8"/>
      <c r="J2126" s="8"/>
      <c r="K2126" s="8"/>
      <c r="L2126" s="9" t="s">
        <v>147</v>
      </c>
      <c r="M2126" s="8"/>
    </row>
    <row r="2127" spans="1:13">
      <c r="A2127" s="14" t="s">
        <v>3042</v>
      </c>
      <c r="B2127" s="67">
        <v>69813043504</v>
      </c>
      <c r="C2127" s="72" t="s">
        <v>3043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3044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3045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25</v>
      </c>
      <c r="H2129" s="9"/>
      <c r="I2129" s="8"/>
      <c r="J2129" s="8"/>
      <c r="K2129" s="8"/>
      <c r="L2129" s="9" t="s">
        <v>179</v>
      </c>
      <c r="M2129" s="8"/>
    </row>
    <row r="2130" spans="1:13">
      <c r="A2130" s="18" t="s">
        <v>3046</v>
      </c>
      <c r="B2130" s="67">
        <v>15800175845</v>
      </c>
      <c r="C2130" s="18" t="s">
        <v>3047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3048</v>
      </c>
      <c r="B2131" s="67">
        <v>13018290801</v>
      </c>
      <c r="C2131" s="72" t="s">
        <v>3049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3050</v>
      </c>
      <c r="B2132" s="67">
        <v>61505078318</v>
      </c>
      <c r="C2132" s="18" t="s">
        <v>3051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3052</v>
      </c>
      <c r="B2133" s="67">
        <v>6097323824</v>
      </c>
      <c r="C2133" s="72" t="s">
        <v>3053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3054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25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3055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25</v>
      </c>
      <c r="H2135" s="76">
        <v>43213</v>
      </c>
      <c r="I2135" s="8"/>
      <c r="J2135" s="8"/>
      <c r="K2135" s="8"/>
      <c r="L2135" s="9" t="s">
        <v>147</v>
      </c>
      <c r="M2135" s="8"/>
    </row>
    <row r="2136" spans="1:13">
      <c r="A2136" s="71" t="s">
        <v>3056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25</v>
      </c>
      <c r="H2136" s="76">
        <v>43213</v>
      </c>
      <c r="I2136" s="8"/>
      <c r="J2136" s="8"/>
      <c r="K2136" s="8"/>
      <c r="L2136" s="9" t="s">
        <v>147</v>
      </c>
      <c r="M2136" s="8"/>
    </row>
    <row r="2137" spans="1:13">
      <c r="A2137" s="71" t="s">
        <v>3057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25</v>
      </c>
      <c r="H2137" s="76">
        <v>43213</v>
      </c>
      <c r="I2137" s="8"/>
      <c r="J2137" s="8"/>
      <c r="K2137" s="8"/>
      <c r="L2137" s="9" t="s">
        <v>147</v>
      </c>
      <c r="M2137" s="8"/>
    </row>
    <row r="2138" spans="1:13">
      <c r="A2138" s="71" t="s">
        <v>3058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3059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25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3060</v>
      </c>
      <c r="B2140" s="67">
        <v>33005130819</v>
      </c>
      <c r="C2140" s="72" t="s">
        <v>3061</v>
      </c>
      <c r="D2140" s="69">
        <v>29843431820</v>
      </c>
      <c r="E2140" s="9">
        <v>117</v>
      </c>
      <c r="F2140" s="25">
        <v>43117</v>
      </c>
      <c r="G2140" s="70" t="s">
        <v>25</v>
      </c>
      <c r="H2140" s="76">
        <v>43213</v>
      </c>
      <c r="I2140" s="8"/>
      <c r="J2140" s="8"/>
      <c r="K2140" s="8"/>
      <c r="L2140" s="9" t="s">
        <v>179</v>
      </c>
      <c r="M2140" s="8"/>
    </row>
    <row r="2141" spans="1:13">
      <c r="A2141" s="71" t="s">
        <v>3062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25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3063</v>
      </c>
      <c r="B2142" s="67">
        <v>42840674866</v>
      </c>
      <c r="C2142" s="72" t="s">
        <v>3064</v>
      </c>
      <c r="D2142" s="69">
        <v>33066015866</v>
      </c>
      <c r="E2142" s="9">
        <v>117</v>
      </c>
      <c r="F2142" s="25">
        <v>43117</v>
      </c>
      <c r="G2142" s="70" t="s">
        <v>25</v>
      </c>
      <c r="H2142" s="9"/>
      <c r="I2142" s="8"/>
      <c r="J2142" s="8"/>
      <c r="K2142" s="8"/>
      <c r="L2142" s="9" t="s">
        <v>179</v>
      </c>
      <c r="M2142" s="8"/>
    </row>
    <row r="2143" spans="1:13">
      <c r="A2143" s="71" t="s">
        <v>3065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3066</v>
      </c>
      <c r="B2144" s="67">
        <v>2312065851</v>
      </c>
      <c r="C2144" s="73" t="s">
        <v>3067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3068</v>
      </c>
      <c r="B2145" s="67">
        <v>48549010472</v>
      </c>
      <c r="C2145" s="72" t="s">
        <v>3069</v>
      </c>
      <c r="D2145" s="69">
        <v>7796014830</v>
      </c>
      <c r="E2145" s="9">
        <v>1267</v>
      </c>
      <c r="F2145" s="25">
        <v>42998</v>
      </c>
      <c r="G2145" s="70" t="s">
        <v>25</v>
      </c>
      <c r="H2145" s="9"/>
      <c r="I2145" s="8"/>
      <c r="J2145" s="8"/>
      <c r="K2145" s="8"/>
      <c r="L2145" s="8"/>
      <c r="M2145" s="8"/>
    </row>
    <row r="2146" spans="1:13">
      <c r="A2146" s="29" t="s">
        <v>3070</v>
      </c>
      <c r="B2146" s="67"/>
      <c r="C2146" s="18" t="s">
        <v>138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3070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3071</v>
      </c>
      <c r="B2148" s="67">
        <v>38348922890</v>
      </c>
      <c r="C2148" s="72" t="s">
        <v>3072</v>
      </c>
      <c r="D2148" s="69">
        <v>22580367802</v>
      </c>
      <c r="E2148" s="9">
        <v>810</v>
      </c>
      <c r="F2148" s="25">
        <v>42915</v>
      </c>
      <c r="G2148" s="70" t="s">
        <v>25</v>
      </c>
      <c r="H2148" s="9"/>
      <c r="I2148" s="8"/>
      <c r="J2148" s="8"/>
      <c r="K2148" s="8"/>
      <c r="L2148" s="9" t="s">
        <v>147</v>
      </c>
      <c r="M2148" s="8"/>
    </row>
    <row r="2149" spans="1:13">
      <c r="A2149" s="72" t="s">
        <v>3073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25</v>
      </c>
      <c r="H2149" s="9"/>
      <c r="I2149" s="8"/>
      <c r="J2149" s="8"/>
      <c r="K2149" s="8"/>
      <c r="L2149" s="9" t="s">
        <v>179</v>
      </c>
      <c r="M2149" s="8"/>
    </row>
    <row r="2150" spans="1:13">
      <c r="A2150" s="71" t="s">
        <v>3074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3075</v>
      </c>
      <c r="B2151" s="67">
        <v>36691354800</v>
      </c>
      <c r="C2151" s="72" t="s">
        <v>3076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3077</v>
      </c>
      <c r="B2152" s="67">
        <v>2599679559</v>
      </c>
      <c r="C2152" s="72" t="s">
        <v>3078</v>
      </c>
      <c r="D2152" s="69">
        <v>99002051549</v>
      </c>
      <c r="E2152" s="9">
        <v>1824</v>
      </c>
      <c r="F2152" s="25">
        <v>43091</v>
      </c>
      <c r="G2152" s="70" t="s">
        <v>40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3079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3080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25</v>
      </c>
      <c r="H2154" s="9"/>
      <c r="I2154" s="8"/>
      <c r="J2154" s="8"/>
      <c r="K2154" s="8"/>
      <c r="L2154" s="8"/>
      <c r="M2154" s="8"/>
    </row>
    <row r="2155" spans="1:13">
      <c r="A2155" s="15" t="s">
        <v>3081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25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3082</v>
      </c>
      <c r="B2156" s="67">
        <v>94813078591</v>
      </c>
      <c r="C2156" s="18" t="s">
        <v>3083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3084</v>
      </c>
      <c r="B2157" s="67">
        <v>6522038846</v>
      </c>
      <c r="C2157" s="72" t="s">
        <v>3085</v>
      </c>
      <c r="D2157" s="69">
        <v>390582808</v>
      </c>
      <c r="E2157" s="9">
        <v>292</v>
      </c>
      <c r="F2157" s="25">
        <v>43168</v>
      </c>
      <c r="G2157" s="70" t="s">
        <v>25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3086</v>
      </c>
      <c r="B2158" s="67">
        <v>70986847402</v>
      </c>
      <c r="C2158" s="72" t="s">
        <v>3087</v>
      </c>
      <c r="D2158" s="69">
        <v>39640099899</v>
      </c>
      <c r="E2158" s="9">
        <v>229</v>
      </c>
      <c r="F2158" s="25">
        <v>43151</v>
      </c>
      <c r="G2158" s="70" t="s">
        <v>25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3088</v>
      </c>
      <c r="B2159" s="67">
        <v>37737032878</v>
      </c>
      <c r="C2159" s="72" t="s">
        <v>3089</v>
      </c>
      <c r="D2159" s="69">
        <v>24659778819</v>
      </c>
      <c r="E2159" s="9">
        <v>1417</v>
      </c>
      <c r="F2159" s="25">
        <v>43017</v>
      </c>
      <c r="G2159" s="70" t="s">
        <v>32</v>
      </c>
      <c r="H2159" s="9"/>
      <c r="I2159" s="8"/>
      <c r="J2159" s="8"/>
      <c r="K2159" s="8"/>
      <c r="L2159" s="9" t="s">
        <v>262</v>
      </c>
      <c r="M2159" s="8"/>
    </row>
    <row r="2160" spans="1:13">
      <c r="A2160" s="71" t="s">
        <v>3090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3091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25</v>
      </c>
      <c r="H2161" s="9"/>
      <c r="I2161" s="8"/>
      <c r="J2161" s="8"/>
      <c r="K2161" s="8"/>
      <c r="L2161" s="8"/>
      <c r="M2161" s="8"/>
    </row>
    <row r="2162" spans="1:13">
      <c r="A2162" s="73" t="s">
        <v>3092</v>
      </c>
      <c r="B2162" s="67">
        <v>15716959822</v>
      </c>
      <c r="C2162" s="72" t="s">
        <v>3093</v>
      </c>
      <c r="D2162" s="69">
        <v>10451985877</v>
      </c>
      <c r="E2162" s="9">
        <v>262</v>
      </c>
      <c r="F2162" s="25">
        <v>43160</v>
      </c>
      <c r="G2162" s="70" t="s">
        <v>25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3094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3095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25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3096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25</v>
      </c>
      <c r="H2165" s="9"/>
      <c r="I2165" s="8"/>
      <c r="J2165" s="8"/>
      <c r="K2165" s="8"/>
      <c r="L2165" s="8"/>
      <c r="M2165" s="8"/>
    </row>
    <row r="2166" spans="1:13">
      <c r="A2166" s="71" t="s">
        <v>3097</v>
      </c>
      <c r="B2166" s="67">
        <v>32241408875</v>
      </c>
      <c r="C2166" s="72" t="s">
        <v>3098</v>
      </c>
      <c r="D2166" s="69">
        <v>7164250413</v>
      </c>
      <c r="E2166" s="9">
        <v>1824</v>
      </c>
      <c r="F2166" s="25">
        <v>43091</v>
      </c>
      <c r="G2166" s="70" t="s">
        <v>25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3099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25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3100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25</v>
      </c>
      <c r="H2168" s="9"/>
      <c r="I2168" s="8"/>
      <c r="J2168" s="8"/>
      <c r="K2168" s="8"/>
      <c r="L2168" s="8"/>
      <c r="M2168" s="8"/>
    </row>
    <row r="2169" spans="1:13">
      <c r="A2169" s="72" t="s">
        <v>3101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3102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3103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25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3104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25</v>
      </c>
      <c r="H2172" s="9"/>
      <c r="I2172" s="8"/>
      <c r="J2172" s="8"/>
      <c r="K2172" s="8"/>
      <c r="L2172" s="9" t="s">
        <v>262</v>
      </c>
      <c r="M2172" s="8"/>
    </row>
    <row r="2173" spans="1:13">
      <c r="A2173" s="71" t="s">
        <v>3105</v>
      </c>
      <c r="B2173" s="67">
        <v>8983229870</v>
      </c>
      <c r="C2173" s="72" t="s">
        <v>3106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3107</v>
      </c>
      <c r="B2174" s="67">
        <v>9269199894</v>
      </c>
      <c r="C2174" s="72" t="s">
        <v>3108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3109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25</v>
      </c>
      <c r="H2175" s="9"/>
      <c r="I2175" s="8"/>
      <c r="J2175" s="8"/>
      <c r="K2175" s="8"/>
      <c r="L2175" s="8"/>
      <c r="M2175" s="8"/>
    </row>
    <row r="2176" spans="1:13">
      <c r="A2176" s="13" t="s">
        <v>3110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25</v>
      </c>
      <c r="H2176" s="9"/>
      <c r="I2176" s="8"/>
      <c r="J2176" s="8"/>
      <c r="K2176" s="8"/>
      <c r="L2176" s="8"/>
      <c r="M2176" s="8"/>
    </row>
    <row r="2177" spans="1:13">
      <c r="A2177" s="71" t="s">
        <v>3111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25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3112</v>
      </c>
      <c r="B2178" s="67">
        <v>34641758808</v>
      </c>
      <c r="C2178" s="72" t="s">
        <v>3113</v>
      </c>
      <c r="D2178" s="69">
        <v>30083315802</v>
      </c>
      <c r="E2178" s="9">
        <v>810</v>
      </c>
      <c r="F2178" s="25">
        <v>42915</v>
      </c>
      <c r="G2178" s="70" t="s">
        <v>25</v>
      </c>
      <c r="H2178" s="9"/>
      <c r="I2178" s="8"/>
      <c r="J2178" s="8"/>
      <c r="K2178" s="8"/>
      <c r="L2178" s="9" t="s">
        <v>147</v>
      </c>
      <c r="M2178" s="8"/>
    </row>
    <row r="2179" spans="1:13">
      <c r="A2179" s="71" t="s">
        <v>3114</v>
      </c>
      <c r="B2179" s="67">
        <v>1335459383</v>
      </c>
      <c r="C2179" s="71" t="s">
        <v>3115</v>
      </c>
      <c r="D2179" s="69">
        <v>2369426381</v>
      </c>
      <c r="E2179" s="9">
        <v>292</v>
      </c>
      <c r="F2179" s="25">
        <v>43168</v>
      </c>
      <c r="G2179" s="70" t="s">
        <v>25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3116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25</v>
      </c>
      <c r="H2180" s="9"/>
      <c r="I2180" s="8"/>
      <c r="J2180" s="8"/>
      <c r="K2180" s="8"/>
      <c r="L2180" s="9" t="s">
        <v>179</v>
      </c>
      <c r="M2180" s="8"/>
    </row>
    <row r="2181" spans="1:13">
      <c r="A2181" s="71" t="s">
        <v>3117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25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3118</v>
      </c>
      <c r="B2182" s="67">
        <v>38248770826</v>
      </c>
      <c r="C2182" s="29" t="s">
        <v>3119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3120</v>
      </c>
      <c r="B2183" s="67">
        <v>32857847840</v>
      </c>
      <c r="C2183" s="72" t="s">
        <v>3121</v>
      </c>
      <c r="D2183" s="69">
        <v>33885204886</v>
      </c>
      <c r="E2183" s="9">
        <v>810</v>
      </c>
      <c r="F2183" s="25">
        <v>42915</v>
      </c>
      <c r="G2183" s="70" t="s">
        <v>25</v>
      </c>
      <c r="H2183" s="9"/>
      <c r="I2183" s="8"/>
      <c r="J2183" s="8"/>
      <c r="K2183" s="8"/>
      <c r="L2183" s="9" t="s">
        <v>147</v>
      </c>
      <c r="M2183" s="8"/>
    </row>
    <row r="2184" spans="1:13">
      <c r="A2184" s="14" t="s">
        <v>3122</v>
      </c>
      <c r="B2184" s="67">
        <v>25367069827</v>
      </c>
      <c r="C2184" s="72" t="s">
        <v>3123</v>
      </c>
      <c r="D2184" s="69">
        <v>28922275855</v>
      </c>
      <c r="E2184" s="9">
        <v>262</v>
      </c>
      <c r="F2184" s="25">
        <v>43160</v>
      </c>
      <c r="G2184" s="70" t="s">
        <v>32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3124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25</v>
      </c>
      <c r="H2185" s="9"/>
      <c r="I2185" s="8"/>
      <c r="J2185" s="8"/>
      <c r="K2185" s="8"/>
      <c r="L2185" s="9" t="s">
        <v>179</v>
      </c>
      <c r="M2185" s="8"/>
    </row>
    <row r="2186" spans="1:13">
      <c r="A2186" s="71" t="s">
        <v>3125</v>
      </c>
      <c r="B2186" s="67">
        <v>29652533866</v>
      </c>
      <c r="C2186" s="72" t="s">
        <v>3126</v>
      </c>
      <c r="D2186" s="69">
        <v>21898199892</v>
      </c>
      <c r="E2186" s="9">
        <v>1752</v>
      </c>
      <c r="F2186" s="25">
        <v>43051</v>
      </c>
      <c r="G2186" s="70" t="s">
        <v>25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3127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25</v>
      </c>
      <c r="H2187" s="9"/>
      <c r="I2187" s="8"/>
      <c r="J2187" s="8"/>
      <c r="K2187" s="8"/>
      <c r="L2187" s="8"/>
      <c r="M2187" s="8"/>
    </row>
    <row r="2188" spans="1:13">
      <c r="A2188" s="14" t="s">
        <v>3128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25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3129</v>
      </c>
      <c r="B2189" s="67">
        <v>34777966836</v>
      </c>
      <c r="C2189" s="72" t="s">
        <v>3130</v>
      </c>
      <c r="D2189" s="69">
        <v>33600648870</v>
      </c>
      <c r="E2189" s="9">
        <v>117</v>
      </c>
      <c r="F2189" s="25">
        <v>43117</v>
      </c>
      <c r="G2189" s="70" t="s">
        <v>25</v>
      </c>
      <c r="H2189" s="9"/>
      <c r="I2189" s="8"/>
      <c r="J2189" s="8"/>
      <c r="K2189" s="8"/>
      <c r="L2189" s="9" t="s">
        <v>179</v>
      </c>
      <c r="M2189" s="8"/>
    </row>
    <row r="2190" spans="1:13">
      <c r="A2190" s="29" t="s">
        <v>3131</v>
      </c>
      <c r="B2190" s="67"/>
      <c r="C2190" s="29" t="s">
        <v>3132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3133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25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3134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3135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25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3136</v>
      </c>
      <c r="B2194" s="67">
        <v>27082581840</v>
      </c>
      <c r="C2194" s="77" t="s">
        <v>3137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3138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3139</v>
      </c>
      <c r="B2196" s="67">
        <v>40878539859</v>
      </c>
      <c r="C2196" s="72" t="s">
        <v>3140</v>
      </c>
      <c r="D2196" s="69"/>
      <c r="E2196" s="9">
        <v>1489</v>
      </c>
      <c r="F2196" s="25">
        <v>43038</v>
      </c>
      <c r="G2196" s="70" t="s">
        <v>25</v>
      </c>
      <c r="H2196" s="9"/>
      <c r="I2196" s="8"/>
      <c r="J2196" s="8"/>
      <c r="K2196" s="8"/>
      <c r="L2196" s="9" t="s">
        <v>169</v>
      </c>
      <c r="M2196" s="8"/>
    </row>
    <row r="2197" spans="1:13">
      <c r="A2197" s="71" t="s">
        <v>3141</v>
      </c>
      <c r="B2197" s="67">
        <v>35643661802</v>
      </c>
      <c r="C2197" s="68" t="s">
        <v>3142</v>
      </c>
      <c r="D2197" s="69">
        <v>34613571898</v>
      </c>
      <c r="E2197" s="9">
        <v>1128</v>
      </c>
      <c r="F2197" s="25">
        <v>42972</v>
      </c>
      <c r="G2197" s="70" t="s">
        <v>25</v>
      </c>
      <c r="H2197" s="9"/>
      <c r="I2197" s="8"/>
      <c r="J2197" s="8"/>
      <c r="K2197" s="8"/>
      <c r="L2197" s="8"/>
      <c r="M2197" s="8"/>
    </row>
    <row r="2198" spans="1:13">
      <c r="A2198" s="29" t="s">
        <v>3143</v>
      </c>
      <c r="B2198" s="67">
        <v>89251660549</v>
      </c>
      <c r="C2198" s="18" t="s">
        <v>138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3144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25</v>
      </c>
      <c r="H2199" s="9"/>
      <c r="I2199" s="8"/>
      <c r="J2199" s="8"/>
      <c r="K2199" s="8"/>
      <c r="L2199" s="8"/>
      <c r="M2199" s="8"/>
    </row>
    <row r="2200" spans="1:13">
      <c r="A2200" s="13" t="s">
        <v>3145</v>
      </c>
      <c r="B2200" s="67">
        <v>28280731814</v>
      </c>
      <c r="C2200" s="68" t="s">
        <v>3146</v>
      </c>
      <c r="D2200" s="69">
        <v>36523032884</v>
      </c>
      <c r="E2200" s="9">
        <v>1128</v>
      </c>
      <c r="F2200" s="25">
        <v>42972</v>
      </c>
      <c r="G2200" s="70" t="s">
        <v>25</v>
      </c>
      <c r="H2200" s="9"/>
      <c r="I2200" s="8"/>
      <c r="J2200" s="8"/>
      <c r="K2200" s="8"/>
      <c r="L2200" s="8"/>
      <c r="M2200" s="8"/>
    </row>
    <row r="2201" spans="1:13">
      <c r="A2201" s="71" t="s">
        <v>3147</v>
      </c>
      <c r="B2201" s="67">
        <v>12525223802</v>
      </c>
      <c r="C2201" s="68" t="s">
        <v>3148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3149</v>
      </c>
      <c r="B2202" s="67">
        <v>37014825860</v>
      </c>
      <c r="C2202" s="72" t="s">
        <v>3150</v>
      </c>
      <c r="D2202" s="69">
        <v>38869051870</v>
      </c>
      <c r="E2202" s="9">
        <v>1752</v>
      </c>
      <c r="F2202" s="25">
        <v>43051</v>
      </c>
      <c r="G2202" s="70" t="s">
        <v>25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3151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25</v>
      </c>
      <c r="H2203" s="9"/>
      <c r="I2203" s="8"/>
      <c r="J2203" s="8"/>
      <c r="K2203" s="8"/>
      <c r="L2203" s="8"/>
      <c r="M2203" s="8"/>
    </row>
    <row r="2204" spans="1:13">
      <c r="A2204" s="71" t="s">
        <v>3152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25</v>
      </c>
      <c r="H2204" s="9"/>
      <c r="I2204" s="8"/>
      <c r="J2204" s="8"/>
      <c r="K2204" s="8"/>
      <c r="L2204" s="8"/>
      <c r="M2204" s="8"/>
    </row>
    <row r="2205" spans="1:13">
      <c r="A2205" s="71" t="s">
        <v>3153</v>
      </c>
      <c r="B2205" s="67">
        <v>15095801825</v>
      </c>
      <c r="C2205" s="72" t="s">
        <v>3154</v>
      </c>
      <c r="D2205" s="69">
        <v>16417229831</v>
      </c>
      <c r="E2205" s="9">
        <v>85</v>
      </c>
      <c r="F2205" s="25">
        <v>43109</v>
      </c>
      <c r="G2205" s="70" t="s">
        <v>25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3155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3156</v>
      </c>
      <c r="B2207" s="67">
        <v>58037845249</v>
      </c>
      <c r="C2207" s="72" t="s">
        <v>3157</v>
      </c>
      <c r="D2207" s="69">
        <v>496500333</v>
      </c>
      <c r="E2207" s="9">
        <v>117</v>
      </c>
      <c r="F2207" s="25">
        <v>43117</v>
      </c>
      <c r="G2207" s="70" t="s">
        <v>25</v>
      </c>
      <c r="H2207" s="9"/>
      <c r="I2207" s="8"/>
      <c r="J2207" s="8"/>
      <c r="K2207" s="8"/>
      <c r="L2207" s="9" t="s">
        <v>179</v>
      </c>
      <c r="M2207" s="8"/>
    </row>
    <row r="2208" spans="1:13">
      <c r="A2208" s="84" t="s">
        <v>3158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3159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3160</v>
      </c>
      <c r="B2210" s="67">
        <v>4416847858</v>
      </c>
      <c r="C2210" s="72" t="s">
        <v>3161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3162</v>
      </c>
      <c r="B2211" s="67"/>
      <c r="C2211" s="18" t="s">
        <v>138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3163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25</v>
      </c>
      <c r="H2212" s="9"/>
      <c r="I2212" s="8"/>
      <c r="J2212" s="8"/>
      <c r="K2212" s="8"/>
      <c r="L2212" s="8"/>
      <c r="M2212" s="8"/>
    </row>
    <row r="2213" spans="1:13">
      <c r="A2213" s="71" t="s">
        <v>3164</v>
      </c>
      <c r="B2213" s="67">
        <v>35325197800</v>
      </c>
      <c r="C2213" s="72" t="s">
        <v>3165</v>
      </c>
      <c r="D2213" s="69">
        <v>38159378840</v>
      </c>
      <c r="E2213" s="9">
        <v>810</v>
      </c>
      <c r="F2213" s="25">
        <v>42915</v>
      </c>
      <c r="G2213" s="70" t="s">
        <v>25</v>
      </c>
      <c r="H2213" s="9"/>
      <c r="I2213" s="8"/>
      <c r="J2213" s="8"/>
      <c r="K2213" s="8"/>
      <c r="L2213" s="9" t="s">
        <v>147</v>
      </c>
      <c r="M2213" s="8"/>
    </row>
    <row r="2214" spans="1:13">
      <c r="A2214" s="71" t="s">
        <v>3166</v>
      </c>
      <c r="B2214" s="67">
        <v>37527821884</v>
      </c>
      <c r="C2214" s="72" t="s">
        <v>3167</v>
      </c>
      <c r="D2214" s="69">
        <v>69447810420</v>
      </c>
      <c r="E2214" s="9">
        <v>262</v>
      </c>
      <c r="F2214" s="25">
        <v>43160</v>
      </c>
      <c r="G2214" s="70" t="s">
        <v>25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3168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25</v>
      </c>
      <c r="H2215" s="9"/>
      <c r="I2215" s="8"/>
      <c r="J2215" s="8"/>
      <c r="K2215" s="8"/>
      <c r="L2215" s="9" t="s">
        <v>179</v>
      </c>
      <c r="M2215" s="8"/>
    </row>
    <row r="2216" spans="1:13">
      <c r="A2216" s="15" t="s">
        <v>3169</v>
      </c>
      <c r="B2216" s="67">
        <v>85281050672</v>
      </c>
      <c r="C2216" s="72" t="s">
        <v>3170</v>
      </c>
      <c r="D2216" s="69">
        <v>5490696664</v>
      </c>
      <c r="E2216" s="9">
        <v>229</v>
      </c>
      <c r="F2216" s="25">
        <v>43151</v>
      </c>
      <c r="G2216" s="70" t="s">
        <v>25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3171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25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3172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32</v>
      </c>
      <c r="H2218" s="9"/>
      <c r="I2218" s="8"/>
      <c r="J2218" s="8"/>
      <c r="K2218" s="8"/>
      <c r="L2218" s="9" t="s">
        <v>179</v>
      </c>
      <c r="M2218" s="8"/>
    </row>
    <row r="2219" spans="1:13">
      <c r="A2219" s="71" t="s">
        <v>3173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3174</v>
      </c>
      <c r="B2220" s="67">
        <v>27851461820</v>
      </c>
      <c r="C2220" s="72" t="s">
        <v>3175</v>
      </c>
      <c r="D2220" s="69">
        <v>27264565882</v>
      </c>
      <c r="E2220" s="9">
        <v>117</v>
      </c>
      <c r="F2220" s="25">
        <v>43117</v>
      </c>
      <c r="G2220" s="70" t="s">
        <v>25</v>
      </c>
      <c r="H2220" s="9"/>
      <c r="I2220" s="8"/>
      <c r="J2220" s="8"/>
      <c r="K2220" s="8"/>
      <c r="L2220" s="9" t="s">
        <v>179</v>
      </c>
      <c r="M2220" s="8"/>
    </row>
    <row r="2221" spans="1:13">
      <c r="A2221" s="71" t="s">
        <v>3176</v>
      </c>
      <c r="B2221" s="67">
        <v>32960731832</v>
      </c>
      <c r="C2221" s="77" t="s">
        <v>3177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3178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3179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25</v>
      </c>
      <c r="H2223" s="9"/>
      <c r="I2223" s="8"/>
      <c r="J2223" s="8"/>
      <c r="K2223" s="8"/>
      <c r="L2223" s="8"/>
      <c r="M2223" s="8"/>
    </row>
    <row r="2224" spans="1:13">
      <c r="A2224" s="71" t="s">
        <v>3180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25</v>
      </c>
      <c r="H2224" s="9"/>
      <c r="I2224" s="8"/>
      <c r="J2224" s="8"/>
      <c r="K2224" s="8"/>
      <c r="L2224" s="9" t="s">
        <v>169</v>
      </c>
      <c r="M2224" s="8"/>
    </row>
    <row r="2225" spans="1:13">
      <c r="A2225" s="71" t="s">
        <v>3181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25</v>
      </c>
      <c r="H2225" s="9"/>
      <c r="I2225" s="8"/>
      <c r="J2225" s="8"/>
      <c r="K2225" s="8"/>
      <c r="L2225" s="8"/>
      <c r="M2225" s="8"/>
    </row>
    <row r="2226" spans="1:13">
      <c r="A2226" s="71" t="s">
        <v>3182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25</v>
      </c>
      <c r="H2226" s="9"/>
      <c r="I2226" s="8"/>
      <c r="J2226" s="8"/>
      <c r="K2226" s="8"/>
      <c r="L2226" s="8"/>
      <c r="M2226" s="8"/>
    </row>
    <row r="2227" spans="1:13">
      <c r="A2227" s="29" t="s">
        <v>3183</v>
      </c>
      <c r="B2227" s="67"/>
      <c r="C2227" s="18" t="s">
        <v>138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3184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25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3185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25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3186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3187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25</v>
      </c>
      <c r="H2231" s="9"/>
      <c r="I2231" s="8"/>
      <c r="J2231" s="8"/>
      <c r="K2231" s="8"/>
      <c r="L2231" s="9" t="s">
        <v>179</v>
      </c>
      <c r="M2231" s="8"/>
    </row>
    <row r="2232" spans="1:13">
      <c r="A2232" s="14" t="s">
        <v>3188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3189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25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3190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3191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3192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3193</v>
      </c>
      <c r="B2237" s="67">
        <v>22548549844</v>
      </c>
      <c r="C2237" s="77" t="s">
        <v>3194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3195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25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3196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25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3197</v>
      </c>
      <c r="B2240" s="67">
        <v>27757716888</v>
      </c>
      <c r="C2240" s="77" t="s">
        <v>3198</v>
      </c>
      <c r="D2240" s="69" t="s">
        <v>3199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3200</v>
      </c>
      <c r="B2241" s="67">
        <v>30926413880</v>
      </c>
      <c r="C2241" s="72" t="s">
        <v>3201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308</v>
      </c>
      <c r="M2241" s="8"/>
    </row>
    <row r="2242" spans="1:13">
      <c r="A2242" s="71" t="s">
        <v>3202</v>
      </c>
      <c r="B2242" s="67">
        <v>32954076810</v>
      </c>
      <c r="C2242" s="72" t="s">
        <v>3203</v>
      </c>
      <c r="D2242" s="69">
        <v>82353131468</v>
      </c>
      <c r="E2242" s="9">
        <v>292</v>
      </c>
      <c r="F2242" s="25">
        <v>43168</v>
      </c>
      <c r="G2242" s="70" t="s">
        <v>25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3204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32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3205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25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3206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25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3207</v>
      </c>
      <c r="B2246" s="67">
        <v>23171032805</v>
      </c>
      <c r="C2246" s="72" t="s">
        <v>3208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3209</v>
      </c>
      <c r="B2247" s="67">
        <v>33375182813</v>
      </c>
      <c r="C2247" s="75" t="s">
        <v>3210</v>
      </c>
      <c r="D2247" s="69">
        <v>30178836800</v>
      </c>
      <c r="E2247" s="9">
        <v>1106</v>
      </c>
      <c r="F2247" s="25">
        <v>42965</v>
      </c>
      <c r="G2247" s="70" t="s">
        <v>25</v>
      </c>
      <c r="H2247" s="9"/>
      <c r="I2247" s="8"/>
      <c r="J2247" s="8"/>
      <c r="K2247" s="8"/>
      <c r="L2247" s="8"/>
      <c r="M2247" s="8"/>
    </row>
    <row r="2248" spans="1:13">
      <c r="A2248" s="71" t="s">
        <v>3211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25</v>
      </c>
      <c r="H2248" s="9"/>
      <c r="I2248" s="8"/>
      <c r="J2248" s="8"/>
      <c r="K2248" s="8"/>
      <c r="L2248" s="8"/>
      <c r="M2248" s="8"/>
    </row>
    <row r="2249" spans="1:13">
      <c r="A2249" s="71" t="s">
        <v>3212</v>
      </c>
      <c r="B2249" s="67">
        <v>15712243865</v>
      </c>
      <c r="C2249" s="72" t="s">
        <v>3213</v>
      </c>
      <c r="D2249" s="69">
        <v>501095705</v>
      </c>
      <c r="E2249" s="9">
        <v>1752</v>
      </c>
      <c r="F2249" s="25">
        <v>43051</v>
      </c>
      <c r="G2249" s="70" t="s">
        <v>25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3214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25</v>
      </c>
      <c r="H2250" s="9"/>
      <c r="I2250" s="8"/>
      <c r="J2250" s="8"/>
      <c r="K2250" s="8"/>
      <c r="L2250" s="9" t="s">
        <v>147</v>
      </c>
      <c r="M2250" s="8"/>
    </row>
    <row r="2251" spans="1:13">
      <c r="A2251" s="15" t="s">
        <v>3215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25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3216</v>
      </c>
      <c r="B2252" s="67">
        <v>22403927899</v>
      </c>
      <c r="C2252" s="72" t="s">
        <v>3217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3218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25</v>
      </c>
      <c r="H2253" s="9"/>
      <c r="I2253" s="8"/>
      <c r="J2253" s="8"/>
      <c r="K2253" s="8"/>
      <c r="L2253" s="9" t="s">
        <v>179</v>
      </c>
      <c r="M2253" s="8"/>
    </row>
    <row r="2254" spans="1:13">
      <c r="A2254" s="14" t="s">
        <v>3219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3220</v>
      </c>
      <c r="B2255" s="67">
        <v>32624504800</v>
      </c>
      <c r="C2255" s="72" t="s">
        <v>3221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3222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25</v>
      </c>
      <c r="H2256" s="9"/>
      <c r="I2256" s="8"/>
      <c r="J2256" s="8"/>
      <c r="K2256" s="8"/>
      <c r="L2256" s="8"/>
      <c r="M2256" s="8"/>
    </row>
    <row r="2257" spans="1:13">
      <c r="A2257" s="71" t="s">
        <v>3223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32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3224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3225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25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3226</v>
      </c>
      <c r="B2260" s="67">
        <v>14688456832</v>
      </c>
      <c r="C2260" s="72" t="s">
        <v>3227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3228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25</v>
      </c>
      <c r="H2261" s="9"/>
      <c r="I2261" s="8"/>
      <c r="J2261" s="8"/>
      <c r="K2261" s="8"/>
      <c r="L2261" s="8"/>
      <c r="M2261" s="8"/>
    </row>
    <row r="2262" spans="1:13">
      <c r="A2262" s="71" t="s">
        <v>3229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25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3230</v>
      </c>
      <c r="B2263" s="67">
        <v>38726646897</v>
      </c>
      <c r="C2263" s="18" t="s">
        <v>3231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3232</v>
      </c>
      <c r="B2264" s="67">
        <v>45171952876</v>
      </c>
      <c r="C2264" s="29" t="s">
        <v>3233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3234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25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3235</v>
      </c>
      <c r="B2266" s="67">
        <v>36695082871</v>
      </c>
      <c r="C2266" s="72" t="s">
        <v>3236</v>
      </c>
      <c r="D2266" s="69">
        <v>36736721857</v>
      </c>
      <c r="E2266" s="9">
        <v>1241</v>
      </c>
      <c r="F2266" s="25">
        <v>42992</v>
      </c>
      <c r="G2266" s="70" t="s">
        <v>25</v>
      </c>
      <c r="H2266" s="9"/>
      <c r="I2266" s="8"/>
      <c r="J2266" s="8"/>
      <c r="K2266" s="8"/>
      <c r="L2266" s="8"/>
      <c r="M2266" s="8"/>
    </row>
    <row r="2267" spans="1:13">
      <c r="A2267" s="13" t="s">
        <v>3237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3238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3239</v>
      </c>
      <c r="B2269" s="67">
        <v>42141950864</v>
      </c>
      <c r="C2269" s="72" t="s">
        <v>3240</v>
      </c>
      <c r="D2269" s="69"/>
      <c r="E2269" s="9">
        <v>1214</v>
      </c>
      <c r="F2269" s="25">
        <v>42989</v>
      </c>
      <c r="G2269" s="70" t="s">
        <v>25</v>
      </c>
      <c r="H2269" s="9"/>
      <c r="I2269" s="8"/>
      <c r="J2269" s="8"/>
      <c r="K2269" s="8"/>
      <c r="L2269" s="8"/>
      <c r="M2269" s="8"/>
    </row>
    <row r="2270" spans="1:13">
      <c r="A2270" s="15" t="s">
        <v>3241</v>
      </c>
      <c r="B2270" s="67">
        <v>47270275858</v>
      </c>
      <c r="C2270" s="72" t="s">
        <v>3242</v>
      </c>
      <c r="D2270" s="69">
        <v>34861975840</v>
      </c>
      <c r="E2270" s="9">
        <v>1824</v>
      </c>
      <c r="F2270" s="25">
        <v>43091</v>
      </c>
      <c r="G2270" s="70" t="s">
        <v>25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3243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25</v>
      </c>
      <c r="H2271" s="9"/>
      <c r="I2271" s="8"/>
      <c r="J2271" s="8"/>
      <c r="K2271" s="8"/>
      <c r="L2271" s="9" t="s">
        <v>179</v>
      </c>
      <c r="M2271" s="8"/>
    </row>
    <row r="2272" spans="1:13">
      <c r="A2272" s="29" t="s">
        <v>3244</v>
      </c>
      <c r="B2272" s="67">
        <v>22899917838</v>
      </c>
      <c r="C2272" s="18" t="s">
        <v>138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3245</v>
      </c>
      <c r="B2273" s="67"/>
      <c r="C2273" s="29" t="s">
        <v>138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3246</v>
      </c>
      <c r="B2274" s="67">
        <v>45477385804</v>
      </c>
      <c r="C2274" s="72" t="s">
        <v>3247</v>
      </c>
      <c r="D2274" s="69">
        <v>40972166866</v>
      </c>
      <c r="E2274" s="9">
        <v>1417</v>
      </c>
      <c r="F2274" s="25">
        <v>43017</v>
      </c>
      <c r="G2274" s="70" t="s">
        <v>25</v>
      </c>
      <c r="H2274" s="9"/>
      <c r="I2274" s="8"/>
      <c r="J2274" s="8"/>
      <c r="K2274" s="8"/>
      <c r="L2274" s="9" t="s">
        <v>262</v>
      </c>
      <c r="M2274" s="8"/>
    </row>
    <row r="2275" spans="1:13">
      <c r="A2275" s="71" t="s">
        <v>3248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25</v>
      </c>
      <c r="H2275" s="9"/>
      <c r="I2275" s="8"/>
      <c r="J2275" s="8"/>
      <c r="K2275" s="8"/>
      <c r="L2275" s="8"/>
      <c r="M2275" s="8"/>
    </row>
    <row r="2276" spans="1:13">
      <c r="A2276" s="29" t="s">
        <v>3249</v>
      </c>
      <c r="B2276" s="67"/>
      <c r="C2276" s="29" t="s">
        <v>3250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3251</v>
      </c>
      <c r="B2277" s="67">
        <v>8990461855</v>
      </c>
      <c r="C2277" s="15" t="s">
        <v>3090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3252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3253</v>
      </c>
      <c r="B2279" s="67"/>
      <c r="C2279" s="29" t="s">
        <v>3254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3255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25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3256</v>
      </c>
      <c r="B2281" s="67">
        <v>38917984827</v>
      </c>
      <c r="C2281" s="72" t="s">
        <v>3257</v>
      </c>
      <c r="D2281" s="69">
        <v>42231603896</v>
      </c>
      <c r="E2281" s="9">
        <v>229</v>
      </c>
      <c r="F2281" s="25">
        <v>43151</v>
      </c>
      <c r="G2281" s="70" t="s">
        <v>25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3258</v>
      </c>
      <c r="B2282" s="67">
        <v>37870673889</v>
      </c>
      <c r="C2282" s="72" t="s">
        <v>3259</v>
      </c>
      <c r="D2282" s="69">
        <v>2786569516</v>
      </c>
      <c r="E2282" s="9">
        <v>262</v>
      </c>
      <c r="F2282" s="25">
        <v>43160</v>
      </c>
      <c r="G2282" s="70" t="s">
        <v>25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3260</v>
      </c>
      <c r="B2283" s="67">
        <v>10441616801</v>
      </c>
      <c r="C2283" s="72" t="s">
        <v>3261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3262</v>
      </c>
      <c r="B2284" s="67">
        <v>11702039811</v>
      </c>
      <c r="C2284" s="32" t="s">
        <v>3263</v>
      </c>
      <c r="D2284" s="69">
        <v>14689396884</v>
      </c>
      <c r="E2284" s="9">
        <v>1350</v>
      </c>
      <c r="F2284" s="25">
        <v>43006</v>
      </c>
      <c r="G2284" s="70" t="s">
        <v>25</v>
      </c>
      <c r="H2284" s="9"/>
      <c r="I2284" s="8"/>
      <c r="J2284" s="8"/>
      <c r="K2284" s="8"/>
      <c r="L2284" s="8"/>
      <c r="M2284" s="8"/>
    </row>
    <row r="2285" spans="1:13">
      <c r="A2285" s="15" t="s">
        <v>3264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25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3265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3266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3267</v>
      </c>
      <c r="B2288" s="67">
        <v>46959766842</v>
      </c>
      <c r="C2288" s="72" t="s">
        <v>3268</v>
      </c>
      <c r="D2288" s="69">
        <v>40096022876</v>
      </c>
      <c r="E2288" s="9">
        <v>1350</v>
      </c>
      <c r="F2288" s="25">
        <v>43006</v>
      </c>
      <c r="G2288" s="70" t="s">
        <v>25</v>
      </c>
      <c r="H2288" s="9"/>
      <c r="I2288" s="8"/>
      <c r="J2288" s="8"/>
      <c r="K2288" s="8"/>
      <c r="L2288" s="8"/>
      <c r="M2288" s="8"/>
    </row>
    <row r="2289" spans="1:13">
      <c r="A2289" s="71" t="s">
        <v>3269</v>
      </c>
      <c r="B2289" s="67">
        <v>15147799869</v>
      </c>
      <c r="C2289" s="72" t="s">
        <v>3270</v>
      </c>
      <c r="D2289" s="69">
        <v>18304595893</v>
      </c>
      <c r="E2289" s="9">
        <v>1824</v>
      </c>
      <c r="F2289" s="25">
        <v>43091</v>
      </c>
      <c r="G2289" s="70" t="s">
        <v>25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3271</v>
      </c>
      <c r="B2290" s="67">
        <v>29012884802</v>
      </c>
      <c r="C2290" s="72" t="s">
        <v>3272</v>
      </c>
      <c r="D2290" s="69">
        <v>16761377854</v>
      </c>
      <c r="E2290" s="9">
        <v>85</v>
      </c>
      <c r="F2290" s="25">
        <v>43109</v>
      </c>
      <c r="G2290" s="70" t="s">
        <v>25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3273</v>
      </c>
      <c r="B2291" s="67">
        <v>13009518854</v>
      </c>
      <c r="C2291" s="72" t="s">
        <v>3274</v>
      </c>
      <c r="D2291" s="69">
        <v>59636467749</v>
      </c>
      <c r="E2291" s="9">
        <v>1267</v>
      </c>
      <c r="F2291" s="25">
        <v>42998</v>
      </c>
      <c r="G2291" s="70" t="s">
        <v>40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3275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3276</v>
      </c>
      <c r="B2293" s="67">
        <v>38605259809</v>
      </c>
      <c r="C2293" s="72" t="s">
        <v>3277</v>
      </c>
      <c r="D2293" s="69">
        <v>1090388519</v>
      </c>
      <c r="E2293" s="9">
        <v>117</v>
      </c>
      <c r="F2293" s="25">
        <v>43117</v>
      </c>
      <c r="G2293" s="70" t="s">
        <v>25</v>
      </c>
      <c r="H2293" s="9"/>
      <c r="I2293" s="8"/>
      <c r="J2293" s="8"/>
      <c r="K2293" s="8"/>
      <c r="L2293" s="9" t="s">
        <v>179</v>
      </c>
      <c r="M2293" s="8"/>
    </row>
    <row r="2294" spans="1:13">
      <c r="A2294" s="15" t="s">
        <v>3278</v>
      </c>
      <c r="B2294" s="67">
        <v>9333321810</v>
      </c>
      <c r="C2294" s="72" t="s">
        <v>3279</v>
      </c>
      <c r="D2294" s="69">
        <v>16122645818</v>
      </c>
      <c r="E2294" s="9">
        <v>117</v>
      </c>
      <c r="F2294" s="25">
        <v>43117</v>
      </c>
      <c r="G2294" s="70" t="s">
        <v>25</v>
      </c>
      <c r="H2294" s="9"/>
      <c r="I2294" s="8"/>
      <c r="J2294" s="8"/>
      <c r="K2294" s="8"/>
      <c r="L2294" s="9" t="s">
        <v>179</v>
      </c>
      <c r="M2294" s="8"/>
    </row>
    <row r="2295" spans="1:13">
      <c r="A2295" s="71" t="s">
        <v>3280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25</v>
      </c>
      <c r="H2295" s="9"/>
      <c r="I2295" s="8"/>
      <c r="J2295" s="8"/>
      <c r="K2295" s="8"/>
      <c r="L2295" s="9" t="s">
        <v>147</v>
      </c>
      <c r="M2295" s="8"/>
    </row>
    <row r="2296" spans="1:13">
      <c r="A2296" s="71" t="s">
        <v>3281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3282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3283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3284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3285</v>
      </c>
      <c r="B2300" s="67">
        <v>35810601839</v>
      </c>
      <c r="C2300" s="18" t="s">
        <v>3286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3287</v>
      </c>
      <c r="B2301" s="67">
        <v>32203433841</v>
      </c>
      <c r="C2301" s="72" t="s">
        <v>3288</v>
      </c>
      <c r="D2301" s="69">
        <v>36256617890</v>
      </c>
      <c r="E2301" s="9">
        <v>810</v>
      </c>
      <c r="F2301" s="25">
        <v>42915</v>
      </c>
      <c r="G2301" s="70" t="s">
        <v>25</v>
      </c>
      <c r="H2301" s="9"/>
      <c r="I2301" s="8"/>
      <c r="J2301" s="8"/>
      <c r="K2301" s="8"/>
      <c r="L2301" s="9" t="s">
        <v>147</v>
      </c>
      <c r="M2301" s="8"/>
    </row>
    <row r="2302" spans="1:13">
      <c r="A2302" s="72" t="s">
        <v>3289</v>
      </c>
      <c r="B2302" s="67">
        <v>29816586894</v>
      </c>
      <c r="C2302" s="72" t="s">
        <v>3290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3291</v>
      </c>
      <c r="B2303" s="67">
        <v>3087797545</v>
      </c>
      <c r="C2303" s="71" t="s">
        <v>3292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3293</v>
      </c>
      <c r="B2304" s="67">
        <v>44135110851</v>
      </c>
      <c r="C2304" s="18" t="s">
        <v>3294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3295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25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3296</v>
      </c>
      <c r="B2306" s="67">
        <v>5416929847</v>
      </c>
      <c r="C2306" s="72" t="s">
        <v>3297</v>
      </c>
      <c r="D2306" s="69">
        <v>69220670887</v>
      </c>
      <c r="E2306" s="9">
        <v>292</v>
      </c>
      <c r="F2306" s="25">
        <v>43168</v>
      </c>
      <c r="G2306" s="70" t="s">
        <v>32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3298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25</v>
      </c>
      <c r="H2307" s="70"/>
      <c r="I2307" s="8"/>
      <c r="J2307" s="8"/>
      <c r="K2307" s="8"/>
      <c r="L2307" s="8"/>
      <c r="M2307" s="8"/>
    </row>
    <row r="2308" spans="1:13">
      <c r="A2308" s="71" t="s">
        <v>3299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3300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25</v>
      </c>
      <c r="H2309" s="70"/>
      <c r="I2309" s="8"/>
      <c r="J2309" s="8"/>
      <c r="K2309" s="8"/>
      <c r="L2309" s="9" t="s">
        <v>262</v>
      </c>
      <c r="M2309" s="8"/>
    </row>
    <row r="2310" spans="1:13">
      <c r="A2310" s="71" t="s">
        <v>3301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25</v>
      </c>
      <c r="H2310" s="70"/>
      <c r="I2310" s="8"/>
      <c r="J2310" s="8"/>
      <c r="K2310" s="8"/>
      <c r="L2310" s="8"/>
      <c r="M2310" s="8"/>
    </row>
    <row r="2311" spans="1:13">
      <c r="A2311" s="71" t="s">
        <v>3302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3303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25</v>
      </c>
      <c r="H2312" s="70"/>
      <c r="I2312" s="8"/>
      <c r="J2312" s="8"/>
      <c r="K2312" s="8"/>
      <c r="L2312" s="8"/>
      <c r="M2312" s="8"/>
    </row>
    <row r="2313" spans="1:13">
      <c r="A2313" s="71" t="s">
        <v>3304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25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3305</v>
      </c>
      <c r="B2314" s="67">
        <v>60363616373</v>
      </c>
      <c r="C2314" s="72" t="s">
        <v>3306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3307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25</v>
      </c>
      <c r="H2315" s="70"/>
      <c r="I2315" s="8"/>
      <c r="J2315" s="8"/>
      <c r="K2315" s="8"/>
      <c r="L2315" s="8"/>
      <c r="M2315" s="8"/>
    </row>
    <row r="2316" spans="1:13">
      <c r="A2316" s="29" t="s">
        <v>3308</v>
      </c>
      <c r="B2316" s="67">
        <v>6780677833</v>
      </c>
      <c r="C2316" s="29" t="s">
        <v>3309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3310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3311</v>
      </c>
      <c r="B2318" s="67"/>
      <c r="C2318" s="29" t="s">
        <v>138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3312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3313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3314</v>
      </c>
      <c r="B2321" s="67"/>
      <c r="C2321" s="18" t="s">
        <v>3315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3316</v>
      </c>
      <c r="B2322" s="67">
        <v>47104776800</v>
      </c>
      <c r="C2322" s="72" t="s">
        <v>3317</v>
      </c>
      <c r="D2322" s="69">
        <v>29524413833</v>
      </c>
      <c r="E2322" s="9">
        <v>117</v>
      </c>
      <c r="F2322" s="25">
        <v>43117</v>
      </c>
      <c r="G2322" s="70" t="s">
        <v>25</v>
      </c>
      <c r="H2322" s="70"/>
      <c r="I2322" s="8"/>
      <c r="J2322" s="8"/>
      <c r="K2322" s="8"/>
      <c r="L2322" s="9" t="s">
        <v>179</v>
      </c>
      <c r="M2322" s="8"/>
    </row>
    <row r="2323" spans="1:13">
      <c r="A2323" s="71" t="s">
        <v>3318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25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3319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25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3320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3321</v>
      </c>
      <c r="B2326" s="67"/>
      <c r="C2326" s="29" t="s">
        <v>3322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3323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25</v>
      </c>
      <c r="H2327" s="9"/>
      <c r="I2327" s="8"/>
      <c r="J2327" s="8"/>
      <c r="K2327" s="8"/>
      <c r="L2327" s="9" t="s">
        <v>179</v>
      </c>
      <c r="M2327" s="8"/>
    </row>
    <row r="2328" spans="1:13">
      <c r="A2328" s="71" t="s">
        <v>3324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3325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3326</v>
      </c>
      <c r="B2330" s="67">
        <v>44920823878</v>
      </c>
      <c r="C2330" s="72" t="s">
        <v>3327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3328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3329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3330</v>
      </c>
      <c r="B2333" s="67">
        <v>8665698809</v>
      </c>
      <c r="C2333" s="72" t="s">
        <v>3331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3332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25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3333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3334</v>
      </c>
      <c r="B2336" s="67">
        <v>37383675860</v>
      </c>
      <c r="C2336" s="72" t="s">
        <v>3335</v>
      </c>
      <c r="D2336" s="69">
        <v>37457320814</v>
      </c>
      <c r="E2336" s="9">
        <v>1824</v>
      </c>
      <c r="F2336" s="25">
        <v>43091</v>
      </c>
      <c r="G2336" s="70" t="s">
        <v>25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3336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25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3337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25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3338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3339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3340</v>
      </c>
      <c r="B2341" s="67">
        <v>36394093882</v>
      </c>
      <c r="C2341" s="72" t="s">
        <v>3341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3342</v>
      </c>
      <c r="B2342" s="80">
        <v>38327155687</v>
      </c>
      <c r="C2342" s="81" t="s">
        <v>3343</v>
      </c>
      <c r="D2342" s="82">
        <v>20534089879</v>
      </c>
      <c r="E2342" s="47">
        <v>1824</v>
      </c>
      <c r="F2342" s="48">
        <v>43091</v>
      </c>
      <c r="G2342" s="83" t="s">
        <v>40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3344</v>
      </c>
      <c r="B2343" s="67">
        <v>36553625875</v>
      </c>
      <c r="C2343" s="72" t="s">
        <v>3345</v>
      </c>
      <c r="D2343" s="69">
        <v>34615418850</v>
      </c>
      <c r="E2343" s="9">
        <v>608</v>
      </c>
      <c r="F2343" s="25">
        <v>43012</v>
      </c>
      <c r="G2343" s="70" t="s">
        <v>25</v>
      </c>
      <c r="H2343" s="9"/>
      <c r="I2343" s="8"/>
      <c r="J2343" s="8"/>
      <c r="K2343" s="8"/>
      <c r="L2343" s="8"/>
      <c r="M2343" s="8"/>
    </row>
    <row r="2344" spans="1:13">
      <c r="A2344" s="71" t="s">
        <v>3346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25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3347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25</v>
      </c>
      <c r="H2345" s="9"/>
      <c r="I2345" s="8"/>
      <c r="J2345" s="8"/>
      <c r="K2345" s="8"/>
      <c r="L2345" s="9" t="s">
        <v>147</v>
      </c>
      <c r="M2345" s="8"/>
    </row>
    <row r="2346" spans="1:13">
      <c r="A2346" s="13" t="s">
        <v>3348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25</v>
      </c>
      <c r="H2346" s="9"/>
      <c r="I2346" s="8"/>
      <c r="J2346" s="8"/>
      <c r="K2346" s="8"/>
      <c r="L2346" s="9" t="s">
        <v>169</v>
      </c>
      <c r="M2346" s="8"/>
    </row>
    <row r="2347" spans="1:13">
      <c r="A2347" s="71" t="s">
        <v>3349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3350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25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3351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25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3352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25</v>
      </c>
      <c r="H2350" s="9"/>
      <c r="I2350" s="8"/>
      <c r="J2350" s="8"/>
      <c r="K2350" s="8"/>
      <c r="L2350" s="8"/>
      <c r="M2350" s="8"/>
    </row>
    <row r="2351" spans="1:13">
      <c r="A2351" s="14" t="s">
        <v>3353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25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3354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3355</v>
      </c>
      <c r="B2353" s="67">
        <v>2267811863</v>
      </c>
      <c r="C2353" s="68" t="s">
        <v>3356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3357</v>
      </c>
      <c r="B2354" s="67">
        <v>4640546726</v>
      </c>
      <c r="C2354" s="72" t="s">
        <v>3358</v>
      </c>
      <c r="D2354" s="69">
        <v>72849215791</v>
      </c>
      <c r="E2354" s="9">
        <v>262</v>
      </c>
      <c r="F2354" s="25">
        <v>43160</v>
      </c>
      <c r="G2354" s="70" t="s">
        <v>25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3359</v>
      </c>
      <c r="B2355" s="67">
        <v>11862093806</v>
      </c>
      <c r="C2355" s="18" t="s">
        <v>138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3360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25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3361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25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3362</v>
      </c>
      <c r="B2358" s="67">
        <v>12983214842</v>
      </c>
      <c r="C2358" s="72" t="s">
        <v>3363</v>
      </c>
      <c r="D2358" s="69">
        <v>33776403802</v>
      </c>
      <c r="E2358" s="9">
        <v>85</v>
      </c>
      <c r="F2358" s="25">
        <v>43109</v>
      </c>
      <c r="G2358" s="70" t="s">
        <v>25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3364</v>
      </c>
      <c r="B2359" s="67">
        <v>3343521507</v>
      </c>
      <c r="C2359" s="15" t="s">
        <v>3365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3366</v>
      </c>
      <c r="B2360" s="67">
        <v>41812689500</v>
      </c>
      <c r="C2360" s="72" t="s">
        <v>3367</v>
      </c>
      <c r="D2360" s="69">
        <v>14037047837</v>
      </c>
      <c r="E2360" s="9">
        <v>1106</v>
      </c>
      <c r="F2360" s="25">
        <v>42965</v>
      </c>
      <c r="G2360" s="70" t="s">
        <v>25</v>
      </c>
      <c r="H2360" s="9"/>
      <c r="I2360" s="8"/>
      <c r="J2360" s="8"/>
      <c r="K2360" s="8"/>
      <c r="L2360" s="8"/>
      <c r="M2360" s="8"/>
    </row>
    <row r="2361" spans="1:13">
      <c r="A2361" s="71" t="s">
        <v>3368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3369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25</v>
      </c>
      <c r="H2362" s="9"/>
      <c r="I2362" s="8"/>
      <c r="J2362" s="8"/>
      <c r="K2362" s="8"/>
      <c r="L2362" s="9" t="s">
        <v>147</v>
      </c>
      <c r="M2362" s="8"/>
    </row>
    <row r="2363" spans="1:13">
      <c r="A2363" s="71" t="s">
        <v>3370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3371</v>
      </c>
      <c r="B2364" s="67">
        <v>45479391879</v>
      </c>
      <c r="C2364" s="30" t="s">
        <v>3372</v>
      </c>
      <c r="D2364" s="67">
        <v>35624185820</v>
      </c>
      <c r="E2364" s="9">
        <v>1350</v>
      </c>
      <c r="F2364" s="25">
        <v>43006</v>
      </c>
      <c r="G2364" s="70" t="s">
        <v>25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3373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40</v>
      </c>
      <c r="H2365" s="9"/>
      <c r="I2365" s="8"/>
      <c r="J2365" s="8"/>
      <c r="K2365" s="8"/>
      <c r="L2365" s="9" t="s">
        <v>511</v>
      </c>
      <c r="M2365" s="8"/>
    </row>
    <row r="2366" spans="1:13">
      <c r="A2366" s="15" t="s">
        <v>3374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25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3375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3376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3377</v>
      </c>
      <c r="B2369" s="67">
        <v>36159577840</v>
      </c>
      <c r="C2369" s="72" t="s">
        <v>3378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3379</v>
      </c>
      <c r="B2370" s="67">
        <v>39308828842</v>
      </c>
      <c r="C2370" s="72" t="s">
        <v>3380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3381</v>
      </c>
      <c r="B2371" s="67">
        <v>6619801897</v>
      </c>
      <c r="C2371" s="29" t="s">
        <v>3382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3383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3384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25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3385</v>
      </c>
      <c r="B2374" s="67">
        <v>36138056850</v>
      </c>
      <c r="C2374" s="72" t="s">
        <v>3386</v>
      </c>
      <c r="D2374" s="69">
        <v>56721897504</v>
      </c>
      <c r="E2374" s="9">
        <v>262</v>
      </c>
      <c r="F2374" s="25">
        <v>43160</v>
      </c>
      <c r="G2374" s="70" t="s">
        <v>25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3387</v>
      </c>
      <c r="B2375" s="67">
        <v>22365509878</v>
      </c>
      <c r="C2375" s="72" t="s">
        <v>3388</v>
      </c>
      <c r="D2375" s="69">
        <v>9353681839</v>
      </c>
      <c r="E2375" s="9">
        <v>810</v>
      </c>
      <c r="F2375" s="25">
        <v>42915</v>
      </c>
      <c r="G2375" s="70" t="s">
        <v>25</v>
      </c>
      <c r="H2375" s="9"/>
      <c r="I2375" s="8"/>
      <c r="J2375" s="8"/>
      <c r="K2375" s="8"/>
      <c r="L2375" s="9" t="s">
        <v>147</v>
      </c>
      <c r="M2375" s="8"/>
    </row>
    <row r="2376" spans="1:13">
      <c r="A2376" s="72" t="s">
        <v>3389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3390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25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3391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3392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25</v>
      </c>
      <c r="H2379" s="9"/>
      <c r="I2379" s="8"/>
      <c r="J2379" s="8"/>
      <c r="K2379" s="8"/>
      <c r="L2379" s="9" t="s">
        <v>407</v>
      </c>
      <c r="M2379" s="8"/>
    </row>
    <row r="2380" spans="1:13">
      <c r="A2380" s="71" t="s">
        <v>3393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25</v>
      </c>
      <c r="H2380" s="9"/>
      <c r="I2380" s="8"/>
      <c r="J2380" s="8"/>
      <c r="K2380" s="8"/>
      <c r="L2380" s="9" t="s">
        <v>179</v>
      </c>
      <c r="M2380" s="8"/>
    </row>
    <row r="2381" spans="1:13">
      <c r="A2381" s="71" t="s">
        <v>3394</v>
      </c>
      <c r="B2381" s="67">
        <v>40878398856</v>
      </c>
      <c r="C2381" s="72" t="s">
        <v>3395</v>
      </c>
      <c r="D2381" s="69">
        <v>73226718568</v>
      </c>
      <c r="E2381" s="9">
        <v>262</v>
      </c>
      <c r="F2381" s="25">
        <v>43160</v>
      </c>
      <c r="G2381" s="70" t="s">
        <v>25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3396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25</v>
      </c>
      <c r="H2382" s="9"/>
      <c r="I2382" s="8"/>
      <c r="J2382" s="8"/>
      <c r="K2382" s="8"/>
      <c r="L2382" s="8"/>
      <c r="M2382" s="8"/>
    </row>
    <row r="2383" spans="1:13">
      <c r="A2383" s="13" t="s">
        <v>3397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25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3398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25</v>
      </c>
      <c r="H2384" s="9"/>
      <c r="I2384" s="8"/>
      <c r="J2384" s="8"/>
      <c r="K2384" s="8"/>
      <c r="L2384" s="8"/>
      <c r="M2384" s="8"/>
    </row>
    <row r="2385" spans="1:13">
      <c r="A2385" s="71" t="s">
        <v>3399</v>
      </c>
      <c r="B2385" s="67">
        <v>33475393387</v>
      </c>
      <c r="C2385" s="72" t="s">
        <v>3400</v>
      </c>
      <c r="D2385" s="69">
        <v>21580260306</v>
      </c>
      <c r="E2385" s="9">
        <v>292</v>
      </c>
      <c r="F2385" s="25">
        <v>43168</v>
      </c>
      <c r="G2385" s="70" t="s">
        <v>25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3401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3402</v>
      </c>
      <c r="B2387" s="67">
        <v>15114386816</v>
      </c>
      <c r="C2387" s="29" t="s">
        <v>3403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3404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25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3405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25</v>
      </c>
      <c r="H2389" s="9"/>
      <c r="I2389" s="8"/>
      <c r="J2389" s="8"/>
      <c r="K2389" s="8"/>
      <c r="L2389" s="8"/>
      <c r="M2389" s="8"/>
    </row>
    <row r="2390" spans="1:13">
      <c r="A2390" s="71" t="s">
        <v>3406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3407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3408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3409</v>
      </c>
      <c r="B2393" s="67">
        <v>38754982839</v>
      </c>
      <c r="C2393" s="72" t="s">
        <v>3410</v>
      </c>
      <c r="D2393" s="69">
        <v>34941494881</v>
      </c>
      <c r="E2393" s="9">
        <v>85</v>
      </c>
      <c r="F2393" s="25">
        <v>43109</v>
      </c>
      <c r="G2393" s="70" t="s">
        <v>40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3411</v>
      </c>
      <c r="B2394" s="67">
        <v>33401168819</v>
      </c>
      <c r="C2394" s="72" t="s">
        <v>3412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3413</v>
      </c>
      <c r="B2395" s="67">
        <v>42116294843</v>
      </c>
      <c r="C2395" s="72" t="s">
        <v>3414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3415</v>
      </c>
      <c r="B2396" s="67">
        <v>12648968679</v>
      </c>
      <c r="C2396" s="72" t="s">
        <v>3416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3417</v>
      </c>
      <c r="B2397" s="67">
        <v>34361698899</v>
      </c>
      <c r="C2397" s="72" t="s">
        <v>3418</v>
      </c>
      <c r="D2397" s="69">
        <v>21266025839</v>
      </c>
      <c r="E2397" s="9">
        <v>1489</v>
      </c>
      <c r="F2397" s="25">
        <v>43038</v>
      </c>
      <c r="G2397" s="70" t="s">
        <v>25</v>
      </c>
      <c r="H2397" s="9"/>
      <c r="I2397" s="8"/>
      <c r="J2397" s="8"/>
      <c r="K2397" s="8"/>
      <c r="L2397" s="9" t="s">
        <v>169</v>
      </c>
      <c r="M2397" s="8"/>
    </row>
    <row r="2398" spans="1:13">
      <c r="A2398" s="71" t="s">
        <v>3419</v>
      </c>
      <c r="B2398" s="67">
        <v>12835905812</v>
      </c>
      <c r="C2398" s="72" t="s">
        <v>3420</v>
      </c>
      <c r="D2398" s="69">
        <v>26821342890</v>
      </c>
      <c r="E2398" s="9">
        <v>262</v>
      </c>
      <c r="F2398" s="25">
        <v>43160</v>
      </c>
      <c r="G2398" s="70" t="s">
        <v>32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3421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25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3422</v>
      </c>
      <c r="B2400" s="67">
        <v>22713517826</v>
      </c>
      <c r="C2400" s="72" t="s">
        <v>3423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3424</v>
      </c>
      <c r="B2401" s="67">
        <v>28467390808</v>
      </c>
      <c r="C2401" s="72" t="s">
        <v>3425</v>
      </c>
      <c r="D2401" s="69">
        <v>90847547</v>
      </c>
      <c r="E2401" s="9">
        <v>810</v>
      </c>
      <c r="F2401" s="25">
        <v>42915</v>
      </c>
      <c r="G2401" s="70" t="s">
        <v>25</v>
      </c>
      <c r="H2401" s="9"/>
      <c r="I2401" s="8"/>
      <c r="J2401" s="8"/>
      <c r="K2401" s="8"/>
      <c r="L2401" s="9" t="s">
        <v>147</v>
      </c>
      <c r="M2401" s="8"/>
    </row>
    <row r="2402" spans="1:13">
      <c r="A2402" s="71" t="s">
        <v>3426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25</v>
      </c>
      <c r="H2402" s="9"/>
      <c r="I2402" s="8"/>
      <c r="J2402" s="8"/>
      <c r="K2402" s="8"/>
      <c r="L2402" s="8"/>
      <c r="M2402" s="8"/>
    </row>
    <row r="2403" spans="1:13">
      <c r="A2403" s="73" t="s">
        <v>3427</v>
      </c>
      <c r="B2403" s="67">
        <v>32033541878</v>
      </c>
      <c r="C2403" s="72" t="s">
        <v>3428</v>
      </c>
      <c r="D2403" s="69">
        <v>19674006877</v>
      </c>
      <c r="E2403" s="9">
        <v>1752</v>
      </c>
      <c r="F2403" s="25">
        <v>43051</v>
      </c>
      <c r="G2403" s="70" t="s">
        <v>25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3429</v>
      </c>
      <c r="B2404" s="67">
        <v>23241720896</v>
      </c>
      <c r="C2404" s="18" t="s">
        <v>3430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3431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3432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25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3433</v>
      </c>
      <c r="B2407" s="67">
        <v>1889333360</v>
      </c>
      <c r="C2407" s="72" t="s">
        <v>3434</v>
      </c>
      <c r="D2407" s="69">
        <v>580003302</v>
      </c>
      <c r="E2407" s="9">
        <v>1241</v>
      </c>
      <c r="F2407" s="25">
        <v>42992</v>
      </c>
      <c r="G2407" s="70" t="s">
        <v>25</v>
      </c>
      <c r="H2407" s="9"/>
      <c r="I2407" s="8"/>
      <c r="J2407" s="8"/>
      <c r="K2407" s="8"/>
      <c r="L2407" s="8"/>
      <c r="M2407" s="8"/>
    </row>
    <row r="2408" spans="1:13">
      <c r="A2408" s="71" t="s">
        <v>3435</v>
      </c>
      <c r="B2408" s="67">
        <v>40321655800</v>
      </c>
      <c r="C2408" s="72" t="s">
        <v>3436</v>
      </c>
      <c r="D2408" s="69">
        <v>37378835803</v>
      </c>
      <c r="E2408" s="9">
        <v>810</v>
      </c>
      <c r="F2408" s="25">
        <v>42915</v>
      </c>
      <c r="G2408" s="70" t="s">
        <v>25</v>
      </c>
      <c r="H2408" s="9"/>
      <c r="I2408" s="8"/>
      <c r="J2408" s="8"/>
      <c r="K2408" s="8"/>
      <c r="L2408" s="9" t="s">
        <v>147</v>
      </c>
      <c r="M2408" s="8"/>
    </row>
    <row r="2409" spans="1:13">
      <c r="A2409" s="14" t="s">
        <v>3437</v>
      </c>
      <c r="B2409" s="67">
        <v>5117256557</v>
      </c>
      <c r="C2409" s="72" t="s">
        <v>3438</v>
      </c>
      <c r="D2409" s="69">
        <v>5063737544</v>
      </c>
      <c r="E2409" s="9">
        <v>262</v>
      </c>
      <c r="F2409" s="25">
        <v>43160</v>
      </c>
      <c r="G2409" s="70" t="s">
        <v>32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3439</v>
      </c>
      <c r="B2410" s="67">
        <v>21863985832</v>
      </c>
      <c r="C2410" s="72" t="s">
        <v>3440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3441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25</v>
      </c>
      <c r="H2411" s="9"/>
      <c r="I2411" s="8"/>
      <c r="J2411" s="8"/>
      <c r="K2411" s="8"/>
      <c r="L2411" s="9" t="s">
        <v>262</v>
      </c>
      <c r="M2411" s="8"/>
    </row>
    <row r="2412" spans="1:13">
      <c r="A2412" s="18" t="s">
        <v>3442</v>
      </c>
      <c r="B2412" s="67">
        <v>31694477851</v>
      </c>
      <c r="C2412" s="18" t="s">
        <v>3443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3444</v>
      </c>
      <c r="B2413" s="67">
        <v>14690610827</v>
      </c>
      <c r="C2413" s="72" t="s">
        <v>3445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3446</v>
      </c>
      <c r="B2414" s="67">
        <v>1740803523</v>
      </c>
      <c r="C2414" s="72" t="s">
        <v>3447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3448</v>
      </c>
      <c r="B2415" s="67">
        <v>23328195840</v>
      </c>
      <c r="C2415" s="72" t="s">
        <v>3449</v>
      </c>
      <c r="D2415" s="69">
        <v>770249310</v>
      </c>
      <c r="E2415" s="9">
        <v>810</v>
      </c>
      <c r="F2415" s="25">
        <v>42915</v>
      </c>
      <c r="G2415" s="70" t="s">
        <v>25</v>
      </c>
      <c r="H2415" s="9"/>
      <c r="I2415" s="8"/>
      <c r="J2415" s="8"/>
      <c r="K2415" s="8"/>
      <c r="L2415" s="9" t="s">
        <v>147</v>
      </c>
      <c r="M2415" s="8"/>
    </row>
    <row r="2416" spans="1:13">
      <c r="A2416" s="71" t="s">
        <v>3450</v>
      </c>
      <c r="B2416" s="67">
        <v>28082388862</v>
      </c>
      <c r="C2416" s="72" t="s">
        <v>3451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3452</v>
      </c>
      <c r="B2417" s="67">
        <v>43054747867</v>
      </c>
      <c r="C2417" s="29" t="s">
        <v>3453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3454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3455</v>
      </c>
      <c r="B2419" s="67">
        <v>89863704504</v>
      </c>
      <c r="C2419" s="72" t="s">
        <v>3456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3457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3458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25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3459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3460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25</v>
      </c>
      <c r="H2423" s="9"/>
      <c r="I2423" s="8"/>
      <c r="J2423" s="8"/>
      <c r="K2423" s="8"/>
      <c r="L2423" s="8"/>
      <c r="M2423" s="8"/>
    </row>
    <row r="2424" spans="1:13">
      <c r="A2424" s="73" t="s">
        <v>3461</v>
      </c>
      <c r="B2424" s="67">
        <v>33538686823</v>
      </c>
      <c r="C2424" s="72" t="s">
        <v>3462</v>
      </c>
      <c r="D2424" s="69">
        <v>37104062858</v>
      </c>
      <c r="E2424" s="9">
        <v>810</v>
      </c>
      <c r="F2424" s="25">
        <v>42915</v>
      </c>
      <c r="G2424" s="9" t="s">
        <v>25</v>
      </c>
      <c r="H2424" s="9"/>
      <c r="I2424" s="8"/>
      <c r="J2424" s="8"/>
      <c r="K2424" s="8"/>
      <c r="L2424" s="9" t="s">
        <v>147</v>
      </c>
      <c r="M2424" s="8"/>
    </row>
    <row r="2425" spans="1:13">
      <c r="A2425" s="18" t="s">
        <v>3463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3464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25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3465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3466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25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3467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25</v>
      </c>
      <c r="H2429" s="9"/>
      <c r="I2429" s="8"/>
      <c r="J2429" s="8"/>
      <c r="K2429" s="8"/>
      <c r="L2429" s="8"/>
      <c r="M2429" s="8"/>
    </row>
    <row r="2430" spans="1:13">
      <c r="A2430" s="29" t="s">
        <v>3468</v>
      </c>
      <c r="B2430" s="67"/>
      <c r="C2430" s="29" t="s">
        <v>138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3469</v>
      </c>
      <c r="B2431" s="67">
        <v>39308964860</v>
      </c>
      <c r="C2431" s="72" t="s">
        <v>3470</v>
      </c>
      <c r="D2431" s="69">
        <v>39308963898</v>
      </c>
      <c r="E2431" s="9">
        <v>229</v>
      </c>
      <c r="F2431" s="25">
        <v>43151</v>
      </c>
      <c r="G2431" s="70" t="s">
        <v>25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3471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25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3472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25</v>
      </c>
      <c r="H2433" s="9"/>
      <c r="I2433" s="8"/>
      <c r="J2433" s="8"/>
      <c r="K2433" s="8"/>
      <c r="L2433" s="8"/>
      <c r="M2433" s="8"/>
    </row>
    <row r="2434" spans="1:13">
      <c r="A2434" s="71" t="s">
        <v>3473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3474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25</v>
      </c>
      <c r="H2435" s="9"/>
      <c r="I2435" s="8"/>
      <c r="J2435" s="8"/>
      <c r="K2435" s="8"/>
      <c r="L2435" s="8"/>
      <c r="M2435" s="8"/>
    </row>
    <row r="2436" spans="1:13">
      <c r="A2436" s="71" t="s">
        <v>3475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3476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3477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3478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25</v>
      </c>
      <c r="H2439" s="9"/>
      <c r="I2439" s="8"/>
      <c r="J2439" s="8"/>
      <c r="K2439" s="8"/>
      <c r="L2439" s="9" t="s">
        <v>179</v>
      </c>
      <c r="M2439" s="8"/>
    </row>
    <row r="2440" spans="1:13">
      <c r="A2440" s="71" t="s">
        <v>3479</v>
      </c>
      <c r="B2440" s="67">
        <v>36344864818</v>
      </c>
      <c r="C2440" s="72" t="s">
        <v>3480</v>
      </c>
      <c r="D2440" s="69">
        <v>35601867810</v>
      </c>
      <c r="E2440" s="9">
        <v>810</v>
      </c>
      <c r="F2440" s="25">
        <v>42915</v>
      </c>
      <c r="G2440" s="70" t="s">
        <v>25</v>
      </c>
      <c r="H2440" s="9"/>
      <c r="I2440" s="8"/>
      <c r="J2440" s="8"/>
      <c r="K2440" s="8"/>
      <c r="L2440" s="9" t="s">
        <v>147</v>
      </c>
      <c r="M2440" s="8"/>
    </row>
    <row r="2441" spans="1:13">
      <c r="A2441" s="29" t="s">
        <v>3481</v>
      </c>
      <c r="B2441" s="67"/>
      <c r="C2441" s="29" t="s">
        <v>138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3482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25</v>
      </c>
      <c r="H2442" s="9"/>
      <c r="I2442" s="8"/>
      <c r="J2442" s="8"/>
      <c r="K2442" s="8"/>
      <c r="L2442" s="8"/>
      <c r="M2442" s="8"/>
    </row>
    <row r="2443" spans="1:13">
      <c r="A2443" s="73" t="s">
        <v>3483</v>
      </c>
      <c r="B2443" s="67">
        <v>23969560861</v>
      </c>
      <c r="C2443" s="72" t="s">
        <v>3484</v>
      </c>
      <c r="D2443" s="69">
        <v>16141701850</v>
      </c>
      <c r="E2443" s="9">
        <v>1267</v>
      </c>
      <c r="F2443" s="25">
        <v>42998</v>
      </c>
      <c r="G2443" s="70" t="s">
        <v>25</v>
      </c>
      <c r="H2443" s="9"/>
      <c r="I2443" s="8"/>
      <c r="J2443" s="8"/>
      <c r="K2443" s="8"/>
      <c r="L2443" s="8"/>
      <c r="M2443" s="8"/>
    </row>
    <row r="2444" spans="1:13">
      <c r="A2444" s="71" t="s">
        <v>3485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3486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25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3487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25</v>
      </c>
      <c r="H2446" s="9"/>
      <c r="I2446" s="8"/>
      <c r="J2446" s="8"/>
      <c r="K2446" s="8"/>
      <c r="L2446" s="8"/>
      <c r="M2446" s="8"/>
    </row>
    <row r="2447" spans="1:13">
      <c r="A2447" s="72" t="s">
        <v>3488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3489</v>
      </c>
      <c r="B2448" s="67">
        <v>35193151817</v>
      </c>
      <c r="C2448" s="72" t="s">
        <v>3490</v>
      </c>
      <c r="D2448" s="69">
        <v>26084005829</v>
      </c>
      <c r="E2448" s="9">
        <v>229</v>
      </c>
      <c r="F2448" s="25">
        <v>43151</v>
      </c>
      <c r="G2448" s="70" t="s">
        <v>25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3491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3492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3493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25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3494</v>
      </c>
      <c r="B2452" s="67">
        <v>34674605857</v>
      </c>
      <c r="C2452" s="72" t="s">
        <v>3495</v>
      </c>
      <c r="D2452" s="69">
        <v>36771603830</v>
      </c>
      <c r="E2452" s="9">
        <v>810</v>
      </c>
      <c r="F2452" s="25">
        <v>42915</v>
      </c>
      <c r="G2452" s="70" t="s">
        <v>25</v>
      </c>
      <c r="H2452" s="9"/>
      <c r="I2452" s="8"/>
      <c r="J2452" s="8"/>
      <c r="K2452" s="8"/>
      <c r="L2452" s="9" t="s">
        <v>147</v>
      </c>
      <c r="M2452" s="8"/>
    </row>
    <row r="2453" spans="1:13">
      <c r="A2453" s="71" t="s">
        <v>3496</v>
      </c>
      <c r="B2453" s="67">
        <v>33248807857</v>
      </c>
      <c r="C2453" s="72" t="s">
        <v>3497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3498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25</v>
      </c>
      <c r="H2454" s="9"/>
      <c r="I2454" s="8"/>
      <c r="J2454" s="8"/>
      <c r="K2454" s="8"/>
      <c r="L2454" s="8"/>
      <c r="M2454" s="8"/>
    </row>
    <row r="2455" spans="1:13">
      <c r="A2455" s="13" t="s">
        <v>3499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25</v>
      </c>
      <c r="H2455" s="9"/>
      <c r="I2455" s="8"/>
      <c r="J2455" s="8"/>
      <c r="K2455" s="8"/>
      <c r="L2455" s="8"/>
      <c r="M2455" s="8"/>
    </row>
    <row r="2456" spans="1:13">
      <c r="A2456" s="71" t="s">
        <v>3500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3501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25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3502</v>
      </c>
      <c r="B2458" s="67">
        <v>7143855901</v>
      </c>
      <c r="C2458" s="18" t="s">
        <v>138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3503</v>
      </c>
      <c r="B2459" s="67"/>
      <c r="C2459" s="29" t="s">
        <v>138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3504</v>
      </c>
      <c r="B2460" s="67">
        <v>5365375505</v>
      </c>
      <c r="C2460" s="68" t="s">
        <v>3505</v>
      </c>
      <c r="D2460" s="69">
        <v>34658162857</v>
      </c>
      <c r="E2460" s="9">
        <v>1128</v>
      </c>
      <c r="F2460" s="25">
        <v>42972</v>
      </c>
      <c r="G2460" s="70" t="s">
        <v>25</v>
      </c>
      <c r="H2460" s="9"/>
      <c r="I2460" s="8"/>
      <c r="J2460" s="8"/>
      <c r="K2460" s="8"/>
      <c r="L2460" s="8"/>
      <c r="M2460" s="8"/>
    </row>
    <row r="2461" spans="1:13">
      <c r="A2461" s="18" t="s">
        <v>3506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3507</v>
      </c>
      <c r="B2462" s="67">
        <v>66691990404</v>
      </c>
      <c r="C2462" s="29" t="s">
        <v>3508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3509</v>
      </c>
      <c r="B2463" s="67">
        <v>60347000355</v>
      </c>
      <c r="C2463" s="72" t="s">
        <v>3510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3511</v>
      </c>
      <c r="B2464" s="67">
        <v>37467543808</v>
      </c>
      <c r="C2464" s="72" t="s">
        <v>3512</v>
      </c>
      <c r="D2464" s="69">
        <v>40552745804</v>
      </c>
      <c r="E2464" s="9">
        <v>229</v>
      </c>
      <c r="F2464" s="25">
        <v>43151</v>
      </c>
      <c r="G2464" s="70" t="s">
        <v>25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3513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3514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3515</v>
      </c>
      <c r="B2467" s="67"/>
      <c r="C2467" s="18" t="s">
        <v>138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3516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25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3517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3518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3519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3520</v>
      </c>
      <c r="B2472" s="67"/>
      <c r="C2472" s="18" t="s">
        <v>138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3521</v>
      </c>
      <c r="B2473" s="67">
        <v>34907942818</v>
      </c>
      <c r="C2473" s="72" t="s">
        <v>3522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3523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3524</v>
      </c>
      <c r="B2475" s="67">
        <v>40642684820</v>
      </c>
      <c r="C2475" s="72" t="s">
        <v>3525</v>
      </c>
      <c r="D2475" s="69">
        <v>43189527890</v>
      </c>
      <c r="E2475" s="9">
        <v>292</v>
      </c>
      <c r="F2475" s="25">
        <v>43168</v>
      </c>
      <c r="G2475" s="70" t="s">
        <v>25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3526</v>
      </c>
      <c r="B2476" s="67">
        <v>36401343893</v>
      </c>
      <c r="C2476" s="72" t="s">
        <v>3527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308</v>
      </c>
      <c r="M2476" s="8"/>
    </row>
    <row r="2477" spans="1:13">
      <c r="A2477" s="15" t="s">
        <v>3528</v>
      </c>
      <c r="B2477" s="67">
        <v>10413301460</v>
      </c>
      <c r="C2477" s="72" t="s">
        <v>3529</v>
      </c>
      <c r="D2477" s="69">
        <v>10931047404</v>
      </c>
      <c r="E2477" s="9">
        <v>117</v>
      </c>
      <c r="F2477" s="25">
        <v>43117</v>
      </c>
      <c r="G2477" s="70" t="s">
        <v>25</v>
      </c>
      <c r="H2477" s="9"/>
      <c r="I2477" s="8"/>
      <c r="J2477" s="8"/>
      <c r="K2477" s="8"/>
      <c r="L2477" s="9" t="s">
        <v>179</v>
      </c>
      <c r="M2477" s="8"/>
    </row>
    <row r="2478" spans="1:13">
      <c r="A2478" s="15" t="s">
        <v>3530</v>
      </c>
      <c r="B2478" s="67">
        <v>42030087866</v>
      </c>
      <c r="C2478" s="72" t="s">
        <v>3531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3532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3533</v>
      </c>
      <c r="B2480" s="67">
        <v>38302413801</v>
      </c>
      <c r="C2480" s="77" t="s">
        <v>3534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3535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25</v>
      </c>
      <c r="H2481" s="9"/>
      <c r="I2481" s="8"/>
      <c r="J2481" s="8"/>
      <c r="K2481" s="8"/>
      <c r="L2481" s="9" t="s">
        <v>147</v>
      </c>
      <c r="M2481" s="8"/>
    </row>
    <row r="2482" spans="1:13">
      <c r="A2482" s="71" t="s">
        <v>3536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3537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32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3538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25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3539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25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3540</v>
      </c>
      <c r="B2486" s="67">
        <v>34034498315</v>
      </c>
      <c r="C2486" s="72" t="s">
        <v>3541</v>
      </c>
      <c r="D2486" s="69">
        <v>30620015349</v>
      </c>
      <c r="E2486" s="9">
        <v>1470</v>
      </c>
      <c r="F2486" s="25">
        <v>43031</v>
      </c>
      <c r="G2486" s="70" t="s">
        <v>25</v>
      </c>
      <c r="H2486" s="9"/>
      <c r="I2486" s="8"/>
      <c r="J2486" s="8"/>
      <c r="K2486" s="8"/>
      <c r="L2486" s="8"/>
      <c r="M2486" s="8"/>
    </row>
    <row r="2487" spans="1:13">
      <c r="A2487" s="71" t="s">
        <v>3542</v>
      </c>
      <c r="B2487" s="67">
        <v>38027861810</v>
      </c>
      <c r="C2487" s="72" t="s">
        <v>3543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3544</v>
      </c>
      <c r="B2488" s="67">
        <v>34557275818</v>
      </c>
      <c r="C2488" s="72" t="s">
        <v>3545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3546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25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3547</v>
      </c>
      <c r="B2490" s="67"/>
      <c r="C2490" s="29" t="s">
        <v>3548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3549</v>
      </c>
      <c r="B2491" s="67">
        <v>40298877830</v>
      </c>
      <c r="C2491" s="72" t="s">
        <v>3550</v>
      </c>
      <c r="D2491" s="69">
        <v>5551703576</v>
      </c>
      <c r="E2491" s="9">
        <v>262</v>
      </c>
      <c r="F2491" s="25">
        <v>43160</v>
      </c>
      <c r="G2491" s="70" t="s">
        <v>25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3551</v>
      </c>
      <c r="B2492" s="67">
        <v>36295512895</v>
      </c>
      <c r="C2492" s="72" t="s">
        <v>3552</v>
      </c>
      <c r="D2492" s="69">
        <v>29129585805</v>
      </c>
      <c r="E2492" s="9">
        <v>292</v>
      </c>
      <c r="F2492" s="25">
        <v>43168</v>
      </c>
      <c r="G2492" s="70" t="s">
        <v>25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3553</v>
      </c>
      <c r="B2493" s="67">
        <v>13188101830</v>
      </c>
      <c r="C2493" s="72" t="s">
        <v>3554</v>
      </c>
      <c r="D2493" s="69">
        <v>55072399320</v>
      </c>
      <c r="E2493" s="9">
        <v>1752</v>
      </c>
      <c r="F2493" s="25">
        <v>43051</v>
      </c>
      <c r="G2493" s="70" t="s">
        <v>32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3555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3556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25</v>
      </c>
      <c r="H2495" s="9"/>
      <c r="I2495" s="8"/>
      <c r="J2495" s="8"/>
      <c r="K2495" s="8"/>
      <c r="L2495" s="9" t="s">
        <v>169</v>
      </c>
      <c r="M2495" s="8"/>
    </row>
    <row r="2496" spans="1:13">
      <c r="A2496" s="71" t="s">
        <v>3557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3558</v>
      </c>
      <c r="B2497" s="67">
        <v>18468597864</v>
      </c>
      <c r="C2497" s="72" t="s">
        <v>3559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3560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25</v>
      </c>
      <c r="H2498" s="9"/>
      <c r="I2498" s="8"/>
      <c r="J2498" s="8"/>
      <c r="K2498" s="8"/>
      <c r="L2498" s="8"/>
      <c r="M2498" s="8"/>
    </row>
    <row r="2499" spans="1:13">
      <c r="A2499" s="15" t="s">
        <v>3561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25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3562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25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3563</v>
      </c>
      <c r="B2501" s="67">
        <v>23134916843</v>
      </c>
      <c r="C2501" s="72" t="s">
        <v>3564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3565</v>
      </c>
      <c r="B2502" s="67">
        <v>60939966468</v>
      </c>
      <c r="C2502" s="72" t="s">
        <v>3566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3567</v>
      </c>
      <c r="B2503" s="67"/>
      <c r="C2503" s="29" t="s">
        <v>3568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3569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25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3570</v>
      </c>
      <c r="B2505" s="67">
        <v>33594407810</v>
      </c>
      <c r="C2505" s="68" t="s">
        <v>3571</v>
      </c>
      <c r="D2505" s="69">
        <v>5613611777</v>
      </c>
      <c r="E2505" s="9">
        <v>1128</v>
      </c>
      <c r="F2505" s="25">
        <v>42972</v>
      </c>
      <c r="G2505" s="70" t="s">
        <v>25</v>
      </c>
      <c r="H2505" s="9"/>
      <c r="I2505" s="8"/>
      <c r="J2505" s="8"/>
      <c r="K2505" s="8"/>
      <c r="L2505" s="8"/>
      <c r="M2505" s="8"/>
    </row>
    <row r="2506" spans="1:13">
      <c r="A2506" s="71" t="s">
        <v>3572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25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3573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3574</v>
      </c>
      <c r="B2508" s="67">
        <v>38404903832</v>
      </c>
      <c r="C2508" s="72" t="s">
        <v>3575</v>
      </c>
      <c r="D2508" s="69">
        <v>35612360819</v>
      </c>
      <c r="E2508" s="9">
        <v>810</v>
      </c>
      <c r="F2508" s="25">
        <v>42915</v>
      </c>
      <c r="G2508" s="70" t="s">
        <v>25</v>
      </c>
      <c r="H2508" s="9"/>
      <c r="I2508" s="8"/>
      <c r="J2508" s="8"/>
      <c r="K2508" s="8"/>
      <c r="L2508" s="9" t="s">
        <v>147</v>
      </c>
      <c r="M2508" s="8"/>
    </row>
    <row r="2509" spans="1:13">
      <c r="A2509" s="71" t="s">
        <v>3576</v>
      </c>
      <c r="B2509" s="67">
        <v>33198410843</v>
      </c>
      <c r="C2509" s="72" t="s">
        <v>3577</v>
      </c>
      <c r="D2509" s="69">
        <v>32853865843</v>
      </c>
      <c r="E2509" s="9">
        <v>810</v>
      </c>
      <c r="F2509" s="25">
        <v>42915</v>
      </c>
      <c r="G2509" s="70" t="s">
        <v>25</v>
      </c>
      <c r="H2509" s="9"/>
      <c r="I2509" s="8"/>
      <c r="J2509" s="8"/>
      <c r="K2509" s="8"/>
      <c r="L2509" s="9" t="s">
        <v>147</v>
      </c>
      <c r="M2509" s="8"/>
    </row>
    <row r="2510" spans="1:13">
      <c r="A2510" s="71" t="s">
        <v>3578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25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3579</v>
      </c>
      <c r="B2511" s="67">
        <v>46962268831</v>
      </c>
      <c r="C2511" s="72" t="s">
        <v>3580</v>
      </c>
      <c r="D2511" s="69">
        <v>40564058831</v>
      </c>
      <c r="E2511" s="9">
        <v>1752</v>
      </c>
      <c r="F2511" s="25">
        <v>43051</v>
      </c>
      <c r="G2511" s="70" t="s">
        <v>40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3581</v>
      </c>
      <c r="B2512" s="67">
        <v>33337344860</v>
      </c>
      <c r="C2512" s="72" t="s">
        <v>3582</v>
      </c>
      <c r="D2512" s="69">
        <v>33436663867</v>
      </c>
      <c r="E2512" s="9">
        <v>810</v>
      </c>
      <c r="F2512" s="25">
        <v>42915</v>
      </c>
      <c r="G2512" s="70" t="s">
        <v>25</v>
      </c>
      <c r="H2512" s="9"/>
      <c r="I2512" s="8"/>
      <c r="J2512" s="8"/>
      <c r="K2512" s="8"/>
      <c r="L2512" s="9" t="s">
        <v>147</v>
      </c>
      <c r="M2512" s="8"/>
    </row>
    <row r="2513" spans="1:13">
      <c r="A2513" s="14" t="s">
        <v>3583</v>
      </c>
      <c r="B2513" s="67">
        <v>11587518694</v>
      </c>
      <c r="C2513" s="72" t="s">
        <v>3584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3585</v>
      </c>
      <c r="B2514" s="67">
        <v>37957151809</v>
      </c>
      <c r="C2514" s="72" t="s">
        <v>3586</v>
      </c>
      <c r="D2514" s="69">
        <v>28342788814</v>
      </c>
      <c r="E2514" s="9">
        <v>1570</v>
      </c>
      <c r="F2514" s="25">
        <v>43077</v>
      </c>
      <c r="G2514" s="70" t="s">
        <v>25</v>
      </c>
      <c r="H2514" s="9"/>
      <c r="I2514" s="8"/>
      <c r="J2514" s="8"/>
      <c r="K2514" s="8"/>
      <c r="L2514" s="8"/>
      <c r="M2514" s="8"/>
    </row>
    <row r="2515" spans="1:13">
      <c r="A2515" s="71" t="s">
        <v>3587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308</v>
      </c>
      <c r="M2515" s="8"/>
    </row>
    <row r="2516" spans="1:13">
      <c r="A2516" s="29" t="s">
        <v>3588</v>
      </c>
      <c r="B2516" s="67">
        <v>35434226852</v>
      </c>
      <c r="C2516" s="29" t="s">
        <v>3589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3590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25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3591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25</v>
      </c>
      <c r="H2518" s="9"/>
      <c r="I2518" s="8"/>
      <c r="J2518" s="8"/>
      <c r="K2518" s="8"/>
      <c r="L2518" s="8"/>
      <c r="M2518" s="8"/>
    </row>
    <row r="2519" spans="1:13">
      <c r="A2519" s="15" t="s">
        <v>3592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25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3593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3594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3595</v>
      </c>
      <c r="B2522" s="67">
        <v>31989585809</v>
      </c>
      <c r="C2522" s="72" t="s">
        <v>3596</v>
      </c>
      <c r="D2522" s="69">
        <v>4312861919</v>
      </c>
      <c r="E2522" s="9">
        <v>1824</v>
      </c>
      <c r="F2522" s="25">
        <v>43091</v>
      </c>
      <c r="G2522" s="70" t="s">
        <v>40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3597</v>
      </c>
      <c r="B2523" s="67">
        <v>30264611802</v>
      </c>
      <c r="C2523" s="29" t="s">
        <v>3598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3599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25</v>
      </c>
      <c r="H2524" s="9"/>
      <c r="I2524" s="8"/>
      <c r="J2524" s="8"/>
      <c r="K2524" s="8"/>
      <c r="L2524" s="8"/>
      <c r="M2524" s="8"/>
    </row>
    <row r="2525" spans="1:13">
      <c r="A2525" s="71" t="s">
        <v>3600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25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3601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25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3602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25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3603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3604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3605</v>
      </c>
      <c r="B2530" s="67">
        <v>31117169880</v>
      </c>
      <c r="C2530" s="72" t="s">
        <v>3606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3607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25</v>
      </c>
      <c r="H2531" s="9"/>
      <c r="I2531" s="8"/>
      <c r="J2531" s="8"/>
      <c r="K2531" s="8"/>
      <c r="L2531" s="9" t="s">
        <v>179</v>
      </c>
      <c r="M2531" s="8"/>
    </row>
    <row r="2532" spans="1:13">
      <c r="A2532" s="29" t="s">
        <v>3608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3609</v>
      </c>
      <c r="B2533" s="67">
        <v>34800386896</v>
      </c>
      <c r="C2533" s="72" t="s">
        <v>3610</v>
      </c>
      <c r="D2533" s="69">
        <v>33748068808</v>
      </c>
      <c r="E2533" s="9">
        <v>810</v>
      </c>
      <c r="F2533" s="25">
        <v>42915</v>
      </c>
      <c r="G2533" s="70" t="s">
        <v>25</v>
      </c>
      <c r="H2533" s="9"/>
      <c r="I2533" s="8"/>
      <c r="J2533" s="8"/>
      <c r="K2533" s="8"/>
      <c r="L2533" s="9" t="s">
        <v>147</v>
      </c>
      <c r="M2533" s="8"/>
    </row>
    <row r="2534" spans="1:13">
      <c r="A2534" s="72" t="s">
        <v>3611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3612</v>
      </c>
      <c r="B2535" s="67">
        <v>38858760867</v>
      </c>
      <c r="C2535" s="68" t="s">
        <v>3613</v>
      </c>
      <c r="D2535" s="69">
        <v>37279553842</v>
      </c>
      <c r="E2535" s="9">
        <v>1128</v>
      </c>
      <c r="F2535" s="25">
        <v>42972</v>
      </c>
      <c r="G2535" s="70" t="s">
        <v>25</v>
      </c>
      <c r="H2535" s="9"/>
      <c r="I2535" s="8"/>
      <c r="J2535" s="8"/>
      <c r="K2535" s="8"/>
      <c r="L2535" s="8"/>
      <c r="M2535" s="8"/>
    </row>
    <row r="2536" spans="1:13">
      <c r="A2536" s="29" t="s">
        <v>3614</v>
      </c>
      <c r="B2536" s="67">
        <v>43621579800</v>
      </c>
      <c r="C2536" s="29" t="s">
        <v>138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3615</v>
      </c>
      <c r="B2537" s="67">
        <v>37412192825</v>
      </c>
      <c r="C2537" s="72" t="s">
        <v>3616</v>
      </c>
      <c r="D2537" s="69">
        <v>27576214830</v>
      </c>
      <c r="E2537" s="9">
        <v>1489</v>
      </c>
      <c r="F2537" s="25">
        <v>43038</v>
      </c>
      <c r="G2537" s="70" t="s">
        <v>25</v>
      </c>
      <c r="H2537" s="9"/>
      <c r="I2537" s="8"/>
      <c r="J2537" s="8"/>
      <c r="K2537" s="8"/>
      <c r="L2537" s="9" t="s">
        <v>169</v>
      </c>
      <c r="M2537" s="8"/>
    </row>
    <row r="2538" spans="1:13">
      <c r="A2538" s="71" t="s">
        <v>3617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25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3618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25</v>
      </c>
      <c r="H2539" s="9"/>
      <c r="I2539" s="8"/>
      <c r="J2539" s="8"/>
      <c r="K2539" s="8"/>
      <c r="L2539" s="9" t="s">
        <v>147</v>
      </c>
      <c r="M2539" s="8"/>
    </row>
    <row r="2540" spans="1:13">
      <c r="A2540" s="71" t="s">
        <v>3619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3620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3621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3622</v>
      </c>
      <c r="B2543" s="67">
        <v>36613563803</v>
      </c>
      <c r="C2543" s="72" t="s">
        <v>3623</v>
      </c>
      <c r="D2543" s="69">
        <v>27798369899</v>
      </c>
      <c r="E2543" s="9">
        <v>292</v>
      </c>
      <c r="F2543" s="25">
        <v>43168</v>
      </c>
      <c r="G2543" s="70" t="s">
        <v>25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3624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3625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25</v>
      </c>
      <c r="H2545" s="9"/>
      <c r="I2545" s="8"/>
      <c r="J2545" s="8"/>
      <c r="K2545" s="8"/>
      <c r="L2545" s="9" t="s">
        <v>147</v>
      </c>
      <c r="M2545" s="8"/>
    </row>
    <row r="2546" spans="1:13" ht="30">
      <c r="A2546" s="91" t="s">
        <v>3626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25</v>
      </c>
      <c r="H2546" s="9"/>
      <c r="I2546" s="8"/>
      <c r="J2546" s="8"/>
      <c r="K2546" s="8"/>
      <c r="L2546" s="8"/>
      <c r="M2546" s="8"/>
    </row>
    <row r="2547" spans="1:13">
      <c r="A2547" s="15" t="s">
        <v>3627</v>
      </c>
      <c r="B2547" s="67">
        <v>2950068545</v>
      </c>
      <c r="C2547" s="15" t="s">
        <v>3628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3629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25</v>
      </c>
      <c r="H2548" s="9"/>
      <c r="I2548" s="8"/>
      <c r="J2548" s="8"/>
      <c r="K2548" s="8"/>
      <c r="L2548" s="8"/>
      <c r="M2548" s="8"/>
    </row>
    <row r="2549" spans="1:13">
      <c r="A2549" s="71" t="s">
        <v>3630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32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3631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3632</v>
      </c>
      <c r="B2551" s="67">
        <v>44618522453</v>
      </c>
      <c r="C2551" s="68" t="s">
        <v>3633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3634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25</v>
      </c>
      <c r="H2552" s="9"/>
      <c r="I2552" s="8"/>
      <c r="J2552" s="8"/>
      <c r="K2552" s="8"/>
      <c r="L2552" s="9" t="s">
        <v>179</v>
      </c>
      <c r="M2552" s="8"/>
    </row>
    <row r="2553" spans="1:13">
      <c r="A2553" s="71" t="s">
        <v>3635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25</v>
      </c>
      <c r="H2553" s="9"/>
      <c r="I2553" s="8"/>
      <c r="J2553" s="8"/>
      <c r="K2553" s="8"/>
      <c r="L2553" s="9" t="s">
        <v>262</v>
      </c>
      <c r="M2553" s="8"/>
    </row>
    <row r="2554" spans="1:13">
      <c r="A2554" s="71" t="s">
        <v>3636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3637</v>
      </c>
      <c r="B2555" s="67">
        <v>26333731862</v>
      </c>
      <c r="C2555" s="72" t="s">
        <v>3638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3639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308</v>
      </c>
      <c r="M2556" s="8"/>
    </row>
    <row r="2557" spans="1:13">
      <c r="A2557" s="71" t="s">
        <v>3640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25</v>
      </c>
      <c r="H2557" s="9"/>
      <c r="I2557" s="8"/>
      <c r="J2557" s="8"/>
      <c r="K2557" s="8"/>
      <c r="L2557" s="8"/>
      <c r="M2557" s="8"/>
    </row>
    <row r="2558" spans="1:13">
      <c r="A2558" s="71" t="s">
        <v>3641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25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3642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25</v>
      </c>
      <c r="H2559" s="9"/>
      <c r="I2559" s="8"/>
      <c r="J2559" s="8"/>
      <c r="K2559" s="8"/>
      <c r="L2559" s="8"/>
      <c r="M2559" s="8"/>
    </row>
    <row r="2560" spans="1:13">
      <c r="A2560" s="71" t="s">
        <v>3643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25</v>
      </c>
      <c r="H2560" s="9"/>
      <c r="I2560" s="8"/>
      <c r="J2560" s="8"/>
      <c r="K2560" s="8"/>
      <c r="L2560" s="8"/>
      <c r="M2560" s="8"/>
    </row>
    <row r="2561" spans="1:13">
      <c r="A2561" s="84" t="s">
        <v>3644</v>
      </c>
      <c r="B2561" s="67">
        <v>2035513545</v>
      </c>
      <c r="C2561" s="77" t="s">
        <v>3645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3646</v>
      </c>
      <c r="B2562" s="67">
        <v>32375610881</v>
      </c>
      <c r="C2562" s="72" t="s">
        <v>3647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3648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25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3649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25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3650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3651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25</v>
      </c>
      <c r="H2566" s="9"/>
      <c r="I2566" s="8"/>
      <c r="J2566" s="8"/>
      <c r="K2566" s="8"/>
      <c r="L2566" s="9" t="s">
        <v>169</v>
      </c>
      <c r="M2566" s="8"/>
    </row>
    <row r="2567" spans="1:13">
      <c r="A2567" s="71" t="s">
        <v>3652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25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3653</v>
      </c>
      <c r="B2568" s="67">
        <v>28040254892</v>
      </c>
      <c r="C2568" s="72" t="s">
        <v>3654</v>
      </c>
      <c r="D2568" s="69">
        <v>27414145808</v>
      </c>
      <c r="E2568" s="9">
        <v>810</v>
      </c>
      <c r="F2568" s="25">
        <v>42915</v>
      </c>
      <c r="G2568" s="70" t="s">
        <v>25</v>
      </c>
      <c r="H2568" s="25">
        <v>42921</v>
      </c>
      <c r="I2568" s="8"/>
      <c r="J2568" s="8"/>
      <c r="K2568" s="8"/>
      <c r="L2568" s="9" t="s">
        <v>147</v>
      </c>
      <c r="M2568" s="8"/>
    </row>
    <row r="2569" spans="1:13">
      <c r="A2569" s="71" t="s">
        <v>3655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25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3656</v>
      </c>
      <c r="B2570" s="67">
        <v>19585439859</v>
      </c>
      <c r="C2570" s="72" t="s">
        <v>3657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3658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25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3659</v>
      </c>
      <c r="B2572" s="67">
        <v>33167057831</v>
      </c>
      <c r="C2572" s="18" t="s">
        <v>138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3660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25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3661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25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3662</v>
      </c>
      <c r="B2575" s="67">
        <v>41360953841</v>
      </c>
      <c r="C2575" s="72" t="s">
        <v>3663</v>
      </c>
      <c r="D2575" s="69">
        <v>39212484859</v>
      </c>
      <c r="E2575" s="9">
        <v>117</v>
      </c>
      <c r="F2575" s="25">
        <v>43117</v>
      </c>
      <c r="G2575" s="70" t="s">
        <v>25</v>
      </c>
      <c r="H2575" s="25">
        <v>43151</v>
      </c>
      <c r="I2575" s="8"/>
      <c r="J2575" s="8"/>
      <c r="K2575" s="8"/>
      <c r="L2575" s="9" t="s">
        <v>179</v>
      </c>
      <c r="M2575" s="8"/>
    </row>
    <row r="2576" spans="1:13">
      <c r="A2576" s="15" t="s">
        <v>3664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25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3665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25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3666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25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3667</v>
      </c>
      <c r="B2579" s="67"/>
      <c r="C2579" s="29" t="s">
        <v>138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3668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3669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25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3670</v>
      </c>
      <c r="B2582" s="67">
        <v>39407601889</v>
      </c>
      <c r="C2582" s="72" t="s">
        <v>3671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3672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25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3673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3674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25</v>
      </c>
      <c r="H2585" s="25">
        <v>42921</v>
      </c>
      <c r="I2585" s="8"/>
      <c r="J2585" s="8"/>
      <c r="K2585" s="8"/>
      <c r="L2585" s="9" t="s">
        <v>147</v>
      </c>
      <c r="M2585" s="8"/>
    </row>
    <row r="2586" spans="1:13">
      <c r="A2586" s="71" t="s">
        <v>3675</v>
      </c>
      <c r="B2586" s="67">
        <v>40831453826</v>
      </c>
      <c r="C2586" s="72" t="s">
        <v>3676</v>
      </c>
      <c r="D2586" s="69">
        <v>41787837858</v>
      </c>
      <c r="E2586" s="9">
        <v>1214</v>
      </c>
      <c r="F2586" s="25">
        <v>42989</v>
      </c>
      <c r="G2586" s="70" t="s">
        <v>25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3677</v>
      </c>
      <c r="B2587" s="67">
        <v>23043868811</v>
      </c>
      <c r="C2587" s="18" t="s">
        <v>3678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3679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25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3680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25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3681</v>
      </c>
      <c r="B2590" s="67">
        <v>11739082850</v>
      </c>
      <c r="C2590" s="72" t="s">
        <v>3682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3683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25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3684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25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3685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25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3686</v>
      </c>
      <c r="B2594" s="67">
        <v>36782552809</v>
      </c>
      <c r="C2594" s="72" t="s">
        <v>3687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3688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3689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25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3690</v>
      </c>
      <c r="B2597" s="67">
        <v>28249902874</v>
      </c>
      <c r="C2597" s="29" t="s">
        <v>3691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3692</v>
      </c>
      <c r="B2598" s="67">
        <v>36169238836</v>
      </c>
      <c r="C2598" s="77" t="s">
        <v>3693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3694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25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3695</v>
      </c>
      <c r="B2600" s="67">
        <v>30886267870</v>
      </c>
      <c r="C2600" s="29" t="s">
        <v>3696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3697</v>
      </c>
      <c r="B2601" s="67"/>
      <c r="C2601" s="29" t="s">
        <v>3698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3699</v>
      </c>
      <c r="B2602" s="67">
        <v>26107569847</v>
      </c>
      <c r="C2602" s="77" t="s">
        <v>3700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3701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25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3702</v>
      </c>
      <c r="B2604" s="67">
        <v>13516251875</v>
      </c>
      <c r="C2604" s="68" t="s">
        <v>3703</v>
      </c>
      <c r="D2604" s="69">
        <v>10146756851</v>
      </c>
      <c r="E2604" s="9">
        <v>1214</v>
      </c>
      <c r="F2604" s="25">
        <v>42989</v>
      </c>
      <c r="G2604" s="70" t="s">
        <v>25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3704</v>
      </c>
      <c r="B2605" s="67">
        <v>3597715486</v>
      </c>
      <c r="C2605" s="72" t="s">
        <v>3705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3706</v>
      </c>
      <c r="B2606" s="67">
        <v>1563161532</v>
      </c>
      <c r="C2606" s="68" t="s">
        <v>3707</v>
      </c>
      <c r="D2606" s="69">
        <v>92557732591</v>
      </c>
      <c r="E2606" s="9">
        <v>1128</v>
      </c>
      <c r="F2606" s="25">
        <v>42972</v>
      </c>
      <c r="G2606" s="70" t="s">
        <v>25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3708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3709</v>
      </c>
      <c r="B2608" s="67">
        <v>31914362861</v>
      </c>
      <c r="C2608" s="72" t="s">
        <v>3710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308</v>
      </c>
      <c r="M2608" s="8"/>
    </row>
    <row r="2609" spans="1:13">
      <c r="A2609" s="18" t="s">
        <v>3711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3712</v>
      </c>
      <c r="B2610" s="67">
        <v>35218693855</v>
      </c>
      <c r="C2610" s="72" t="s">
        <v>3713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3714</v>
      </c>
      <c r="B2611" s="67">
        <v>30947166874</v>
      </c>
      <c r="C2611" s="72" t="s">
        <v>3715</v>
      </c>
      <c r="D2611" s="69">
        <v>1304805506</v>
      </c>
      <c r="E2611" s="9">
        <v>1241</v>
      </c>
      <c r="F2611" s="25">
        <v>42992</v>
      </c>
      <c r="G2611" s="70" t="s">
        <v>25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3716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3717</v>
      </c>
      <c r="B2613" s="67">
        <v>3632265593</v>
      </c>
      <c r="C2613" s="72" t="s">
        <v>3718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3719</v>
      </c>
      <c r="B2614" s="67">
        <v>9500687801</v>
      </c>
      <c r="C2614" s="77" t="s">
        <v>3720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308</v>
      </c>
      <c r="M2614" s="8"/>
    </row>
    <row r="2615" spans="1:13">
      <c r="A2615" s="71" t="s">
        <v>3721</v>
      </c>
      <c r="B2615" s="67">
        <v>78808405400</v>
      </c>
      <c r="C2615" s="72" t="s">
        <v>3722</v>
      </c>
      <c r="D2615" s="69">
        <v>6840084400</v>
      </c>
      <c r="E2615" s="9">
        <v>1824</v>
      </c>
      <c r="F2615" s="25">
        <v>43091</v>
      </c>
      <c r="G2615" s="70" t="s">
        <v>25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3723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25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3724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3725</v>
      </c>
      <c r="B2618" s="67">
        <v>37500289820</v>
      </c>
      <c r="C2618" s="68" t="s">
        <v>3726</v>
      </c>
      <c r="D2618" s="69">
        <v>26607571867</v>
      </c>
      <c r="E2618" s="9">
        <v>1350</v>
      </c>
      <c r="F2618" s="25">
        <v>43006</v>
      </c>
      <c r="G2618" s="70" t="s">
        <v>25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3727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3728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25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3729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3730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25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3731</v>
      </c>
      <c r="B2623" s="67">
        <v>8192130800</v>
      </c>
      <c r="C2623" s="72" t="s">
        <v>3732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3733</v>
      </c>
      <c r="B2624" s="67">
        <v>26853070879</v>
      </c>
      <c r="C2624" s="18" t="s">
        <v>3734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3735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25</v>
      </c>
      <c r="H2625" s="25">
        <v>43027</v>
      </c>
      <c r="I2625" s="8"/>
      <c r="J2625" s="8"/>
      <c r="K2625" s="8"/>
      <c r="L2625" s="9" t="s">
        <v>262</v>
      </c>
      <c r="M2625" s="8"/>
    </row>
    <row r="2626" spans="1:13">
      <c r="A2626" s="13" t="s">
        <v>3736</v>
      </c>
      <c r="B2626" s="67">
        <v>27440063864</v>
      </c>
      <c r="C2626" s="68" t="s">
        <v>3737</v>
      </c>
      <c r="D2626" s="69">
        <v>66533287400</v>
      </c>
      <c r="E2626" s="9">
        <v>1241</v>
      </c>
      <c r="F2626" s="25">
        <v>42992</v>
      </c>
      <c r="G2626" s="70" t="s">
        <v>25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3738</v>
      </c>
      <c r="B2627" s="67">
        <v>32362879852</v>
      </c>
      <c r="C2627" s="72" t="s">
        <v>3739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308</v>
      </c>
      <c r="M2627" s="8"/>
    </row>
    <row r="2628" spans="1:13">
      <c r="A2628" s="15" t="s">
        <v>3740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25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3741</v>
      </c>
      <c r="B2629" s="67">
        <v>37904123843</v>
      </c>
      <c r="C2629" s="72" t="s">
        <v>3742</v>
      </c>
      <c r="D2629" s="69">
        <v>16565739897</v>
      </c>
      <c r="E2629" s="9">
        <v>292</v>
      </c>
      <c r="F2629" s="25">
        <v>43168</v>
      </c>
      <c r="G2629" s="70" t="s">
        <v>25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3743</v>
      </c>
      <c r="B2630" s="67">
        <v>30775860883</v>
      </c>
      <c r="C2630" s="72" t="s">
        <v>3744</v>
      </c>
      <c r="D2630" s="69">
        <v>34227894808</v>
      </c>
      <c r="E2630" s="9">
        <v>1359</v>
      </c>
      <c r="F2630" s="25">
        <v>43006</v>
      </c>
      <c r="G2630" s="70" t="s">
        <v>25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3745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25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3746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25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3747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25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3748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25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3749</v>
      </c>
      <c r="B2635" s="67">
        <v>29287401802</v>
      </c>
      <c r="C2635" s="72" t="s">
        <v>3750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3628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25</v>
      </c>
      <c r="H2636" s="25">
        <v>43151</v>
      </c>
      <c r="I2636" s="8"/>
      <c r="J2636" s="8"/>
      <c r="K2636" s="8"/>
      <c r="L2636" s="9" t="s">
        <v>179</v>
      </c>
      <c r="M2636" s="8"/>
    </row>
    <row r="2637" spans="1:13">
      <c r="A2637" s="71" t="s">
        <v>3751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3752</v>
      </c>
      <c r="B2638" s="67">
        <v>36051425837</v>
      </c>
      <c r="C2638" s="77" t="s">
        <v>3753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3754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25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3755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308</v>
      </c>
      <c r="M2640" s="8"/>
    </row>
    <row r="2641" spans="1:13">
      <c r="A2641" s="72" t="s">
        <v>3756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3757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25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3758</v>
      </c>
      <c r="B2643" s="67">
        <v>3212055375</v>
      </c>
      <c r="C2643" s="77" t="s">
        <v>3759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3760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25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3761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25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3762</v>
      </c>
      <c r="B2646" s="67">
        <v>11452168890</v>
      </c>
      <c r="C2646" s="72" t="s">
        <v>3763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3764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3765</v>
      </c>
      <c r="B2648" s="67">
        <v>31856157865</v>
      </c>
      <c r="C2648" s="72" t="s">
        <v>3766</v>
      </c>
      <c r="D2648" s="69">
        <v>94552967568</v>
      </c>
      <c r="E2648" s="9">
        <v>810</v>
      </c>
      <c r="F2648" s="25">
        <v>42915</v>
      </c>
      <c r="G2648" s="70" t="s">
        <v>25</v>
      </c>
      <c r="H2648" s="25">
        <v>42921</v>
      </c>
      <c r="I2648" s="8"/>
      <c r="J2648" s="8"/>
      <c r="K2648" s="8"/>
      <c r="L2648" s="9" t="s">
        <v>147</v>
      </c>
      <c r="M2648" s="8"/>
    </row>
    <row r="2649" spans="1:13">
      <c r="A2649" s="71" t="s">
        <v>3767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25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3768</v>
      </c>
      <c r="B2650" s="67">
        <v>37478827810</v>
      </c>
      <c r="C2650" s="72" t="s">
        <v>3769</v>
      </c>
      <c r="D2650" s="69">
        <v>37591131842</v>
      </c>
      <c r="E2650" s="9">
        <v>292</v>
      </c>
      <c r="F2650" s="25">
        <v>43168</v>
      </c>
      <c r="G2650" s="70" t="s">
        <v>25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3770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25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3771</v>
      </c>
      <c r="B2652" s="67">
        <v>23465596870</v>
      </c>
      <c r="C2652" s="72" t="s">
        <v>3772</v>
      </c>
      <c r="D2652" s="69">
        <v>23522451848</v>
      </c>
      <c r="E2652" s="9">
        <v>292</v>
      </c>
      <c r="F2652" s="25">
        <v>43168</v>
      </c>
      <c r="G2652" s="70" t="s">
        <v>25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3773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308</v>
      </c>
      <c r="M2653" s="8"/>
    </row>
    <row r="2654" spans="1:13">
      <c r="A2654" s="73" t="s">
        <v>3774</v>
      </c>
      <c r="B2654" s="67">
        <v>34274784835</v>
      </c>
      <c r="C2654" s="72" t="s">
        <v>3775</v>
      </c>
      <c r="D2654" s="69">
        <v>19379885890</v>
      </c>
      <c r="E2654" s="9">
        <v>810</v>
      </c>
      <c r="F2654" s="25">
        <v>42915</v>
      </c>
      <c r="G2654" s="70" t="s">
        <v>25</v>
      </c>
      <c r="H2654" s="25">
        <v>42921</v>
      </c>
      <c r="I2654" s="8"/>
      <c r="J2654" s="8"/>
      <c r="K2654" s="8"/>
      <c r="L2654" s="9" t="s">
        <v>147</v>
      </c>
      <c r="M2654" s="8"/>
    </row>
    <row r="2655" spans="1:13">
      <c r="A2655" s="71" t="s">
        <v>3776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25</v>
      </c>
      <c r="H2655" s="25">
        <v>42921</v>
      </c>
      <c r="I2655" s="8"/>
      <c r="J2655" s="8"/>
      <c r="K2655" s="8"/>
      <c r="L2655" s="9" t="s">
        <v>147</v>
      </c>
      <c r="M2655" s="8"/>
    </row>
    <row r="2656" spans="1:13">
      <c r="A2656" s="71" t="s">
        <v>3777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25</v>
      </c>
      <c r="H2656" s="25">
        <v>42921</v>
      </c>
      <c r="I2656" s="8"/>
      <c r="J2656" s="8"/>
      <c r="K2656" s="8"/>
      <c r="L2656" s="9" t="s">
        <v>147</v>
      </c>
      <c r="M2656" s="8"/>
    </row>
    <row r="2657" spans="1:13">
      <c r="A2657" s="71" t="s">
        <v>3778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25</v>
      </c>
      <c r="H2657" s="25">
        <v>43151</v>
      </c>
      <c r="I2657" s="8"/>
      <c r="J2657" s="8"/>
      <c r="K2657" s="8"/>
      <c r="L2657" s="9" t="s">
        <v>179</v>
      </c>
      <c r="M2657" s="8"/>
    </row>
    <row r="2658" spans="1:13">
      <c r="A2658" s="71" t="s">
        <v>3779</v>
      </c>
      <c r="B2658" s="67">
        <v>41491764856</v>
      </c>
      <c r="C2658" s="72" t="s">
        <v>3780</v>
      </c>
      <c r="D2658" s="69">
        <v>91076447520</v>
      </c>
      <c r="E2658" s="9">
        <v>292</v>
      </c>
      <c r="F2658" s="25">
        <v>43168</v>
      </c>
      <c r="G2658" s="70" t="s">
        <v>25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3781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25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3782</v>
      </c>
      <c r="B2660" s="67">
        <v>32962624820</v>
      </c>
      <c r="C2660" s="72" t="s">
        <v>3783</v>
      </c>
      <c r="D2660" s="69">
        <v>3430918871</v>
      </c>
      <c r="E2660" s="9"/>
      <c r="F2660" s="25"/>
      <c r="G2660" s="70" t="s">
        <v>25</v>
      </c>
      <c r="H2660" s="9"/>
      <c r="I2660" s="8"/>
      <c r="J2660" s="8"/>
      <c r="K2660" s="8"/>
      <c r="L2660" s="8"/>
      <c r="M2660" s="8"/>
    </row>
    <row r="2661" spans="1:13">
      <c r="A2661" s="71" t="s">
        <v>3784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32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3785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3786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3787</v>
      </c>
      <c r="B2664" s="67" t="s">
        <v>3788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3789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25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3790</v>
      </c>
      <c r="B2666" s="67">
        <v>99048957753</v>
      </c>
      <c r="C2666" s="29" t="s">
        <v>3791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3792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3793</v>
      </c>
      <c r="B2668" s="67">
        <v>11234152851</v>
      </c>
      <c r="C2668" s="72" t="s">
        <v>3794</v>
      </c>
      <c r="D2668" s="69">
        <v>11353668886</v>
      </c>
      <c r="E2668" s="9">
        <v>117</v>
      </c>
      <c r="F2668" s="25">
        <v>43117</v>
      </c>
      <c r="G2668" s="70" t="s">
        <v>25</v>
      </c>
      <c r="H2668" s="25">
        <v>43151</v>
      </c>
      <c r="I2668" s="8"/>
      <c r="J2668" s="8"/>
      <c r="K2668" s="8"/>
      <c r="L2668" s="9" t="s">
        <v>179</v>
      </c>
      <c r="M2668" s="8"/>
    </row>
    <row r="2669" spans="1:13">
      <c r="A2669" s="14" t="s">
        <v>3795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3796</v>
      </c>
      <c r="B2670" s="67">
        <v>39109326812</v>
      </c>
      <c r="C2670" s="29" t="s">
        <v>3797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3798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25</v>
      </c>
      <c r="H2671" s="25">
        <v>42921</v>
      </c>
      <c r="I2671" s="8"/>
      <c r="J2671" s="8"/>
      <c r="K2671" s="8"/>
      <c r="L2671" s="9" t="s">
        <v>147</v>
      </c>
      <c r="M2671" s="8"/>
    </row>
    <row r="2672" spans="1:13">
      <c r="A2672" s="71" t="s">
        <v>3799</v>
      </c>
      <c r="B2672" s="67">
        <v>33211970819</v>
      </c>
      <c r="C2672" s="72" t="s">
        <v>3800</v>
      </c>
      <c r="D2672" s="69">
        <v>22546816802</v>
      </c>
      <c r="E2672" s="9">
        <v>810</v>
      </c>
      <c r="F2672" s="25">
        <v>42915</v>
      </c>
      <c r="G2672" s="70" t="s">
        <v>25</v>
      </c>
      <c r="H2672" s="25">
        <v>42921</v>
      </c>
      <c r="I2672" s="8"/>
      <c r="J2672" s="8"/>
      <c r="K2672" s="8"/>
      <c r="L2672" s="9" t="s">
        <v>147</v>
      </c>
      <c r="M2672" s="8"/>
    </row>
    <row r="2673" spans="1:13">
      <c r="A2673" s="71" t="s">
        <v>3801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25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3802</v>
      </c>
      <c r="B2674" s="67">
        <v>45170442890</v>
      </c>
      <c r="C2674" s="18" t="s">
        <v>138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3803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25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3804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25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3805</v>
      </c>
      <c r="B2677" s="67"/>
      <c r="C2677" s="71" t="s">
        <v>3806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3807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3808</v>
      </c>
      <c r="B2679" s="67"/>
      <c r="C2679" s="29" t="s">
        <v>138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3809</v>
      </c>
      <c r="B2680" s="67">
        <v>1846996490</v>
      </c>
      <c r="C2680" s="72" t="s">
        <v>3810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3811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25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3812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25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3813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25</v>
      </c>
      <c r="H2683" s="25">
        <v>43027</v>
      </c>
      <c r="I2683" s="8"/>
      <c r="J2683" s="8"/>
      <c r="K2683" s="8"/>
      <c r="L2683" s="9" t="s">
        <v>262</v>
      </c>
      <c r="M2683" s="8"/>
    </row>
    <row r="2684" spans="1:13">
      <c r="A2684" s="13" t="s">
        <v>3814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25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3815</v>
      </c>
      <c r="B2685" s="67"/>
      <c r="C2685" s="29" t="s">
        <v>138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3816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25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3817</v>
      </c>
      <c r="B2687" s="67">
        <v>18033634871</v>
      </c>
      <c r="C2687" s="72" t="s">
        <v>3818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3819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3820</v>
      </c>
      <c r="B2689" s="67">
        <v>16155105839</v>
      </c>
      <c r="C2689" s="72" t="s">
        <v>3821</v>
      </c>
      <c r="D2689" s="69">
        <v>53581717468</v>
      </c>
      <c r="E2689" s="9">
        <v>1359</v>
      </c>
      <c r="F2689" s="25">
        <v>43006</v>
      </c>
      <c r="G2689" s="70" t="s">
        <v>25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3822</v>
      </c>
      <c r="B2690" s="67">
        <v>33244692877</v>
      </c>
      <c r="C2690" s="72" t="s">
        <v>3823</v>
      </c>
      <c r="D2690" s="69">
        <v>7582246802</v>
      </c>
      <c r="E2690" s="9">
        <v>1417</v>
      </c>
      <c r="F2690" s="25">
        <v>43017</v>
      </c>
      <c r="G2690" s="70" t="s">
        <v>25</v>
      </c>
      <c r="H2690" s="25">
        <v>43027</v>
      </c>
      <c r="I2690" s="8"/>
      <c r="J2690" s="8"/>
      <c r="K2690" s="8"/>
      <c r="L2690" s="9" t="s">
        <v>262</v>
      </c>
      <c r="M2690" s="8"/>
    </row>
    <row r="2691" spans="1:13">
      <c r="A2691" s="71" t="s">
        <v>3824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3825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3826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3827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3828</v>
      </c>
      <c r="B2695" s="67">
        <v>8715634795</v>
      </c>
      <c r="C2695" s="72" t="s">
        <v>3829</v>
      </c>
      <c r="D2695" s="69">
        <v>30386378827</v>
      </c>
      <c r="E2695" s="9">
        <v>1106</v>
      </c>
      <c r="F2695" s="25">
        <v>42965</v>
      </c>
      <c r="G2695" s="70" t="s">
        <v>25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3830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25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3831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25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3832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3833</v>
      </c>
      <c r="B2699" s="67">
        <v>85941933517</v>
      </c>
      <c r="C2699" s="72" t="s">
        <v>3834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3835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3836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3837</v>
      </c>
      <c r="B2702" s="67"/>
      <c r="C2702" s="18" t="s">
        <v>138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3838</v>
      </c>
      <c r="B2703" s="67">
        <v>39766945845</v>
      </c>
      <c r="C2703" s="72" t="s">
        <v>3839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3840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25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3841</v>
      </c>
      <c r="B2705" s="67">
        <v>16374846826</v>
      </c>
      <c r="C2705" s="72" t="s">
        <v>3842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3843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3844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25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3845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25</v>
      </c>
      <c r="H2708" s="9"/>
      <c r="I2708" s="8"/>
      <c r="J2708" s="8"/>
      <c r="K2708" s="8"/>
      <c r="L2708" s="9" t="s">
        <v>407</v>
      </c>
      <c r="M2708" s="8"/>
    </row>
    <row r="2709" spans="1:13">
      <c r="A2709" s="71" t="s">
        <v>3846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25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3847</v>
      </c>
      <c r="B2710" s="67">
        <v>14337129898</v>
      </c>
      <c r="C2710" s="77" t="s">
        <v>3848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3849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25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3850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25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3851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3852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3853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25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3854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3855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3856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40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3857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25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3858</v>
      </c>
      <c r="B2720" s="67">
        <v>38482003844</v>
      </c>
      <c r="C2720" s="72" t="s">
        <v>3859</v>
      </c>
      <c r="D2720" s="69">
        <v>34337869840</v>
      </c>
      <c r="E2720" s="9">
        <v>117</v>
      </c>
      <c r="F2720" s="25">
        <v>43117</v>
      </c>
      <c r="G2720" s="70" t="s">
        <v>25</v>
      </c>
      <c r="H2720" s="25">
        <v>43151</v>
      </c>
      <c r="I2720" s="8"/>
      <c r="J2720" s="8"/>
      <c r="K2720" s="8"/>
      <c r="L2720" s="9" t="s">
        <v>179</v>
      </c>
      <c r="M2720" s="8"/>
    </row>
    <row r="2721" spans="1:13">
      <c r="A2721" s="71" t="s">
        <v>3860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3861</v>
      </c>
      <c r="B2722" s="67">
        <v>33079736818</v>
      </c>
      <c r="C2722" s="72" t="s">
        <v>3862</v>
      </c>
      <c r="D2722" s="69">
        <v>35642667807</v>
      </c>
      <c r="E2722" s="9">
        <v>262</v>
      </c>
      <c r="F2722" s="25">
        <v>43160</v>
      </c>
      <c r="G2722" s="70" t="s">
        <v>25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3863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3864</v>
      </c>
      <c r="B2724" s="67">
        <v>31620090813</v>
      </c>
      <c r="C2724" s="72" t="s">
        <v>3865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3866</v>
      </c>
      <c r="B2725" s="67">
        <v>39621579805</v>
      </c>
      <c r="C2725" s="77" t="s">
        <v>3867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3868</v>
      </c>
      <c r="B2726" s="67">
        <v>221267328</v>
      </c>
      <c r="C2726" s="72" t="s">
        <v>3869</v>
      </c>
      <c r="D2726" s="69">
        <v>98610830306</v>
      </c>
      <c r="E2726" s="9">
        <v>85</v>
      </c>
      <c r="F2726" s="25">
        <v>43109</v>
      </c>
      <c r="G2726" s="70" t="s">
        <v>25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3870</v>
      </c>
      <c r="B2727" s="67">
        <v>35706262888</v>
      </c>
      <c r="C2727" s="71" t="s">
        <v>3871</v>
      </c>
      <c r="D2727" s="69">
        <v>28992397836</v>
      </c>
      <c r="E2727" s="9">
        <v>292</v>
      </c>
      <c r="F2727" s="25">
        <v>43168</v>
      </c>
      <c r="G2727" s="9" t="s">
        <v>25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3872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25</v>
      </c>
      <c r="H2728" s="25">
        <v>42921</v>
      </c>
      <c r="I2728" s="8"/>
      <c r="J2728" s="8"/>
      <c r="K2728" s="8"/>
      <c r="L2728" s="9" t="s">
        <v>147</v>
      </c>
      <c r="M2728" s="8"/>
    </row>
    <row r="2729" spans="1:13">
      <c r="A2729" s="71" t="s">
        <v>3873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25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3874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3875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25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3876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3877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3878</v>
      </c>
      <c r="B2734" s="67">
        <v>34393827880</v>
      </c>
      <c r="C2734" s="72" t="s">
        <v>3879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3880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3881</v>
      </c>
      <c r="B2736" s="67">
        <v>35679630826</v>
      </c>
      <c r="C2736" s="72" t="s">
        <v>3882</v>
      </c>
      <c r="D2736" s="69">
        <v>34083542861</v>
      </c>
      <c r="E2736" s="9">
        <v>1752</v>
      </c>
      <c r="F2736" s="25">
        <v>43051</v>
      </c>
      <c r="G2736" s="70" t="s">
        <v>25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3883</v>
      </c>
      <c r="B2737" s="67">
        <v>34949006800</v>
      </c>
      <c r="C2737" s="18" t="s">
        <v>3884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3885</v>
      </c>
      <c r="B2738" s="67">
        <v>1157524559</v>
      </c>
      <c r="C2738" s="72" t="s">
        <v>3886</v>
      </c>
      <c r="D2738" s="69">
        <v>1436524512</v>
      </c>
      <c r="E2738" s="9">
        <v>117</v>
      </c>
      <c r="F2738" s="25">
        <v>43117</v>
      </c>
      <c r="G2738" s="70" t="s">
        <v>32</v>
      </c>
      <c r="H2738" s="25">
        <v>43151</v>
      </c>
      <c r="I2738" s="8"/>
      <c r="J2738" s="8"/>
      <c r="K2738" s="8"/>
      <c r="L2738" s="9" t="s">
        <v>179</v>
      </c>
      <c r="M2738" s="8"/>
    </row>
    <row r="2739" spans="1:13">
      <c r="A2739" s="71" t="s">
        <v>3887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25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3888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25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3889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25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3890</v>
      </c>
      <c r="B2742" s="67">
        <v>21686263830</v>
      </c>
      <c r="C2742" s="29" t="s">
        <v>3891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3892</v>
      </c>
      <c r="B2743" s="67">
        <v>22497995800</v>
      </c>
      <c r="C2743" s="18" t="s">
        <v>3893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3894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25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3895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3896</v>
      </c>
      <c r="B2746" s="67">
        <v>40291692877</v>
      </c>
      <c r="C2746" s="72" t="s">
        <v>3897</v>
      </c>
      <c r="D2746" s="69">
        <v>1566073367</v>
      </c>
      <c r="E2746" s="9">
        <v>810</v>
      </c>
      <c r="F2746" s="25">
        <v>42915</v>
      </c>
      <c r="G2746" s="70" t="s">
        <v>25</v>
      </c>
      <c r="H2746" s="25">
        <v>42921</v>
      </c>
      <c r="I2746" s="8"/>
      <c r="J2746" s="8"/>
      <c r="K2746" s="8"/>
      <c r="L2746" s="9" t="s">
        <v>147</v>
      </c>
      <c r="M2746" s="8"/>
    </row>
    <row r="2747" spans="1:13">
      <c r="A2747" s="72" t="s">
        <v>3898</v>
      </c>
      <c r="B2747" s="67">
        <v>11767064896</v>
      </c>
      <c r="C2747" s="72" t="s">
        <v>3899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3900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25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3901</v>
      </c>
      <c r="B2749" s="67">
        <v>49009893391</v>
      </c>
      <c r="C2749" s="72" t="s">
        <v>3902</v>
      </c>
      <c r="D2749" s="69">
        <v>37349813368</v>
      </c>
      <c r="E2749" s="9">
        <v>292</v>
      </c>
      <c r="F2749" s="25">
        <v>43168</v>
      </c>
      <c r="G2749" s="70" t="s">
        <v>25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3903</v>
      </c>
      <c r="B2750" s="67">
        <v>92361587572</v>
      </c>
      <c r="C2750" s="72" t="s">
        <v>3904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3905</v>
      </c>
      <c r="B2751" s="67">
        <v>17487435890</v>
      </c>
      <c r="C2751" s="72" t="s">
        <v>3906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3907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25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3908</v>
      </c>
      <c r="B2753" s="67">
        <v>86815121615</v>
      </c>
      <c r="C2753" s="72" t="s">
        <v>3909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3910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3911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3912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25</v>
      </c>
      <c r="H2756" s="25">
        <v>42921</v>
      </c>
      <c r="I2756" s="8"/>
      <c r="J2756" s="8"/>
      <c r="K2756" s="8"/>
      <c r="L2756" s="9" t="s">
        <v>147</v>
      </c>
      <c r="M2756" s="8"/>
    </row>
    <row r="2757" spans="1:13">
      <c r="A2757" s="72" t="s">
        <v>3913</v>
      </c>
      <c r="B2757" s="67">
        <v>25261161800</v>
      </c>
      <c r="C2757" s="72" t="s">
        <v>3914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3915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25</v>
      </c>
      <c r="H2758" s="25">
        <v>43151</v>
      </c>
      <c r="I2758" s="8"/>
      <c r="J2758" s="8"/>
      <c r="K2758" s="8"/>
      <c r="L2758" s="9" t="s">
        <v>179</v>
      </c>
      <c r="M2758" s="8"/>
    </row>
    <row r="2759" spans="1:13">
      <c r="A2759" s="71" t="s">
        <v>3916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25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3917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3918</v>
      </c>
      <c r="B2761" s="67">
        <v>22638604879</v>
      </c>
      <c r="C2761" s="72" t="s">
        <v>3919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3920</v>
      </c>
      <c r="B2762" s="67" t="s">
        <v>3921</v>
      </c>
      <c r="C2762" s="18" t="s">
        <v>3922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3923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3924</v>
      </c>
      <c r="B2764" s="67">
        <v>32880462886</v>
      </c>
      <c r="C2764" s="72" t="s">
        <v>3925</v>
      </c>
      <c r="D2764" s="69">
        <v>30845711806</v>
      </c>
      <c r="E2764" s="9">
        <v>810</v>
      </c>
      <c r="F2764" s="25">
        <v>42915</v>
      </c>
      <c r="G2764" s="70" t="s">
        <v>25</v>
      </c>
      <c r="H2764" s="25">
        <v>42921</v>
      </c>
      <c r="I2764" s="8"/>
      <c r="J2764" s="8"/>
      <c r="K2764" s="8"/>
      <c r="L2764" s="9" t="s">
        <v>147</v>
      </c>
      <c r="M2764" s="8"/>
    </row>
    <row r="2765" spans="1:13">
      <c r="A2765" s="29" t="s">
        <v>3926</v>
      </c>
      <c r="B2765" s="67">
        <v>31228758883</v>
      </c>
      <c r="C2765" s="29" t="s">
        <v>3927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3928</v>
      </c>
      <c r="B2766" s="67">
        <v>40443218846</v>
      </c>
      <c r="C2766" s="88" t="s">
        <v>3929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3930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25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3931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32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3932</v>
      </c>
      <c r="B2769" s="67"/>
      <c r="C2769" s="29" t="s">
        <v>3933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3934</v>
      </c>
      <c r="B2770" s="67">
        <v>34462426860</v>
      </c>
      <c r="C2770" s="72" t="s">
        <v>3935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308</v>
      </c>
      <c r="M2770" s="8"/>
    </row>
    <row r="2771" spans="1:13">
      <c r="A2771" s="15" t="s">
        <v>3936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25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3937</v>
      </c>
      <c r="B2772" s="67">
        <v>39600488827</v>
      </c>
      <c r="C2772" s="72" t="s">
        <v>3938</v>
      </c>
      <c r="D2772" s="69">
        <v>34795746885</v>
      </c>
      <c r="E2772" s="9">
        <v>292</v>
      </c>
      <c r="F2772" s="25">
        <v>43168</v>
      </c>
      <c r="G2772" s="70" t="s">
        <v>25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3939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3940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40</v>
      </c>
      <c r="H2774" s="25">
        <v>42921</v>
      </c>
      <c r="I2774" s="8"/>
      <c r="J2774" s="8"/>
      <c r="K2774" s="8"/>
      <c r="L2774" s="9" t="s">
        <v>147</v>
      </c>
      <c r="M2774" s="8"/>
    </row>
    <row r="2775" spans="1:13">
      <c r="A2775" s="71" t="s">
        <v>3941</v>
      </c>
      <c r="B2775" s="67">
        <v>32768872822</v>
      </c>
      <c r="C2775" s="72" t="s">
        <v>3942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3943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25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3944</v>
      </c>
      <c r="B2777" s="67">
        <v>85942588104</v>
      </c>
      <c r="C2777" s="88" t="s">
        <v>3945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3946</v>
      </c>
      <c r="B2778" s="67"/>
      <c r="C2778" s="29" t="s">
        <v>138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3947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25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3948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25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3949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3950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3951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25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3952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25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3953</v>
      </c>
      <c r="B2785" s="67">
        <v>30834349876</v>
      </c>
      <c r="C2785" s="72" t="s">
        <v>3954</v>
      </c>
      <c r="D2785" s="69">
        <v>58355561520</v>
      </c>
      <c r="E2785" s="9">
        <v>262</v>
      </c>
      <c r="F2785" s="25">
        <v>43160</v>
      </c>
      <c r="G2785" s="70" t="s">
        <v>25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3955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25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3956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32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3957</v>
      </c>
      <c r="B2788" s="67">
        <v>22682142818</v>
      </c>
      <c r="C2788" s="72" t="s">
        <v>2757</v>
      </c>
      <c r="D2788" s="69">
        <v>22853401847</v>
      </c>
      <c r="E2788" s="9">
        <v>117</v>
      </c>
      <c r="F2788" s="25">
        <v>43117</v>
      </c>
      <c r="G2788" s="70" t="s">
        <v>25</v>
      </c>
      <c r="H2788" s="25">
        <v>43151</v>
      </c>
      <c r="I2788" s="8"/>
      <c r="J2788" s="8"/>
      <c r="K2788" s="8"/>
      <c r="L2788" s="9" t="s">
        <v>179</v>
      </c>
      <c r="M2788" s="8"/>
    </row>
    <row r="2789" spans="1:13">
      <c r="A2789" s="71" t="s">
        <v>3958</v>
      </c>
      <c r="B2789" s="67">
        <v>32700235886</v>
      </c>
      <c r="C2789" s="72" t="s">
        <v>3959</v>
      </c>
      <c r="D2789" s="69">
        <v>30542314886</v>
      </c>
      <c r="E2789" s="9">
        <v>292</v>
      </c>
      <c r="F2789" s="25">
        <v>43168</v>
      </c>
      <c r="G2789" s="70" t="s">
        <v>25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3960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3961</v>
      </c>
      <c r="B2791" s="67">
        <v>12487731877</v>
      </c>
      <c r="C2791" s="72" t="s">
        <v>3962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3963</v>
      </c>
      <c r="B2792" s="67" t="s">
        <v>3964</v>
      </c>
      <c r="C2792" s="88" t="s">
        <v>3965</v>
      </c>
      <c r="D2792" s="69" t="s">
        <v>3966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3967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25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3968</v>
      </c>
      <c r="B2794" s="67">
        <v>35705436840</v>
      </c>
      <c r="C2794" s="88" t="s">
        <v>3969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3970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40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3971</v>
      </c>
      <c r="B2796" s="67">
        <v>34086913801</v>
      </c>
      <c r="C2796" s="72" t="s">
        <v>3972</v>
      </c>
      <c r="D2796" s="69">
        <v>31013050800</v>
      </c>
      <c r="E2796" s="9">
        <v>229</v>
      </c>
      <c r="F2796" s="25">
        <v>43151</v>
      </c>
      <c r="G2796" s="70" t="s">
        <v>25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3973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25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3974</v>
      </c>
      <c r="B2798" s="67">
        <v>24648996828</v>
      </c>
      <c r="C2798" s="72" t="s">
        <v>3975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3976</v>
      </c>
      <c r="B2799" s="67">
        <v>87445824472</v>
      </c>
      <c r="C2799" s="72" t="s">
        <v>3977</v>
      </c>
      <c r="D2799" s="69">
        <v>30439764874</v>
      </c>
      <c r="E2799" s="9">
        <v>1417</v>
      </c>
      <c r="F2799" s="25">
        <v>43017</v>
      </c>
      <c r="G2799" s="70" t="s">
        <v>25</v>
      </c>
      <c r="H2799" s="25">
        <v>43027</v>
      </c>
      <c r="I2799" s="8"/>
      <c r="J2799" s="8"/>
      <c r="K2799" s="8"/>
      <c r="L2799" s="9" t="s">
        <v>262</v>
      </c>
      <c r="M2799" s="8"/>
    </row>
    <row r="2800" spans="1:13">
      <c r="A2800" s="71" t="s">
        <v>3978</v>
      </c>
      <c r="B2800" s="67">
        <v>25630230840</v>
      </c>
      <c r="C2800" s="77" t="s">
        <v>3979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308</v>
      </c>
      <c r="M2800" s="8"/>
    </row>
    <row r="2801" spans="1:13">
      <c r="A2801" s="71" t="s">
        <v>3980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25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3981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25</v>
      </c>
      <c r="H2802" s="25">
        <v>43027</v>
      </c>
      <c r="I2802" s="8"/>
      <c r="J2802" s="8"/>
      <c r="K2802" s="8"/>
      <c r="L2802" s="9" t="s">
        <v>262</v>
      </c>
      <c r="M2802" s="8"/>
    </row>
    <row r="2803" spans="1:13">
      <c r="A2803" s="71" t="s">
        <v>3982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3983</v>
      </c>
      <c r="B2804" s="67">
        <v>17128618830</v>
      </c>
      <c r="C2804" s="72" t="s">
        <v>3984</v>
      </c>
      <c r="D2804" s="69">
        <v>69305315534</v>
      </c>
      <c r="E2804" s="9">
        <v>810</v>
      </c>
      <c r="F2804" s="25">
        <v>42915</v>
      </c>
      <c r="G2804" s="70" t="s">
        <v>32</v>
      </c>
      <c r="H2804" s="25">
        <v>42921</v>
      </c>
      <c r="I2804" s="8"/>
      <c r="J2804" s="8"/>
      <c r="K2804" s="8"/>
      <c r="L2804" s="9" t="s">
        <v>147</v>
      </c>
      <c r="M2804" s="8"/>
    </row>
    <row r="2805" spans="1:13">
      <c r="A2805" s="71" t="s">
        <v>3985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3986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3987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3988</v>
      </c>
      <c r="B2808" s="67">
        <v>79572421468</v>
      </c>
      <c r="C2808" s="29" t="s">
        <v>3989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3990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25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3991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3992</v>
      </c>
      <c r="B2811" s="67">
        <v>44518427866</v>
      </c>
      <c r="C2811" s="72" t="s">
        <v>3993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3994</v>
      </c>
      <c r="B2812" s="67">
        <v>35625515840</v>
      </c>
      <c r="C2812" s="72" t="s">
        <v>3995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3996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3997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308</v>
      </c>
      <c r="M2814" s="8"/>
    </row>
    <row r="2815" spans="1:13">
      <c r="A2815" s="18" t="s">
        <v>3998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3999</v>
      </c>
      <c r="B2816" s="67">
        <v>40663707803</v>
      </c>
      <c r="C2816" s="72" t="s">
        <v>4000</v>
      </c>
      <c r="D2816" s="69">
        <v>35138540807</v>
      </c>
      <c r="E2816" s="9">
        <v>262</v>
      </c>
      <c r="F2816" s="25">
        <v>43160</v>
      </c>
      <c r="G2816" s="70" t="s">
        <v>25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4001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4002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4003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25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4004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25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4005</v>
      </c>
      <c r="B2821" s="67"/>
      <c r="C2821" s="29" t="s">
        <v>4006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4007</v>
      </c>
      <c r="B2822" s="67">
        <v>40874659850</v>
      </c>
      <c r="C2822" s="77" t="s">
        <v>4008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308</v>
      </c>
      <c r="M2822" s="8"/>
    </row>
    <row r="2823" spans="1:13">
      <c r="A2823" s="29" t="s">
        <v>4009</v>
      </c>
      <c r="B2823" s="67"/>
      <c r="C2823" s="29" t="s">
        <v>4010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4011</v>
      </c>
      <c r="B2824" s="67">
        <v>37028047814</v>
      </c>
      <c r="C2824" s="72" t="s">
        <v>4012</v>
      </c>
      <c r="D2824" s="69">
        <v>34812554896</v>
      </c>
      <c r="E2824" s="9">
        <v>1824</v>
      </c>
      <c r="F2824" s="25">
        <v>43091</v>
      </c>
      <c r="G2824" s="70" t="s">
        <v>25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4013</v>
      </c>
      <c r="B2825" s="67">
        <v>10774591650</v>
      </c>
      <c r="C2825" s="72" t="s">
        <v>4014</v>
      </c>
      <c r="D2825" s="69">
        <v>33230795822</v>
      </c>
      <c r="E2825" s="9">
        <v>292</v>
      </c>
      <c r="F2825" s="25">
        <v>43168</v>
      </c>
      <c r="G2825" s="70" t="s">
        <v>25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4015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25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4016</v>
      </c>
      <c r="B2827" s="67">
        <v>42779099810</v>
      </c>
      <c r="C2827" s="18" t="s">
        <v>4017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4018</v>
      </c>
      <c r="B2828" s="67">
        <v>50748310835</v>
      </c>
      <c r="C2828" s="18" t="s">
        <v>4019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4020</v>
      </c>
      <c r="B2829" s="67">
        <v>42651266850</v>
      </c>
      <c r="C2829" s="72" t="s">
        <v>4021</v>
      </c>
      <c r="D2829" s="69">
        <v>3580715429</v>
      </c>
      <c r="E2829" s="9">
        <v>1350</v>
      </c>
      <c r="F2829" s="25">
        <v>43006</v>
      </c>
      <c r="G2829" s="70" t="s">
        <v>25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4022</v>
      </c>
      <c r="B2830" s="67">
        <v>36474824808</v>
      </c>
      <c r="C2830" s="72" t="s">
        <v>4023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4024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4025</v>
      </c>
      <c r="B2832" s="67">
        <v>22034628845</v>
      </c>
      <c r="C2832" s="72" t="s">
        <v>4026</v>
      </c>
      <c r="D2832" s="69">
        <v>26990288515</v>
      </c>
      <c r="E2832" s="9">
        <v>1555</v>
      </c>
      <c r="F2832" s="25">
        <v>43049</v>
      </c>
      <c r="G2832" s="70" t="s">
        <v>25</v>
      </c>
      <c r="H2832" s="9"/>
      <c r="I2832" s="8"/>
      <c r="J2832" s="8"/>
      <c r="K2832" s="8"/>
      <c r="L2832" s="9" t="s">
        <v>407</v>
      </c>
      <c r="M2832" s="8"/>
    </row>
    <row r="2833" spans="1:13">
      <c r="A2833" s="71" t="s">
        <v>4027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4028</v>
      </c>
      <c r="B2834" s="67">
        <v>10782475876</v>
      </c>
      <c r="C2834" s="72" t="s">
        <v>4029</v>
      </c>
      <c r="D2834" s="69">
        <v>616947895</v>
      </c>
      <c r="E2834" s="9">
        <v>1214</v>
      </c>
      <c r="F2834" s="25">
        <v>42989</v>
      </c>
      <c r="G2834" s="70" t="s">
        <v>25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4030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25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4031</v>
      </c>
      <c r="B2836" s="67"/>
      <c r="C2836" s="18" t="s">
        <v>138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4032</v>
      </c>
      <c r="B2837" s="67">
        <v>42151049809</v>
      </c>
      <c r="C2837" s="68" t="s">
        <v>4033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4034</v>
      </c>
      <c r="B2838" s="67">
        <v>38785656828</v>
      </c>
      <c r="C2838" s="18" t="s">
        <v>4035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4036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4037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25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4038</v>
      </c>
      <c r="B2841" s="67">
        <v>22815009854</v>
      </c>
      <c r="C2841" s="77" t="s">
        <v>4039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4040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32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4041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4042</v>
      </c>
      <c r="B2844" s="67">
        <v>40506629813</v>
      </c>
      <c r="C2844" s="72" t="s">
        <v>4043</v>
      </c>
      <c r="D2844" s="69">
        <v>32485329800</v>
      </c>
      <c r="E2844" s="9">
        <v>262</v>
      </c>
      <c r="F2844" s="25">
        <v>43160</v>
      </c>
      <c r="G2844" s="70" t="s">
        <v>25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4044</v>
      </c>
      <c r="B2845" s="67">
        <v>31504729897</v>
      </c>
      <c r="C2845" s="68" t="s">
        <v>4045</v>
      </c>
      <c r="D2845" s="69">
        <v>24816878840</v>
      </c>
      <c r="E2845" s="9">
        <v>1214</v>
      </c>
      <c r="F2845" s="25">
        <v>42989</v>
      </c>
      <c r="G2845" s="70" t="s">
        <v>25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4046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25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4047</v>
      </c>
      <c r="B2847" s="67">
        <v>12925287700</v>
      </c>
      <c r="C2847" s="72" t="s">
        <v>4048</v>
      </c>
      <c r="D2847" s="69">
        <v>37253983807</v>
      </c>
      <c r="E2847" s="9">
        <v>1752</v>
      </c>
      <c r="F2847" s="25">
        <v>43051</v>
      </c>
      <c r="G2847" s="70" t="s">
        <v>25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4049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308</v>
      </c>
      <c r="M2848" s="8"/>
    </row>
    <row r="2849" spans="1:13">
      <c r="A2849" s="71" t="s">
        <v>4050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25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4051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25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4052</v>
      </c>
      <c r="B2851" s="67">
        <v>26735743873</v>
      </c>
      <c r="C2851" s="72" t="s">
        <v>4053</v>
      </c>
      <c r="D2851" s="69">
        <v>14913845810</v>
      </c>
      <c r="E2851" s="9">
        <v>1214</v>
      </c>
      <c r="F2851" s="25">
        <v>42989</v>
      </c>
      <c r="G2851" s="70" t="s">
        <v>32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4054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25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4055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25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4056</v>
      </c>
      <c r="B2854" s="67">
        <v>26193222863</v>
      </c>
      <c r="C2854" s="18" t="s">
        <v>4057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4058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4059</v>
      </c>
      <c r="B2856" s="67">
        <v>3381508890</v>
      </c>
      <c r="C2856" s="72" t="s">
        <v>4060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308</v>
      </c>
      <c r="M2856" s="8"/>
    </row>
    <row r="2857" spans="1:13">
      <c r="A2857" s="15" t="s">
        <v>4061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25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4062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4063</v>
      </c>
      <c r="B2859" s="67">
        <v>11507771843</v>
      </c>
      <c r="C2859" s="72" t="s">
        <v>4064</v>
      </c>
      <c r="D2859" s="69">
        <v>6898979876</v>
      </c>
      <c r="E2859" s="9">
        <v>292</v>
      </c>
      <c r="F2859" s="25">
        <v>43168</v>
      </c>
      <c r="G2859" s="70" t="s">
        <v>25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4065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25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4066</v>
      </c>
      <c r="B2861" s="67">
        <v>42597970850</v>
      </c>
      <c r="C2861" s="72" t="s">
        <v>4067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4068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4069</v>
      </c>
      <c r="B2863" s="67"/>
      <c r="C2863" s="29" t="s">
        <v>4070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4071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25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4072</v>
      </c>
      <c r="B2865" s="67">
        <v>48081983805</v>
      </c>
      <c r="C2865" s="77" t="s">
        <v>4073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4074</v>
      </c>
      <c r="B2866" s="67">
        <v>43249836826</v>
      </c>
      <c r="C2866" s="72" t="s">
        <v>4075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4076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25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4077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4078</v>
      </c>
      <c r="B2869" s="67">
        <v>11894872681</v>
      </c>
      <c r="C2869" s="72" t="s">
        <v>4079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4080</v>
      </c>
      <c r="B2870" s="67">
        <v>40155044885</v>
      </c>
      <c r="C2870" s="72" t="s">
        <v>4081</v>
      </c>
      <c r="D2870" s="69">
        <v>34935837888</v>
      </c>
      <c r="E2870" s="9">
        <v>292</v>
      </c>
      <c r="F2870" s="25">
        <v>43168</v>
      </c>
      <c r="G2870" s="9" t="s">
        <v>25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4082</v>
      </c>
      <c r="B2871" s="67">
        <v>35165262898</v>
      </c>
      <c r="C2871" s="68" t="s">
        <v>4083</v>
      </c>
      <c r="D2871" s="69">
        <v>34112749805</v>
      </c>
      <c r="E2871" s="9">
        <v>1241</v>
      </c>
      <c r="F2871" s="25">
        <v>42992</v>
      </c>
      <c r="G2871" s="70" t="s">
        <v>25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4084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25</v>
      </c>
      <c r="H2872" s="25">
        <v>43151</v>
      </c>
      <c r="I2872" s="8"/>
      <c r="J2872" s="8"/>
      <c r="K2872" s="8"/>
      <c r="L2872" s="9" t="s">
        <v>179</v>
      </c>
      <c r="M2872" s="8"/>
    </row>
    <row r="2873" spans="1:13">
      <c r="A2873" s="72" t="s">
        <v>4085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4086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25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4087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25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4088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25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4089</v>
      </c>
      <c r="B2877" s="67">
        <v>40770970885</v>
      </c>
      <c r="C2877" s="72" t="s">
        <v>4090</v>
      </c>
      <c r="D2877" s="69">
        <v>43652847890</v>
      </c>
      <c r="E2877" s="9">
        <v>117</v>
      </c>
      <c r="F2877" s="25">
        <v>43117</v>
      </c>
      <c r="G2877" s="70" t="s">
        <v>25</v>
      </c>
      <c r="H2877" s="25">
        <v>43151</v>
      </c>
      <c r="I2877" s="8"/>
      <c r="J2877" s="8"/>
      <c r="K2877" s="8"/>
      <c r="L2877" s="9" t="s">
        <v>179</v>
      </c>
      <c r="M2877" s="8"/>
    </row>
    <row r="2878" spans="1:13">
      <c r="A2878" s="29" t="s">
        <v>4091</v>
      </c>
      <c r="B2878" s="67"/>
      <c r="C2878" s="18" t="s">
        <v>138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4092</v>
      </c>
      <c r="B2879" s="67">
        <v>38462624800</v>
      </c>
      <c r="C2879" s="18" t="s">
        <v>138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4093</v>
      </c>
      <c r="B2880" s="67">
        <v>30942876890</v>
      </c>
      <c r="C2880" s="72" t="s">
        <v>4094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4095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25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4096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25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4097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25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4098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4099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25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4100</v>
      </c>
      <c r="B2886" s="67">
        <v>28965520819</v>
      </c>
      <c r="C2886" s="72" t="s">
        <v>4101</v>
      </c>
      <c r="D2886" s="69">
        <v>8432372447</v>
      </c>
      <c r="E2886" s="9">
        <v>1824</v>
      </c>
      <c r="F2886" s="25">
        <v>43091</v>
      </c>
      <c r="G2886" s="70" t="s">
        <v>32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4102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4103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308</v>
      </c>
      <c r="M2888" s="8"/>
    </row>
    <row r="2889" spans="1:13">
      <c r="A2889" s="71" t="s">
        <v>4104</v>
      </c>
      <c r="B2889" s="67">
        <v>31336065818</v>
      </c>
      <c r="C2889" s="72" t="s">
        <v>4105</v>
      </c>
      <c r="D2889" s="69">
        <v>43264481804</v>
      </c>
      <c r="E2889" s="9">
        <v>1214</v>
      </c>
      <c r="F2889" s="25">
        <v>42989</v>
      </c>
      <c r="G2889" s="70" t="s">
        <v>25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4106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4107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25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4108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25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4109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25</v>
      </c>
      <c r="H2893" s="25">
        <v>43027</v>
      </c>
      <c r="I2893" s="8"/>
      <c r="J2893" s="8"/>
      <c r="K2893" s="8"/>
      <c r="L2893" s="9" t="s">
        <v>511</v>
      </c>
      <c r="M2893" s="8"/>
    </row>
    <row r="2894" spans="1:13">
      <c r="A2894" s="15" t="s">
        <v>4110</v>
      </c>
      <c r="B2894" s="67">
        <v>2655794494</v>
      </c>
      <c r="C2894" s="72" t="s">
        <v>4111</v>
      </c>
      <c r="D2894" s="69">
        <v>96385081591</v>
      </c>
      <c r="E2894" s="9">
        <v>117</v>
      </c>
      <c r="F2894" s="25">
        <v>43117</v>
      </c>
      <c r="G2894" s="70" t="s">
        <v>25</v>
      </c>
      <c r="H2894" s="25">
        <v>43151</v>
      </c>
      <c r="I2894" s="8"/>
      <c r="J2894" s="8"/>
      <c r="K2894" s="8"/>
      <c r="L2894" s="9" t="s">
        <v>179</v>
      </c>
      <c r="M2894" s="8"/>
    </row>
    <row r="2895" spans="1:13">
      <c r="A2895" s="71" t="s">
        <v>4112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25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4113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25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4114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25</v>
      </c>
      <c r="H2897" s="9"/>
      <c r="I2897" s="9">
        <v>229</v>
      </c>
      <c r="J2897" s="25">
        <v>43151</v>
      </c>
      <c r="K2897" s="25">
        <v>43158</v>
      </c>
      <c r="L2897" s="9" t="s">
        <v>169</v>
      </c>
      <c r="M2897" s="25"/>
    </row>
    <row r="2898" spans="1:13">
      <c r="A2898" s="71" t="s">
        <v>4115</v>
      </c>
      <c r="B2898" s="67">
        <v>38085002809</v>
      </c>
      <c r="C2898" s="72" t="s">
        <v>4116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4117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25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4118</v>
      </c>
      <c r="B2900" s="67">
        <v>23357346877</v>
      </c>
      <c r="C2900" s="72" t="s">
        <v>4119</v>
      </c>
      <c r="D2900" s="69">
        <v>39917830880</v>
      </c>
      <c r="E2900" s="9">
        <v>1555</v>
      </c>
      <c r="F2900" s="25">
        <v>43049</v>
      </c>
      <c r="G2900" s="70" t="s">
        <v>25</v>
      </c>
      <c r="H2900" s="9"/>
      <c r="I2900" s="8"/>
      <c r="J2900" s="8"/>
      <c r="K2900" s="8"/>
      <c r="L2900" s="9" t="s">
        <v>407</v>
      </c>
      <c r="M2900" s="8"/>
    </row>
    <row r="2901" spans="1:13">
      <c r="A2901" s="71" t="s">
        <v>4120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4121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25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4122</v>
      </c>
      <c r="B2903" s="67">
        <v>33733642805</v>
      </c>
      <c r="C2903" s="72" t="s">
        <v>4123</v>
      </c>
      <c r="D2903" s="69">
        <v>1860087590</v>
      </c>
      <c r="E2903" s="9">
        <v>85</v>
      </c>
      <c r="F2903" s="25">
        <v>43109</v>
      </c>
      <c r="G2903" s="70" t="s">
        <v>25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4124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25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4125</v>
      </c>
      <c r="B2905" s="67">
        <v>5387678802</v>
      </c>
      <c r="C2905" s="72" t="s">
        <v>4126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4127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25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4128</v>
      </c>
      <c r="B2907" s="67">
        <v>41173451846</v>
      </c>
      <c r="C2907" s="72" t="s">
        <v>4129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4130</v>
      </c>
      <c r="B2908" s="67">
        <v>36432395801</v>
      </c>
      <c r="C2908" s="77" t="s">
        <v>4131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4132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4133</v>
      </c>
      <c r="B2910" s="67">
        <v>28196011890</v>
      </c>
      <c r="C2910" s="72" t="s">
        <v>4134</v>
      </c>
      <c r="D2910" s="69">
        <v>73582980553</v>
      </c>
      <c r="E2910" s="9">
        <v>1262</v>
      </c>
      <c r="F2910" s="25">
        <v>42997</v>
      </c>
      <c r="G2910" s="70" t="s">
        <v>25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4135</v>
      </c>
      <c r="B2911" s="67">
        <v>8710545409</v>
      </c>
      <c r="C2911" s="72" t="s">
        <v>4136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4137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4138</v>
      </c>
      <c r="B2913" s="67">
        <v>27279265880</v>
      </c>
      <c r="C2913" s="77" t="s">
        <v>4139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4140</v>
      </c>
      <c r="B2914" s="67">
        <v>2973007844</v>
      </c>
      <c r="C2914" s="18" t="s">
        <v>138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4141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4142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25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4143</v>
      </c>
      <c r="B2917" s="67">
        <v>97080756391</v>
      </c>
      <c r="C2917" s="68" t="s">
        <v>4144</v>
      </c>
      <c r="D2917" s="69">
        <v>78464463391</v>
      </c>
      <c r="E2917" s="9">
        <v>1343</v>
      </c>
      <c r="F2917" s="25">
        <v>43004</v>
      </c>
      <c r="G2917" s="70" t="s">
        <v>25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4145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4146</v>
      </c>
      <c r="B2919" s="67">
        <v>542688778</v>
      </c>
      <c r="C2919" s="18" t="s">
        <v>138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4147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4148</v>
      </c>
      <c r="B2921" s="67">
        <v>19521938854</v>
      </c>
      <c r="C2921" s="72" t="s">
        <v>4149</v>
      </c>
      <c r="D2921" s="69">
        <v>16398980506</v>
      </c>
      <c r="E2921" s="9">
        <v>1214</v>
      </c>
      <c r="F2921" s="25">
        <v>42989</v>
      </c>
      <c r="G2921" s="70" t="s">
        <v>25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4150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4151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25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4152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25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4153</v>
      </c>
      <c r="B2925" s="67">
        <v>81710763272</v>
      </c>
      <c r="C2925" s="77" t="s">
        <v>4154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4155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25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4156</v>
      </c>
      <c r="B2927" s="67">
        <v>35453812850</v>
      </c>
      <c r="C2927" s="18" t="s">
        <v>4157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4158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4159</v>
      </c>
      <c r="B2929" s="67">
        <v>22665008807</v>
      </c>
      <c r="C2929" s="72" t="s">
        <v>4160</v>
      </c>
      <c r="D2929" s="69">
        <v>35575903800</v>
      </c>
      <c r="E2929" s="9">
        <v>262</v>
      </c>
      <c r="F2929" s="25">
        <v>43160</v>
      </c>
      <c r="G2929" s="9" t="s">
        <v>25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4161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25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4162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4163</v>
      </c>
      <c r="B2932" s="67">
        <v>60615920357</v>
      </c>
      <c r="C2932" s="72" t="s">
        <v>4164</v>
      </c>
      <c r="D2932" s="69">
        <v>4818511358</v>
      </c>
      <c r="E2932" s="9">
        <v>292</v>
      </c>
      <c r="F2932" s="25">
        <v>43168</v>
      </c>
      <c r="G2932" s="9" t="s">
        <v>25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4165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25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4166</v>
      </c>
      <c r="B2934" s="67">
        <v>31633338851</v>
      </c>
      <c r="C2934" s="72" t="s">
        <v>4167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308</v>
      </c>
      <c r="M2934" s="8"/>
    </row>
    <row r="2935" spans="1:13">
      <c r="A2935" s="71" t="s">
        <v>4168</v>
      </c>
      <c r="B2935" s="67">
        <v>42518509801</v>
      </c>
      <c r="C2935" s="72" t="s">
        <v>4169</v>
      </c>
      <c r="D2935" s="69">
        <v>36320707844</v>
      </c>
      <c r="E2935" s="9">
        <v>1752</v>
      </c>
      <c r="F2935" s="25">
        <v>43051</v>
      </c>
      <c r="G2935" s="70" t="s">
        <v>40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4170</v>
      </c>
      <c r="B2936" s="67">
        <v>22958464806</v>
      </c>
      <c r="C2936" s="72" t="s">
        <v>4171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4172</v>
      </c>
      <c r="B2937" s="67">
        <v>31152044850</v>
      </c>
      <c r="C2937" s="72" t="s">
        <v>4173</v>
      </c>
      <c r="D2937" s="69">
        <v>31152043889</v>
      </c>
      <c r="E2937" s="9">
        <v>1128</v>
      </c>
      <c r="F2937" s="25">
        <v>42972</v>
      </c>
      <c r="G2937" s="70" t="s">
        <v>25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4174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25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4175</v>
      </c>
      <c r="B2939" s="80">
        <v>35805723859</v>
      </c>
      <c r="C2939" s="81" t="s">
        <v>4176</v>
      </c>
      <c r="D2939" s="82">
        <v>12726161855</v>
      </c>
      <c r="E2939" s="47">
        <v>1824</v>
      </c>
      <c r="F2939" s="48">
        <v>43091</v>
      </c>
      <c r="G2939" s="83" t="s">
        <v>32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4177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25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4178</v>
      </c>
      <c r="B2941" s="67">
        <v>7358002431</v>
      </c>
      <c r="C2941" s="72" t="s">
        <v>4179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4180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25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4181</v>
      </c>
      <c r="B2943" s="67">
        <v>43354497807</v>
      </c>
      <c r="C2943" s="72" t="s">
        <v>4182</v>
      </c>
      <c r="D2943" s="69">
        <v>40802896855</v>
      </c>
      <c r="E2943" s="9">
        <v>1214</v>
      </c>
      <c r="F2943" s="25">
        <v>42989</v>
      </c>
      <c r="G2943" s="70" t="s">
        <v>25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4183</v>
      </c>
      <c r="B2944" s="67">
        <v>43586522800</v>
      </c>
      <c r="C2944" s="68" t="s">
        <v>4184</v>
      </c>
      <c r="D2944" s="69">
        <v>43586522800</v>
      </c>
      <c r="E2944" s="9">
        <v>1128</v>
      </c>
      <c r="F2944" s="25">
        <v>42972</v>
      </c>
      <c r="G2944" s="70" t="s">
        <v>25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4185</v>
      </c>
      <c r="B2945" s="67">
        <v>17447067865</v>
      </c>
      <c r="C2945" s="72" t="s">
        <v>4186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4187</v>
      </c>
      <c r="B2946" s="67">
        <v>3568560542</v>
      </c>
      <c r="C2946" s="72" t="s">
        <v>4188</v>
      </c>
      <c r="D2946" s="69">
        <v>4078587500</v>
      </c>
      <c r="E2946" s="9">
        <v>1106</v>
      </c>
      <c r="F2946" s="25">
        <v>42965</v>
      </c>
      <c r="G2946" s="70" t="s">
        <v>25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4189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4190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4191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179</v>
      </c>
      <c r="M2949" s="8"/>
    </row>
    <row r="2950" spans="1:13">
      <c r="A2950" s="71" t="s">
        <v>4192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25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4193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25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4194</v>
      </c>
      <c r="B2952" s="67"/>
      <c r="C2952" s="29" t="s">
        <v>4195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4196</v>
      </c>
      <c r="B2953" s="67">
        <v>1326462857</v>
      </c>
      <c r="C2953" s="72" t="s">
        <v>4197</v>
      </c>
      <c r="D2953" s="69">
        <v>4906141838</v>
      </c>
      <c r="E2953" s="9">
        <v>229</v>
      </c>
      <c r="F2953" s="25">
        <v>43151</v>
      </c>
      <c r="G2953" s="70" t="s">
        <v>25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4198</v>
      </c>
      <c r="B2954" s="67">
        <v>7722903428</v>
      </c>
      <c r="C2954" s="29" t="s">
        <v>4199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4200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4201</v>
      </c>
      <c r="B2956" s="67">
        <v>37794411874</v>
      </c>
      <c r="C2956" s="72" t="s">
        <v>4202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4203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4204</v>
      </c>
      <c r="B2958" s="67">
        <v>34093287856</v>
      </c>
      <c r="C2958" s="68" t="s">
        <v>4205</v>
      </c>
      <c r="D2958" s="69">
        <v>1517221536</v>
      </c>
      <c r="E2958" s="9">
        <v>1489</v>
      </c>
      <c r="F2958" s="25"/>
      <c r="G2958" s="70" t="s">
        <v>25</v>
      </c>
      <c r="H2958" s="9"/>
      <c r="I2958" s="8"/>
      <c r="J2958" s="8"/>
      <c r="K2958" s="8"/>
      <c r="L2958" s="9" t="s">
        <v>169</v>
      </c>
      <c r="M2958" s="8"/>
    </row>
    <row r="2959" spans="1:13">
      <c r="A2959" s="71" t="s">
        <v>4206</v>
      </c>
      <c r="B2959" s="67">
        <v>29289559845</v>
      </c>
      <c r="C2959" s="72" t="s">
        <v>4207</v>
      </c>
      <c r="D2959" s="69">
        <v>25585724827</v>
      </c>
      <c r="E2959" s="9">
        <v>1752</v>
      </c>
      <c r="F2959" s="25">
        <v>43051</v>
      </c>
      <c r="G2959" s="70" t="s">
        <v>25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4208</v>
      </c>
      <c r="B2960" s="67"/>
      <c r="C2960" s="29" t="s">
        <v>4209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4210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4211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4212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4213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4214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25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4215</v>
      </c>
      <c r="B2966" s="67">
        <v>32368859802</v>
      </c>
      <c r="C2966" s="68" t="s">
        <v>4216</v>
      </c>
      <c r="D2966" s="69">
        <v>28517056876</v>
      </c>
      <c r="E2966" s="9">
        <v>1343</v>
      </c>
      <c r="F2966" s="25">
        <v>43004</v>
      </c>
      <c r="G2966" s="70" t="s">
        <v>25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4217</v>
      </c>
      <c r="B2967" s="67">
        <v>35104711803</v>
      </c>
      <c r="C2967" s="72" t="s">
        <v>4218</v>
      </c>
      <c r="D2967" s="69">
        <v>34881906844</v>
      </c>
      <c r="E2967" s="9">
        <v>292</v>
      </c>
      <c r="F2967" s="25">
        <v>43168</v>
      </c>
      <c r="G2967" s="9" t="s">
        <v>25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4219</v>
      </c>
      <c r="B2968" s="67">
        <v>23093033802</v>
      </c>
      <c r="C2968" s="29" t="s">
        <v>4220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4221</v>
      </c>
      <c r="B2969" s="67">
        <v>92605494420</v>
      </c>
      <c r="C2969" s="72" t="s">
        <v>4222</v>
      </c>
      <c r="D2969" s="69">
        <v>37622834866</v>
      </c>
      <c r="E2969" s="9">
        <v>608</v>
      </c>
      <c r="F2969" s="25">
        <v>43012</v>
      </c>
      <c r="G2969" s="70" t="s">
        <v>25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4223</v>
      </c>
      <c r="B2970" s="67">
        <v>27646989843</v>
      </c>
      <c r="C2970" s="72" t="s">
        <v>4224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4225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25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4226</v>
      </c>
      <c r="B2972" s="67">
        <v>29312608860</v>
      </c>
      <c r="C2972" s="29" t="s">
        <v>4227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4228</v>
      </c>
      <c r="B2973" s="67"/>
      <c r="C2973" s="29" t="s">
        <v>4229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4230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25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4231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4232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4233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4234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4235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4236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25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4237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25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4238</v>
      </c>
      <c r="B2982" s="67">
        <v>13562151810</v>
      </c>
      <c r="C2982" s="72" t="s">
        <v>4239</v>
      </c>
      <c r="D2982" s="69">
        <v>47393076772</v>
      </c>
      <c r="E2982" s="9">
        <v>292</v>
      </c>
      <c r="F2982" s="25">
        <v>43168</v>
      </c>
      <c r="G2982" s="70" t="s">
        <v>32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4240</v>
      </c>
      <c r="B2983" s="67">
        <v>10488541832</v>
      </c>
      <c r="C2983" s="72" t="s">
        <v>4241</v>
      </c>
      <c r="D2983" s="69">
        <v>8437233860</v>
      </c>
      <c r="E2983" s="9">
        <v>229</v>
      </c>
      <c r="F2983" s="25">
        <v>43151</v>
      </c>
      <c r="G2983" s="70" t="s">
        <v>25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4242</v>
      </c>
      <c r="B2984" s="67">
        <v>52291168894</v>
      </c>
      <c r="C2984" s="29" t="s">
        <v>138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4243</v>
      </c>
      <c r="B2985" s="67">
        <v>32455945855</v>
      </c>
      <c r="C2985" s="77" t="s">
        <v>4244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4245</v>
      </c>
      <c r="B2986" s="67">
        <v>7127228663</v>
      </c>
      <c r="C2986" s="72" t="s">
        <v>4246</v>
      </c>
      <c r="D2986" s="69">
        <v>18053058833</v>
      </c>
      <c r="E2986" s="9">
        <v>1628</v>
      </c>
      <c r="F2986" s="25">
        <v>43077</v>
      </c>
      <c r="G2986" s="70" t="s">
        <v>25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4247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25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4248</v>
      </c>
      <c r="B2988" s="67">
        <v>32318059888</v>
      </c>
      <c r="C2988" s="68" t="s">
        <v>4249</v>
      </c>
      <c r="D2988" s="69">
        <v>38564888807</v>
      </c>
      <c r="E2988" s="9">
        <v>1128</v>
      </c>
      <c r="F2988" s="25">
        <v>42972</v>
      </c>
      <c r="G2988" s="70" t="s">
        <v>25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4250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4251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25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4252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25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4253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25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4254</v>
      </c>
      <c r="B2993" s="67">
        <v>45255799866</v>
      </c>
      <c r="C2993" s="72" t="s">
        <v>4255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4256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25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4257</v>
      </c>
      <c r="B2995" s="67">
        <v>37570860829</v>
      </c>
      <c r="C2995" s="72" t="s">
        <v>4258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4259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25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4260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4261</v>
      </c>
      <c r="B2998" s="67">
        <v>25712620847</v>
      </c>
      <c r="C2998" s="18" t="s">
        <v>4262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4263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308</v>
      </c>
      <c r="M2999" s="8"/>
    </row>
    <row r="3000" spans="1:13">
      <c r="A3000" s="72" t="s">
        <v>4264</v>
      </c>
      <c r="B3000" s="67">
        <v>40000949809</v>
      </c>
      <c r="C3000" s="72" t="s">
        <v>4265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308</v>
      </c>
      <c r="M3000" s="8"/>
    </row>
    <row r="3001" spans="1:13">
      <c r="A3001" s="71" t="s">
        <v>4266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4267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4268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4269</v>
      </c>
      <c r="B3004" s="67"/>
      <c r="C3004" s="29" t="s">
        <v>138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4270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25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4271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4272</v>
      </c>
      <c r="B3007" s="67">
        <v>13517396893</v>
      </c>
      <c r="C3007" s="72" t="s">
        <v>4273</v>
      </c>
      <c r="D3007" s="69">
        <v>61574252453</v>
      </c>
      <c r="E3007" s="9">
        <v>262</v>
      </c>
      <c r="F3007" s="25">
        <v>43160</v>
      </c>
      <c r="G3007" s="70" t="s">
        <v>32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4274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25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4275</v>
      </c>
      <c r="B3009" s="67"/>
      <c r="C3009" s="29" t="s">
        <v>4276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4277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25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4278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25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4279</v>
      </c>
      <c r="B3012" s="67">
        <v>4609966654</v>
      </c>
      <c r="C3012" s="72" t="s">
        <v>4280</v>
      </c>
      <c r="D3012" s="69">
        <v>28402756867</v>
      </c>
      <c r="E3012" s="9">
        <v>292</v>
      </c>
      <c r="F3012" s="25">
        <v>43168</v>
      </c>
      <c r="G3012" s="70" t="s">
        <v>25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4281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25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4282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25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4283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4284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25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4285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4285</v>
      </c>
      <c r="B3018" s="67"/>
      <c r="C3018" s="18" t="s">
        <v>138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4286</v>
      </c>
      <c r="B3019" s="67"/>
      <c r="C3019" s="29" t="s">
        <v>138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4287</v>
      </c>
      <c r="B3020" s="67">
        <v>40882575880</v>
      </c>
      <c r="C3020" s="72" t="s">
        <v>4288</v>
      </c>
      <c r="D3020" s="69">
        <v>39163987848</v>
      </c>
      <c r="E3020" s="9">
        <v>292</v>
      </c>
      <c r="F3020" s="25">
        <v>43168</v>
      </c>
      <c r="G3020" s="70" t="s">
        <v>25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4289</v>
      </c>
      <c r="B3021" s="67"/>
      <c r="C3021" s="29" t="s">
        <v>138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4290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4291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25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4292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4293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4294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4295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25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4296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4297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4298</v>
      </c>
      <c r="B3030" s="67"/>
      <c r="C3030" s="29" t="s">
        <v>138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4299</v>
      </c>
      <c r="B3031" s="67">
        <v>44374068856</v>
      </c>
      <c r="C3031" s="72" t="s">
        <v>4300</v>
      </c>
      <c r="D3031" s="69">
        <v>34698741823</v>
      </c>
      <c r="E3031" s="9">
        <v>1489</v>
      </c>
      <c r="F3031" s="25">
        <v>43038</v>
      </c>
      <c r="G3031" s="70" t="s">
        <v>25</v>
      </c>
      <c r="H3031" s="9"/>
      <c r="I3031" s="8"/>
      <c r="J3031" s="8"/>
      <c r="K3031" s="8"/>
      <c r="L3031" s="9" t="s">
        <v>169</v>
      </c>
      <c r="M3031" s="8"/>
    </row>
    <row r="3032" spans="1:13">
      <c r="A3032" s="71" t="s">
        <v>4301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4302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308</v>
      </c>
      <c r="M3033" s="8"/>
    </row>
    <row r="3034" spans="1:13">
      <c r="A3034" s="71" t="s">
        <v>4303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4304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25</v>
      </c>
      <c r="H3035" s="9"/>
      <c r="I3035" s="8"/>
      <c r="J3035" s="8"/>
      <c r="K3035" s="8"/>
      <c r="L3035" s="8"/>
      <c r="M3035" s="8"/>
    </row>
    <row r="3036" spans="1:13">
      <c r="A3036" s="15" t="s">
        <v>4305</v>
      </c>
      <c r="B3036" s="67">
        <v>46812344869</v>
      </c>
      <c r="C3036" s="72" t="s">
        <v>4306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4307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25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4308</v>
      </c>
      <c r="B3038" s="67">
        <v>70659834634</v>
      </c>
      <c r="C3038" s="68" t="s">
        <v>4309</v>
      </c>
      <c r="D3038" s="69">
        <v>70558795404</v>
      </c>
      <c r="E3038" s="9">
        <v>1267</v>
      </c>
      <c r="F3038" s="25">
        <v>42998</v>
      </c>
      <c r="G3038" s="70" t="s">
        <v>25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4310</v>
      </c>
      <c r="B3039" s="67"/>
      <c r="C3039" s="72" t="s">
        <v>4311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4312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25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4313</v>
      </c>
      <c r="B3041" s="67">
        <v>3867219630</v>
      </c>
      <c r="C3041" s="72" t="s">
        <v>4314</v>
      </c>
      <c r="D3041" s="69">
        <v>4268294503</v>
      </c>
      <c r="E3041" s="9">
        <v>1824</v>
      </c>
      <c r="F3041" s="25">
        <v>43091</v>
      </c>
      <c r="G3041" s="70" t="s">
        <v>25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4315</v>
      </c>
      <c r="B3042" s="67">
        <v>27084341870</v>
      </c>
      <c r="C3042" s="72" t="s">
        <v>332</v>
      </c>
      <c r="D3042" s="69">
        <v>70639957315</v>
      </c>
      <c r="E3042" s="9">
        <v>1214</v>
      </c>
      <c r="F3042" s="25">
        <v>42989</v>
      </c>
      <c r="G3042" s="70" t="s">
        <v>32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4316</v>
      </c>
      <c r="B3043" s="67">
        <v>29697189870</v>
      </c>
      <c r="C3043" s="72" t="s">
        <v>4317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4318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25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4319</v>
      </c>
      <c r="B3045" s="67">
        <v>4055380810</v>
      </c>
      <c r="C3045" s="29" t="s">
        <v>138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4320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25</v>
      </c>
      <c r="H3046" s="25">
        <v>43027</v>
      </c>
      <c r="I3046" s="8"/>
      <c r="J3046" s="8"/>
      <c r="K3046" s="8"/>
      <c r="L3046" s="9" t="s">
        <v>262</v>
      </c>
      <c r="M3046" s="8"/>
    </row>
    <row r="3047" spans="1:13">
      <c r="A3047" s="16" t="s">
        <v>4321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4322</v>
      </c>
      <c r="B3048" s="67">
        <v>99038862504</v>
      </c>
      <c r="C3048" s="72" t="s">
        <v>4323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4324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25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4325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25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4326</v>
      </c>
      <c r="B3051" s="67">
        <v>22505123888</v>
      </c>
      <c r="C3051" s="72" t="s">
        <v>4327</v>
      </c>
      <c r="D3051" s="69">
        <v>39819234808</v>
      </c>
      <c r="E3051" s="9">
        <v>1752</v>
      </c>
      <c r="F3051" s="25">
        <v>43051</v>
      </c>
      <c r="G3051" s="70" t="s">
        <v>25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4328</v>
      </c>
      <c r="B3052" s="67"/>
      <c r="C3052" s="29" t="s">
        <v>138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4329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4330</v>
      </c>
      <c r="B3054" s="67">
        <v>34850143890</v>
      </c>
      <c r="C3054" s="72" t="s">
        <v>4331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4332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25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4333</v>
      </c>
      <c r="B3056" s="67">
        <v>17852199879</v>
      </c>
      <c r="C3056" s="72" t="s">
        <v>4334</v>
      </c>
      <c r="D3056" s="69">
        <v>15255063827</v>
      </c>
      <c r="E3056" s="9">
        <v>1128</v>
      </c>
      <c r="F3056" s="25">
        <v>42972</v>
      </c>
      <c r="G3056" s="70" t="s">
        <v>25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4335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25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4336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4337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25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33" priority="5" stopIfTrue="1"/>
  </conditionalFormatting>
  <conditionalFormatting sqref="A3:A128">
    <cfRule type="duplicateValues" dxfId="232" priority="4" stopIfTrue="1"/>
  </conditionalFormatting>
  <conditionalFormatting sqref="A3:A626">
    <cfRule type="duplicateValues" dxfId="231" priority="1" stopIfTrue="1"/>
  </conditionalFormatting>
  <conditionalFormatting sqref="B2684">
    <cfRule type="duplicateValues" dxfId="230" priority="3" stopIfTrue="1"/>
  </conditionalFormatting>
  <conditionalFormatting sqref="C689">
    <cfRule type="duplicateValues" dxfId="229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N37785"/>
  <sheetViews>
    <sheetView showGridLines="0" tabSelected="1" topLeftCell="A10" zoomScale="85" zoomScaleNormal="85" workbookViewId="0">
      <pane xSplit="6" ySplit="4" topLeftCell="AG204" activePane="bottomRight" state="frozen"/>
      <selection pane="bottomRight" activeCell="AG204" sqref="AG204"/>
      <selection pane="bottomLeft"/>
      <selection pane="topRight"/>
    </sheetView>
  </sheetViews>
  <sheetFormatPr defaultColWidth="9.140625" defaultRowHeight="30" customHeight="1"/>
  <cols>
    <col min="1" max="1" width="10" style="180" bestFit="1" customWidth="1"/>
    <col min="2" max="2" width="29.140625" style="180" bestFit="1" customWidth="1"/>
    <col min="3" max="3" width="9.85546875" style="117" customWidth="1"/>
    <col min="4" max="4" width="16.28515625" style="117" customWidth="1"/>
    <col min="5" max="5" width="18" style="117" customWidth="1"/>
    <col min="6" max="6" width="15.85546875" style="208" bestFit="1" customWidth="1"/>
    <col min="7" max="7" width="24" style="117" customWidth="1"/>
    <col min="8" max="8" width="22.85546875" style="117" customWidth="1"/>
    <col min="9" max="9" width="38.7109375" style="117" customWidth="1"/>
    <col min="10" max="10" width="70.28515625" style="118" bestFit="1" customWidth="1"/>
    <col min="11" max="11" width="20.7109375" style="118" customWidth="1"/>
    <col min="12" max="12" width="22.140625" style="118" customWidth="1"/>
    <col min="13" max="13" width="35.42578125" style="117" customWidth="1"/>
    <col min="14" max="14" width="51.85546875" style="117" bestFit="1" customWidth="1"/>
    <col min="15" max="15" width="19.85546875" style="169" bestFit="1" customWidth="1"/>
    <col min="16" max="16" width="60.42578125" style="119" bestFit="1" customWidth="1"/>
    <col min="17" max="17" width="50.42578125" style="119" customWidth="1"/>
    <col min="18" max="18" width="56.5703125" style="119" customWidth="1"/>
    <col min="19" max="19" width="49.28515625" style="119" customWidth="1"/>
    <col min="20" max="20" width="53.5703125" style="119" customWidth="1"/>
    <col min="21" max="21" width="49.28515625" style="119" customWidth="1"/>
    <col min="22" max="22" width="27.5703125" style="119" customWidth="1"/>
    <col min="23" max="23" width="30.5703125" style="119" customWidth="1"/>
    <col min="24" max="24" width="31.28515625" style="119" customWidth="1"/>
    <col min="25" max="25" width="21.28515625" style="119" customWidth="1"/>
    <col min="26" max="26" width="33.5703125" style="147" customWidth="1"/>
    <col min="27" max="27" width="103.7109375" style="117" customWidth="1"/>
    <col min="28" max="28" width="59.5703125" style="118" bestFit="1" customWidth="1"/>
    <col min="29" max="29" width="17.28515625" style="118" bestFit="1" customWidth="1"/>
    <col min="30" max="30" width="18.85546875" style="118" bestFit="1" customWidth="1"/>
    <col min="31" max="31" width="40.28515625" style="117" bestFit="1" customWidth="1"/>
    <col min="32" max="32" width="40.28515625" style="117" customWidth="1"/>
    <col min="33" max="33" width="28.28515625" style="187" bestFit="1" customWidth="1"/>
    <col min="34" max="34" width="34.7109375" style="187" bestFit="1" customWidth="1"/>
    <col min="35" max="35" width="70.5703125" style="117" bestFit="1" customWidth="1"/>
    <col min="36" max="36" width="38" style="117" bestFit="1" customWidth="1"/>
    <col min="37" max="37" width="38" style="117" customWidth="1"/>
    <col min="38" max="38" width="91.28515625" style="117" bestFit="1" customWidth="1"/>
    <col min="39" max="39" width="14.85546875" style="117" bestFit="1" customWidth="1"/>
    <col min="40" max="40" width="59.5703125" style="117" bestFit="1" customWidth="1"/>
    <col min="41" max="41" width="90" style="117" bestFit="1" customWidth="1"/>
    <col min="42" max="42" width="43.42578125" style="118" bestFit="1" customWidth="1"/>
    <col min="43" max="43" width="40.140625" style="117" bestFit="1" customWidth="1"/>
    <col min="44" max="44" width="36.85546875" style="117" bestFit="1" customWidth="1"/>
    <col min="45" max="45" width="38.42578125" style="117" bestFit="1" customWidth="1"/>
    <col min="46" max="46" width="54.5703125" style="117" customWidth="1"/>
    <col min="47" max="47" width="45" style="119" customWidth="1"/>
    <col min="48" max="48" width="57" style="117" bestFit="1" customWidth="1"/>
    <col min="49" max="49" width="46.42578125" style="117" bestFit="1" customWidth="1"/>
    <col min="50" max="50" width="31.28515625" style="117" bestFit="1" customWidth="1"/>
    <col min="51" max="51" width="25.28515625" style="119" bestFit="1" customWidth="1"/>
    <col min="52" max="52" width="33.5703125" style="148" bestFit="1" customWidth="1"/>
    <col min="53" max="53" width="34.140625" style="148" bestFit="1" customWidth="1"/>
    <col min="54" max="54" width="54.7109375" style="148" customWidth="1"/>
    <col min="55" max="55" width="18.140625" style="148" customWidth="1"/>
    <col min="56" max="56" width="28.28515625" style="117" bestFit="1" customWidth="1"/>
    <col min="57" max="58" width="43.42578125" style="117" bestFit="1" customWidth="1"/>
    <col min="59" max="59" width="43.85546875" style="149" bestFit="1" customWidth="1"/>
    <col min="60" max="60" width="27.140625" style="149" bestFit="1" customWidth="1"/>
    <col min="61" max="61" width="57" style="117" bestFit="1" customWidth="1"/>
    <col min="62" max="62" width="45.42578125" style="117" bestFit="1" customWidth="1"/>
    <col min="63" max="63" width="25" style="117" bestFit="1" customWidth="1"/>
    <col min="64" max="64" width="54.7109375" style="117" bestFit="1" customWidth="1"/>
    <col min="65" max="65" width="47.7109375" style="117" bestFit="1" customWidth="1"/>
    <col min="66" max="67" width="9.140625" style="117" bestFit="1" customWidth="1"/>
    <col min="68" max="68" width="24.140625" style="117" bestFit="1" customWidth="1"/>
    <col min="69" max="103" width="9.140625" style="117" bestFit="1" customWidth="1"/>
    <col min="104" max="16384" width="9.140625" style="117"/>
  </cols>
  <sheetData>
    <row r="1" spans="1:87" ht="30" customHeight="1">
      <c r="O1" s="149"/>
      <c r="Z1" s="119"/>
      <c r="AZ1" s="117"/>
      <c r="BA1" s="117"/>
      <c r="BB1" s="117"/>
      <c r="BC1" s="117"/>
    </row>
    <row r="2" spans="1:87" ht="30" customHeight="1">
      <c r="O2" s="149"/>
      <c r="Z2" s="119"/>
      <c r="AZ2" s="117"/>
      <c r="BA2" s="117"/>
      <c r="BB2" s="117"/>
      <c r="BC2" s="117"/>
    </row>
    <row r="3" spans="1:87" ht="30" customHeight="1">
      <c r="C3" s="117">
        <v>2</v>
      </c>
      <c r="D3" s="117" t="s">
        <v>4338</v>
      </c>
      <c r="G3" s="117" t="s">
        <v>4339</v>
      </c>
      <c r="H3" s="117" t="s">
        <v>4340</v>
      </c>
      <c r="I3" s="117" t="s">
        <v>4341</v>
      </c>
      <c r="M3" s="117" t="s">
        <v>4342</v>
      </c>
      <c r="N3" s="117" t="s">
        <v>4343</v>
      </c>
      <c r="O3" s="149"/>
      <c r="P3" s="119" t="s">
        <v>4344</v>
      </c>
      <c r="R3" s="119" t="s">
        <v>4344</v>
      </c>
      <c r="X3" s="119" t="s">
        <v>4345</v>
      </c>
      <c r="Z3" s="119"/>
      <c r="AE3" s="117" t="s">
        <v>4341</v>
      </c>
      <c r="AF3" s="117" t="s">
        <v>4342</v>
      </c>
      <c r="AI3" s="117" t="s">
        <v>4344</v>
      </c>
      <c r="AJ3" s="117" t="s">
        <v>4344</v>
      </c>
      <c r="AM3" s="117" t="s">
        <v>4346</v>
      </c>
      <c r="AN3" s="117" t="s">
        <v>4347</v>
      </c>
      <c r="AZ3" s="117"/>
      <c r="BA3" s="117"/>
      <c r="BB3" s="117"/>
      <c r="BC3" s="117"/>
    </row>
    <row r="4" spans="1:87" ht="30" customHeight="1">
      <c r="C4" s="117">
        <v>4</v>
      </c>
      <c r="G4" s="117" t="s">
        <v>4348</v>
      </c>
      <c r="H4" s="117" t="s">
        <v>4349</v>
      </c>
      <c r="I4" s="117" t="s">
        <v>4350</v>
      </c>
      <c r="M4" s="117" t="s">
        <v>4351</v>
      </c>
      <c r="N4" s="117" t="s">
        <v>4352</v>
      </c>
      <c r="O4" s="149"/>
      <c r="P4" s="119" t="s">
        <v>26</v>
      </c>
      <c r="R4" s="119" t="s">
        <v>26</v>
      </c>
      <c r="Z4" s="119"/>
      <c r="AE4" s="117" t="s">
        <v>4350</v>
      </c>
      <c r="AF4" s="117" t="s">
        <v>4351</v>
      </c>
      <c r="AI4" s="117" t="s">
        <v>4353</v>
      </c>
      <c r="AJ4" s="117" t="s">
        <v>26</v>
      </c>
      <c r="AM4" s="117" t="s">
        <v>4354</v>
      </c>
      <c r="AN4" s="117" t="s">
        <v>4355</v>
      </c>
      <c r="AZ4" s="117"/>
      <c r="BA4" s="117"/>
      <c r="BB4" s="117"/>
      <c r="BC4" s="117"/>
    </row>
    <row r="5" spans="1:87" ht="30" customHeight="1">
      <c r="G5" s="117" t="s">
        <v>4356</v>
      </c>
      <c r="H5" s="120" t="s">
        <v>4357</v>
      </c>
      <c r="I5" s="117" t="s">
        <v>4358</v>
      </c>
      <c r="N5" s="117" t="s">
        <v>4359</v>
      </c>
      <c r="O5" s="149"/>
      <c r="Z5" s="119"/>
      <c r="AI5" s="117" t="s">
        <v>4360</v>
      </c>
      <c r="AJ5" s="117" t="s">
        <v>4361</v>
      </c>
      <c r="AN5" s="117" t="s">
        <v>4362</v>
      </c>
      <c r="AZ5" s="117"/>
      <c r="BA5" s="117"/>
      <c r="BB5" s="117"/>
      <c r="BC5" s="117"/>
    </row>
    <row r="6" spans="1:87" ht="30" customHeight="1">
      <c r="G6" s="117" t="s">
        <v>4363</v>
      </c>
      <c r="N6" s="117" t="s">
        <v>4364</v>
      </c>
      <c r="O6" s="149"/>
      <c r="Z6" s="119"/>
      <c r="AI6" s="117" t="s">
        <v>4365</v>
      </c>
      <c r="AJ6" s="117" t="s">
        <v>4354</v>
      </c>
      <c r="AN6" s="117" t="s">
        <v>4366</v>
      </c>
      <c r="AZ6" s="117"/>
      <c r="BA6" s="117"/>
      <c r="BB6" s="117"/>
      <c r="BC6" s="117"/>
    </row>
    <row r="7" spans="1:87" ht="30" customHeight="1">
      <c r="G7" s="117" t="s">
        <v>4367</v>
      </c>
      <c r="O7" s="149"/>
      <c r="Z7" s="119"/>
      <c r="AZ7" s="117"/>
      <c r="BA7" s="117"/>
      <c r="BB7" s="117"/>
      <c r="BC7" s="117"/>
    </row>
    <row r="8" spans="1:87" ht="30" customHeight="1">
      <c r="G8" s="117" t="s">
        <v>4368</v>
      </c>
      <c r="O8" s="149"/>
      <c r="Z8" s="119"/>
      <c r="AZ8" s="117"/>
      <c r="BA8" s="117"/>
      <c r="BB8" s="117"/>
      <c r="BC8" s="117"/>
    </row>
    <row r="9" spans="1:87" ht="30" customHeight="1">
      <c r="G9" s="117" t="s">
        <v>4369</v>
      </c>
      <c r="O9" s="149"/>
      <c r="Z9" s="119"/>
      <c r="AZ9" s="117"/>
      <c r="BA9" s="117"/>
      <c r="BB9" s="117"/>
      <c r="BC9" s="117"/>
    </row>
    <row r="10" spans="1:87" ht="30" hidden="1" customHeight="1">
      <c r="O10" s="149"/>
      <c r="Z10" s="119"/>
      <c r="AP10" s="118" t="s">
        <v>4370</v>
      </c>
      <c r="AQ10" s="118"/>
      <c r="AR10" s="118"/>
      <c r="AS10" s="118"/>
      <c r="AT10" s="118"/>
      <c r="AU10" s="118"/>
      <c r="AV10" s="118"/>
      <c r="AW10" s="118"/>
      <c r="AY10" s="117"/>
      <c r="AZ10" s="117"/>
      <c r="BA10" s="117"/>
      <c r="BB10" s="117"/>
      <c r="BC10" s="117"/>
    </row>
    <row r="11" spans="1:87" ht="30" hidden="1" customHeight="1">
      <c r="O11" s="149"/>
      <c r="Z11" s="119"/>
      <c r="AQ11" s="118"/>
      <c r="AR11" s="118"/>
      <c r="AS11" s="118"/>
      <c r="AT11" s="118"/>
      <c r="AU11" s="118"/>
      <c r="AV11" s="118"/>
      <c r="AW11" s="118"/>
      <c r="AY11" s="117"/>
      <c r="AZ11" s="117"/>
      <c r="BA11" s="117"/>
      <c r="BB11" s="117"/>
      <c r="BC11" s="117"/>
    </row>
    <row r="12" spans="1:87" s="181" customFormat="1" ht="30" customHeight="1">
      <c r="A12" s="269" t="s">
        <v>4371</v>
      </c>
      <c r="B12" s="270"/>
      <c r="C12" s="270"/>
      <c r="D12" s="270"/>
      <c r="E12" s="270"/>
      <c r="F12" s="270"/>
      <c r="G12" s="270"/>
      <c r="H12" s="270"/>
      <c r="I12" s="270"/>
      <c r="J12" s="270"/>
      <c r="K12" s="270"/>
      <c r="L12" s="270"/>
      <c r="M12" s="270"/>
      <c r="N12" s="270"/>
      <c r="O12" s="271"/>
      <c r="P12" s="266" t="s">
        <v>4372</v>
      </c>
      <c r="Q12" s="266"/>
      <c r="R12" s="266"/>
      <c r="S12" s="266"/>
      <c r="T12" s="266"/>
      <c r="U12" s="267"/>
      <c r="V12" s="266"/>
      <c r="W12" s="266"/>
      <c r="X12" s="266"/>
      <c r="Y12" s="267"/>
      <c r="Z12" s="266"/>
      <c r="AA12" s="268"/>
      <c r="AB12" s="213" t="s">
        <v>4373</v>
      </c>
      <c r="AC12" s="213"/>
      <c r="AD12" s="213"/>
      <c r="AE12" s="213"/>
      <c r="AF12" s="213"/>
      <c r="AG12" s="214"/>
      <c r="AH12" s="214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5"/>
      <c r="AV12" s="213"/>
      <c r="AW12" s="213"/>
      <c r="AX12" s="213"/>
      <c r="AY12" s="215"/>
      <c r="AZ12" s="213"/>
      <c r="BA12" s="213"/>
      <c r="BB12" s="272" t="s">
        <v>4374</v>
      </c>
      <c r="BC12" s="273"/>
      <c r="BD12" s="264"/>
      <c r="BE12" s="265"/>
      <c r="BF12" s="265"/>
      <c r="BG12" s="265"/>
      <c r="BH12" s="265"/>
      <c r="BI12" s="265"/>
      <c r="BJ12" s="265"/>
      <c r="BK12" s="265"/>
      <c r="BL12" s="265"/>
      <c r="BM12" s="265"/>
    </row>
    <row r="13" spans="1:87" s="118" customFormat="1" ht="48" customHeight="1">
      <c r="A13" s="121">
        <v>105</v>
      </c>
      <c r="B13" s="121" t="s">
        <v>2</v>
      </c>
      <c r="C13" s="122" t="s">
        <v>4375</v>
      </c>
      <c r="D13" s="122" t="s">
        <v>4376</v>
      </c>
      <c r="E13" s="122" t="s">
        <v>4377</v>
      </c>
      <c r="F13" s="209" t="s">
        <v>4378</v>
      </c>
      <c r="G13" s="122" t="s">
        <v>4379</v>
      </c>
      <c r="H13" s="122" t="s">
        <v>4380</v>
      </c>
      <c r="I13" s="122" t="s">
        <v>4381</v>
      </c>
      <c r="J13" s="123" t="s">
        <v>111</v>
      </c>
      <c r="K13" s="123" t="s">
        <v>4382</v>
      </c>
      <c r="L13" s="123" t="s">
        <v>112</v>
      </c>
      <c r="M13" s="123" t="s">
        <v>4383</v>
      </c>
      <c r="N13" s="123" t="s">
        <v>4384</v>
      </c>
      <c r="O13" s="168" t="s">
        <v>4385</v>
      </c>
      <c r="P13" s="124" t="s">
        <v>4386</v>
      </c>
      <c r="Q13" s="124" t="s">
        <v>4387</v>
      </c>
      <c r="R13" s="124" t="s">
        <v>4388</v>
      </c>
      <c r="S13" s="124" t="s">
        <v>4389</v>
      </c>
      <c r="T13" s="124" t="s">
        <v>4390</v>
      </c>
      <c r="U13" s="124" t="s">
        <v>4391</v>
      </c>
      <c r="V13" s="124" t="s">
        <v>4392</v>
      </c>
      <c r="W13" s="124" t="s">
        <v>4393</v>
      </c>
      <c r="X13" s="124" t="s">
        <v>4394</v>
      </c>
      <c r="Y13" s="124" t="s">
        <v>4395</v>
      </c>
      <c r="Z13" s="124" t="s">
        <v>4396</v>
      </c>
      <c r="AA13" s="125" t="s">
        <v>4397</v>
      </c>
      <c r="AB13" s="126" t="s">
        <v>4398</v>
      </c>
      <c r="AC13" s="126" t="s">
        <v>4382</v>
      </c>
      <c r="AD13" s="126" t="s">
        <v>112</v>
      </c>
      <c r="AE13" s="127" t="s">
        <v>4399</v>
      </c>
      <c r="AF13" s="126" t="s">
        <v>4400</v>
      </c>
      <c r="AG13" s="188" t="s">
        <v>4401</v>
      </c>
      <c r="AH13" s="188" t="s">
        <v>4402</v>
      </c>
      <c r="AI13" s="126" t="s">
        <v>4403</v>
      </c>
      <c r="AJ13" s="127" t="s">
        <v>4404</v>
      </c>
      <c r="AK13" s="127" t="s">
        <v>4405</v>
      </c>
      <c r="AL13" s="126" t="s">
        <v>4406</v>
      </c>
      <c r="AM13" s="126" t="s">
        <v>4407</v>
      </c>
      <c r="AN13" s="126" t="s">
        <v>4408</v>
      </c>
      <c r="AO13" s="126" t="s">
        <v>4409</v>
      </c>
      <c r="AP13" s="126" t="s">
        <v>4410</v>
      </c>
      <c r="AQ13" s="126" t="s">
        <v>4411</v>
      </c>
      <c r="AR13" s="126" t="s">
        <v>4412</v>
      </c>
      <c r="AS13" s="126" t="s">
        <v>4413</v>
      </c>
      <c r="AT13" s="126" t="s">
        <v>4414</v>
      </c>
      <c r="AU13" s="193" t="s">
        <v>4415</v>
      </c>
      <c r="AV13" s="126" t="s">
        <v>4416</v>
      </c>
      <c r="AW13" s="126" t="s">
        <v>4417</v>
      </c>
      <c r="AX13" s="126" t="s">
        <v>4394</v>
      </c>
      <c r="AY13" s="193" t="s">
        <v>4418</v>
      </c>
      <c r="AZ13" s="126" t="s">
        <v>4419</v>
      </c>
      <c r="BA13" s="128" t="s">
        <v>4420</v>
      </c>
      <c r="BB13" s="129" t="s">
        <v>4421</v>
      </c>
      <c r="BC13" s="130" t="s">
        <v>4422</v>
      </c>
      <c r="BD13" s="162" t="s">
        <v>4423</v>
      </c>
      <c r="BE13" s="162" t="s">
        <v>4424</v>
      </c>
      <c r="BF13" s="162" t="s">
        <v>4425</v>
      </c>
      <c r="BG13" s="160" t="s">
        <v>4426</v>
      </c>
      <c r="BH13" s="161" t="s">
        <v>4427</v>
      </c>
      <c r="BI13" s="162" t="s">
        <v>4428</v>
      </c>
      <c r="BJ13" s="150" t="s">
        <v>4414</v>
      </c>
      <c r="BK13" s="150" t="s">
        <v>4429</v>
      </c>
      <c r="BL13" s="162" t="s">
        <v>4430</v>
      </c>
      <c r="BM13" s="150" t="s">
        <v>4431</v>
      </c>
    </row>
    <row r="14" spans="1:87" s="131" customFormat="1" ht="30" hidden="1" customHeight="1">
      <c r="A14" s="131">
        <v>1</v>
      </c>
      <c r="B14" s="131" t="s">
        <v>4432</v>
      </c>
      <c r="C14" s="131">
        <v>1</v>
      </c>
      <c r="D14" s="131" t="s">
        <v>4433</v>
      </c>
      <c r="E14" s="131" t="s">
        <v>4433</v>
      </c>
      <c r="F14" s="210" t="s">
        <v>4434</v>
      </c>
      <c r="J14" s="138" t="s">
        <v>4435</v>
      </c>
      <c r="K14" s="132"/>
      <c r="L14" s="132" t="s">
        <v>4436</v>
      </c>
      <c r="O14" s="152"/>
      <c r="P14" s="133"/>
      <c r="Q14" s="133"/>
      <c r="R14" s="194"/>
      <c r="S14" s="195"/>
      <c r="T14" s="195"/>
      <c r="U14" s="195"/>
      <c r="V14" s="195"/>
      <c r="W14" s="195"/>
      <c r="X14" s="195"/>
      <c r="Y14" s="133"/>
      <c r="Z14" s="133"/>
      <c r="AB14" s="138"/>
      <c r="AC14" s="132"/>
      <c r="AD14" s="132"/>
      <c r="AG14" s="196"/>
      <c r="AH14" s="196"/>
      <c r="AP14" s="132"/>
      <c r="AU14" s="194"/>
      <c r="AX14" s="133"/>
      <c r="AY14" s="133"/>
      <c r="AZ14" s="133"/>
      <c r="BB14" s="141"/>
      <c r="BC14" s="197" t="str">
        <f t="shared" ref="BC14:BC30" si="0">IF(AY14-KD14=0,"",AY14-O14)</f>
        <v/>
      </c>
      <c r="BD14" s="131" t="str">
        <f t="shared" ref="BD14:BD30" si="1">IF(AND(AI14&lt;&gt;"SIM",AI14="UH"),"AA","INDENIZAÇÃO")</f>
        <v>INDENIZAÇÃO</v>
      </c>
      <c r="BE14" s="131" t="str">
        <f t="shared" ref="BE14:BE30" si="2">IF(AND(AY14&lt;&gt;"AGUARDANDO",AY14&lt;&gt;"",N14="AUXÍLIO ALUGUEL ATÉ INDENIZAÇÃO"),"SIM","NÃO")</f>
        <v>NÃO</v>
      </c>
      <c r="BN14" s="191"/>
      <c r="CI14" s="191"/>
    </row>
    <row r="15" spans="1:87" s="131" customFormat="1" ht="30" hidden="1" customHeight="1">
      <c r="A15" s="131">
        <v>2</v>
      </c>
      <c r="B15" s="131" t="s">
        <v>4432</v>
      </c>
      <c r="C15" s="131">
        <v>1</v>
      </c>
      <c r="D15" s="131" t="s">
        <v>4433</v>
      </c>
      <c r="E15" s="131" t="s">
        <v>4433</v>
      </c>
      <c r="F15" s="210" t="s">
        <v>4437</v>
      </c>
      <c r="G15" s="131" t="s">
        <v>4339</v>
      </c>
      <c r="H15" s="131" t="s">
        <v>4340</v>
      </c>
      <c r="I15" s="131" t="s">
        <v>4350</v>
      </c>
      <c r="J15" s="138" t="s">
        <v>4438</v>
      </c>
      <c r="K15" s="132" t="s">
        <v>4439</v>
      </c>
      <c r="L15" s="132" t="s">
        <v>4440</v>
      </c>
      <c r="M15" s="131" t="s">
        <v>4342</v>
      </c>
      <c r="N15" s="131" t="s">
        <v>4343</v>
      </c>
      <c r="O15" s="152">
        <v>45852</v>
      </c>
      <c r="P15" s="133" t="s">
        <v>4361</v>
      </c>
      <c r="Q15" s="133" t="s">
        <v>4361</v>
      </c>
      <c r="R15" s="133" t="s">
        <v>4361</v>
      </c>
      <c r="S15" s="133" t="s">
        <v>4361</v>
      </c>
      <c r="T15" s="133" t="s">
        <v>4361</v>
      </c>
      <c r="U15" s="133" t="s">
        <v>4361</v>
      </c>
      <c r="V15" s="133" t="s">
        <v>4361</v>
      </c>
      <c r="W15" s="133" t="s">
        <v>4361</v>
      </c>
      <c r="X15" s="133" t="s">
        <v>4361</v>
      </c>
      <c r="Y15" s="133" t="s">
        <v>4361</v>
      </c>
      <c r="Z15" s="133" t="s">
        <v>4361</v>
      </c>
      <c r="AB15" s="138" t="s">
        <v>4438</v>
      </c>
      <c r="AC15" s="132" t="s">
        <v>4439</v>
      </c>
      <c r="AD15" s="132" t="s">
        <v>4440</v>
      </c>
      <c r="AE15" s="131" t="s">
        <v>4350</v>
      </c>
      <c r="AF15" s="131" t="s">
        <v>4342</v>
      </c>
      <c r="AG15" s="196">
        <v>19951.88</v>
      </c>
      <c r="AH15" s="196">
        <v>49951.88</v>
      </c>
      <c r="AI15" s="131" t="s">
        <v>4344</v>
      </c>
      <c r="AJ15" s="132" t="s">
        <v>4441</v>
      </c>
      <c r="AK15" s="131">
        <v>127864323</v>
      </c>
      <c r="AL15" s="131" t="s">
        <v>4442</v>
      </c>
      <c r="AM15" s="131" t="s">
        <v>4442</v>
      </c>
      <c r="AN15" s="131" t="s">
        <v>4443</v>
      </c>
      <c r="AP15" s="132" t="s">
        <v>4444</v>
      </c>
      <c r="AQ15" s="141" t="s">
        <v>4442</v>
      </c>
      <c r="AR15" s="141" t="s">
        <v>4442</v>
      </c>
      <c r="AS15" s="141" t="s">
        <v>4442</v>
      </c>
      <c r="AT15" s="141" t="s">
        <v>4442</v>
      </c>
      <c r="AU15" s="136">
        <v>45894</v>
      </c>
      <c r="AV15" s="141" t="s">
        <v>4442</v>
      </c>
      <c r="AW15" s="141" t="s">
        <v>4442</v>
      </c>
      <c r="AX15" s="136">
        <v>45917</v>
      </c>
      <c r="AY15" s="226">
        <v>45917</v>
      </c>
      <c r="AZ15" s="137" t="s">
        <v>4370</v>
      </c>
      <c r="BA15" s="137" t="s">
        <v>4445</v>
      </c>
      <c r="BB15" s="141" t="s">
        <v>4442</v>
      </c>
      <c r="BC15" s="197">
        <f t="shared" si="0"/>
        <v>65</v>
      </c>
      <c r="BD15" s="131" t="str">
        <f t="shared" si="1"/>
        <v>INDENIZAÇÃO</v>
      </c>
      <c r="BE15" s="131" t="str">
        <f t="shared" si="2"/>
        <v>NÃO</v>
      </c>
      <c r="BF15" s="131" t="s">
        <v>4361</v>
      </c>
      <c r="BG15" s="131" t="s">
        <v>4361</v>
      </c>
      <c r="BH15" s="131" t="s">
        <v>4361</v>
      </c>
      <c r="BI15" s="135" t="s">
        <v>4446</v>
      </c>
      <c r="BJ15" s="135"/>
      <c r="BK15" s="134"/>
      <c r="BL15" s="135"/>
      <c r="BM15" s="135"/>
      <c r="BN15" s="191"/>
      <c r="CI15" s="191"/>
    </row>
    <row r="16" spans="1:87" s="131" customFormat="1" ht="30" hidden="1" customHeight="1">
      <c r="A16" s="131">
        <v>3</v>
      </c>
      <c r="B16" s="131" t="s">
        <v>4432</v>
      </c>
      <c r="C16" s="131">
        <v>1</v>
      </c>
      <c r="D16" s="131" t="s">
        <v>4433</v>
      </c>
      <c r="E16" s="131" t="s">
        <v>4433</v>
      </c>
      <c r="F16" s="210" t="s">
        <v>4447</v>
      </c>
      <c r="G16" s="131" t="s">
        <v>4339</v>
      </c>
      <c r="H16" s="131" t="s">
        <v>4340</v>
      </c>
      <c r="I16" s="131" t="s">
        <v>4350</v>
      </c>
      <c r="J16" s="132" t="s">
        <v>4448</v>
      </c>
      <c r="K16" s="132" t="s">
        <v>4449</v>
      </c>
      <c r="L16" s="132" t="s">
        <v>4450</v>
      </c>
      <c r="M16" s="131" t="s">
        <v>4342</v>
      </c>
      <c r="N16" s="131" t="s">
        <v>4343</v>
      </c>
      <c r="O16" s="152">
        <v>45852</v>
      </c>
      <c r="P16" s="133" t="s">
        <v>4361</v>
      </c>
      <c r="Q16" s="133" t="s">
        <v>4361</v>
      </c>
      <c r="R16" s="133" t="s">
        <v>4361</v>
      </c>
      <c r="S16" s="133" t="s">
        <v>4361</v>
      </c>
      <c r="T16" s="133" t="s">
        <v>4361</v>
      </c>
      <c r="U16" s="133" t="s">
        <v>4361</v>
      </c>
      <c r="V16" s="133" t="s">
        <v>4361</v>
      </c>
      <c r="W16" s="133" t="s">
        <v>4361</v>
      </c>
      <c r="X16" s="133" t="s">
        <v>4361</v>
      </c>
      <c r="Y16" s="133" t="s">
        <v>4361</v>
      </c>
      <c r="Z16" s="133" t="s">
        <v>4361</v>
      </c>
      <c r="AB16" s="132" t="s">
        <v>4448</v>
      </c>
      <c r="AC16" s="132" t="s">
        <v>4449</v>
      </c>
      <c r="AD16" s="132" t="s">
        <v>4450</v>
      </c>
      <c r="AE16" s="131" t="s">
        <v>4350</v>
      </c>
      <c r="AF16" s="131" t="s">
        <v>4342</v>
      </c>
      <c r="AG16" s="196">
        <v>19951.88</v>
      </c>
      <c r="AH16" s="196">
        <v>49951.88</v>
      </c>
      <c r="AI16" s="131" t="s">
        <v>4344</v>
      </c>
      <c r="AJ16" s="132" t="s">
        <v>4441</v>
      </c>
      <c r="AK16" s="131">
        <v>127864407</v>
      </c>
      <c r="AL16" s="131" t="s">
        <v>4442</v>
      </c>
      <c r="AM16" s="131" t="s">
        <v>4442</v>
      </c>
      <c r="AN16" s="131" t="s">
        <v>4443</v>
      </c>
      <c r="AP16" s="132" t="s">
        <v>4451</v>
      </c>
      <c r="AQ16" s="141" t="s">
        <v>4442</v>
      </c>
      <c r="AR16" s="141" t="s">
        <v>4442</v>
      </c>
      <c r="AS16" s="141" t="s">
        <v>4442</v>
      </c>
      <c r="AT16" s="141" t="s">
        <v>4442</v>
      </c>
      <c r="AU16" s="136">
        <v>45894</v>
      </c>
      <c r="AV16" s="141" t="s">
        <v>4442</v>
      </c>
      <c r="AW16" s="141" t="s">
        <v>4442</v>
      </c>
      <c r="AX16" s="136">
        <v>45901</v>
      </c>
      <c r="AY16" s="226">
        <v>45901</v>
      </c>
      <c r="AZ16" s="137" t="s">
        <v>4370</v>
      </c>
      <c r="BA16" s="137" t="s">
        <v>4445</v>
      </c>
      <c r="BB16" s="141" t="s">
        <v>4442</v>
      </c>
      <c r="BC16" s="197">
        <f t="shared" si="0"/>
        <v>49</v>
      </c>
      <c r="BD16" s="131" t="str">
        <f t="shared" si="1"/>
        <v>INDENIZAÇÃO</v>
      </c>
      <c r="BE16" s="131" t="str">
        <f t="shared" si="2"/>
        <v>NÃO</v>
      </c>
      <c r="BF16" s="131" t="s">
        <v>4361</v>
      </c>
      <c r="BG16" s="131" t="s">
        <v>4361</v>
      </c>
      <c r="BH16" s="131" t="s">
        <v>4361</v>
      </c>
      <c r="BI16" s="141" t="s">
        <v>4442</v>
      </c>
      <c r="BJ16" s="141" t="s">
        <v>4442</v>
      </c>
      <c r="BK16" s="136">
        <v>45937</v>
      </c>
      <c r="BL16" s="135" t="s">
        <v>4452</v>
      </c>
      <c r="BM16" s="135"/>
      <c r="BN16" s="191"/>
      <c r="CI16" s="191"/>
    </row>
    <row r="17" spans="1:87" s="131" customFormat="1" ht="30" hidden="1" customHeight="1">
      <c r="A17" s="131">
        <v>4</v>
      </c>
      <c r="B17" s="131" t="s">
        <v>4432</v>
      </c>
      <c r="C17" s="131">
        <v>1</v>
      </c>
      <c r="D17" s="131" t="s">
        <v>4433</v>
      </c>
      <c r="E17" s="131" t="s">
        <v>4433</v>
      </c>
      <c r="F17" s="210" t="s">
        <v>4453</v>
      </c>
      <c r="G17" s="131" t="s">
        <v>4339</v>
      </c>
      <c r="H17" s="131" t="s">
        <v>4340</v>
      </c>
      <c r="I17" s="131" t="s">
        <v>4350</v>
      </c>
      <c r="J17" s="132" t="s">
        <v>4454</v>
      </c>
      <c r="K17" s="132" t="s">
        <v>4455</v>
      </c>
      <c r="L17" s="132" t="s">
        <v>4456</v>
      </c>
      <c r="M17" s="131" t="s">
        <v>4342</v>
      </c>
      <c r="N17" s="131" t="s">
        <v>4343</v>
      </c>
      <c r="O17" s="152">
        <v>45831</v>
      </c>
      <c r="P17" s="133" t="s">
        <v>4361</v>
      </c>
      <c r="Q17" s="133" t="s">
        <v>4361</v>
      </c>
      <c r="R17" s="133" t="s">
        <v>4361</v>
      </c>
      <c r="S17" s="133" t="s">
        <v>4361</v>
      </c>
      <c r="T17" s="133" t="s">
        <v>4361</v>
      </c>
      <c r="U17" s="133" t="s">
        <v>4361</v>
      </c>
      <c r="V17" s="133" t="s">
        <v>4361</v>
      </c>
      <c r="W17" s="133" t="s">
        <v>4361</v>
      </c>
      <c r="X17" s="133" t="s">
        <v>4361</v>
      </c>
      <c r="Y17" s="133" t="s">
        <v>4361</v>
      </c>
      <c r="Z17" s="133" t="s">
        <v>4361</v>
      </c>
      <c r="AB17" s="132" t="s">
        <v>4454</v>
      </c>
      <c r="AC17" s="132" t="s">
        <v>4455</v>
      </c>
      <c r="AD17" s="132" t="s">
        <v>4456</v>
      </c>
      <c r="AE17" s="131" t="s">
        <v>4350</v>
      </c>
      <c r="AF17" s="131" t="s">
        <v>4342</v>
      </c>
      <c r="AG17" s="196">
        <v>28685.08</v>
      </c>
      <c r="AH17" s="196">
        <v>58685.08</v>
      </c>
      <c r="AI17" s="131" t="s">
        <v>4344</v>
      </c>
      <c r="AJ17" s="132"/>
      <c r="AK17" s="131">
        <v>110891739</v>
      </c>
      <c r="AL17" s="131" t="s">
        <v>4442</v>
      </c>
      <c r="AM17" s="131" t="s">
        <v>4442</v>
      </c>
      <c r="AN17" s="131" t="s">
        <v>4443</v>
      </c>
      <c r="AP17" s="132" t="s">
        <v>4457</v>
      </c>
      <c r="AQ17" s="141" t="s">
        <v>4442</v>
      </c>
      <c r="AR17" s="141" t="s">
        <v>4442</v>
      </c>
      <c r="AS17" s="141" t="s">
        <v>4442</v>
      </c>
      <c r="AT17" s="141" t="s">
        <v>4442</v>
      </c>
      <c r="AU17" s="152">
        <v>45869</v>
      </c>
      <c r="AV17" s="141" t="s">
        <v>4442</v>
      </c>
      <c r="AW17" s="141" t="s">
        <v>4442</v>
      </c>
      <c r="AX17" s="152">
        <v>45877</v>
      </c>
      <c r="AY17" s="226">
        <v>45877</v>
      </c>
      <c r="AZ17" s="137" t="s">
        <v>4370</v>
      </c>
      <c r="BA17" s="137" t="s">
        <v>4445</v>
      </c>
      <c r="BB17" s="141" t="s">
        <v>4442</v>
      </c>
      <c r="BC17" s="197">
        <f t="shared" si="0"/>
        <v>46</v>
      </c>
      <c r="BD17" s="131" t="str">
        <f t="shared" si="1"/>
        <v>INDENIZAÇÃO</v>
      </c>
      <c r="BE17" s="131" t="str">
        <f t="shared" si="2"/>
        <v>NÃO</v>
      </c>
      <c r="BF17" s="131" t="s">
        <v>4361</v>
      </c>
      <c r="BG17" s="131" t="s">
        <v>4361</v>
      </c>
      <c r="BH17" s="131" t="s">
        <v>4361</v>
      </c>
      <c r="BI17" s="141" t="s">
        <v>4442</v>
      </c>
      <c r="BJ17" s="141" t="s">
        <v>4442</v>
      </c>
      <c r="BK17" s="152">
        <v>45908</v>
      </c>
      <c r="BL17" s="141" t="s">
        <v>4442</v>
      </c>
      <c r="BM17" s="135" t="s">
        <v>4370</v>
      </c>
      <c r="BN17" s="191"/>
      <c r="CI17" s="191"/>
    </row>
    <row r="18" spans="1:87" s="131" customFormat="1" ht="30" hidden="1" customHeight="1">
      <c r="A18" s="131">
        <v>5</v>
      </c>
      <c r="B18" s="131" t="s">
        <v>4432</v>
      </c>
      <c r="C18" s="131">
        <v>1</v>
      </c>
      <c r="D18" s="131" t="s">
        <v>4433</v>
      </c>
      <c r="E18" s="131" t="s">
        <v>4433</v>
      </c>
      <c r="F18" s="210" t="s">
        <v>4458</v>
      </c>
      <c r="G18" s="131" t="s">
        <v>4339</v>
      </c>
      <c r="H18" s="131" t="s">
        <v>4340</v>
      </c>
      <c r="I18" s="131" t="s">
        <v>4350</v>
      </c>
      <c r="J18" s="132" t="s">
        <v>4459</v>
      </c>
      <c r="K18" s="132" t="s">
        <v>4460</v>
      </c>
      <c r="L18" s="132" t="s">
        <v>4461</v>
      </c>
      <c r="M18" s="131" t="s">
        <v>4342</v>
      </c>
      <c r="N18" s="131" t="s">
        <v>4343</v>
      </c>
      <c r="O18" s="152">
        <v>45604</v>
      </c>
      <c r="P18" s="133" t="s">
        <v>4361</v>
      </c>
      <c r="Q18" s="133" t="s">
        <v>4361</v>
      </c>
      <c r="R18" s="133" t="s">
        <v>4361</v>
      </c>
      <c r="S18" s="133" t="s">
        <v>4361</v>
      </c>
      <c r="T18" s="133" t="s">
        <v>4361</v>
      </c>
      <c r="U18" s="133" t="s">
        <v>4361</v>
      </c>
      <c r="V18" s="133" t="s">
        <v>4361</v>
      </c>
      <c r="W18" s="133" t="s">
        <v>4361</v>
      </c>
      <c r="X18" s="133" t="s">
        <v>4361</v>
      </c>
      <c r="Y18" s="133" t="s">
        <v>4361</v>
      </c>
      <c r="Z18" s="133" t="s">
        <v>4361</v>
      </c>
      <c r="AB18" s="132" t="s">
        <v>4462</v>
      </c>
      <c r="AC18" s="132" t="s">
        <v>4460</v>
      </c>
      <c r="AD18" s="132" t="s">
        <v>4461</v>
      </c>
      <c r="AE18" s="131" t="s">
        <v>4350</v>
      </c>
      <c r="AF18" s="131" t="s">
        <v>4342</v>
      </c>
      <c r="AG18" s="196">
        <v>26667.64</v>
      </c>
      <c r="AH18" s="196">
        <v>56667.64</v>
      </c>
      <c r="AI18" s="216" t="s">
        <v>4344</v>
      </c>
      <c r="AJ18" s="132" t="s">
        <v>4441</v>
      </c>
      <c r="AK18" s="191" t="s">
        <v>4433</v>
      </c>
      <c r="AL18" s="131" t="s">
        <v>4442</v>
      </c>
      <c r="AM18" s="131" t="s">
        <v>4442</v>
      </c>
      <c r="AN18" s="131" t="s">
        <v>4443</v>
      </c>
      <c r="AP18" s="132" t="s">
        <v>4463</v>
      </c>
      <c r="AQ18" s="141" t="s">
        <v>4442</v>
      </c>
      <c r="AR18" s="141" t="s">
        <v>4442</v>
      </c>
      <c r="AS18" s="141" t="s">
        <v>4442</v>
      </c>
      <c r="AT18" s="141" t="s">
        <v>4442</v>
      </c>
      <c r="AU18" s="136">
        <v>45755</v>
      </c>
      <c r="AV18" s="141" t="s">
        <v>4442</v>
      </c>
      <c r="AW18" s="141" t="s">
        <v>4442</v>
      </c>
      <c r="AX18" s="152">
        <v>45763</v>
      </c>
      <c r="AY18" s="134">
        <v>45763</v>
      </c>
      <c r="AZ18" s="137" t="s">
        <v>4370</v>
      </c>
      <c r="BA18" s="137" t="s">
        <v>4445</v>
      </c>
      <c r="BB18" s="141" t="s">
        <v>4442</v>
      </c>
      <c r="BC18" s="197">
        <f t="shared" si="0"/>
        <v>159</v>
      </c>
      <c r="BD18" s="131" t="str">
        <f t="shared" si="1"/>
        <v>INDENIZAÇÃO</v>
      </c>
      <c r="BE18" s="131" t="str">
        <f t="shared" si="2"/>
        <v>NÃO</v>
      </c>
      <c r="BF18" s="131" t="s">
        <v>4361</v>
      </c>
      <c r="BG18" s="131" t="s">
        <v>4361</v>
      </c>
      <c r="BH18" s="131" t="s">
        <v>4361</v>
      </c>
      <c r="BI18" s="141" t="s">
        <v>4442</v>
      </c>
      <c r="BJ18" s="141" t="s">
        <v>4442</v>
      </c>
      <c r="BK18" s="136">
        <v>45860</v>
      </c>
      <c r="BL18" s="141" t="s">
        <v>4442</v>
      </c>
      <c r="BM18" s="135" t="s">
        <v>4370</v>
      </c>
      <c r="BN18" s="191"/>
      <c r="CI18" s="191"/>
    </row>
    <row r="19" spans="1:87" s="131" customFormat="1" ht="30" hidden="1" customHeight="1">
      <c r="A19" s="131">
        <v>6</v>
      </c>
      <c r="B19" s="131" t="s">
        <v>4432</v>
      </c>
      <c r="C19" s="131">
        <v>1</v>
      </c>
      <c r="D19" s="131" t="s">
        <v>4433</v>
      </c>
      <c r="E19" s="131" t="s">
        <v>4433</v>
      </c>
      <c r="F19" s="210" t="s">
        <v>4464</v>
      </c>
      <c r="G19" s="131" t="s">
        <v>4339</v>
      </c>
      <c r="H19" s="131" t="s">
        <v>4340</v>
      </c>
      <c r="I19" s="131" t="s">
        <v>4350</v>
      </c>
      <c r="J19" s="132" t="s">
        <v>4465</v>
      </c>
      <c r="K19" s="132" t="s">
        <v>4466</v>
      </c>
      <c r="L19" s="132" t="s">
        <v>4467</v>
      </c>
      <c r="M19" s="131" t="s">
        <v>4342</v>
      </c>
      <c r="N19" s="131" t="s">
        <v>4343</v>
      </c>
      <c r="O19" s="152">
        <v>45819</v>
      </c>
      <c r="P19" s="133" t="s">
        <v>4361</v>
      </c>
      <c r="Q19" s="133" t="s">
        <v>4361</v>
      </c>
      <c r="R19" s="133" t="s">
        <v>4361</v>
      </c>
      <c r="S19" s="133" t="s">
        <v>4361</v>
      </c>
      <c r="T19" s="133" t="s">
        <v>4361</v>
      </c>
      <c r="U19" s="133" t="s">
        <v>4361</v>
      </c>
      <c r="V19" s="133" t="s">
        <v>4361</v>
      </c>
      <c r="W19" s="133" t="s">
        <v>4361</v>
      </c>
      <c r="X19" s="133" t="s">
        <v>4361</v>
      </c>
      <c r="Y19" s="133" t="s">
        <v>4361</v>
      </c>
      <c r="Z19" s="133" t="s">
        <v>4361</v>
      </c>
      <c r="AA19" s="198"/>
      <c r="AB19" s="132" t="s">
        <v>4465</v>
      </c>
      <c r="AC19" s="132" t="s">
        <v>4466</v>
      </c>
      <c r="AD19" s="132" t="s">
        <v>4467</v>
      </c>
      <c r="AE19" s="131" t="s">
        <v>4350</v>
      </c>
      <c r="AF19" s="131" t="s">
        <v>4342</v>
      </c>
      <c r="AG19" s="196">
        <v>64529.13</v>
      </c>
      <c r="AH19" s="196">
        <v>64529.13</v>
      </c>
      <c r="AI19" s="131" t="s">
        <v>4344</v>
      </c>
      <c r="AJ19" s="132" t="s">
        <v>4441</v>
      </c>
      <c r="AK19" s="131">
        <v>119375077</v>
      </c>
      <c r="AL19" s="131" t="s">
        <v>4442</v>
      </c>
      <c r="AM19" s="131" t="s">
        <v>4442</v>
      </c>
      <c r="AN19" s="131" t="s">
        <v>4443</v>
      </c>
      <c r="AP19" s="132" t="s">
        <v>4468</v>
      </c>
      <c r="AQ19" s="131" t="s">
        <v>4442</v>
      </c>
      <c r="AR19" s="131" t="s">
        <v>4442</v>
      </c>
      <c r="AS19" s="131" t="s">
        <v>4442</v>
      </c>
      <c r="AT19" s="131" t="s">
        <v>4442</v>
      </c>
      <c r="AU19" s="152">
        <v>45867</v>
      </c>
      <c r="AV19" s="131" t="s">
        <v>4442</v>
      </c>
      <c r="AW19" s="131" t="s">
        <v>4442</v>
      </c>
      <c r="AX19" s="152">
        <v>45873</v>
      </c>
      <c r="AY19" s="134">
        <v>45873</v>
      </c>
      <c r="AZ19" s="137" t="s">
        <v>4370</v>
      </c>
      <c r="BA19" s="137" t="s">
        <v>4445</v>
      </c>
      <c r="BB19" s="141" t="s">
        <v>4442</v>
      </c>
      <c r="BC19" s="197">
        <f t="shared" si="0"/>
        <v>54</v>
      </c>
      <c r="BD19" s="131" t="str">
        <f t="shared" si="1"/>
        <v>INDENIZAÇÃO</v>
      </c>
      <c r="BE19" s="131" t="str">
        <f t="shared" si="2"/>
        <v>NÃO</v>
      </c>
      <c r="BF19" s="131" t="s">
        <v>4361</v>
      </c>
      <c r="BG19" s="131" t="s">
        <v>4361</v>
      </c>
      <c r="BH19" s="131" t="s">
        <v>4361</v>
      </c>
      <c r="BI19" s="141" t="s">
        <v>4442</v>
      </c>
      <c r="BJ19" s="141" t="s">
        <v>4442</v>
      </c>
      <c r="BK19" s="152">
        <v>45908</v>
      </c>
      <c r="BL19" s="141" t="s">
        <v>4442</v>
      </c>
      <c r="BM19" s="135" t="s">
        <v>4370</v>
      </c>
      <c r="BN19" s="191"/>
      <c r="CI19" s="191"/>
    </row>
    <row r="20" spans="1:87" s="141" customFormat="1" ht="30" hidden="1" customHeight="1">
      <c r="A20" s="131">
        <v>7</v>
      </c>
      <c r="B20" s="131" t="s">
        <v>4432</v>
      </c>
      <c r="C20" s="131">
        <v>1</v>
      </c>
      <c r="D20" s="131" t="s">
        <v>4433</v>
      </c>
      <c r="E20" s="131" t="s">
        <v>4433</v>
      </c>
      <c r="F20" s="210" t="s">
        <v>4469</v>
      </c>
      <c r="G20" s="131"/>
      <c r="H20" s="131"/>
      <c r="I20" s="131"/>
      <c r="J20" s="132" t="s">
        <v>4470</v>
      </c>
      <c r="K20" s="132"/>
      <c r="L20" s="132" t="s">
        <v>4471</v>
      </c>
      <c r="M20" s="131"/>
      <c r="N20" s="131"/>
      <c r="O20" s="199"/>
      <c r="P20" s="136"/>
      <c r="Q20" s="136"/>
      <c r="R20" s="136"/>
      <c r="S20" s="136"/>
      <c r="T20" s="136"/>
      <c r="U20" s="136"/>
      <c r="V20" s="136"/>
      <c r="W20" s="136"/>
      <c r="X20" s="136"/>
      <c r="Y20" s="136"/>
      <c r="Z20" s="136"/>
      <c r="AB20" s="132"/>
      <c r="AC20" s="132"/>
      <c r="AD20" s="132"/>
      <c r="AE20" s="131"/>
      <c r="AG20" s="196"/>
      <c r="AH20" s="196"/>
      <c r="AI20" s="131"/>
      <c r="AJ20" s="131"/>
      <c r="AK20" s="131"/>
      <c r="AP20" s="132"/>
      <c r="BC20" s="197" t="str">
        <f t="shared" si="0"/>
        <v/>
      </c>
      <c r="BD20" s="131" t="str">
        <f t="shared" si="1"/>
        <v>INDENIZAÇÃO</v>
      </c>
      <c r="BE20" s="131" t="str">
        <f t="shared" si="2"/>
        <v>NÃO</v>
      </c>
      <c r="BF20" s="131"/>
      <c r="BG20" s="199"/>
      <c r="BH20" s="199"/>
      <c r="BN20" s="182"/>
      <c r="CI20" s="182"/>
    </row>
    <row r="21" spans="1:87" s="141" customFormat="1" ht="30" hidden="1" customHeight="1">
      <c r="A21" s="131">
        <v>8</v>
      </c>
      <c r="B21" s="131" t="s">
        <v>4432</v>
      </c>
      <c r="C21" s="131">
        <v>1</v>
      </c>
      <c r="D21" s="131" t="s">
        <v>4433</v>
      </c>
      <c r="E21" s="131" t="s">
        <v>4433</v>
      </c>
      <c r="F21" s="210" t="s">
        <v>4472</v>
      </c>
      <c r="G21" s="131" t="s">
        <v>4339</v>
      </c>
      <c r="H21" s="131" t="s">
        <v>4340</v>
      </c>
      <c r="I21" s="131" t="s">
        <v>4350</v>
      </c>
      <c r="J21" s="132" t="s">
        <v>4473</v>
      </c>
      <c r="K21" s="132" t="s">
        <v>4474</v>
      </c>
      <c r="L21" s="132" t="s">
        <v>4475</v>
      </c>
      <c r="M21" s="131" t="s">
        <v>4342</v>
      </c>
      <c r="N21" s="131" t="s">
        <v>4343</v>
      </c>
      <c r="O21" s="199">
        <v>46065</v>
      </c>
      <c r="P21" s="133" t="s">
        <v>4361</v>
      </c>
      <c r="Q21" s="133" t="s">
        <v>4361</v>
      </c>
      <c r="R21" s="133" t="s">
        <v>4361</v>
      </c>
      <c r="S21" s="133" t="s">
        <v>4361</v>
      </c>
      <c r="T21" s="133" t="s">
        <v>4361</v>
      </c>
      <c r="U21" s="133" t="s">
        <v>4361</v>
      </c>
      <c r="V21" s="133" t="s">
        <v>4361</v>
      </c>
      <c r="W21" s="133" t="s">
        <v>4361</v>
      </c>
      <c r="X21" s="133" t="s">
        <v>4361</v>
      </c>
      <c r="Y21" s="133" t="s">
        <v>4361</v>
      </c>
      <c r="Z21" s="133" t="s">
        <v>4361</v>
      </c>
      <c r="AB21" s="132" t="s">
        <v>4473</v>
      </c>
      <c r="AC21" s="132" t="s">
        <v>4474</v>
      </c>
      <c r="AD21" s="132" t="s">
        <v>4475</v>
      </c>
      <c r="AE21" s="131" t="s">
        <v>4350</v>
      </c>
      <c r="AF21" s="141" t="s">
        <v>4342</v>
      </c>
      <c r="AG21" s="196">
        <v>7795.8</v>
      </c>
      <c r="AH21" s="196">
        <v>37795.800000000003</v>
      </c>
      <c r="AI21" s="131" t="s">
        <v>4344</v>
      </c>
      <c r="AJ21" s="132" t="s">
        <v>4441</v>
      </c>
      <c r="AK21" s="131">
        <v>119375198</v>
      </c>
      <c r="AL21" s="141" t="s">
        <v>4442</v>
      </c>
      <c r="AM21" s="131" t="s">
        <v>4442</v>
      </c>
      <c r="AN21" s="141" t="s">
        <v>4443</v>
      </c>
      <c r="AP21" s="132" t="s">
        <v>4476</v>
      </c>
      <c r="AQ21" s="247" t="s">
        <v>4442</v>
      </c>
      <c r="AR21" s="247" t="s">
        <v>4442</v>
      </c>
      <c r="AS21" s="247" t="s">
        <v>4442</v>
      </c>
      <c r="AT21" s="247" t="s">
        <v>4442</v>
      </c>
      <c r="AU21" s="199">
        <v>46142</v>
      </c>
      <c r="AV21" s="247" t="s">
        <v>4442</v>
      </c>
      <c r="AW21" s="247" t="s">
        <v>4442</v>
      </c>
      <c r="AX21" s="199">
        <v>46155</v>
      </c>
      <c r="AY21" s="134">
        <v>46155</v>
      </c>
      <c r="AZ21" s="137" t="s">
        <v>4370</v>
      </c>
      <c r="BA21" s="137" t="s">
        <v>4445</v>
      </c>
      <c r="BB21" s="141" t="s">
        <v>4442</v>
      </c>
      <c r="BC21" s="197">
        <f t="shared" si="0"/>
        <v>90</v>
      </c>
      <c r="BD21" s="131" t="str">
        <f t="shared" si="1"/>
        <v>INDENIZAÇÃO</v>
      </c>
      <c r="BE21" s="131" t="str">
        <f t="shared" si="2"/>
        <v>NÃO</v>
      </c>
      <c r="BF21" s="131" t="s">
        <v>4361</v>
      </c>
      <c r="BG21" s="131" t="s">
        <v>4361</v>
      </c>
      <c r="BH21" s="131" t="s">
        <v>4361</v>
      </c>
      <c r="BI21" s="137" t="s">
        <v>4446</v>
      </c>
      <c r="BJ21" s="137"/>
      <c r="BK21" s="137"/>
      <c r="BL21" s="137"/>
      <c r="BM21" s="137"/>
      <c r="BN21" s="182"/>
      <c r="CI21" s="182"/>
    </row>
    <row r="22" spans="1:87" s="141" customFormat="1" ht="30" hidden="1" customHeight="1">
      <c r="A22" s="131">
        <v>9</v>
      </c>
      <c r="B22" s="131" t="s">
        <v>4432</v>
      </c>
      <c r="C22" s="131">
        <v>1</v>
      </c>
      <c r="D22" s="131" t="s">
        <v>4433</v>
      </c>
      <c r="E22" s="131" t="s">
        <v>4433</v>
      </c>
      <c r="F22" s="210" t="s">
        <v>4477</v>
      </c>
      <c r="G22" s="131" t="s">
        <v>4339</v>
      </c>
      <c r="H22" s="131" t="s">
        <v>4340</v>
      </c>
      <c r="I22" s="131" t="s">
        <v>4350</v>
      </c>
      <c r="J22" s="132" t="s">
        <v>4478</v>
      </c>
      <c r="K22" s="132" t="s">
        <v>4479</v>
      </c>
      <c r="L22" s="132" t="s">
        <v>4480</v>
      </c>
      <c r="M22" s="131" t="s">
        <v>4342</v>
      </c>
      <c r="N22" s="131" t="s">
        <v>4343</v>
      </c>
      <c r="O22" s="152">
        <v>45819</v>
      </c>
      <c r="P22" s="133" t="s">
        <v>4361</v>
      </c>
      <c r="Q22" s="133" t="s">
        <v>4361</v>
      </c>
      <c r="R22" s="133" t="s">
        <v>4361</v>
      </c>
      <c r="S22" s="133" t="s">
        <v>4361</v>
      </c>
      <c r="T22" s="133" t="s">
        <v>4361</v>
      </c>
      <c r="U22" s="133" t="s">
        <v>4361</v>
      </c>
      <c r="V22" s="133" t="s">
        <v>4361</v>
      </c>
      <c r="W22" s="133" t="s">
        <v>4361</v>
      </c>
      <c r="X22" s="133" t="s">
        <v>4361</v>
      </c>
      <c r="Y22" s="133" t="s">
        <v>4361</v>
      </c>
      <c r="Z22" s="133" t="s">
        <v>4361</v>
      </c>
      <c r="AB22" s="132" t="s">
        <v>4481</v>
      </c>
      <c r="AC22" s="132" t="s">
        <v>4479</v>
      </c>
      <c r="AD22" s="132" t="s">
        <v>4480</v>
      </c>
      <c r="AE22" s="131" t="s">
        <v>4350</v>
      </c>
      <c r="AF22" s="141" t="s">
        <v>4342</v>
      </c>
      <c r="AG22" s="196">
        <v>7795.8</v>
      </c>
      <c r="AH22" s="196">
        <f>AG22+30000</f>
        <v>37795.800000000003</v>
      </c>
      <c r="AI22" s="131" t="s">
        <v>4344</v>
      </c>
      <c r="AJ22" s="132" t="s">
        <v>4441</v>
      </c>
      <c r="AK22" s="131">
        <v>119375295</v>
      </c>
      <c r="AL22" s="131" t="s">
        <v>4442</v>
      </c>
      <c r="AM22" s="131" t="s">
        <v>4442</v>
      </c>
      <c r="AN22" s="141" t="s">
        <v>4443</v>
      </c>
      <c r="AP22" s="132" t="s">
        <v>4482</v>
      </c>
      <c r="AQ22" s="131" t="s">
        <v>4442</v>
      </c>
      <c r="AR22" s="131" t="s">
        <v>4442</v>
      </c>
      <c r="AS22" s="141" t="s">
        <v>4442</v>
      </c>
      <c r="AT22" s="141" t="s">
        <v>4442</v>
      </c>
      <c r="AU22" s="152">
        <v>45869</v>
      </c>
      <c r="AV22" s="141" t="s">
        <v>4442</v>
      </c>
      <c r="AW22" s="141" t="s">
        <v>4442</v>
      </c>
      <c r="AX22" s="152">
        <v>45909</v>
      </c>
      <c r="AY22" s="134">
        <v>45909</v>
      </c>
      <c r="AZ22" s="137" t="s">
        <v>4370</v>
      </c>
      <c r="BA22" s="137" t="s">
        <v>4445</v>
      </c>
      <c r="BB22" s="141" t="s">
        <v>4442</v>
      </c>
      <c r="BC22" s="197">
        <f t="shared" si="0"/>
        <v>90</v>
      </c>
      <c r="BD22" s="131" t="str">
        <f t="shared" si="1"/>
        <v>INDENIZAÇÃO</v>
      </c>
      <c r="BE22" s="131" t="str">
        <f t="shared" si="2"/>
        <v>NÃO</v>
      </c>
      <c r="BF22" s="131" t="s">
        <v>4361</v>
      </c>
      <c r="BG22" s="131" t="s">
        <v>4361</v>
      </c>
      <c r="BH22" s="131" t="s">
        <v>4361</v>
      </c>
      <c r="BI22" s="141" t="s">
        <v>4442</v>
      </c>
      <c r="BJ22" s="141" t="s">
        <v>4442</v>
      </c>
      <c r="BK22" s="136">
        <v>45937</v>
      </c>
      <c r="BL22" s="135" t="s">
        <v>4452</v>
      </c>
      <c r="BM22" s="135"/>
      <c r="BN22" s="182"/>
      <c r="CI22" s="182"/>
    </row>
    <row r="23" spans="1:87" s="141" customFormat="1" ht="30" hidden="1" customHeight="1">
      <c r="A23" s="131">
        <v>10</v>
      </c>
      <c r="B23" s="131" t="s">
        <v>4432</v>
      </c>
      <c r="C23" s="131">
        <v>1</v>
      </c>
      <c r="D23" s="131" t="s">
        <v>4433</v>
      </c>
      <c r="E23" s="131" t="s">
        <v>4433</v>
      </c>
      <c r="F23" s="210" t="s">
        <v>4483</v>
      </c>
      <c r="G23" s="131"/>
      <c r="H23" s="131"/>
      <c r="I23" s="131"/>
      <c r="J23" s="132" t="s">
        <v>4484</v>
      </c>
      <c r="K23" s="132" t="s">
        <v>4485</v>
      </c>
      <c r="L23" s="132" t="s">
        <v>4486</v>
      </c>
      <c r="M23" s="131"/>
      <c r="N23" s="131"/>
      <c r="O23" s="199"/>
      <c r="P23" s="136"/>
      <c r="Q23" s="136"/>
      <c r="R23" s="136"/>
      <c r="S23" s="136"/>
      <c r="T23" s="136"/>
      <c r="U23" s="136"/>
      <c r="V23" s="136"/>
      <c r="W23" s="136"/>
      <c r="X23" s="136"/>
      <c r="Y23" s="136"/>
      <c r="Z23" s="136"/>
      <c r="AB23" s="132"/>
      <c r="AC23" s="132"/>
      <c r="AD23" s="132"/>
      <c r="AE23" s="131"/>
      <c r="AG23" s="196"/>
      <c r="AH23" s="196"/>
      <c r="AI23" s="131"/>
      <c r="AJ23" s="217"/>
      <c r="AK23" s="131"/>
      <c r="AP23" s="132"/>
      <c r="AX23" s="141" t="s">
        <v>1133</v>
      </c>
      <c r="BC23" s="197" t="str">
        <f t="shared" si="0"/>
        <v/>
      </c>
      <c r="BD23" s="131" t="str">
        <f t="shared" si="1"/>
        <v>INDENIZAÇÃO</v>
      </c>
      <c r="BE23" s="131" t="str">
        <f t="shared" si="2"/>
        <v>NÃO</v>
      </c>
      <c r="BF23" s="131"/>
      <c r="BG23" s="199"/>
      <c r="BH23" s="199"/>
      <c r="BN23" s="182"/>
      <c r="CI23" s="182"/>
    </row>
    <row r="24" spans="1:87" s="141" customFormat="1" ht="30" hidden="1" customHeight="1">
      <c r="A24" s="131">
        <v>11</v>
      </c>
      <c r="B24" s="131" t="s">
        <v>4432</v>
      </c>
      <c r="C24" s="131">
        <v>1</v>
      </c>
      <c r="D24" s="131" t="s">
        <v>4433</v>
      </c>
      <c r="E24" s="131" t="s">
        <v>4433</v>
      </c>
      <c r="F24" s="210" t="s">
        <v>4487</v>
      </c>
      <c r="G24" s="131" t="s">
        <v>4339</v>
      </c>
      <c r="H24" s="131" t="s">
        <v>4340</v>
      </c>
      <c r="I24" s="131" t="s">
        <v>4350</v>
      </c>
      <c r="J24" s="132" t="s">
        <v>4488</v>
      </c>
      <c r="K24" s="132" t="s">
        <v>4489</v>
      </c>
      <c r="L24" s="132" t="s">
        <v>4490</v>
      </c>
      <c r="M24" s="131" t="s">
        <v>4342</v>
      </c>
      <c r="N24" s="131" t="s">
        <v>4343</v>
      </c>
      <c r="O24" s="199">
        <v>45819</v>
      </c>
      <c r="P24" s="136" t="s">
        <v>4361</v>
      </c>
      <c r="Q24" s="136" t="s">
        <v>4361</v>
      </c>
      <c r="R24" s="136" t="s">
        <v>4361</v>
      </c>
      <c r="S24" s="136" t="s">
        <v>4361</v>
      </c>
      <c r="T24" s="136" t="s">
        <v>4361</v>
      </c>
      <c r="U24" s="136" t="s">
        <v>4361</v>
      </c>
      <c r="V24" s="136" t="s">
        <v>4361</v>
      </c>
      <c r="W24" s="136" t="s">
        <v>4361</v>
      </c>
      <c r="X24" s="136" t="s">
        <v>4361</v>
      </c>
      <c r="Y24" s="136" t="s">
        <v>4361</v>
      </c>
      <c r="Z24" s="136" t="s">
        <v>4361</v>
      </c>
      <c r="AB24" s="132" t="s">
        <v>4488</v>
      </c>
      <c r="AC24" s="132" t="s">
        <v>4489</v>
      </c>
      <c r="AD24" s="132" t="s">
        <v>4490</v>
      </c>
      <c r="AE24" s="131" t="s">
        <v>4350</v>
      </c>
      <c r="AF24" s="141" t="s">
        <v>4342</v>
      </c>
      <c r="AG24" s="196">
        <v>7620</v>
      </c>
      <c r="AH24" s="196">
        <v>37620</v>
      </c>
      <c r="AI24" s="216" t="s">
        <v>4344</v>
      </c>
      <c r="AJ24" s="132"/>
      <c r="AK24" s="191">
        <v>125508867</v>
      </c>
      <c r="AL24" s="131" t="s">
        <v>4442</v>
      </c>
      <c r="AM24" s="131" t="s">
        <v>4442</v>
      </c>
      <c r="AN24" s="141" t="s">
        <v>4443</v>
      </c>
      <c r="AP24" s="132" t="s">
        <v>4491</v>
      </c>
      <c r="AQ24" s="131" t="s">
        <v>4442</v>
      </c>
      <c r="AR24" s="131" t="s">
        <v>4442</v>
      </c>
      <c r="AS24" s="131" t="s">
        <v>4442</v>
      </c>
      <c r="AT24" s="131" t="s">
        <v>4442</v>
      </c>
      <c r="AU24" s="152">
        <v>45867</v>
      </c>
      <c r="AV24" s="131" t="s">
        <v>4442</v>
      </c>
      <c r="AW24" s="131" t="s">
        <v>4442</v>
      </c>
      <c r="AX24" s="152">
        <v>45873</v>
      </c>
      <c r="AY24" s="134">
        <v>45873</v>
      </c>
      <c r="AZ24" s="137" t="s">
        <v>4370</v>
      </c>
      <c r="BA24" s="137" t="s">
        <v>4445</v>
      </c>
      <c r="BB24" s="141" t="s">
        <v>4442</v>
      </c>
      <c r="BC24" s="197">
        <f t="shared" si="0"/>
        <v>54</v>
      </c>
      <c r="BD24" s="131" t="str">
        <f t="shared" si="1"/>
        <v>INDENIZAÇÃO</v>
      </c>
      <c r="BE24" s="131" t="str">
        <f t="shared" si="2"/>
        <v>NÃO</v>
      </c>
      <c r="BF24" s="131" t="s">
        <v>4361</v>
      </c>
      <c r="BG24" s="131" t="s">
        <v>4361</v>
      </c>
      <c r="BH24" s="131" t="s">
        <v>4361</v>
      </c>
      <c r="BI24" s="141" t="s">
        <v>4442</v>
      </c>
      <c r="BJ24" s="141" t="s">
        <v>4442</v>
      </c>
      <c r="BK24" s="152">
        <v>45908</v>
      </c>
      <c r="BL24" s="246" t="s">
        <v>4492</v>
      </c>
      <c r="BM24" s="135"/>
      <c r="BN24" s="182"/>
      <c r="CI24" s="182"/>
    </row>
    <row r="25" spans="1:87" s="141" customFormat="1" ht="30" hidden="1" customHeight="1">
      <c r="A25" s="131">
        <v>12</v>
      </c>
      <c r="B25" s="222" t="s">
        <v>4432</v>
      </c>
      <c r="C25" s="222">
        <v>1</v>
      </c>
      <c r="D25" s="222" t="s">
        <v>4433</v>
      </c>
      <c r="E25" s="222" t="s">
        <v>4433</v>
      </c>
      <c r="F25" s="223" t="s">
        <v>4493</v>
      </c>
      <c r="G25" s="222" t="s">
        <v>4339</v>
      </c>
      <c r="H25" s="222" t="s">
        <v>4340</v>
      </c>
      <c r="I25" s="222" t="s">
        <v>4350</v>
      </c>
      <c r="J25" s="224" t="s">
        <v>4494</v>
      </c>
      <c r="K25" s="224" t="s">
        <v>4495</v>
      </c>
      <c r="L25" s="224" t="s">
        <v>4496</v>
      </c>
      <c r="M25" s="222" t="s">
        <v>4342</v>
      </c>
      <c r="N25" s="222" t="s">
        <v>4343</v>
      </c>
      <c r="O25" s="225">
        <v>45690</v>
      </c>
      <c r="P25" s="226" t="s">
        <v>4361</v>
      </c>
      <c r="Q25" s="226" t="s">
        <v>4361</v>
      </c>
      <c r="R25" s="226" t="s">
        <v>4361</v>
      </c>
      <c r="S25" s="226" t="s">
        <v>4361</v>
      </c>
      <c r="T25" s="226" t="s">
        <v>4361</v>
      </c>
      <c r="U25" s="226" t="s">
        <v>4361</v>
      </c>
      <c r="V25" s="226" t="s">
        <v>4361</v>
      </c>
      <c r="W25" s="226" t="s">
        <v>4361</v>
      </c>
      <c r="X25" s="226" t="s">
        <v>4361</v>
      </c>
      <c r="Y25" s="226" t="s">
        <v>4361</v>
      </c>
      <c r="Z25" s="226" t="s">
        <v>4361</v>
      </c>
      <c r="AA25" s="221"/>
      <c r="AB25" s="224" t="s">
        <v>4497</v>
      </c>
      <c r="AC25" s="224" t="s">
        <v>4495</v>
      </c>
      <c r="AD25" s="224" t="s">
        <v>4496</v>
      </c>
      <c r="AE25" s="222" t="s">
        <v>4350</v>
      </c>
      <c r="AF25" s="222" t="s">
        <v>4342</v>
      </c>
      <c r="AG25" s="227">
        <v>41723.69</v>
      </c>
      <c r="AH25" s="227">
        <v>60000</v>
      </c>
      <c r="AI25" s="228" t="s">
        <v>4344</v>
      </c>
      <c r="AJ25" s="224" t="s">
        <v>4441</v>
      </c>
      <c r="AK25" s="229">
        <v>114906961</v>
      </c>
      <c r="AL25" s="222" t="s">
        <v>4442</v>
      </c>
      <c r="AM25" s="222" t="s">
        <v>4442</v>
      </c>
      <c r="AN25" s="221" t="s">
        <v>4443</v>
      </c>
      <c r="AO25" s="221" t="s">
        <v>4498</v>
      </c>
      <c r="AP25" s="132" t="s">
        <v>4499</v>
      </c>
      <c r="AQ25" s="221" t="s">
        <v>4442</v>
      </c>
      <c r="AR25" s="221" t="s">
        <v>4442</v>
      </c>
      <c r="AS25" s="221" t="s">
        <v>4442</v>
      </c>
      <c r="AT25" s="221" t="s">
        <v>4442</v>
      </c>
      <c r="AU25" s="225">
        <v>45814</v>
      </c>
      <c r="AV25" s="221" t="s">
        <v>4442</v>
      </c>
      <c r="AW25" s="221" t="s">
        <v>4442</v>
      </c>
      <c r="AX25" s="230">
        <v>45821</v>
      </c>
      <c r="AY25" s="226">
        <v>45821</v>
      </c>
      <c r="AZ25" s="221" t="s">
        <v>4500</v>
      </c>
      <c r="BA25" s="221" t="s">
        <v>4445</v>
      </c>
      <c r="BB25" s="221" t="s">
        <v>4442</v>
      </c>
      <c r="BC25" s="231">
        <f t="shared" si="0"/>
        <v>131</v>
      </c>
      <c r="BD25" s="222" t="str">
        <f t="shared" si="1"/>
        <v>INDENIZAÇÃO</v>
      </c>
      <c r="BE25" s="222" t="str">
        <f t="shared" si="2"/>
        <v>NÃO</v>
      </c>
      <c r="BF25" s="222" t="s">
        <v>4361</v>
      </c>
      <c r="BG25" s="222" t="s">
        <v>4361</v>
      </c>
      <c r="BH25" s="222" t="s">
        <v>4361</v>
      </c>
      <c r="BI25" s="141" t="s">
        <v>4442</v>
      </c>
      <c r="BJ25" s="141" t="s">
        <v>4442</v>
      </c>
      <c r="BK25" s="136">
        <v>45860</v>
      </c>
      <c r="BL25" s="141" t="s">
        <v>4442</v>
      </c>
      <c r="BM25" s="135" t="s">
        <v>4370</v>
      </c>
      <c r="BN25" s="182"/>
      <c r="CI25" s="182"/>
    </row>
    <row r="26" spans="1:87" s="141" customFormat="1" ht="30" hidden="1" customHeight="1">
      <c r="A26" s="131">
        <v>12</v>
      </c>
      <c r="B26" s="222" t="s">
        <v>4432</v>
      </c>
      <c r="C26" s="222">
        <v>1</v>
      </c>
      <c r="D26" s="222" t="s">
        <v>4433</v>
      </c>
      <c r="E26" s="222" t="s">
        <v>4433</v>
      </c>
      <c r="F26" s="223" t="s">
        <v>4501</v>
      </c>
      <c r="G26" s="222" t="s">
        <v>4339</v>
      </c>
      <c r="H26" s="222" t="s">
        <v>4340</v>
      </c>
      <c r="I26" s="222" t="s">
        <v>4350</v>
      </c>
      <c r="J26" s="224" t="s">
        <v>4502</v>
      </c>
      <c r="K26" s="224" t="s">
        <v>4503</v>
      </c>
      <c r="L26" s="224" t="s">
        <v>4504</v>
      </c>
      <c r="M26" s="222" t="s">
        <v>4342</v>
      </c>
      <c r="N26" s="222" t="s">
        <v>4343</v>
      </c>
      <c r="O26" s="225">
        <v>45690</v>
      </c>
      <c r="P26" s="226" t="s">
        <v>4361</v>
      </c>
      <c r="Q26" s="226" t="s">
        <v>4361</v>
      </c>
      <c r="R26" s="226" t="s">
        <v>4361</v>
      </c>
      <c r="S26" s="226" t="s">
        <v>4361</v>
      </c>
      <c r="T26" s="226" t="s">
        <v>4361</v>
      </c>
      <c r="U26" s="226" t="s">
        <v>4361</v>
      </c>
      <c r="V26" s="226" t="s">
        <v>4361</v>
      </c>
      <c r="W26" s="226" t="s">
        <v>4361</v>
      </c>
      <c r="X26" s="226" t="s">
        <v>4361</v>
      </c>
      <c r="Y26" s="226" t="s">
        <v>4361</v>
      </c>
      <c r="Z26" s="226" t="s">
        <v>4361</v>
      </c>
      <c r="AA26" s="221"/>
      <c r="AB26" s="224" t="s">
        <v>4502</v>
      </c>
      <c r="AC26" s="224" t="s">
        <v>4503</v>
      </c>
      <c r="AD26" s="224" t="s">
        <v>4504</v>
      </c>
      <c r="AE26" s="222" t="s">
        <v>4350</v>
      </c>
      <c r="AF26" s="222" t="s">
        <v>4342</v>
      </c>
      <c r="AG26" s="227">
        <v>79717.05</v>
      </c>
      <c r="AH26" s="227">
        <v>79717.05</v>
      </c>
      <c r="AI26" s="228" t="s">
        <v>4344</v>
      </c>
      <c r="AJ26" s="224" t="s">
        <v>4441</v>
      </c>
      <c r="AK26" s="229">
        <v>115569861</v>
      </c>
      <c r="AL26" s="222" t="s">
        <v>4442</v>
      </c>
      <c r="AM26" s="222" t="s">
        <v>4442</v>
      </c>
      <c r="AN26" s="221" t="s">
        <v>4443</v>
      </c>
      <c r="AO26" s="221"/>
      <c r="AP26" s="132" t="s">
        <v>4505</v>
      </c>
      <c r="AQ26" s="221" t="s">
        <v>4442</v>
      </c>
      <c r="AR26" s="221" t="s">
        <v>4442</v>
      </c>
      <c r="AS26" s="221" t="s">
        <v>4442</v>
      </c>
      <c r="AT26" s="221" t="s">
        <v>4442</v>
      </c>
      <c r="AU26" s="226">
        <v>45775</v>
      </c>
      <c r="AV26" s="221" t="s">
        <v>4442</v>
      </c>
      <c r="AW26" s="221" t="s">
        <v>4442</v>
      </c>
      <c r="AX26" s="226">
        <v>45784</v>
      </c>
      <c r="AY26" s="226">
        <v>45784</v>
      </c>
      <c r="AZ26" s="221" t="s">
        <v>4500</v>
      </c>
      <c r="BA26" s="221" t="s">
        <v>4445</v>
      </c>
      <c r="BB26" s="221" t="s">
        <v>4442</v>
      </c>
      <c r="BC26" s="231">
        <f t="shared" si="0"/>
        <v>94</v>
      </c>
      <c r="BD26" s="222" t="str">
        <f t="shared" si="1"/>
        <v>INDENIZAÇÃO</v>
      </c>
      <c r="BE26" s="222" t="str">
        <f t="shared" si="2"/>
        <v>NÃO</v>
      </c>
      <c r="BF26" s="222" t="s">
        <v>4361</v>
      </c>
      <c r="BG26" s="222" t="s">
        <v>4361</v>
      </c>
      <c r="BH26" s="222" t="s">
        <v>4361</v>
      </c>
      <c r="BI26" s="141" t="s">
        <v>4442</v>
      </c>
      <c r="BJ26" s="141" t="s">
        <v>4442</v>
      </c>
      <c r="BK26" s="136">
        <v>45860</v>
      </c>
      <c r="BL26" s="141" t="s">
        <v>4442</v>
      </c>
      <c r="BM26" s="135" t="s">
        <v>4370</v>
      </c>
      <c r="BN26" s="182"/>
      <c r="CI26" s="182"/>
    </row>
    <row r="27" spans="1:87" s="141" customFormat="1" ht="30" hidden="1" customHeight="1">
      <c r="A27" s="131">
        <v>13</v>
      </c>
      <c r="B27" s="131" t="s">
        <v>4432</v>
      </c>
      <c r="C27" s="131">
        <v>1</v>
      </c>
      <c r="D27" s="131" t="s">
        <v>4433</v>
      </c>
      <c r="E27" s="131" t="s">
        <v>4433</v>
      </c>
      <c r="F27" s="210" t="s">
        <v>4506</v>
      </c>
      <c r="G27" s="131" t="s">
        <v>4339</v>
      </c>
      <c r="H27" s="131" t="s">
        <v>4340</v>
      </c>
      <c r="I27" s="131" t="s">
        <v>4350</v>
      </c>
      <c r="J27" s="138" t="s">
        <v>4507</v>
      </c>
      <c r="K27" s="132" t="s">
        <v>4508</v>
      </c>
      <c r="L27" s="132" t="s">
        <v>4509</v>
      </c>
      <c r="M27" s="131" t="s">
        <v>4342</v>
      </c>
      <c r="N27" s="131" t="s">
        <v>4343</v>
      </c>
      <c r="O27" s="199">
        <v>45831</v>
      </c>
      <c r="P27" s="136" t="s">
        <v>4361</v>
      </c>
      <c r="Q27" s="136" t="s">
        <v>4361</v>
      </c>
      <c r="R27" s="136" t="s">
        <v>4361</v>
      </c>
      <c r="S27" s="136" t="s">
        <v>4361</v>
      </c>
      <c r="T27" s="136" t="s">
        <v>4361</v>
      </c>
      <c r="U27" s="136" t="s">
        <v>4361</v>
      </c>
      <c r="V27" s="136" t="s">
        <v>4361</v>
      </c>
      <c r="W27" s="136" t="s">
        <v>4361</v>
      </c>
      <c r="X27" s="136" t="s">
        <v>4361</v>
      </c>
      <c r="Y27" s="136" t="s">
        <v>4361</v>
      </c>
      <c r="Z27" s="136" t="s">
        <v>4361</v>
      </c>
      <c r="AB27" s="138" t="s">
        <v>4507</v>
      </c>
      <c r="AC27" s="132" t="s">
        <v>4508</v>
      </c>
      <c r="AD27" s="132" t="s">
        <v>4509</v>
      </c>
      <c r="AE27" s="131" t="s">
        <v>4350</v>
      </c>
      <c r="AF27" s="131" t="s">
        <v>4342</v>
      </c>
      <c r="AG27" s="196">
        <v>12232.57</v>
      </c>
      <c r="AH27" s="196">
        <v>42232.57</v>
      </c>
      <c r="AI27" s="131" t="s">
        <v>4344</v>
      </c>
      <c r="AJ27" s="132" t="s">
        <v>4441</v>
      </c>
      <c r="AK27" s="131">
        <v>114907174</v>
      </c>
      <c r="AL27" s="131" t="s">
        <v>4442</v>
      </c>
      <c r="AM27" s="131" t="s">
        <v>4442</v>
      </c>
      <c r="AN27" s="141" t="s">
        <v>4443</v>
      </c>
      <c r="AP27" s="132" t="s">
        <v>4510</v>
      </c>
      <c r="AQ27" s="141" t="s">
        <v>4442</v>
      </c>
      <c r="AR27" s="141" t="s">
        <v>4442</v>
      </c>
      <c r="AS27" s="141" t="s">
        <v>4442</v>
      </c>
      <c r="AT27" s="141" t="s">
        <v>4442</v>
      </c>
      <c r="AU27" s="152">
        <v>45869</v>
      </c>
      <c r="AV27" s="141" t="s">
        <v>4442</v>
      </c>
      <c r="AW27" s="141" t="s">
        <v>4442</v>
      </c>
      <c r="AX27" s="152">
        <v>45877</v>
      </c>
      <c r="AY27" s="134">
        <v>45877</v>
      </c>
      <c r="AZ27" s="137" t="s">
        <v>4370</v>
      </c>
      <c r="BA27" s="137" t="s">
        <v>4445</v>
      </c>
      <c r="BB27" s="141" t="s">
        <v>4442</v>
      </c>
      <c r="BC27" s="197">
        <f t="shared" si="0"/>
        <v>46</v>
      </c>
      <c r="BD27" s="131" t="str">
        <f t="shared" si="1"/>
        <v>INDENIZAÇÃO</v>
      </c>
      <c r="BE27" s="131" t="str">
        <f t="shared" si="2"/>
        <v>NÃO</v>
      </c>
      <c r="BF27" s="131" t="s">
        <v>4361</v>
      </c>
      <c r="BG27" s="131" t="s">
        <v>4361</v>
      </c>
      <c r="BH27" s="131" t="s">
        <v>4361</v>
      </c>
      <c r="BI27" s="141" t="s">
        <v>4442</v>
      </c>
      <c r="BJ27" s="141" t="s">
        <v>4442</v>
      </c>
      <c r="BK27" s="152">
        <v>45908</v>
      </c>
      <c r="BL27" s="141" t="s">
        <v>4442</v>
      </c>
      <c r="BM27" s="135" t="s">
        <v>4370</v>
      </c>
      <c r="BN27" s="182"/>
      <c r="CI27" s="182"/>
    </row>
    <row r="28" spans="1:87" s="141" customFormat="1" ht="30" hidden="1" customHeight="1">
      <c r="A28" s="131">
        <v>14</v>
      </c>
      <c r="B28" s="131" t="s">
        <v>4432</v>
      </c>
      <c r="C28" s="131">
        <v>1</v>
      </c>
      <c r="D28" s="131" t="s">
        <v>4433</v>
      </c>
      <c r="E28" s="131" t="s">
        <v>4433</v>
      </c>
      <c r="F28" s="210" t="s">
        <v>4511</v>
      </c>
      <c r="G28" s="131" t="s">
        <v>4339</v>
      </c>
      <c r="H28" s="131" t="s">
        <v>4340</v>
      </c>
      <c r="I28" s="131" t="s">
        <v>4350</v>
      </c>
      <c r="J28" s="132" t="s">
        <v>4512</v>
      </c>
      <c r="K28" s="132" t="s">
        <v>4513</v>
      </c>
      <c r="L28" s="132" t="s">
        <v>4514</v>
      </c>
      <c r="M28" s="131" t="s">
        <v>4342</v>
      </c>
      <c r="N28" s="131" t="s">
        <v>4343</v>
      </c>
      <c r="O28" s="199">
        <v>45792</v>
      </c>
      <c r="P28" s="136" t="s">
        <v>4361</v>
      </c>
      <c r="Q28" s="136" t="s">
        <v>4361</v>
      </c>
      <c r="R28" s="136" t="s">
        <v>4361</v>
      </c>
      <c r="S28" s="136" t="s">
        <v>4361</v>
      </c>
      <c r="T28" s="136" t="s">
        <v>4361</v>
      </c>
      <c r="U28" s="136" t="s">
        <v>4361</v>
      </c>
      <c r="V28" s="136" t="s">
        <v>4361</v>
      </c>
      <c r="W28" s="136" t="s">
        <v>4361</v>
      </c>
      <c r="X28" s="136" t="s">
        <v>4361</v>
      </c>
      <c r="Y28" s="136" t="s">
        <v>4361</v>
      </c>
      <c r="Z28" s="136" t="s">
        <v>4361</v>
      </c>
      <c r="AB28" s="132" t="s">
        <v>4515</v>
      </c>
      <c r="AC28" s="132" t="s">
        <v>4513</v>
      </c>
      <c r="AD28" s="132" t="s">
        <v>4514</v>
      </c>
      <c r="AE28" s="131" t="s">
        <v>4350</v>
      </c>
      <c r="AF28" s="141" t="s">
        <v>4342</v>
      </c>
      <c r="AG28" s="196">
        <v>78731.679999999993</v>
      </c>
      <c r="AH28" s="196">
        <v>78731.679999999993</v>
      </c>
      <c r="AI28" s="131" t="s">
        <v>4344</v>
      </c>
      <c r="AJ28" s="132" t="s">
        <v>4441</v>
      </c>
      <c r="AK28" s="131">
        <v>114907251</v>
      </c>
      <c r="AL28" s="131" t="s">
        <v>4442</v>
      </c>
      <c r="AM28" s="131" t="s">
        <v>4442</v>
      </c>
      <c r="AN28" s="141" t="s">
        <v>4443</v>
      </c>
      <c r="AO28" s="201"/>
      <c r="AP28" s="132" t="s">
        <v>4516</v>
      </c>
      <c r="AQ28" s="141" t="s">
        <v>4442</v>
      </c>
      <c r="AR28" s="141" t="s">
        <v>4442</v>
      </c>
      <c r="AS28" s="131" t="s">
        <v>4442</v>
      </c>
      <c r="AT28" s="131" t="s">
        <v>4442</v>
      </c>
      <c r="AU28" s="152">
        <v>45867</v>
      </c>
      <c r="AV28" s="131" t="s">
        <v>4442</v>
      </c>
      <c r="AW28" s="131" t="s">
        <v>4442</v>
      </c>
      <c r="AX28" s="152">
        <v>45873</v>
      </c>
      <c r="AY28" s="134">
        <v>45873</v>
      </c>
      <c r="AZ28" s="137" t="s">
        <v>4370</v>
      </c>
      <c r="BA28" s="137" t="s">
        <v>4445</v>
      </c>
      <c r="BB28" s="141" t="s">
        <v>4442</v>
      </c>
      <c r="BC28" s="197">
        <f t="shared" si="0"/>
        <v>81</v>
      </c>
      <c r="BD28" s="131" t="str">
        <f t="shared" si="1"/>
        <v>INDENIZAÇÃO</v>
      </c>
      <c r="BE28" s="131" t="str">
        <f t="shared" si="2"/>
        <v>NÃO</v>
      </c>
      <c r="BF28" s="131" t="s">
        <v>4361</v>
      </c>
      <c r="BG28" s="131" t="s">
        <v>4361</v>
      </c>
      <c r="BH28" s="131" t="s">
        <v>4361</v>
      </c>
      <c r="BI28" s="141" t="s">
        <v>4442</v>
      </c>
      <c r="BJ28" s="141" t="s">
        <v>4442</v>
      </c>
      <c r="BK28" s="152">
        <v>45908</v>
      </c>
      <c r="BL28" s="141" t="s">
        <v>4442</v>
      </c>
      <c r="BM28" s="135" t="s">
        <v>4370</v>
      </c>
      <c r="BN28" s="182"/>
      <c r="CI28" s="182"/>
    </row>
    <row r="29" spans="1:87" s="141" customFormat="1" ht="30" hidden="1" customHeight="1">
      <c r="A29" s="131">
        <v>15</v>
      </c>
      <c r="B29" s="131" t="s">
        <v>4432</v>
      </c>
      <c r="C29" s="131">
        <v>1</v>
      </c>
      <c r="D29" s="131" t="s">
        <v>4433</v>
      </c>
      <c r="E29" s="131" t="s">
        <v>4433</v>
      </c>
      <c r="F29" s="210" t="s">
        <v>4517</v>
      </c>
      <c r="G29" s="131" t="s">
        <v>4339</v>
      </c>
      <c r="H29" s="131" t="s">
        <v>4340</v>
      </c>
      <c r="I29" s="131" t="s">
        <v>4350</v>
      </c>
      <c r="J29" s="132" t="s">
        <v>4518</v>
      </c>
      <c r="K29" s="132" t="s">
        <v>4519</v>
      </c>
      <c r="L29" s="132" t="s">
        <v>4520</v>
      </c>
      <c r="M29" s="131" t="s">
        <v>4342</v>
      </c>
      <c r="N29" s="131" t="s">
        <v>4343</v>
      </c>
      <c r="O29" s="199">
        <v>45819</v>
      </c>
      <c r="P29" s="136" t="s">
        <v>4361</v>
      </c>
      <c r="Q29" s="136" t="s">
        <v>4361</v>
      </c>
      <c r="R29" s="136" t="s">
        <v>4361</v>
      </c>
      <c r="S29" s="136" t="s">
        <v>4361</v>
      </c>
      <c r="T29" s="136" t="s">
        <v>4361</v>
      </c>
      <c r="U29" s="136" t="s">
        <v>4361</v>
      </c>
      <c r="V29" s="136" t="s">
        <v>4361</v>
      </c>
      <c r="W29" s="136" t="s">
        <v>4361</v>
      </c>
      <c r="X29" s="136" t="s">
        <v>4361</v>
      </c>
      <c r="Y29" s="136" t="s">
        <v>4361</v>
      </c>
      <c r="Z29" s="136" t="s">
        <v>4361</v>
      </c>
      <c r="AB29" s="132" t="s">
        <v>4521</v>
      </c>
      <c r="AC29" s="132" t="s">
        <v>4522</v>
      </c>
      <c r="AD29" s="132" t="s">
        <v>4520</v>
      </c>
      <c r="AE29" s="131" t="s">
        <v>4350</v>
      </c>
      <c r="AF29" s="141" t="s">
        <v>4342</v>
      </c>
      <c r="AG29" s="196">
        <v>102960.23</v>
      </c>
      <c r="AH29" s="196">
        <v>102960.23</v>
      </c>
      <c r="AI29" s="131" t="s">
        <v>4344</v>
      </c>
      <c r="AJ29" s="132" t="s">
        <v>4441</v>
      </c>
      <c r="AK29" s="131">
        <v>127123846</v>
      </c>
      <c r="AL29" s="131" t="s">
        <v>4442</v>
      </c>
      <c r="AM29" s="131" t="s">
        <v>4442</v>
      </c>
      <c r="AN29" s="141" t="s">
        <v>4443</v>
      </c>
      <c r="AO29" s="141" t="s">
        <v>4523</v>
      </c>
      <c r="AP29" s="132" t="s">
        <v>4524</v>
      </c>
      <c r="AQ29" s="141" t="s">
        <v>4442</v>
      </c>
      <c r="AR29" s="141" t="s">
        <v>4442</v>
      </c>
      <c r="AS29" s="141" t="s">
        <v>4442</v>
      </c>
      <c r="AT29" s="141" t="s">
        <v>4442</v>
      </c>
      <c r="AU29" s="136">
        <v>45894</v>
      </c>
      <c r="AV29" s="141" t="s">
        <v>4442</v>
      </c>
      <c r="AW29" s="141" t="s">
        <v>4442</v>
      </c>
      <c r="AX29" s="136">
        <v>45901</v>
      </c>
      <c r="AY29" s="226">
        <v>45901</v>
      </c>
      <c r="AZ29" s="137" t="s">
        <v>4370</v>
      </c>
      <c r="BA29" s="137" t="s">
        <v>4445</v>
      </c>
      <c r="BB29" s="141" t="s">
        <v>4442</v>
      </c>
      <c r="BC29" s="197">
        <f t="shared" si="0"/>
        <v>82</v>
      </c>
      <c r="BD29" s="131" t="str">
        <f t="shared" si="1"/>
        <v>INDENIZAÇÃO</v>
      </c>
      <c r="BE29" s="131" t="str">
        <f t="shared" si="2"/>
        <v>NÃO</v>
      </c>
      <c r="BF29" s="131" t="s">
        <v>4361</v>
      </c>
      <c r="BG29" s="131" t="s">
        <v>4361</v>
      </c>
      <c r="BH29" s="131" t="s">
        <v>4361</v>
      </c>
      <c r="BI29" s="141" t="s">
        <v>4442</v>
      </c>
      <c r="BJ29" s="141" t="s">
        <v>4442</v>
      </c>
      <c r="BK29" s="136">
        <v>45937</v>
      </c>
      <c r="BL29" s="135" t="s">
        <v>4452</v>
      </c>
      <c r="BM29" s="135"/>
      <c r="BN29" s="182"/>
      <c r="CI29" s="182"/>
    </row>
    <row r="30" spans="1:87" s="141" customFormat="1" ht="30" hidden="1" customHeight="1">
      <c r="A30" s="131">
        <v>16</v>
      </c>
      <c r="B30" s="131" t="s">
        <v>4432</v>
      </c>
      <c r="C30" s="131">
        <v>1</v>
      </c>
      <c r="D30" s="131" t="s">
        <v>4433</v>
      </c>
      <c r="E30" s="131" t="s">
        <v>4433</v>
      </c>
      <c r="F30" s="210" t="s">
        <v>4525</v>
      </c>
      <c r="G30" s="131" t="s">
        <v>4339</v>
      </c>
      <c r="H30" s="131" t="s">
        <v>4340</v>
      </c>
      <c r="I30" s="131" t="s">
        <v>4350</v>
      </c>
      <c r="J30" s="138" t="s">
        <v>4526</v>
      </c>
      <c r="K30" s="132" t="s">
        <v>4527</v>
      </c>
      <c r="L30" s="132" t="s">
        <v>4528</v>
      </c>
      <c r="M30" s="131" t="s">
        <v>4342</v>
      </c>
      <c r="N30" s="131" t="s">
        <v>4343</v>
      </c>
      <c r="O30" s="199">
        <v>45863</v>
      </c>
      <c r="P30" s="136" t="s">
        <v>4361</v>
      </c>
      <c r="Q30" s="136" t="s">
        <v>4361</v>
      </c>
      <c r="R30" s="136" t="s">
        <v>4361</v>
      </c>
      <c r="S30" s="136" t="s">
        <v>4361</v>
      </c>
      <c r="T30" s="136" t="s">
        <v>4361</v>
      </c>
      <c r="U30" s="136" t="s">
        <v>4361</v>
      </c>
      <c r="V30" s="136" t="s">
        <v>4361</v>
      </c>
      <c r="W30" s="136" t="s">
        <v>4361</v>
      </c>
      <c r="X30" s="136" t="s">
        <v>4361</v>
      </c>
      <c r="Y30" s="136" t="s">
        <v>4361</v>
      </c>
      <c r="Z30" s="136" t="s">
        <v>4361</v>
      </c>
      <c r="AB30" s="138" t="s">
        <v>4526</v>
      </c>
      <c r="AC30" s="132" t="s">
        <v>4527</v>
      </c>
      <c r="AD30" s="132" t="s">
        <v>4528</v>
      </c>
      <c r="AE30" s="131" t="s">
        <v>4350</v>
      </c>
      <c r="AF30" s="141" t="s">
        <v>4342</v>
      </c>
      <c r="AG30" s="196">
        <v>71488.61</v>
      </c>
      <c r="AH30" s="196">
        <v>71488.61</v>
      </c>
      <c r="AI30" s="131" t="s">
        <v>4344</v>
      </c>
      <c r="AJ30" s="132" t="s">
        <v>4441</v>
      </c>
      <c r="AK30" s="141">
        <v>129495631</v>
      </c>
      <c r="AL30" s="131" t="s">
        <v>4442</v>
      </c>
      <c r="AM30" s="131" t="s">
        <v>4442</v>
      </c>
      <c r="AN30" s="141" t="s">
        <v>4443</v>
      </c>
      <c r="AP30" s="132" t="s">
        <v>4529</v>
      </c>
      <c r="AQ30" s="141" t="s">
        <v>4442</v>
      </c>
      <c r="AR30" s="141" t="s">
        <v>4442</v>
      </c>
      <c r="AS30" s="141" t="s">
        <v>4442</v>
      </c>
      <c r="AT30" s="141" t="s">
        <v>4442</v>
      </c>
      <c r="AU30" s="136">
        <v>45894</v>
      </c>
      <c r="AV30" s="141" t="s">
        <v>4442</v>
      </c>
      <c r="AW30" s="141" t="s">
        <v>4442</v>
      </c>
      <c r="AX30" s="136">
        <v>45916</v>
      </c>
      <c r="AY30" s="226">
        <v>45916</v>
      </c>
      <c r="AZ30" s="137" t="s">
        <v>4370</v>
      </c>
      <c r="BA30" s="137" t="s">
        <v>4445</v>
      </c>
      <c r="BB30" s="141" t="s">
        <v>4442</v>
      </c>
      <c r="BC30" s="197">
        <f t="shared" si="0"/>
        <v>53</v>
      </c>
      <c r="BD30" s="131" t="str">
        <f t="shared" si="1"/>
        <v>INDENIZAÇÃO</v>
      </c>
      <c r="BE30" s="131" t="str">
        <f t="shared" si="2"/>
        <v>NÃO</v>
      </c>
      <c r="BF30" s="131" t="s">
        <v>4361</v>
      </c>
      <c r="BG30" s="131" t="s">
        <v>4361</v>
      </c>
      <c r="BH30" s="131" t="s">
        <v>4361</v>
      </c>
      <c r="BI30" s="135" t="s">
        <v>4446</v>
      </c>
      <c r="BJ30" s="137"/>
      <c r="BK30" s="137"/>
      <c r="BL30" s="137"/>
      <c r="BM30" s="137"/>
      <c r="BN30" s="182"/>
      <c r="CI30" s="182"/>
    </row>
    <row r="31" spans="1:87" s="141" customFormat="1" ht="30" hidden="1" customHeight="1">
      <c r="A31" s="131">
        <v>17</v>
      </c>
      <c r="B31" s="131" t="s">
        <v>4432</v>
      </c>
      <c r="C31" s="131">
        <v>1</v>
      </c>
      <c r="D31" s="131" t="s">
        <v>4433</v>
      </c>
      <c r="E31" s="131" t="s">
        <v>4433</v>
      </c>
      <c r="F31" s="210" t="s">
        <v>4530</v>
      </c>
      <c r="G31" s="131" t="s">
        <v>4339</v>
      </c>
      <c r="H31" s="131" t="s">
        <v>4340</v>
      </c>
      <c r="I31" s="131" t="s">
        <v>4350</v>
      </c>
      <c r="J31" s="132" t="s">
        <v>4531</v>
      </c>
      <c r="K31" s="132" t="s">
        <v>4532</v>
      </c>
      <c r="L31" s="132" t="s">
        <v>4533</v>
      </c>
      <c r="M31" s="131" t="s">
        <v>4342</v>
      </c>
      <c r="N31" s="131" t="s">
        <v>4343</v>
      </c>
      <c r="O31" s="199">
        <v>46092</v>
      </c>
      <c r="P31" s="136" t="s">
        <v>4361</v>
      </c>
      <c r="Q31" s="136" t="s">
        <v>4361</v>
      </c>
      <c r="R31" s="136" t="s">
        <v>4361</v>
      </c>
      <c r="S31" s="136" t="s">
        <v>4361</v>
      </c>
      <c r="T31" s="136" t="s">
        <v>4361</v>
      </c>
      <c r="U31" s="136" t="s">
        <v>4361</v>
      </c>
      <c r="V31" s="136" t="s">
        <v>4361</v>
      </c>
      <c r="W31" s="136" t="s">
        <v>4361</v>
      </c>
      <c r="X31" s="136" t="s">
        <v>4361</v>
      </c>
      <c r="Y31" s="136" t="s">
        <v>4361</v>
      </c>
      <c r="Z31" s="136" t="s">
        <v>4361</v>
      </c>
      <c r="AB31" s="132" t="s">
        <v>4531</v>
      </c>
      <c r="AC31" s="132" t="s">
        <v>4532</v>
      </c>
      <c r="AD31" s="132" t="s">
        <v>4533</v>
      </c>
      <c r="AE31" s="131" t="s">
        <v>4350</v>
      </c>
      <c r="AF31" s="141" t="s">
        <v>4534</v>
      </c>
      <c r="AG31" s="196">
        <v>63637.87</v>
      </c>
      <c r="AH31" s="196">
        <v>63637.87</v>
      </c>
      <c r="AI31" s="131" t="s">
        <v>4344</v>
      </c>
      <c r="AJ31" s="132" t="s">
        <v>4441</v>
      </c>
      <c r="AK31" s="141">
        <v>125508978</v>
      </c>
      <c r="AL31" s="131" t="s">
        <v>4442</v>
      </c>
      <c r="AM31" s="141" t="s">
        <v>4442</v>
      </c>
      <c r="AN31" s="141" t="s">
        <v>4443</v>
      </c>
      <c r="AP31" s="257" t="s">
        <v>4535</v>
      </c>
      <c r="AQ31" s="141" t="s">
        <v>4442</v>
      </c>
      <c r="AR31" s="141" t="s">
        <v>4442</v>
      </c>
      <c r="AS31" s="141" t="s">
        <v>4442</v>
      </c>
      <c r="AT31" s="141" t="s">
        <v>4442</v>
      </c>
      <c r="AU31" s="199">
        <v>46191</v>
      </c>
      <c r="AV31" s="141" t="s">
        <v>4442</v>
      </c>
      <c r="AW31" s="141" t="s">
        <v>4442</v>
      </c>
      <c r="AX31" s="199">
        <v>46218</v>
      </c>
      <c r="AY31" s="263">
        <v>46218</v>
      </c>
      <c r="AZ31" s="137" t="s">
        <v>4370</v>
      </c>
      <c r="BA31" s="137" t="s">
        <v>4445</v>
      </c>
      <c r="BB31" s="141" t="s">
        <v>4442</v>
      </c>
      <c r="BC31" s="197">
        <f t="shared" ref="BC31:BC94" si="3">IF(AY31-KD31=0,"",AY31-O31)</f>
        <v>126</v>
      </c>
      <c r="BD31" s="131" t="str">
        <f t="shared" ref="BD31:BD94" si="4">IF(AND(AI31&lt;&gt;"SIM",AI31="UH"),"AA","INDENIZAÇÃO")</f>
        <v>INDENIZAÇÃO</v>
      </c>
      <c r="BE31" s="131" t="str">
        <f t="shared" ref="BE31:BE94" si="5">IF(AND(AY31&lt;&gt;"AGUARDANDO",AY31&lt;&gt;"",N31="AUXÍLIO ALUGUEL ATÉ INDENIZAÇÃO"),"SIM","NÃO")</f>
        <v>NÃO</v>
      </c>
      <c r="BF31" s="131" t="s">
        <v>4361</v>
      </c>
      <c r="BG31" s="131" t="s">
        <v>4361</v>
      </c>
      <c r="BH31" s="131" t="s">
        <v>4361</v>
      </c>
      <c r="BI31" s="137" t="s">
        <v>4446</v>
      </c>
      <c r="BJ31" s="137"/>
      <c r="BK31" s="137"/>
      <c r="BL31" s="137"/>
      <c r="BM31" s="137"/>
      <c r="BN31" s="182"/>
      <c r="CI31" s="182"/>
    </row>
    <row r="32" spans="1:87" s="141" customFormat="1" ht="30" hidden="1" customHeight="1">
      <c r="A32" s="131">
        <v>18</v>
      </c>
      <c r="B32" s="222" t="s">
        <v>4432</v>
      </c>
      <c r="C32" s="222">
        <v>1</v>
      </c>
      <c r="D32" s="222" t="s">
        <v>4433</v>
      </c>
      <c r="E32" s="222" t="s">
        <v>4433</v>
      </c>
      <c r="F32" s="223" t="s">
        <v>4536</v>
      </c>
      <c r="G32" s="222" t="s">
        <v>4339</v>
      </c>
      <c r="H32" s="222" t="s">
        <v>4340</v>
      </c>
      <c r="I32" s="222" t="s">
        <v>4350</v>
      </c>
      <c r="J32" s="224" t="s">
        <v>4537</v>
      </c>
      <c r="K32" s="224" t="s">
        <v>4538</v>
      </c>
      <c r="L32" s="224" t="s">
        <v>4539</v>
      </c>
      <c r="M32" s="222" t="s">
        <v>4342</v>
      </c>
      <c r="N32" s="222" t="s">
        <v>4343</v>
      </c>
      <c r="O32" s="225">
        <v>45628</v>
      </c>
      <c r="P32" s="226" t="s">
        <v>4361</v>
      </c>
      <c r="Q32" s="226" t="s">
        <v>4361</v>
      </c>
      <c r="R32" s="226" t="s">
        <v>4361</v>
      </c>
      <c r="S32" s="226" t="s">
        <v>4361</v>
      </c>
      <c r="T32" s="226" t="s">
        <v>4361</v>
      </c>
      <c r="U32" s="226" t="s">
        <v>4361</v>
      </c>
      <c r="V32" s="226" t="s">
        <v>4361</v>
      </c>
      <c r="W32" s="226" t="s">
        <v>4361</v>
      </c>
      <c r="X32" s="226" t="s">
        <v>4361</v>
      </c>
      <c r="Y32" s="226" t="s">
        <v>4361</v>
      </c>
      <c r="Z32" s="226" t="s">
        <v>4361</v>
      </c>
      <c r="AA32" s="221"/>
      <c r="AB32" s="224" t="s">
        <v>4540</v>
      </c>
      <c r="AC32" s="224" t="s">
        <v>4538</v>
      </c>
      <c r="AD32" s="224" t="s">
        <v>4539</v>
      </c>
      <c r="AE32" s="233" t="s">
        <v>4350</v>
      </c>
      <c r="AF32" s="222" t="s">
        <v>4342</v>
      </c>
      <c r="AG32" s="227">
        <v>51103.48</v>
      </c>
      <c r="AH32" s="227">
        <v>60000</v>
      </c>
      <c r="AI32" s="228" t="s">
        <v>4344</v>
      </c>
      <c r="AJ32" s="224" t="s">
        <v>4441</v>
      </c>
      <c r="AK32" s="229">
        <v>114907322</v>
      </c>
      <c r="AL32" s="222" t="s">
        <v>4442</v>
      </c>
      <c r="AM32" s="222" t="s">
        <v>4442</v>
      </c>
      <c r="AN32" s="221" t="s">
        <v>4443</v>
      </c>
      <c r="AO32" s="234" t="s">
        <v>4541</v>
      </c>
      <c r="AP32" s="132" t="s">
        <v>4542</v>
      </c>
      <c r="AQ32" s="221" t="s">
        <v>4442</v>
      </c>
      <c r="AR32" s="221" t="s">
        <v>4442</v>
      </c>
      <c r="AS32" s="221" t="s">
        <v>4442</v>
      </c>
      <c r="AT32" s="221" t="s">
        <v>4442</v>
      </c>
      <c r="AU32" s="225">
        <v>45814</v>
      </c>
      <c r="AV32" s="221" t="s">
        <v>4442</v>
      </c>
      <c r="AW32" s="221" t="s">
        <v>4442</v>
      </c>
      <c r="AX32" s="230">
        <v>45831</v>
      </c>
      <c r="AY32" s="232">
        <v>45831</v>
      </c>
      <c r="AZ32" s="221" t="s">
        <v>4500</v>
      </c>
      <c r="BA32" s="221" t="s">
        <v>4445</v>
      </c>
      <c r="BB32" s="221" t="s">
        <v>4442</v>
      </c>
      <c r="BC32" s="231">
        <f t="shared" si="3"/>
        <v>203</v>
      </c>
      <c r="BD32" s="222" t="str">
        <f t="shared" si="4"/>
        <v>INDENIZAÇÃO</v>
      </c>
      <c r="BE32" s="222" t="str">
        <f t="shared" si="5"/>
        <v>NÃO</v>
      </c>
      <c r="BF32" s="222" t="s">
        <v>4361</v>
      </c>
      <c r="BG32" s="222" t="s">
        <v>4361</v>
      </c>
      <c r="BH32" s="222" t="s">
        <v>4361</v>
      </c>
      <c r="BI32" s="141" t="s">
        <v>4442</v>
      </c>
      <c r="BJ32" s="141" t="s">
        <v>4442</v>
      </c>
      <c r="BK32" s="136">
        <v>45860</v>
      </c>
      <c r="BL32" s="141" t="s">
        <v>4442</v>
      </c>
      <c r="BM32" s="135" t="s">
        <v>4370</v>
      </c>
      <c r="BN32" s="182"/>
      <c r="CI32" s="182"/>
    </row>
    <row r="33" spans="1:87" s="141" customFormat="1" ht="30" hidden="1" customHeight="1">
      <c r="A33" s="131">
        <v>19</v>
      </c>
      <c r="B33" s="131" t="s">
        <v>4432</v>
      </c>
      <c r="C33" s="131">
        <v>1</v>
      </c>
      <c r="D33" s="131" t="s">
        <v>4433</v>
      </c>
      <c r="E33" s="131" t="s">
        <v>4433</v>
      </c>
      <c r="F33" s="210" t="s">
        <v>4543</v>
      </c>
      <c r="G33" s="131" t="s">
        <v>4339</v>
      </c>
      <c r="H33" s="131" t="s">
        <v>4340</v>
      </c>
      <c r="I33" s="131" t="s">
        <v>4350</v>
      </c>
      <c r="J33" s="132" t="s">
        <v>4544</v>
      </c>
      <c r="K33" s="132" t="s">
        <v>4545</v>
      </c>
      <c r="L33" s="132" t="s">
        <v>4546</v>
      </c>
      <c r="M33" s="131" t="s">
        <v>4342</v>
      </c>
      <c r="N33" s="131" t="s">
        <v>4343</v>
      </c>
      <c r="O33" s="199">
        <v>45628</v>
      </c>
      <c r="P33" s="136" t="s">
        <v>4361</v>
      </c>
      <c r="Q33" s="136" t="s">
        <v>4361</v>
      </c>
      <c r="R33" s="136" t="s">
        <v>4361</v>
      </c>
      <c r="S33" s="136" t="s">
        <v>4361</v>
      </c>
      <c r="T33" s="136" t="s">
        <v>4361</v>
      </c>
      <c r="U33" s="136" t="s">
        <v>4361</v>
      </c>
      <c r="V33" s="136" t="s">
        <v>4361</v>
      </c>
      <c r="W33" s="136" t="s">
        <v>4361</v>
      </c>
      <c r="X33" s="136" t="s">
        <v>4361</v>
      </c>
      <c r="Y33" s="136" t="s">
        <v>4361</v>
      </c>
      <c r="Z33" s="136" t="s">
        <v>4361</v>
      </c>
      <c r="AB33" s="132" t="s">
        <v>4547</v>
      </c>
      <c r="AC33" s="132" t="s">
        <v>4545</v>
      </c>
      <c r="AD33" s="132" t="s">
        <v>4546</v>
      </c>
      <c r="AE33" s="131" t="s">
        <v>4350</v>
      </c>
      <c r="AF33" s="141" t="s">
        <v>4342</v>
      </c>
      <c r="AG33" s="196">
        <v>33800.730000000003</v>
      </c>
      <c r="AH33" s="196">
        <v>60000</v>
      </c>
      <c r="AI33" s="216" t="s">
        <v>4344</v>
      </c>
      <c r="AJ33" s="132" t="s">
        <v>4441</v>
      </c>
      <c r="AK33" s="191">
        <v>114907390</v>
      </c>
      <c r="AL33" s="131" t="s">
        <v>4442</v>
      </c>
      <c r="AM33" s="131" t="s">
        <v>4442</v>
      </c>
      <c r="AN33" s="141" t="s">
        <v>4443</v>
      </c>
      <c r="AP33" s="132" t="s">
        <v>4548</v>
      </c>
      <c r="AQ33" s="141" t="s">
        <v>4442</v>
      </c>
      <c r="AR33" s="141" t="s">
        <v>4442</v>
      </c>
      <c r="AS33" s="141" t="s">
        <v>4442</v>
      </c>
      <c r="AT33" s="141" t="s">
        <v>4442</v>
      </c>
      <c r="AU33" s="136">
        <v>45775</v>
      </c>
      <c r="AV33" s="141" t="s">
        <v>4442</v>
      </c>
      <c r="AW33" s="141" t="s">
        <v>4442</v>
      </c>
      <c r="AX33" s="136">
        <v>45784</v>
      </c>
      <c r="AY33" s="220">
        <v>45784</v>
      </c>
      <c r="AZ33" s="137" t="s">
        <v>4370</v>
      </c>
      <c r="BA33" s="137" t="s">
        <v>4445</v>
      </c>
      <c r="BB33" s="141" t="s">
        <v>4442</v>
      </c>
      <c r="BC33" s="197">
        <f t="shared" si="3"/>
        <v>156</v>
      </c>
      <c r="BD33" s="131" t="str">
        <f t="shared" si="4"/>
        <v>INDENIZAÇÃO</v>
      </c>
      <c r="BE33" s="131" t="str">
        <f t="shared" si="5"/>
        <v>NÃO</v>
      </c>
      <c r="BF33" s="131" t="s">
        <v>4361</v>
      </c>
      <c r="BG33" s="131" t="s">
        <v>4361</v>
      </c>
      <c r="BH33" s="131" t="s">
        <v>4361</v>
      </c>
      <c r="BI33" s="141" t="s">
        <v>4442</v>
      </c>
      <c r="BJ33" s="141" t="s">
        <v>4442</v>
      </c>
      <c r="BK33" s="136">
        <v>45860</v>
      </c>
      <c r="BL33" s="141" t="s">
        <v>4442</v>
      </c>
      <c r="BM33" s="135" t="s">
        <v>4370</v>
      </c>
      <c r="BN33" s="182"/>
      <c r="CI33" s="182"/>
    </row>
    <row r="34" spans="1:87" s="141" customFormat="1" ht="35.25" hidden="1" customHeight="1">
      <c r="A34" s="131">
        <v>20</v>
      </c>
      <c r="B34" s="131" t="s">
        <v>4432</v>
      </c>
      <c r="C34" s="131">
        <v>1</v>
      </c>
      <c r="D34" s="131" t="s">
        <v>4433</v>
      </c>
      <c r="E34" s="131" t="s">
        <v>4433</v>
      </c>
      <c r="F34" s="210" t="s">
        <v>4549</v>
      </c>
      <c r="G34" s="131" t="s">
        <v>4339</v>
      </c>
      <c r="H34" s="131" t="s">
        <v>4340</v>
      </c>
      <c r="I34" s="131" t="s">
        <v>4350</v>
      </c>
      <c r="J34" s="132" t="s">
        <v>4550</v>
      </c>
      <c r="K34" s="132" t="s">
        <v>4551</v>
      </c>
      <c r="L34" s="132" t="s">
        <v>4552</v>
      </c>
      <c r="M34" s="131" t="s">
        <v>4342</v>
      </c>
      <c r="N34" s="131" t="s">
        <v>4343</v>
      </c>
      <c r="O34" s="199">
        <v>45628</v>
      </c>
      <c r="P34" s="136" t="s">
        <v>4361</v>
      </c>
      <c r="Q34" s="136" t="s">
        <v>4361</v>
      </c>
      <c r="R34" s="136" t="s">
        <v>4361</v>
      </c>
      <c r="S34" s="136" t="s">
        <v>4361</v>
      </c>
      <c r="T34" s="136" t="s">
        <v>4361</v>
      </c>
      <c r="U34" s="136" t="s">
        <v>4361</v>
      </c>
      <c r="V34" s="136" t="s">
        <v>4361</v>
      </c>
      <c r="W34" s="136" t="s">
        <v>4361</v>
      </c>
      <c r="X34" s="136" t="s">
        <v>4361</v>
      </c>
      <c r="Y34" s="136" t="s">
        <v>4361</v>
      </c>
      <c r="Z34" s="136" t="s">
        <v>4361</v>
      </c>
      <c r="AB34" s="132" t="s">
        <v>4550</v>
      </c>
      <c r="AC34" s="132" t="s">
        <v>4551</v>
      </c>
      <c r="AD34" s="132" t="s">
        <v>4552</v>
      </c>
      <c r="AE34" s="200" t="s">
        <v>4350</v>
      </c>
      <c r="AF34" s="141" t="s">
        <v>4342</v>
      </c>
      <c r="AG34" s="196">
        <v>31979.49</v>
      </c>
      <c r="AH34" s="196">
        <v>60000</v>
      </c>
      <c r="AI34" s="216" t="s">
        <v>4344</v>
      </c>
      <c r="AJ34" s="132" t="s">
        <v>4441</v>
      </c>
      <c r="AK34" s="191">
        <v>114907459</v>
      </c>
      <c r="AL34" s="131" t="s">
        <v>4442</v>
      </c>
      <c r="AM34" s="131" t="s">
        <v>4442</v>
      </c>
      <c r="AN34" s="141" t="s">
        <v>4443</v>
      </c>
      <c r="AP34" s="132" t="s">
        <v>4553</v>
      </c>
      <c r="AQ34" s="141" t="s">
        <v>4442</v>
      </c>
      <c r="AR34" s="141" t="s">
        <v>4442</v>
      </c>
      <c r="AS34" s="141" t="s">
        <v>4442</v>
      </c>
      <c r="AT34" s="141" t="s">
        <v>4442</v>
      </c>
      <c r="AU34" s="136">
        <v>45775</v>
      </c>
      <c r="AV34" s="141" t="s">
        <v>4442</v>
      </c>
      <c r="AW34" s="141" t="s">
        <v>4442</v>
      </c>
      <c r="AX34" s="136">
        <v>45784</v>
      </c>
      <c r="AY34" s="220">
        <v>45784</v>
      </c>
      <c r="AZ34" s="137" t="s">
        <v>4370</v>
      </c>
      <c r="BA34" s="137" t="s">
        <v>4445</v>
      </c>
      <c r="BB34" s="141" t="s">
        <v>4442</v>
      </c>
      <c r="BC34" s="197">
        <f t="shared" si="3"/>
        <v>156</v>
      </c>
      <c r="BD34" s="131" t="str">
        <f t="shared" si="4"/>
        <v>INDENIZAÇÃO</v>
      </c>
      <c r="BE34" s="131" t="str">
        <f t="shared" si="5"/>
        <v>NÃO</v>
      </c>
      <c r="BF34" s="131" t="s">
        <v>4361</v>
      </c>
      <c r="BG34" s="131" t="s">
        <v>4361</v>
      </c>
      <c r="BH34" s="131" t="s">
        <v>4361</v>
      </c>
      <c r="BI34" s="141" t="s">
        <v>4442</v>
      </c>
      <c r="BJ34" s="141" t="s">
        <v>4442</v>
      </c>
      <c r="BK34" s="136">
        <v>45860</v>
      </c>
      <c r="BL34" s="141" t="s">
        <v>4442</v>
      </c>
      <c r="BM34" s="135" t="s">
        <v>4370</v>
      </c>
      <c r="BN34" s="182"/>
      <c r="CI34" s="182"/>
    </row>
    <row r="35" spans="1:87" s="141" customFormat="1" ht="30" hidden="1" customHeight="1">
      <c r="A35" s="131">
        <v>21</v>
      </c>
      <c r="B35" s="131" t="s">
        <v>4432</v>
      </c>
      <c r="C35" s="131">
        <v>1</v>
      </c>
      <c r="D35" s="131" t="s">
        <v>4433</v>
      </c>
      <c r="E35" s="131" t="s">
        <v>4433</v>
      </c>
      <c r="F35" s="210" t="s">
        <v>4554</v>
      </c>
      <c r="G35" s="131" t="s">
        <v>4339</v>
      </c>
      <c r="H35" s="131" t="s">
        <v>4340</v>
      </c>
      <c r="I35" s="131" t="s">
        <v>4350</v>
      </c>
      <c r="J35" s="132" t="s">
        <v>4555</v>
      </c>
      <c r="K35" s="132" t="s">
        <v>4556</v>
      </c>
      <c r="L35" s="132" t="s">
        <v>4557</v>
      </c>
      <c r="M35" s="131" t="s">
        <v>4342</v>
      </c>
      <c r="N35" s="131" t="s">
        <v>4343</v>
      </c>
      <c r="O35" s="199">
        <v>45707</v>
      </c>
      <c r="P35" s="136" t="s">
        <v>4361</v>
      </c>
      <c r="Q35" s="136" t="s">
        <v>4361</v>
      </c>
      <c r="R35" s="136" t="s">
        <v>4361</v>
      </c>
      <c r="S35" s="136" t="s">
        <v>4361</v>
      </c>
      <c r="T35" s="136" t="s">
        <v>4361</v>
      </c>
      <c r="U35" s="136" t="s">
        <v>4361</v>
      </c>
      <c r="V35" s="136" t="s">
        <v>4361</v>
      </c>
      <c r="W35" s="136" t="s">
        <v>4361</v>
      </c>
      <c r="X35" s="136" t="s">
        <v>4361</v>
      </c>
      <c r="Y35" s="136" t="s">
        <v>4361</v>
      </c>
      <c r="Z35" s="136" t="s">
        <v>4361</v>
      </c>
      <c r="AB35" s="132" t="s">
        <v>4558</v>
      </c>
      <c r="AC35" s="132" t="s">
        <v>4556</v>
      </c>
      <c r="AD35" s="132" t="s">
        <v>4557</v>
      </c>
      <c r="AE35" s="200" t="s">
        <v>4350</v>
      </c>
      <c r="AF35" s="141" t="s">
        <v>4342</v>
      </c>
      <c r="AG35" s="196">
        <v>19433.04</v>
      </c>
      <c r="AH35" s="196">
        <f>AG35+30000</f>
        <v>49433.04</v>
      </c>
      <c r="AI35" s="216" t="s">
        <v>4344</v>
      </c>
      <c r="AJ35" s="132" t="s">
        <v>4441</v>
      </c>
      <c r="AK35" s="191">
        <v>124354826</v>
      </c>
      <c r="AL35" s="131" t="s">
        <v>4442</v>
      </c>
      <c r="AM35" s="131" t="s">
        <v>4442</v>
      </c>
      <c r="AN35" s="141" t="s">
        <v>4443</v>
      </c>
      <c r="AO35" s="141" t="s">
        <v>4559</v>
      </c>
      <c r="AP35" s="132" t="s">
        <v>4560</v>
      </c>
      <c r="AQ35" s="141" t="s">
        <v>4442</v>
      </c>
      <c r="AR35" s="141" t="s">
        <v>4442</v>
      </c>
      <c r="AS35" s="141" t="s">
        <v>4442</v>
      </c>
      <c r="AT35" s="141" t="s">
        <v>4442</v>
      </c>
      <c r="AU35" s="199">
        <v>45814</v>
      </c>
      <c r="AV35" s="141" t="s">
        <v>4442</v>
      </c>
      <c r="AW35" s="141" t="s">
        <v>4442</v>
      </c>
      <c r="AX35" s="152">
        <v>45831</v>
      </c>
      <c r="AY35" s="134">
        <v>45831</v>
      </c>
      <c r="AZ35" s="137" t="s">
        <v>4370</v>
      </c>
      <c r="BA35" s="137" t="s">
        <v>4445</v>
      </c>
      <c r="BB35" s="141" t="s">
        <v>4442</v>
      </c>
      <c r="BC35" s="197">
        <f t="shared" si="3"/>
        <v>124</v>
      </c>
      <c r="BD35" s="131" t="str">
        <f t="shared" si="4"/>
        <v>INDENIZAÇÃO</v>
      </c>
      <c r="BE35" s="131" t="str">
        <f t="shared" si="5"/>
        <v>NÃO</v>
      </c>
      <c r="BF35" s="131" t="s">
        <v>4361</v>
      </c>
      <c r="BG35" s="131" t="s">
        <v>4361</v>
      </c>
      <c r="BH35" s="131" t="s">
        <v>4361</v>
      </c>
      <c r="BI35" s="141" t="s">
        <v>4442</v>
      </c>
      <c r="BJ35" s="141" t="s">
        <v>4442</v>
      </c>
      <c r="BK35" s="136">
        <v>45860</v>
      </c>
      <c r="BL35" s="141" t="s">
        <v>4442</v>
      </c>
      <c r="BM35" s="135" t="s">
        <v>4370</v>
      </c>
      <c r="BN35" s="182"/>
      <c r="CI35" s="182"/>
    </row>
    <row r="36" spans="1:87" s="141" customFormat="1" ht="30" hidden="1" customHeight="1">
      <c r="A36" s="131">
        <v>22</v>
      </c>
      <c r="B36" s="131" t="s">
        <v>4432</v>
      </c>
      <c r="C36" s="131">
        <v>1</v>
      </c>
      <c r="D36" s="131" t="s">
        <v>4433</v>
      </c>
      <c r="E36" s="131" t="s">
        <v>4433</v>
      </c>
      <c r="F36" s="210" t="s">
        <v>4561</v>
      </c>
      <c r="G36" s="131" t="s">
        <v>4339</v>
      </c>
      <c r="H36" s="131" t="s">
        <v>4340</v>
      </c>
      <c r="I36" s="131" t="s">
        <v>4350</v>
      </c>
      <c r="J36" s="132" t="s">
        <v>4562</v>
      </c>
      <c r="K36" s="132" t="s">
        <v>4563</v>
      </c>
      <c r="L36" s="132" t="s">
        <v>4564</v>
      </c>
      <c r="M36" s="131" t="s">
        <v>4342</v>
      </c>
      <c r="N36" s="131" t="s">
        <v>4343</v>
      </c>
      <c r="O36" s="199">
        <v>45628</v>
      </c>
      <c r="P36" s="136" t="s">
        <v>4361</v>
      </c>
      <c r="Q36" s="136" t="s">
        <v>4361</v>
      </c>
      <c r="R36" s="136" t="s">
        <v>4361</v>
      </c>
      <c r="S36" s="136" t="s">
        <v>4361</v>
      </c>
      <c r="T36" s="136" t="s">
        <v>4361</v>
      </c>
      <c r="U36" s="136" t="s">
        <v>4361</v>
      </c>
      <c r="V36" s="136" t="s">
        <v>4361</v>
      </c>
      <c r="W36" s="136" t="s">
        <v>4361</v>
      </c>
      <c r="X36" s="136" t="s">
        <v>4361</v>
      </c>
      <c r="Y36" s="136" t="s">
        <v>4361</v>
      </c>
      <c r="Z36" s="136" t="s">
        <v>4361</v>
      </c>
      <c r="AB36" s="132" t="s">
        <v>4565</v>
      </c>
      <c r="AC36" s="132" t="s">
        <v>4563</v>
      </c>
      <c r="AD36" s="132" t="s">
        <v>4564</v>
      </c>
      <c r="AE36" s="200" t="s">
        <v>4350</v>
      </c>
      <c r="AF36" s="141" t="s">
        <v>4342</v>
      </c>
      <c r="AG36" s="196">
        <v>18186.849999999999</v>
      </c>
      <c r="AH36" s="196">
        <v>48186.85</v>
      </c>
      <c r="AI36" s="216" t="s">
        <v>4344</v>
      </c>
      <c r="AJ36" s="132" t="s">
        <v>4441</v>
      </c>
      <c r="AK36" s="191">
        <v>114907587</v>
      </c>
      <c r="AL36" s="131" t="s">
        <v>4442</v>
      </c>
      <c r="AM36" s="131" t="s">
        <v>4442</v>
      </c>
      <c r="AN36" s="141" t="s">
        <v>4443</v>
      </c>
      <c r="AP36" s="132" t="s">
        <v>4566</v>
      </c>
      <c r="AQ36" s="141" t="s">
        <v>4442</v>
      </c>
      <c r="AR36" s="141" t="s">
        <v>4442</v>
      </c>
      <c r="AS36" s="141" t="s">
        <v>4442</v>
      </c>
      <c r="AT36" s="141" t="s">
        <v>4442</v>
      </c>
      <c r="AU36" s="219">
        <v>45754</v>
      </c>
      <c r="AV36" s="141" t="s">
        <v>4442</v>
      </c>
      <c r="AW36" s="141" t="s">
        <v>4442</v>
      </c>
      <c r="AX36" s="219">
        <v>45757</v>
      </c>
      <c r="AY36" s="134">
        <v>45757</v>
      </c>
      <c r="AZ36" s="137" t="s">
        <v>4370</v>
      </c>
      <c r="BA36" s="137" t="s">
        <v>4445</v>
      </c>
      <c r="BB36" s="141" t="s">
        <v>4442</v>
      </c>
      <c r="BC36" s="197">
        <f t="shared" si="3"/>
        <v>129</v>
      </c>
      <c r="BD36" s="131" t="str">
        <f t="shared" si="4"/>
        <v>INDENIZAÇÃO</v>
      </c>
      <c r="BE36" s="131" t="str">
        <f t="shared" si="5"/>
        <v>NÃO</v>
      </c>
      <c r="BF36" s="131" t="s">
        <v>4361</v>
      </c>
      <c r="BG36" s="131" t="s">
        <v>4361</v>
      </c>
      <c r="BH36" s="131" t="s">
        <v>4361</v>
      </c>
      <c r="BI36" s="141" t="s">
        <v>4442</v>
      </c>
      <c r="BJ36" s="141" t="s">
        <v>4442</v>
      </c>
      <c r="BK36" s="136">
        <v>45860</v>
      </c>
      <c r="BL36" s="141" t="s">
        <v>4442</v>
      </c>
      <c r="BM36" s="135" t="s">
        <v>4370</v>
      </c>
      <c r="BN36" s="182"/>
      <c r="CI36" s="182"/>
    </row>
    <row r="37" spans="1:87" s="141" customFormat="1" ht="30" hidden="1" customHeight="1">
      <c r="A37" s="131">
        <v>23</v>
      </c>
      <c r="B37" s="222" t="s">
        <v>4432</v>
      </c>
      <c r="C37" s="222">
        <v>1</v>
      </c>
      <c r="D37" s="222" t="s">
        <v>4433</v>
      </c>
      <c r="E37" s="222" t="s">
        <v>4433</v>
      </c>
      <c r="F37" s="223" t="s">
        <v>4567</v>
      </c>
      <c r="G37" s="222" t="s">
        <v>4339</v>
      </c>
      <c r="H37" s="222" t="s">
        <v>4340</v>
      </c>
      <c r="I37" s="222" t="s">
        <v>4350</v>
      </c>
      <c r="J37" s="224" t="s">
        <v>4568</v>
      </c>
      <c r="K37" s="224" t="s">
        <v>4569</v>
      </c>
      <c r="L37" s="224" t="s">
        <v>4570</v>
      </c>
      <c r="M37" s="222" t="s">
        <v>4342</v>
      </c>
      <c r="N37" s="222" t="s">
        <v>4343</v>
      </c>
      <c r="O37" s="225">
        <v>45628</v>
      </c>
      <c r="P37" s="226" t="s">
        <v>4361</v>
      </c>
      <c r="Q37" s="226" t="s">
        <v>4361</v>
      </c>
      <c r="R37" s="226" t="s">
        <v>4361</v>
      </c>
      <c r="S37" s="226" t="s">
        <v>4361</v>
      </c>
      <c r="T37" s="226" t="s">
        <v>4361</v>
      </c>
      <c r="U37" s="226" t="s">
        <v>4361</v>
      </c>
      <c r="V37" s="226" t="s">
        <v>4361</v>
      </c>
      <c r="W37" s="226" t="s">
        <v>4361</v>
      </c>
      <c r="X37" s="226" t="s">
        <v>4361</v>
      </c>
      <c r="Y37" s="226" t="s">
        <v>4361</v>
      </c>
      <c r="Z37" s="226" t="s">
        <v>4361</v>
      </c>
      <c r="AA37" s="221"/>
      <c r="AB37" s="224" t="s">
        <v>4571</v>
      </c>
      <c r="AC37" s="235" t="s">
        <v>4569</v>
      </c>
      <c r="AD37" s="235" t="s">
        <v>4570</v>
      </c>
      <c r="AE37" s="233" t="s">
        <v>4350</v>
      </c>
      <c r="AF37" s="221" t="s">
        <v>4342</v>
      </c>
      <c r="AG37" s="227">
        <v>50408.45</v>
      </c>
      <c r="AH37" s="227">
        <v>60000</v>
      </c>
      <c r="AI37" s="228" t="s">
        <v>4344</v>
      </c>
      <c r="AJ37" s="224" t="s">
        <v>4441</v>
      </c>
      <c r="AK37" s="229">
        <v>114907654</v>
      </c>
      <c r="AL37" s="222" t="s">
        <v>4442</v>
      </c>
      <c r="AM37" s="222" t="s">
        <v>4442</v>
      </c>
      <c r="AN37" s="221" t="s">
        <v>4443</v>
      </c>
      <c r="AO37" s="221"/>
      <c r="AP37" s="132" t="s">
        <v>4572</v>
      </c>
      <c r="AQ37" s="221" t="s">
        <v>4442</v>
      </c>
      <c r="AR37" s="221" t="s">
        <v>4442</v>
      </c>
      <c r="AS37" s="221" t="s">
        <v>4442</v>
      </c>
      <c r="AT37" s="221" t="s">
        <v>4442</v>
      </c>
      <c r="AU37" s="226">
        <v>45754</v>
      </c>
      <c r="AV37" s="221" t="s">
        <v>4442</v>
      </c>
      <c r="AW37" s="221" t="s">
        <v>4442</v>
      </c>
      <c r="AX37" s="226">
        <v>45757</v>
      </c>
      <c r="AY37" s="232">
        <v>45757</v>
      </c>
      <c r="AZ37" s="221" t="s">
        <v>4500</v>
      </c>
      <c r="BA37" s="221" t="s">
        <v>4445</v>
      </c>
      <c r="BB37" s="221" t="s">
        <v>4442</v>
      </c>
      <c r="BC37" s="231">
        <f t="shared" si="3"/>
        <v>129</v>
      </c>
      <c r="BD37" s="222" t="str">
        <f t="shared" si="4"/>
        <v>INDENIZAÇÃO</v>
      </c>
      <c r="BE37" s="222" t="str">
        <f t="shared" si="5"/>
        <v>NÃO</v>
      </c>
      <c r="BF37" s="222" t="s">
        <v>4361</v>
      </c>
      <c r="BG37" s="222" t="s">
        <v>4361</v>
      </c>
      <c r="BH37" s="222" t="s">
        <v>4361</v>
      </c>
      <c r="BI37" s="141" t="s">
        <v>4442</v>
      </c>
      <c r="BJ37" s="141" t="s">
        <v>4442</v>
      </c>
      <c r="BK37" s="136">
        <v>45860</v>
      </c>
      <c r="BL37" s="141" t="s">
        <v>4442</v>
      </c>
      <c r="BM37" s="135" t="s">
        <v>4370</v>
      </c>
      <c r="BN37" s="182"/>
      <c r="CI37" s="182"/>
    </row>
    <row r="38" spans="1:87" s="141" customFormat="1" ht="30" hidden="1" customHeight="1">
      <c r="A38" s="131">
        <v>24</v>
      </c>
      <c r="B38" s="222" t="s">
        <v>4432</v>
      </c>
      <c r="C38" s="222">
        <v>1</v>
      </c>
      <c r="D38" s="222" t="s">
        <v>4433</v>
      </c>
      <c r="E38" s="222" t="s">
        <v>4433</v>
      </c>
      <c r="F38" s="223" t="s">
        <v>4573</v>
      </c>
      <c r="G38" s="222" t="s">
        <v>4339</v>
      </c>
      <c r="H38" s="222" t="s">
        <v>4340</v>
      </c>
      <c r="I38" s="222" t="s">
        <v>4350</v>
      </c>
      <c r="J38" s="224" t="s">
        <v>4574</v>
      </c>
      <c r="K38" s="224" t="s">
        <v>4575</v>
      </c>
      <c r="L38" s="224" t="s">
        <v>4576</v>
      </c>
      <c r="M38" s="222" t="s">
        <v>4342</v>
      </c>
      <c r="N38" s="222" t="s">
        <v>4343</v>
      </c>
      <c r="O38" s="225">
        <v>45628</v>
      </c>
      <c r="P38" s="226" t="s">
        <v>4361</v>
      </c>
      <c r="Q38" s="226" t="s">
        <v>4361</v>
      </c>
      <c r="R38" s="226" t="s">
        <v>4361</v>
      </c>
      <c r="S38" s="226" t="s">
        <v>4361</v>
      </c>
      <c r="T38" s="226" t="s">
        <v>4361</v>
      </c>
      <c r="U38" s="226" t="s">
        <v>4361</v>
      </c>
      <c r="V38" s="226" t="s">
        <v>4361</v>
      </c>
      <c r="W38" s="226" t="s">
        <v>4361</v>
      </c>
      <c r="X38" s="226" t="s">
        <v>4361</v>
      </c>
      <c r="Y38" s="226" t="s">
        <v>4361</v>
      </c>
      <c r="Z38" s="226" t="s">
        <v>4361</v>
      </c>
      <c r="AA38" s="221"/>
      <c r="AB38" s="224" t="s">
        <v>4577</v>
      </c>
      <c r="AC38" s="224" t="s">
        <v>4575</v>
      </c>
      <c r="AD38" s="224" t="s">
        <v>4576</v>
      </c>
      <c r="AE38" s="222" t="s">
        <v>4350</v>
      </c>
      <c r="AF38" s="221" t="s">
        <v>4342</v>
      </c>
      <c r="AG38" s="227">
        <v>80590.63</v>
      </c>
      <c r="AH38" s="227">
        <v>80590.63</v>
      </c>
      <c r="AI38" s="228" t="s">
        <v>4344</v>
      </c>
      <c r="AJ38" s="224" t="s">
        <v>4441</v>
      </c>
      <c r="AK38" s="229">
        <v>114907747</v>
      </c>
      <c r="AL38" s="222" t="s">
        <v>4442</v>
      </c>
      <c r="AM38" s="222" t="s">
        <v>4442</v>
      </c>
      <c r="AN38" s="221" t="s">
        <v>4443</v>
      </c>
      <c r="AO38" s="221"/>
      <c r="AP38" s="132" t="s">
        <v>4578</v>
      </c>
      <c r="AQ38" s="221" t="s">
        <v>4442</v>
      </c>
      <c r="AR38" s="221" t="s">
        <v>4442</v>
      </c>
      <c r="AS38" s="221" t="s">
        <v>4442</v>
      </c>
      <c r="AT38" s="221" t="s">
        <v>4442</v>
      </c>
      <c r="AU38" s="226">
        <v>45754</v>
      </c>
      <c r="AV38" s="221" t="s">
        <v>4442</v>
      </c>
      <c r="AW38" s="221" t="s">
        <v>4442</v>
      </c>
      <c r="AX38" s="226">
        <v>45757</v>
      </c>
      <c r="AY38" s="232">
        <v>45757</v>
      </c>
      <c r="AZ38" s="221" t="s">
        <v>4500</v>
      </c>
      <c r="BA38" s="221" t="s">
        <v>4445</v>
      </c>
      <c r="BB38" s="221" t="s">
        <v>4442</v>
      </c>
      <c r="BC38" s="231">
        <f t="shared" si="3"/>
        <v>129</v>
      </c>
      <c r="BD38" s="222" t="str">
        <f t="shared" si="4"/>
        <v>INDENIZAÇÃO</v>
      </c>
      <c r="BE38" s="222" t="str">
        <f t="shared" si="5"/>
        <v>NÃO</v>
      </c>
      <c r="BF38" s="222" t="s">
        <v>4361</v>
      </c>
      <c r="BG38" s="222" t="s">
        <v>4361</v>
      </c>
      <c r="BH38" s="222" t="s">
        <v>4361</v>
      </c>
      <c r="BI38" s="141" t="s">
        <v>4442</v>
      </c>
      <c r="BJ38" s="141" t="s">
        <v>4442</v>
      </c>
      <c r="BK38" s="136">
        <v>45860</v>
      </c>
      <c r="BL38" s="141" t="s">
        <v>4442</v>
      </c>
      <c r="BM38" s="135" t="s">
        <v>4370</v>
      </c>
      <c r="BN38" s="182"/>
      <c r="CI38" s="182"/>
    </row>
    <row r="39" spans="1:87" s="141" customFormat="1" ht="30" hidden="1" customHeight="1">
      <c r="A39" s="131">
        <v>25</v>
      </c>
      <c r="B39" s="131" t="s">
        <v>4432</v>
      </c>
      <c r="C39" s="131">
        <v>1</v>
      </c>
      <c r="D39" s="131" t="s">
        <v>4433</v>
      </c>
      <c r="E39" s="131" t="s">
        <v>4433</v>
      </c>
      <c r="F39" s="210" t="s">
        <v>4579</v>
      </c>
      <c r="G39" s="131"/>
      <c r="H39" s="131"/>
      <c r="I39" s="131"/>
      <c r="J39" s="132" t="s">
        <v>4580</v>
      </c>
      <c r="K39" s="132" t="s">
        <v>4581</v>
      </c>
      <c r="L39" s="132" t="s">
        <v>4582</v>
      </c>
      <c r="M39" s="131"/>
      <c r="N39" s="131"/>
      <c r="O39" s="199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6"/>
      <c r="AB39" s="132"/>
      <c r="AC39" s="132"/>
      <c r="AD39" s="132"/>
      <c r="AE39" s="200"/>
      <c r="AG39" s="196"/>
      <c r="AH39" s="196"/>
      <c r="AI39" s="131"/>
      <c r="AJ39" s="218"/>
      <c r="AK39" s="131"/>
      <c r="AP39" s="132"/>
      <c r="BC39" s="197" t="str">
        <f t="shared" si="3"/>
        <v/>
      </c>
      <c r="BD39" s="131" t="str">
        <f t="shared" si="4"/>
        <v>INDENIZAÇÃO</v>
      </c>
      <c r="BE39" s="131" t="str">
        <f t="shared" si="5"/>
        <v>NÃO</v>
      </c>
      <c r="BF39" s="131"/>
      <c r="BG39" s="199"/>
      <c r="BH39" s="199"/>
      <c r="BN39" s="182"/>
      <c r="CI39" s="182"/>
    </row>
    <row r="40" spans="1:87" s="141" customFormat="1" ht="30" hidden="1" customHeight="1">
      <c r="A40" s="131">
        <v>26</v>
      </c>
      <c r="B40" s="222" t="s">
        <v>4432</v>
      </c>
      <c r="C40" s="222">
        <v>1</v>
      </c>
      <c r="D40" s="222" t="s">
        <v>4433</v>
      </c>
      <c r="E40" s="222" t="s">
        <v>4433</v>
      </c>
      <c r="F40" s="223" t="s">
        <v>4583</v>
      </c>
      <c r="G40" s="222" t="s">
        <v>4339</v>
      </c>
      <c r="H40" s="222" t="s">
        <v>4340</v>
      </c>
      <c r="I40" s="222" t="s">
        <v>4350</v>
      </c>
      <c r="J40" s="224" t="s">
        <v>4584</v>
      </c>
      <c r="K40" s="224" t="s">
        <v>4585</v>
      </c>
      <c r="L40" s="224" t="s">
        <v>4586</v>
      </c>
      <c r="M40" s="222" t="s">
        <v>4342</v>
      </c>
      <c r="N40" s="222" t="s">
        <v>4343</v>
      </c>
      <c r="O40" s="225">
        <v>45604</v>
      </c>
      <c r="P40" s="226" t="s">
        <v>4361</v>
      </c>
      <c r="Q40" s="226" t="s">
        <v>4361</v>
      </c>
      <c r="R40" s="226" t="s">
        <v>4361</v>
      </c>
      <c r="S40" s="226" t="s">
        <v>4361</v>
      </c>
      <c r="T40" s="226" t="s">
        <v>4361</v>
      </c>
      <c r="U40" s="226" t="s">
        <v>4361</v>
      </c>
      <c r="V40" s="226" t="s">
        <v>4361</v>
      </c>
      <c r="W40" s="226" t="s">
        <v>4361</v>
      </c>
      <c r="X40" s="226" t="s">
        <v>4361</v>
      </c>
      <c r="Y40" s="226" t="s">
        <v>4361</v>
      </c>
      <c r="Z40" s="226" t="s">
        <v>4361</v>
      </c>
      <c r="AA40" s="221"/>
      <c r="AB40" s="224" t="s">
        <v>4584</v>
      </c>
      <c r="AC40" s="224" t="s">
        <v>4585</v>
      </c>
      <c r="AD40" s="224" t="s">
        <v>4587</v>
      </c>
      <c r="AE40" s="233" t="s">
        <v>4350</v>
      </c>
      <c r="AF40" s="221" t="s">
        <v>4342</v>
      </c>
      <c r="AG40" s="227">
        <v>38748.120000000003</v>
      </c>
      <c r="AH40" s="227">
        <v>60000</v>
      </c>
      <c r="AI40" s="228" t="s">
        <v>4344</v>
      </c>
      <c r="AJ40" s="224" t="s">
        <v>4441</v>
      </c>
      <c r="AK40" s="229" t="s">
        <v>4433</v>
      </c>
      <c r="AL40" s="222" t="s">
        <v>4442</v>
      </c>
      <c r="AM40" s="222" t="s">
        <v>4442</v>
      </c>
      <c r="AN40" s="222" t="s">
        <v>4443</v>
      </c>
      <c r="AO40" s="221"/>
      <c r="AP40" s="132" t="s">
        <v>4588</v>
      </c>
      <c r="AQ40" s="221" t="s">
        <v>4442</v>
      </c>
      <c r="AR40" s="221" t="s">
        <v>4442</v>
      </c>
      <c r="AS40" s="221" t="s">
        <v>4442</v>
      </c>
      <c r="AT40" s="221" t="s">
        <v>4442</v>
      </c>
      <c r="AU40" s="226">
        <v>45755</v>
      </c>
      <c r="AV40" s="221" t="s">
        <v>4442</v>
      </c>
      <c r="AW40" s="221" t="s">
        <v>4442</v>
      </c>
      <c r="AX40" s="230">
        <v>45763</v>
      </c>
      <c r="AY40" s="232">
        <v>45763</v>
      </c>
      <c r="AZ40" s="221" t="s">
        <v>4500</v>
      </c>
      <c r="BA40" s="221" t="s">
        <v>4445</v>
      </c>
      <c r="BB40" s="221" t="s">
        <v>4442</v>
      </c>
      <c r="BC40" s="231">
        <f t="shared" si="3"/>
        <v>159</v>
      </c>
      <c r="BD40" s="222" t="str">
        <f t="shared" si="4"/>
        <v>INDENIZAÇÃO</v>
      </c>
      <c r="BE40" s="222" t="str">
        <f t="shared" si="5"/>
        <v>NÃO</v>
      </c>
      <c r="BF40" s="222" t="s">
        <v>4361</v>
      </c>
      <c r="BG40" s="222" t="s">
        <v>4361</v>
      </c>
      <c r="BH40" s="222" t="s">
        <v>4361</v>
      </c>
      <c r="BI40" s="141" t="s">
        <v>4442</v>
      </c>
      <c r="BJ40" s="141" t="s">
        <v>4442</v>
      </c>
      <c r="BK40" s="136">
        <v>45860</v>
      </c>
      <c r="BL40" s="141" t="s">
        <v>4442</v>
      </c>
      <c r="BM40" s="135" t="s">
        <v>4370</v>
      </c>
      <c r="BN40" s="182"/>
      <c r="CI40" s="182"/>
    </row>
    <row r="41" spans="1:87" s="141" customFormat="1" ht="30" hidden="1" customHeight="1">
      <c r="A41" s="131">
        <v>27</v>
      </c>
      <c r="B41" s="131" t="s">
        <v>4432</v>
      </c>
      <c r="C41" s="131">
        <v>1</v>
      </c>
      <c r="D41" s="131" t="s">
        <v>4433</v>
      </c>
      <c r="E41" s="131" t="s">
        <v>4433</v>
      </c>
      <c r="F41" s="210" t="s">
        <v>4589</v>
      </c>
      <c r="G41" s="131" t="s">
        <v>4339</v>
      </c>
      <c r="H41" s="131" t="s">
        <v>4340</v>
      </c>
      <c r="I41" s="131" t="s">
        <v>4350</v>
      </c>
      <c r="J41" s="132" t="s">
        <v>4590</v>
      </c>
      <c r="K41" s="132" t="s">
        <v>4591</v>
      </c>
      <c r="L41" s="132" t="s">
        <v>4592</v>
      </c>
      <c r="M41" s="131" t="s">
        <v>4342</v>
      </c>
      <c r="N41" s="131" t="s">
        <v>4343</v>
      </c>
      <c r="O41" s="199">
        <v>45628</v>
      </c>
      <c r="P41" s="136" t="s">
        <v>4361</v>
      </c>
      <c r="Q41" s="136" t="s">
        <v>4361</v>
      </c>
      <c r="R41" s="136" t="s">
        <v>4361</v>
      </c>
      <c r="S41" s="136" t="s">
        <v>4361</v>
      </c>
      <c r="T41" s="136" t="s">
        <v>4361</v>
      </c>
      <c r="U41" s="136" t="s">
        <v>4361</v>
      </c>
      <c r="V41" s="136" t="s">
        <v>4361</v>
      </c>
      <c r="W41" s="136" t="s">
        <v>4361</v>
      </c>
      <c r="X41" s="136" t="s">
        <v>4361</v>
      </c>
      <c r="Y41" s="136" t="s">
        <v>4361</v>
      </c>
      <c r="Z41" s="136" t="s">
        <v>4361</v>
      </c>
      <c r="AB41" s="132" t="s">
        <v>4593</v>
      </c>
      <c r="AC41" s="132" t="s">
        <v>4591</v>
      </c>
      <c r="AD41" s="132" t="s">
        <v>4592</v>
      </c>
      <c r="AE41" s="200" t="s">
        <v>4350</v>
      </c>
      <c r="AF41" s="141" t="s">
        <v>4342</v>
      </c>
      <c r="AG41" s="196">
        <v>65845.58</v>
      </c>
      <c r="AH41" s="196">
        <v>65845.58</v>
      </c>
      <c r="AI41" s="216" t="s">
        <v>4344</v>
      </c>
      <c r="AJ41" s="132" t="s">
        <v>4441</v>
      </c>
      <c r="AK41" s="191">
        <v>115570048</v>
      </c>
      <c r="AL41" s="131" t="s">
        <v>4442</v>
      </c>
      <c r="AM41" s="131" t="s">
        <v>4442</v>
      </c>
      <c r="AN41" s="141" t="s">
        <v>4443</v>
      </c>
      <c r="AP41" s="132" t="s">
        <v>4594</v>
      </c>
      <c r="AQ41" s="141" t="s">
        <v>4442</v>
      </c>
      <c r="AR41" s="141" t="s">
        <v>4442</v>
      </c>
      <c r="AS41" s="141" t="s">
        <v>4442</v>
      </c>
      <c r="AT41" s="141" t="s">
        <v>4442</v>
      </c>
      <c r="AU41" s="219">
        <v>45754</v>
      </c>
      <c r="AV41" s="141" t="s">
        <v>4442</v>
      </c>
      <c r="AW41" s="141" t="s">
        <v>4442</v>
      </c>
      <c r="AX41" s="219">
        <v>45757</v>
      </c>
      <c r="AY41" s="134">
        <v>45757</v>
      </c>
      <c r="AZ41" s="137" t="s">
        <v>4370</v>
      </c>
      <c r="BA41" s="137" t="s">
        <v>4445</v>
      </c>
      <c r="BB41" s="141" t="s">
        <v>4442</v>
      </c>
      <c r="BC41" s="197">
        <f t="shared" si="3"/>
        <v>129</v>
      </c>
      <c r="BD41" s="131" t="str">
        <f t="shared" si="4"/>
        <v>INDENIZAÇÃO</v>
      </c>
      <c r="BE41" s="131" t="str">
        <f t="shared" si="5"/>
        <v>NÃO</v>
      </c>
      <c r="BF41" s="131" t="s">
        <v>4361</v>
      </c>
      <c r="BG41" s="131" t="s">
        <v>4361</v>
      </c>
      <c r="BH41" s="131" t="s">
        <v>4361</v>
      </c>
      <c r="BI41" s="141" t="s">
        <v>4442</v>
      </c>
      <c r="BJ41" s="141" t="s">
        <v>4442</v>
      </c>
      <c r="BK41" s="136">
        <v>45860</v>
      </c>
      <c r="BL41" s="141" t="s">
        <v>4442</v>
      </c>
      <c r="BM41" s="135" t="s">
        <v>4370</v>
      </c>
      <c r="BN41" s="182"/>
      <c r="CI41" s="182"/>
    </row>
    <row r="42" spans="1:87" s="141" customFormat="1" ht="30" hidden="1" customHeight="1">
      <c r="A42" s="131">
        <v>28</v>
      </c>
      <c r="B42" s="131" t="s">
        <v>4432</v>
      </c>
      <c r="C42" s="131">
        <v>1</v>
      </c>
      <c r="D42" s="131" t="s">
        <v>4433</v>
      </c>
      <c r="E42" s="131" t="s">
        <v>4433</v>
      </c>
      <c r="F42" s="210" t="s">
        <v>4595</v>
      </c>
      <c r="G42" s="131"/>
      <c r="H42" s="131"/>
      <c r="I42" s="131"/>
      <c r="J42" s="132" t="s">
        <v>4596</v>
      </c>
      <c r="K42" s="132" t="s">
        <v>4597</v>
      </c>
      <c r="L42" s="132" t="s">
        <v>4598</v>
      </c>
      <c r="M42" s="131"/>
      <c r="N42" s="131"/>
      <c r="O42" s="199"/>
      <c r="P42" s="136"/>
      <c r="Q42" s="136"/>
      <c r="R42" s="136"/>
      <c r="S42" s="136"/>
      <c r="T42" s="136"/>
      <c r="U42" s="136"/>
      <c r="V42" s="136"/>
      <c r="W42" s="136"/>
      <c r="X42" s="136"/>
      <c r="Y42" s="136"/>
      <c r="Z42" s="136"/>
      <c r="AB42" s="132"/>
      <c r="AC42" s="132"/>
      <c r="AD42" s="132"/>
      <c r="AE42" s="200"/>
      <c r="AG42" s="196"/>
      <c r="AH42" s="196"/>
      <c r="AI42" s="131"/>
      <c r="AJ42" s="157"/>
      <c r="AK42" s="131"/>
      <c r="AP42" s="132"/>
      <c r="BC42" s="197" t="str">
        <f t="shared" si="3"/>
        <v/>
      </c>
      <c r="BD42" s="131" t="str">
        <f t="shared" si="4"/>
        <v>INDENIZAÇÃO</v>
      </c>
      <c r="BE42" s="131" t="str">
        <f t="shared" si="5"/>
        <v>NÃO</v>
      </c>
      <c r="BF42" s="131"/>
      <c r="BG42" s="199"/>
      <c r="BH42" s="199"/>
      <c r="BN42" s="182"/>
      <c r="CI42" s="182"/>
    </row>
    <row r="43" spans="1:87" s="141" customFormat="1" ht="30" hidden="1" customHeight="1">
      <c r="A43" s="131">
        <v>29</v>
      </c>
      <c r="B43" s="131" t="s">
        <v>4432</v>
      </c>
      <c r="C43" s="131">
        <v>1</v>
      </c>
      <c r="D43" s="131" t="s">
        <v>4433</v>
      </c>
      <c r="E43" s="131" t="s">
        <v>4433</v>
      </c>
      <c r="F43" s="210" t="s">
        <v>4599</v>
      </c>
      <c r="G43" s="131"/>
      <c r="H43" s="131"/>
      <c r="I43" s="131"/>
      <c r="J43" s="132" t="s">
        <v>4600</v>
      </c>
      <c r="K43" s="132"/>
      <c r="L43" s="132" t="s">
        <v>4601</v>
      </c>
      <c r="M43" s="131"/>
      <c r="N43" s="131"/>
      <c r="O43" s="199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  <c r="AB43" s="132"/>
      <c r="AC43" s="132"/>
      <c r="AD43" s="132"/>
      <c r="AE43" s="131"/>
      <c r="AG43" s="196"/>
      <c r="AH43" s="196"/>
      <c r="AI43" s="131"/>
      <c r="AJ43" s="183"/>
      <c r="AO43" s="201"/>
      <c r="AP43" s="132"/>
      <c r="AU43" s="199"/>
      <c r="AX43" s="199"/>
      <c r="AY43" s="136"/>
      <c r="BC43" s="197" t="str">
        <f t="shared" si="3"/>
        <v/>
      </c>
      <c r="BD43" s="131" t="str">
        <f t="shared" si="4"/>
        <v>INDENIZAÇÃO</v>
      </c>
      <c r="BE43" s="131" t="str">
        <f t="shared" si="5"/>
        <v>NÃO</v>
      </c>
      <c r="BF43" s="131"/>
      <c r="BG43" s="131"/>
      <c r="BH43" s="131"/>
      <c r="BK43" s="199"/>
      <c r="BN43" s="182"/>
      <c r="CI43" s="182"/>
    </row>
    <row r="44" spans="1:87" s="141" customFormat="1" ht="30" hidden="1" customHeight="1">
      <c r="A44" s="131">
        <v>30</v>
      </c>
      <c r="B44" s="131" t="s">
        <v>4432</v>
      </c>
      <c r="C44" s="131">
        <v>1</v>
      </c>
      <c r="D44" s="131" t="s">
        <v>4433</v>
      </c>
      <c r="E44" s="131" t="s">
        <v>4433</v>
      </c>
      <c r="F44" s="210" t="s">
        <v>4602</v>
      </c>
      <c r="G44" s="131" t="s">
        <v>4348</v>
      </c>
      <c r="H44" s="131" t="s">
        <v>4340</v>
      </c>
      <c r="I44" s="131" t="s">
        <v>4350</v>
      </c>
      <c r="J44" s="132" t="s">
        <v>4603</v>
      </c>
      <c r="K44" s="132" t="s">
        <v>4604</v>
      </c>
      <c r="L44" s="132" t="s">
        <v>4605</v>
      </c>
      <c r="M44" s="131" t="s">
        <v>4342</v>
      </c>
      <c r="N44" s="131" t="s">
        <v>4343</v>
      </c>
      <c r="O44" s="199">
        <v>45604</v>
      </c>
      <c r="P44" s="136" t="s">
        <v>4361</v>
      </c>
      <c r="Q44" s="136" t="s">
        <v>4361</v>
      </c>
      <c r="R44" s="136" t="s">
        <v>4361</v>
      </c>
      <c r="S44" s="136" t="s">
        <v>4361</v>
      </c>
      <c r="T44" s="136" t="s">
        <v>4361</v>
      </c>
      <c r="U44" s="136" t="s">
        <v>4361</v>
      </c>
      <c r="V44" s="136" t="s">
        <v>4361</v>
      </c>
      <c r="W44" s="136" t="s">
        <v>4361</v>
      </c>
      <c r="X44" s="136" t="s">
        <v>4361</v>
      </c>
      <c r="Y44" s="136" t="s">
        <v>4361</v>
      </c>
      <c r="Z44" s="136" t="s">
        <v>4361</v>
      </c>
      <c r="AB44" s="132" t="s">
        <v>4603</v>
      </c>
      <c r="AC44" s="132" t="s">
        <v>4604</v>
      </c>
      <c r="AD44" s="132" t="s">
        <v>4605</v>
      </c>
      <c r="AE44" s="131" t="s">
        <v>4350</v>
      </c>
      <c r="AF44" s="141" t="s">
        <v>4342</v>
      </c>
      <c r="AG44" s="196">
        <v>60946.77</v>
      </c>
      <c r="AH44" s="196">
        <v>60946.77</v>
      </c>
      <c r="AI44" s="216" t="s">
        <v>4344</v>
      </c>
      <c r="AJ44" s="132" t="s">
        <v>4441</v>
      </c>
      <c r="AK44" s="191" t="s">
        <v>4433</v>
      </c>
      <c r="AL44" s="131" t="s">
        <v>4442</v>
      </c>
      <c r="AM44" s="131" t="s">
        <v>4442</v>
      </c>
      <c r="AN44" s="131" t="s">
        <v>4443</v>
      </c>
      <c r="AP44" s="132" t="s">
        <v>4606</v>
      </c>
      <c r="AQ44" s="141" t="s">
        <v>4442</v>
      </c>
      <c r="AR44" s="141" t="s">
        <v>4442</v>
      </c>
      <c r="AS44" s="141" t="s">
        <v>4442</v>
      </c>
      <c r="AT44" s="141" t="s">
        <v>4442</v>
      </c>
      <c r="AU44" s="136">
        <v>45755</v>
      </c>
      <c r="AV44" s="141" t="s">
        <v>4442</v>
      </c>
      <c r="AW44" s="141" t="s">
        <v>4442</v>
      </c>
      <c r="AX44" s="152">
        <v>45763</v>
      </c>
      <c r="AY44" s="134">
        <v>45763</v>
      </c>
      <c r="AZ44" s="137" t="s">
        <v>4370</v>
      </c>
      <c r="BA44" s="137" t="s">
        <v>4445</v>
      </c>
      <c r="BB44" s="141" t="s">
        <v>4442</v>
      </c>
      <c r="BC44" s="197">
        <f t="shared" si="3"/>
        <v>159</v>
      </c>
      <c r="BD44" s="131" t="str">
        <f t="shared" si="4"/>
        <v>INDENIZAÇÃO</v>
      </c>
      <c r="BE44" s="131" t="str">
        <f t="shared" si="5"/>
        <v>NÃO</v>
      </c>
      <c r="BF44" s="131" t="s">
        <v>4361</v>
      </c>
      <c r="BG44" s="131" t="s">
        <v>4361</v>
      </c>
      <c r="BH44" s="131" t="s">
        <v>4361</v>
      </c>
      <c r="BI44" s="141" t="s">
        <v>4442</v>
      </c>
      <c r="BJ44" s="141" t="s">
        <v>4442</v>
      </c>
      <c r="BK44" s="136">
        <v>45860</v>
      </c>
      <c r="BL44" s="141" t="s">
        <v>4442</v>
      </c>
      <c r="BM44" s="135" t="s">
        <v>4370</v>
      </c>
      <c r="BN44" s="182"/>
      <c r="CI44" s="182"/>
    </row>
    <row r="45" spans="1:87" s="141" customFormat="1" ht="30" hidden="1" customHeight="1">
      <c r="A45" s="131">
        <v>31</v>
      </c>
      <c r="B45" s="131" t="s">
        <v>4432</v>
      </c>
      <c r="C45" s="131">
        <v>1</v>
      </c>
      <c r="D45" s="131" t="s">
        <v>4433</v>
      </c>
      <c r="E45" s="131" t="s">
        <v>4433</v>
      </c>
      <c r="F45" s="132" t="s">
        <v>4607</v>
      </c>
      <c r="G45" s="131" t="s">
        <v>4348</v>
      </c>
      <c r="H45" s="131" t="s">
        <v>4340</v>
      </c>
      <c r="I45" s="131" t="s">
        <v>4350</v>
      </c>
      <c r="J45" s="132" t="s">
        <v>4608</v>
      </c>
      <c r="K45" s="132" t="s">
        <v>4609</v>
      </c>
      <c r="L45" s="132" t="s">
        <v>4610</v>
      </c>
      <c r="M45" s="131" t="s">
        <v>4342</v>
      </c>
      <c r="N45" s="131" t="s">
        <v>4343</v>
      </c>
      <c r="O45" s="199">
        <v>45604</v>
      </c>
      <c r="P45" s="136" t="s">
        <v>4361</v>
      </c>
      <c r="Q45" s="136" t="s">
        <v>4361</v>
      </c>
      <c r="R45" s="136" t="s">
        <v>4361</v>
      </c>
      <c r="S45" s="136" t="s">
        <v>4361</v>
      </c>
      <c r="T45" s="136" t="s">
        <v>4361</v>
      </c>
      <c r="U45" s="136" t="s">
        <v>4361</v>
      </c>
      <c r="V45" s="136" t="s">
        <v>4361</v>
      </c>
      <c r="W45" s="136" t="s">
        <v>4361</v>
      </c>
      <c r="X45" s="136" t="s">
        <v>4361</v>
      </c>
      <c r="Y45" s="136" t="s">
        <v>4361</v>
      </c>
      <c r="Z45" s="136" t="s">
        <v>4361</v>
      </c>
      <c r="AB45" s="132" t="s">
        <v>4608</v>
      </c>
      <c r="AC45" s="132" t="s">
        <v>4609</v>
      </c>
      <c r="AD45" s="132" t="s">
        <v>4610</v>
      </c>
      <c r="AE45" s="131" t="s">
        <v>4350</v>
      </c>
      <c r="AF45" s="141" t="s">
        <v>4342</v>
      </c>
      <c r="AG45" s="196">
        <v>65988.960000000006</v>
      </c>
      <c r="AH45" s="196">
        <v>65988.960000000006</v>
      </c>
      <c r="AI45" s="216" t="s">
        <v>4344</v>
      </c>
      <c r="AJ45" s="132" t="s">
        <v>4441</v>
      </c>
      <c r="AK45" s="191" t="s">
        <v>4433</v>
      </c>
      <c r="AL45" s="131" t="s">
        <v>4442</v>
      </c>
      <c r="AM45" s="131" t="s">
        <v>4442</v>
      </c>
      <c r="AN45" s="131" t="s">
        <v>4443</v>
      </c>
      <c r="AO45" s="201"/>
      <c r="AP45" s="132" t="s">
        <v>4611</v>
      </c>
      <c r="AQ45" s="141" t="s">
        <v>4442</v>
      </c>
      <c r="AR45" s="141" t="s">
        <v>4442</v>
      </c>
      <c r="AS45" s="141" t="s">
        <v>4442</v>
      </c>
      <c r="AT45" s="141" t="s">
        <v>4442</v>
      </c>
      <c r="AU45" s="136">
        <v>45755</v>
      </c>
      <c r="AV45" s="141" t="s">
        <v>4442</v>
      </c>
      <c r="AW45" s="141" t="s">
        <v>4442</v>
      </c>
      <c r="AX45" s="152">
        <v>45763</v>
      </c>
      <c r="AY45" s="134">
        <v>45763</v>
      </c>
      <c r="AZ45" s="137" t="s">
        <v>4370</v>
      </c>
      <c r="BA45" s="137" t="s">
        <v>4445</v>
      </c>
      <c r="BB45" s="141" t="s">
        <v>4442</v>
      </c>
      <c r="BC45" s="197">
        <f t="shared" si="3"/>
        <v>159</v>
      </c>
      <c r="BD45" s="131" t="str">
        <f t="shared" si="4"/>
        <v>INDENIZAÇÃO</v>
      </c>
      <c r="BE45" s="131" t="str">
        <f t="shared" si="5"/>
        <v>NÃO</v>
      </c>
      <c r="BF45" s="131" t="s">
        <v>4361</v>
      </c>
      <c r="BG45" s="131" t="s">
        <v>4361</v>
      </c>
      <c r="BH45" s="131" t="s">
        <v>4361</v>
      </c>
      <c r="BI45" s="141" t="s">
        <v>4442</v>
      </c>
      <c r="BJ45" s="141" t="s">
        <v>4442</v>
      </c>
      <c r="BK45" s="136">
        <v>45860</v>
      </c>
      <c r="BL45" s="141" t="s">
        <v>4442</v>
      </c>
      <c r="BM45" s="135" t="s">
        <v>4370</v>
      </c>
      <c r="BN45" s="182"/>
      <c r="CI45" s="182"/>
    </row>
    <row r="46" spans="1:87" s="141" customFormat="1" ht="30" hidden="1" customHeight="1">
      <c r="A46" s="131">
        <v>32</v>
      </c>
      <c r="B46" s="131" t="s">
        <v>4432</v>
      </c>
      <c r="C46" s="131">
        <v>1</v>
      </c>
      <c r="D46" s="131" t="s">
        <v>4433</v>
      </c>
      <c r="E46" s="131" t="s">
        <v>4433</v>
      </c>
      <c r="F46" s="132" t="s">
        <v>4612</v>
      </c>
      <c r="G46" s="131" t="s">
        <v>4339</v>
      </c>
      <c r="H46" s="131" t="s">
        <v>4340</v>
      </c>
      <c r="I46" s="131" t="s">
        <v>4350</v>
      </c>
      <c r="J46" s="132" t="s">
        <v>4613</v>
      </c>
      <c r="K46" s="132" t="s">
        <v>4614</v>
      </c>
      <c r="L46" s="132" t="s">
        <v>4615</v>
      </c>
      <c r="M46" s="131" t="s">
        <v>4534</v>
      </c>
      <c r="N46" s="131" t="s">
        <v>4343</v>
      </c>
      <c r="O46" s="199">
        <v>46076</v>
      </c>
      <c r="P46" s="136" t="s">
        <v>4361</v>
      </c>
      <c r="Q46" s="136" t="s">
        <v>4361</v>
      </c>
      <c r="R46" s="136" t="s">
        <v>4361</v>
      </c>
      <c r="S46" s="136" t="s">
        <v>4361</v>
      </c>
      <c r="T46" s="136" t="s">
        <v>4361</v>
      </c>
      <c r="U46" s="136" t="s">
        <v>4361</v>
      </c>
      <c r="V46" s="136" t="s">
        <v>4361</v>
      </c>
      <c r="W46" s="136" t="s">
        <v>4361</v>
      </c>
      <c r="X46" s="136" t="s">
        <v>4361</v>
      </c>
      <c r="Y46" s="136" t="s">
        <v>4361</v>
      </c>
      <c r="Z46" s="136" t="s">
        <v>4361</v>
      </c>
      <c r="AB46" s="132" t="s">
        <v>4613</v>
      </c>
      <c r="AC46" s="132" t="s">
        <v>4614</v>
      </c>
      <c r="AD46" s="132" t="s">
        <v>4615</v>
      </c>
      <c r="AE46" s="131" t="s">
        <v>4350</v>
      </c>
      <c r="AF46" s="141" t="s">
        <v>4534</v>
      </c>
      <c r="AG46" s="196">
        <v>27991.08</v>
      </c>
      <c r="AH46" s="196">
        <v>57991.08</v>
      </c>
      <c r="AI46" s="131" t="s">
        <v>4344</v>
      </c>
      <c r="AJ46" s="132" t="s">
        <v>4616</v>
      </c>
      <c r="AK46" s="131">
        <v>145682165</v>
      </c>
      <c r="AL46" s="131" t="s">
        <v>4442</v>
      </c>
      <c r="AM46" s="141" t="s">
        <v>4442</v>
      </c>
      <c r="AN46" s="131" t="s">
        <v>4443</v>
      </c>
      <c r="AO46" s="201"/>
      <c r="AP46" s="132" t="s">
        <v>4617</v>
      </c>
      <c r="AQ46" s="141" t="s">
        <v>4442</v>
      </c>
      <c r="AR46" s="141" t="s">
        <v>4442</v>
      </c>
      <c r="AS46" s="141" t="s">
        <v>4442</v>
      </c>
      <c r="AT46" s="141" t="s">
        <v>4442</v>
      </c>
      <c r="AU46" s="199">
        <v>46191</v>
      </c>
      <c r="AV46" s="141" t="s">
        <v>4442</v>
      </c>
      <c r="AW46" s="141" t="s">
        <v>4442</v>
      </c>
      <c r="AX46" s="199">
        <v>46199</v>
      </c>
      <c r="AY46" s="220">
        <v>46199</v>
      </c>
      <c r="AZ46" s="137" t="s">
        <v>4370</v>
      </c>
      <c r="BA46" s="137" t="s">
        <v>4339</v>
      </c>
      <c r="BB46" s="141" t="s">
        <v>4442</v>
      </c>
      <c r="BC46" s="197">
        <f t="shared" si="3"/>
        <v>123</v>
      </c>
      <c r="BD46" s="131" t="str">
        <f t="shared" si="4"/>
        <v>INDENIZAÇÃO</v>
      </c>
      <c r="BE46" s="131" t="str">
        <f t="shared" si="5"/>
        <v>NÃO</v>
      </c>
      <c r="BF46" s="131" t="s">
        <v>4361</v>
      </c>
      <c r="BG46" s="131" t="s">
        <v>4361</v>
      </c>
      <c r="BH46" s="131" t="s">
        <v>4361</v>
      </c>
      <c r="BI46" s="137" t="s">
        <v>4446</v>
      </c>
      <c r="BJ46" s="137"/>
      <c r="BK46" s="255"/>
      <c r="BL46" s="137"/>
      <c r="BM46" s="137"/>
      <c r="BN46" s="182"/>
      <c r="CI46" s="182"/>
    </row>
    <row r="47" spans="1:87" s="141" customFormat="1" ht="30" hidden="1" customHeight="1">
      <c r="A47" s="131">
        <v>33</v>
      </c>
      <c r="B47" s="131" t="s">
        <v>4432</v>
      </c>
      <c r="C47" s="131">
        <v>1</v>
      </c>
      <c r="D47" s="131" t="s">
        <v>4433</v>
      </c>
      <c r="E47" s="131" t="s">
        <v>4433</v>
      </c>
      <c r="F47" s="132" t="s">
        <v>4618</v>
      </c>
      <c r="G47" s="131" t="s">
        <v>4339</v>
      </c>
      <c r="H47" s="131" t="s">
        <v>4340</v>
      </c>
      <c r="I47" s="131" t="s">
        <v>4350</v>
      </c>
      <c r="J47" s="132" t="s">
        <v>4619</v>
      </c>
      <c r="K47" s="132" t="s">
        <v>4620</v>
      </c>
      <c r="L47" s="132" t="s">
        <v>4621</v>
      </c>
      <c r="M47" s="131" t="s">
        <v>4342</v>
      </c>
      <c r="N47" s="131" t="s">
        <v>4343</v>
      </c>
      <c r="O47" s="199">
        <v>46076</v>
      </c>
      <c r="P47" s="136" t="s">
        <v>4361</v>
      </c>
      <c r="Q47" s="136" t="s">
        <v>4361</v>
      </c>
      <c r="R47" s="136" t="s">
        <v>4361</v>
      </c>
      <c r="S47" s="136" t="s">
        <v>4361</v>
      </c>
      <c r="T47" s="136" t="s">
        <v>4361</v>
      </c>
      <c r="U47" s="136" t="s">
        <v>4361</v>
      </c>
      <c r="V47" s="136" t="s">
        <v>4361</v>
      </c>
      <c r="W47" s="136" t="s">
        <v>4361</v>
      </c>
      <c r="X47" s="136" t="s">
        <v>4361</v>
      </c>
      <c r="Y47" s="136" t="s">
        <v>4361</v>
      </c>
      <c r="Z47" s="136" t="s">
        <v>4361</v>
      </c>
      <c r="AB47" s="132" t="s">
        <v>4619</v>
      </c>
      <c r="AC47" s="132" t="s">
        <v>4620</v>
      </c>
      <c r="AD47" s="132" t="s">
        <v>4621</v>
      </c>
      <c r="AE47" s="131" t="s">
        <v>4350</v>
      </c>
      <c r="AF47" s="141" t="s">
        <v>4342</v>
      </c>
      <c r="AG47" s="196">
        <v>36507.269999999997</v>
      </c>
      <c r="AH47" s="196">
        <v>60000</v>
      </c>
      <c r="AI47" s="131" t="s">
        <v>4344</v>
      </c>
      <c r="AJ47" s="132" t="s">
        <v>4616</v>
      </c>
      <c r="AK47" s="131">
        <v>145682350</v>
      </c>
      <c r="AL47" s="131" t="s">
        <v>4442</v>
      </c>
      <c r="AM47" s="141" t="s">
        <v>4442</v>
      </c>
      <c r="AN47" s="141" t="s">
        <v>4443</v>
      </c>
      <c r="AP47" s="132" t="s">
        <v>4622</v>
      </c>
      <c r="AQ47" s="247" t="s">
        <v>4442</v>
      </c>
      <c r="AR47" s="247" t="s">
        <v>4442</v>
      </c>
      <c r="AS47" s="247" t="s">
        <v>4442</v>
      </c>
      <c r="AT47" s="247" t="s">
        <v>4442</v>
      </c>
      <c r="AU47" s="199">
        <v>46142</v>
      </c>
      <c r="AV47" s="247" t="s">
        <v>4442</v>
      </c>
      <c r="AW47" s="247" t="s">
        <v>4442</v>
      </c>
      <c r="AX47" s="199">
        <v>46155</v>
      </c>
      <c r="AY47" s="134">
        <v>46155</v>
      </c>
      <c r="AZ47" s="137" t="s">
        <v>4370</v>
      </c>
      <c r="BA47" s="137" t="s">
        <v>4445</v>
      </c>
      <c r="BB47" s="141" t="s">
        <v>4442</v>
      </c>
      <c r="BC47" s="197">
        <f t="shared" si="3"/>
        <v>79</v>
      </c>
      <c r="BD47" s="131" t="str">
        <f t="shared" si="4"/>
        <v>INDENIZAÇÃO</v>
      </c>
      <c r="BE47" s="131" t="str">
        <f t="shared" si="5"/>
        <v>NÃO</v>
      </c>
      <c r="BF47" s="131" t="s">
        <v>4361</v>
      </c>
      <c r="BG47" s="131" t="s">
        <v>4361</v>
      </c>
      <c r="BH47" s="131" t="s">
        <v>4361</v>
      </c>
      <c r="BI47" s="137" t="s">
        <v>4446</v>
      </c>
      <c r="BJ47" s="137"/>
      <c r="BK47" s="137"/>
      <c r="BL47" s="137"/>
      <c r="BM47" s="137"/>
      <c r="BN47" s="182"/>
      <c r="CI47" s="182"/>
    </row>
    <row r="48" spans="1:87" s="141" customFormat="1" ht="30" hidden="1" customHeight="1">
      <c r="A48" s="131">
        <v>34</v>
      </c>
      <c r="B48" s="131" t="s">
        <v>4432</v>
      </c>
      <c r="C48" s="131">
        <v>1</v>
      </c>
      <c r="D48" s="131" t="s">
        <v>4433</v>
      </c>
      <c r="E48" s="131" t="s">
        <v>4433</v>
      </c>
      <c r="F48" s="132" t="s">
        <v>4623</v>
      </c>
      <c r="G48" s="131"/>
      <c r="H48" s="131"/>
      <c r="I48" s="131" t="s">
        <v>4624</v>
      </c>
      <c r="J48" s="132" t="s">
        <v>4625</v>
      </c>
      <c r="K48" s="132"/>
      <c r="L48" s="132" t="s">
        <v>4626</v>
      </c>
      <c r="M48" s="131"/>
      <c r="N48" s="131"/>
      <c r="O48" s="199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B48" s="132"/>
      <c r="AC48" s="132"/>
      <c r="AD48" s="132"/>
      <c r="AE48" s="131"/>
      <c r="AG48" s="196"/>
      <c r="AH48" s="196"/>
      <c r="AI48" s="131"/>
      <c r="AJ48" s="131"/>
      <c r="AK48" s="131"/>
      <c r="AO48" s="201"/>
      <c r="AP48" s="132"/>
      <c r="AU48" s="199"/>
      <c r="AX48" s="199"/>
      <c r="AY48" s="136"/>
      <c r="BC48" s="197" t="str">
        <f t="shared" si="3"/>
        <v/>
      </c>
      <c r="BD48" s="131" t="str">
        <f t="shared" si="4"/>
        <v>INDENIZAÇÃO</v>
      </c>
      <c r="BE48" s="131" t="str">
        <f t="shared" si="5"/>
        <v>NÃO</v>
      </c>
      <c r="BF48" s="131"/>
      <c r="BG48" s="131"/>
      <c r="BH48" s="131"/>
      <c r="BK48" s="199"/>
      <c r="BN48" s="182"/>
      <c r="CI48" s="182"/>
    </row>
    <row r="49" spans="1:87" s="141" customFormat="1" ht="30" hidden="1" customHeight="1">
      <c r="A49" s="131">
        <v>35</v>
      </c>
      <c r="B49" s="131" t="s">
        <v>4432</v>
      </c>
      <c r="C49" s="131">
        <v>1</v>
      </c>
      <c r="D49" s="131" t="s">
        <v>4433</v>
      </c>
      <c r="E49" s="131" t="s">
        <v>4433</v>
      </c>
      <c r="F49" s="138" t="s">
        <v>4627</v>
      </c>
      <c r="G49" s="131"/>
      <c r="H49" s="131"/>
      <c r="I49" s="131"/>
      <c r="J49" s="132" t="s">
        <v>4628</v>
      </c>
      <c r="K49" s="132"/>
      <c r="L49" s="132" t="s">
        <v>4628</v>
      </c>
      <c r="M49" s="131"/>
      <c r="N49" s="131"/>
      <c r="O49" s="199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6"/>
      <c r="AB49" s="132"/>
      <c r="AC49" s="132"/>
      <c r="AD49" s="132"/>
      <c r="AE49" s="131"/>
      <c r="AG49" s="196"/>
      <c r="AH49" s="196"/>
      <c r="AI49" s="131"/>
      <c r="AO49" s="201"/>
      <c r="AP49" s="132"/>
      <c r="AU49" s="199"/>
      <c r="AX49" s="199"/>
      <c r="AY49" s="136"/>
      <c r="BC49" s="197" t="str">
        <f t="shared" si="3"/>
        <v/>
      </c>
      <c r="BD49" s="131" t="str">
        <f t="shared" si="4"/>
        <v>INDENIZAÇÃO</v>
      </c>
      <c r="BE49" s="131" t="str">
        <f t="shared" si="5"/>
        <v>NÃO</v>
      </c>
      <c r="BF49" s="131"/>
      <c r="BG49" s="131"/>
      <c r="BH49" s="131"/>
      <c r="BK49" s="199"/>
      <c r="BN49" s="182"/>
      <c r="CI49" s="182"/>
    </row>
    <row r="50" spans="1:87" s="141" customFormat="1" ht="30" hidden="1" customHeight="1">
      <c r="A50" s="131">
        <v>36</v>
      </c>
      <c r="B50" s="131" t="s">
        <v>4432</v>
      </c>
      <c r="C50" s="131">
        <v>1</v>
      </c>
      <c r="D50" s="131" t="s">
        <v>4433</v>
      </c>
      <c r="E50" s="131" t="s">
        <v>4433</v>
      </c>
      <c r="F50" s="132" t="s">
        <v>4629</v>
      </c>
      <c r="G50" s="131"/>
      <c r="H50" s="131"/>
      <c r="I50" s="131"/>
      <c r="J50" s="132" t="s">
        <v>4630</v>
      </c>
      <c r="K50" s="132"/>
      <c r="L50" s="132" t="s">
        <v>4631</v>
      </c>
      <c r="M50" s="131"/>
      <c r="N50" s="131"/>
      <c r="O50" s="199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6"/>
      <c r="AB50" s="132"/>
      <c r="AC50" s="132"/>
      <c r="AD50" s="132"/>
      <c r="AE50" s="131"/>
      <c r="AG50" s="196"/>
      <c r="AH50" s="196"/>
      <c r="AI50" s="131"/>
      <c r="AP50" s="132"/>
      <c r="AU50" s="199"/>
      <c r="AX50" s="199"/>
      <c r="AY50" s="136"/>
      <c r="BC50" s="197" t="str">
        <f t="shared" si="3"/>
        <v/>
      </c>
      <c r="BD50" s="131" t="str">
        <f t="shared" si="4"/>
        <v>INDENIZAÇÃO</v>
      </c>
      <c r="BE50" s="131" t="str">
        <f t="shared" si="5"/>
        <v>NÃO</v>
      </c>
      <c r="BF50" s="131"/>
      <c r="BG50" s="131"/>
      <c r="BH50" s="131"/>
      <c r="BK50" s="199"/>
      <c r="BN50" s="182"/>
      <c r="CI50" s="182"/>
    </row>
    <row r="51" spans="1:87" s="141" customFormat="1" ht="30" hidden="1" customHeight="1">
      <c r="A51" s="131">
        <v>37</v>
      </c>
      <c r="B51" s="131" t="s">
        <v>4432</v>
      </c>
      <c r="C51" s="131">
        <v>1</v>
      </c>
      <c r="D51" s="131" t="s">
        <v>4433</v>
      </c>
      <c r="E51" s="131" t="s">
        <v>4433</v>
      </c>
      <c r="F51" s="132" t="s">
        <v>4632</v>
      </c>
      <c r="G51" s="131" t="s">
        <v>4339</v>
      </c>
      <c r="H51" s="131" t="s">
        <v>4340</v>
      </c>
      <c r="I51" s="131" t="s">
        <v>4350</v>
      </c>
      <c r="J51" s="132" t="s">
        <v>4633</v>
      </c>
      <c r="K51" s="132" t="s">
        <v>4634</v>
      </c>
      <c r="L51" s="132" t="s">
        <v>4635</v>
      </c>
      <c r="M51" s="131" t="s">
        <v>4342</v>
      </c>
      <c r="N51" s="131" t="s">
        <v>4343</v>
      </c>
      <c r="O51" s="199">
        <v>46076</v>
      </c>
      <c r="P51" s="136" t="s">
        <v>4361</v>
      </c>
      <c r="Q51" s="136" t="s">
        <v>4361</v>
      </c>
      <c r="R51" s="136" t="s">
        <v>4361</v>
      </c>
      <c r="S51" s="136" t="s">
        <v>4361</v>
      </c>
      <c r="T51" s="136" t="s">
        <v>4361</v>
      </c>
      <c r="U51" s="136" t="s">
        <v>4361</v>
      </c>
      <c r="V51" s="136" t="s">
        <v>4361</v>
      </c>
      <c r="W51" s="136" t="s">
        <v>4361</v>
      </c>
      <c r="X51" s="136" t="s">
        <v>4361</v>
      </c>
      <c r="Y51" s="136" t="s">
        <v>4361</v>
      </c>
      <c r="Z51" s="136" t="s">
        <v>4361</v>
      </c>
      <c r="AB51" s="132" t="s">
        <v>4633</v>
      </c>
      <c r="AC51" s="132" t="s">
        <v>4634</v>
      </c>
      <c r="AD51" s="132" t="s">
        <v>4635</v>
      </c>
      <c r="AE51" s="131" t="s">
        <v>4350</v>
      </c>
      <c r="AF51" s="141" t="s">
        <v>4342</v>
      </c>
      <c r="AG51" s="196">
        <v>38679.31</v>
      </c>
      <c r="AH51" s="196">
        <v>60000</v>
      </c>
      <c r="AI51" s="131" t="s">
        <v>4344</v>
      </c>
      <c r="AJ51" s="132" t="s">
        <v>4616</v>
      </c>
      <c r="AK51" s="131">
        <v>145684941</v>
      </c>
      <c r="AL51" s="131" t="s">
        <v>4442</v>
      </c>
      <c r="AM51" s="131" t="s">
        <v>4442</v>
      </c>
      <c r="AN51" s="141" t="s">
        <v>4443</v>
      </c>
      <c r="AP51" s="132" t="s">
        <v>4636</v>
      </c>
      <c r="AQ51" s="247" t="s">
        <v>4442</v>
      </c>
      <c r="AR51" s="247" t="s">
        <v>4442</v>
      </c>
      <c r="AS51" s="247" t="s">
        <v>4442</v>
      </c>
      <c r="AT51" s="247" t="s">
        <v>4442</v>
      </c>
      <c r="AU51" s="199">
        <v>46142</v>
      </c>
      <c r="AV51" s="247" t="s">
        <v>4442</v>
      </c>
      <c r="AW51" s="247" t="s">
        <v>4442</v>
      </c>
      <c r="AX51" s="199">
        <v>46154</v>
      </c>
      <c r="AY51" s="134">
        <v>46154</v>
      </c>
      <c r="AZ51" s="137" t="s">
        <v>4370</v>
      </c>
      <c r="BA51" s="137" t="s">
        <v>4445</v>
      </c>
      <c r="BB51" s="141" t="s">
        <v>4442</v>
      </c>
      <c r="BC51" s="197">
        <f t="shared" si="3"/>
        <v>78</v>
      </c>
      <c r="BD51" s="131" t="str">
        <f t="shared" si="4"/>
        <v>INDENIZAÇÃO</v>
      </c>
      <c r="BE51" s="131" t="str">
        <f t="shared" si="5"/>
        <v>NÃO</v>
      </c>
      <c r="BF51" s="131" t="s">
        <v>4361</v>
      </c>
      <c r="BG51" s="131" t="s">
        <v>4361</v>
      </c>
      <c r="BH51" s="131" t="s">
        <v>4361</v>
      </c>
      <c r="BI51" s="137" t="s">
        <v>4446</v>
      </c>
      <c r="BJ51" s="137"/>
      <c r="BK51" s="137"/>
      <c r="BL51" s="137"/>
      <c r="BM51" s="137"/>
      <c r="BN51" s="182"/>
      <c r="CI51" s="182"/>
    </row>
    <row r="52" spans="1:87" s="141" customFormat="1" ht="30" hidden="1" customHeight="1">
      <c r="A52" s="131">
        <v>38</v>
      </c>
      <c r="B52" s="131" t="s">
        <v>4432</v>
      </c>
      <c r="C52" s="131">
        <v>1</v>
      </c>
      <c r="D52" s="131" t="s">
        <v>4433</v>
      </c>
      <c r="E52" s="131" t="s">
        <v>4433</v>
      </c>
      <c r="F52" s="132" t="s">
        <v>4637</v>
      </c>
      <c r="G52" s="131"/>
      <c r="H52" s="131"/>
      <c r="I52" s="131" t="s">
        <v>4624</v>
      </c>
      <c r="J52" s="132" t="s">
        <v>4638</v>
      </c>
      <c r="K52" s="132"/>
      <c r="L52" s="132" t="s">
        <v>4639</v>
      </c>
      <c r="M52" s="131"/>
      <c r="N52" s="131"/>
      <c r="O52" s="199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6"/>
      <c r="AB52" s="132"/>
      <c r="AC52" s="132"/>
      <c r="AD52" s="132"/>
      <c r="AE52" s="131"/>
      <c r="AG52" s="196"/>
      <c r="AH52" s="196"/>
      <c r="AI52" s="131"/>
      <c r="AP52" s="132"/>
      <c r="BC52" s="197" t="str">
        <f t="shared" si="3"/>
        <v/>
      </c>
      <c r="BD52" s="131" t="str">
        <f t="shared" si="4"/>
        <v>INDENIZAÇÃO</v>
      </c>
      <c r="BE52" s="131" t="str">
        <f t="shared" si="5"/>
        <v>NÃO</v>
      </c>
      <c r="BF52" s="131"/>
      <c r="BG52" s="199"/>
      <c r="BH52" s="199"/>
      <c r="BN52" s="182"/>
      <c r="CI52" s="182"/>
    </row>
    <row r="53" spans="1:87" s="141" customFormat="1" ht="30" hidden="1" customHeight="1">
      <c r="A53" s="131">
        <v>39</v>
      </c>
      <c r="B53" s="131" t="s">
        <v>4432</v>
      </c>
      <c r="C53" s="131">
        <v>1</v>
      </c>
      <c r="D53" s="131" t="s">
        <v>4433</v>
      </c>
      <c r="E53" s="131" t="s">
        <v>4433</v>
      </c>
      <c r="F53" s="132" t="s">
        <v>4640</v>
      </c>
      <c r="G53" s="131"/>
      <c r="H53" s="131"/>
      <c r="I53" s="131" t="s">
        <v>4624</v>
      </c>
      <c r="J53" s="132" t="s">
        <v>4641</v>
      </c>
      <c r="K53" s="132"/>
      <c r="L53" s="132" t="s">
        <v>4642</v>
      </c>
      <c r="M53" s="131"/>
      <c r="N53" s="131"/>
      <c r="O53" s="199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  <c r="AB53" s="132"/>
      <c r="AC53" s="132"/>
      <c r="AD53" s="132"/>
      <c r="AE53" s="131"/>
      <c r="AG53" s="196"/>
      <c r="AH53" s="196"/>
      <c r="AI53" s="131"/>
      <c r="AJ53" s="131"/>
      <c r="AK53" s="131"/>
      <c r="AP53" s="132"/>
      <c r="BC53" s="197" t="str">
        <f t="shared" si="3"/>
        <v/>
      </c>
      <c r="BD53" s="131" t="str">
        <f t="shared" si="4"/>
        <v>INDENIZAÇÃO</v>
      </c>
      <c r="BE53" s="131" t="str">
        <f t="shared" si="5"/>
        <v>NÃO</v>
      </c>
      <c r="BF53" s="131"/>
      <c r="BG53" s="199"/>
      <c r="BH53" s="199"/>
      <c r="BN53" s="182"/>
      <c r="CI53" s="182"/>
    </row>
    <row r="54" spans="1:87" s="141" customFormat="1" ht="30" hidden="1" customHeight="1">
      <c r="A54" s="131">
        <v>40</v>
      </c>
      <c r="B54" s="131" t="s">
        <v>4432</v>
      </c>
      <c r="C54" s="131">
        <v>1</v>
      </c>
      <c r="D54" s="131" t="s">
        <v>4433</v>
      </c>
      <c r="E54" s="131" t="s">
        <v>4433</v>
      </c>
      <c r="F54" s="132" t="s">
        <v>4643</v>
      </c>
      <c r="G54" s="131"/>
      <c r="H54" s="131"/>
      <c r="I54" s="131"/>
      <c r="J54" s="132" t="s">
        <v>4644</v>
      </c>
      <c r="K54" s="132"/>
      <c r="L54" s="132" t="s">
        <v>4645</v>
      </c>
      <c r="M54" s="131"/>
      <c r="N54" s="131"/>
      <c r="O54" s="199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  <c r="AB54" s="132"/>
      <c r="AC54" s="132"/>
      <c r="AD54" s="132"/>
      <c r="AE54" s="131"/>
      <c r="AG54" s="196"/>
      <c r="AH54" s="196"/>
      <c r="AI54" s="131"/>
      <c r="AJ54" s="131"/>
      <c r="AK54" s="131"/>
      <c r="AP54" s="132"/>
      <c r="BC54" s="197" t="str">
        <f t="shared" si="3"/>
        <v/>
      </c>
      <c r="BD54" s="131" t="str">
        <f t="shared" si="4"/>
        <v>INDENIZAÇÃO</v>
      </c>
      <c r="BE54" s="131" t="str">
        <f t="shared" si="5"/>
        <v>NÃO</v>
      </c>
      <c r="BF54" s="131"/>
      <c r="BG54" s="199"/>
      <c r="BH54" s="199"/>
      <c r="BN54" s="182"/>
      <c r="CI54" s="182"/>
    </row>
    <row r="55" spans="1:87" s="141" customFormat="1" ht="30" hidden="1" customHeight="1">
      <c r="A55" s="131">
        <v>41</v>
      </c>
      <c r="B55" s="131" t="s">
        <v>4432</v>
      </c>
      <c r="C55" s="131">
        <v>1</v>
      </c>
      <c r="D55" s="131" t="s">
        <v>4433</v>
      </c>
      <c r="E55" s="131" t="s">
        <v>4433</v>
      </c>
      <c r="F55" s="132" t="s">
        <v>4646</v>
      </c>
      <c r="G55" s="131" t="s">
        <v>4339</v>
      </c>
      <c r="H55" s="131" t="s">
        <v>4340</v>
      </c>
      <c r="I55" s="131" t="s">
        <v>4350</v>
      </c>
      <c r="J55" s="132" t="s">
        <v>4647</v>
      </c>
      <c r="K55" s="132" t="s">
        <v>4648</v>
      </c>
      <c r="L55" s="132" t="s">
        <v>4649</v>
      </c>
      <c r="M55" s="131" t="s">
        <v>4342</v>
      </c>
      <c r="N55" s="131" t="s">
        <v>4343</v>
      </c>
      <c r="O55" s="199">
        <v>46076</v>
      </c>
      <c r="P55" s="133" t="s">
        <v>4361</v>
      </c>
      <c r="Q55" s="133" t="s">
        <v>4361</v>
      </c>
      <c r="R55" s="133" t="s">
        <v>4361</v>
      </c>
      <c r="S55" s="133" t="s">
        <v>4361</v>
      </c>
      <c r="T55" s="133" t="s">
        <v>4361</v>
      </c>
      <c r="U55" s="133" t="s">
        <v>4361</v>
      </c>
      <c r="V55" s="133" t="s">
        <v>4361</v>
      </c>
      <c r="W55" s="133" t="s">
        <v>4361</v>
      </c>
      <c r="X55" s="133" t="s">
        <v>4361</v>
      </c>
      <c r="Y55" s="133" t="s">
        <v>4361</v>
      </c>
      <c r="Z55" s="133" t="s">
        <v>4361</v>
      </c>
      <c r="AB55" s="132" t="s">
        <v>4647</v>
      </c>
      <c r="AC55" s="132" t="s">
        <v>4648</v>
      </c>
      <c r="AD55" s="132" t="s">
        <v>4649</v>
      </c>
      <c r="AE55" s="131" t="s">
        <v>4350</v>
      </c>
      <c r="AF55" s="141" t="s">
        <v>4534</v>
      </c>
      <c r="AG55" s="196">
        <v>59232.57</v>
      </c>
      <c r="AH55" s="196">
        <v>60000</v>
      </c>
      <c r="AI55" s="131" t="s">
        <v>4344</v>
      </c>
      <c r="AJ55" s="132" t="s">
        <v>4616</v>
      </c>
      <c r="AK55" s="131">
        <v>145685201</v>
      </c>
      <c r="AL55" s="141" t="s">
        <v>4442</v>
      </c>
      <c r="AM55" s="131" t="s">
        <v>4442</v>
      </c>
      <c r="AN55" s="141" t="s">
        <v>4443</v>
      </c>
      <c r="AP55" s="132" t="s">
        <v>4650</v>
      </c>
      <c r="AQ55" s="141" t="s">
        <v>4442</v>
      </c>
      <c r="AR55" s="141" t="s">
        <v>4442</v>
      </c>
      <c r="AS55" s="141" t="s">
        <v>4442</v>
      </c>
      <c r="AT55" s="141" t="s">
        <v>4442</v>
      </c>
      <c r="AU55" s="199">
        <v>46191</v>
      </c>
      <c r="AV55" s="141" t="s">
        <v>4442</v>
      </c>
      <c r="AW55" s="141" t="s">
        <v>4442</v>
      </c>
      <c r="AX55" s="199">
        <v>46199</v>
      </c>
      <c r="AY55" s="220">
        <v>46199</v>
      </c>
      <c r="AZ55" s="137" t="s">
        <v>4370</v>
      </c>
      <c r="BA55" s="137" t="s">
        <v>4339</v>
      </c>
      <c r="BB55" s="141" t="s">
        <v>4442</v>
      </c>
      <c r="BC55" s="197">
        <f t="shared" si="3"/>
        <v>123</v>
      </c>
      <c r="BD55" s="131" t="str">
        <f t="shared" si="4"/>
        <v>INDENIZAÇÃO</v>
      </c>
      <c r="BE55" s="131" t="str">
        <f t="shared" si="5"/>
        <v>NÃO</v>
      </c>
      <c r="BF55" s="131" t="s">
        <v>4361</v>
      </c>
      <c r="BG55" s="131" t="s">
        <v>4361</v>
      </c>
      <c r="BH55" s="131" t="s">
        <v>4361</v>
      </c>
      <c r="BI55" s="137" t="s">
        <v>4446</v>
      </c>
      <c r="BJ55" s="137"/>
      <c r="BK55" s="255"/>
      <c r="BL55" s="137"/>
      <c r="BM55" s="137"/>
      <c r="BN55" s="182"/>
      <c r="CI55" s="182"/>
    </row>
    <row r="56" spans="1:87" s="141" customFormat="1" ht="30" hidden="1" customHeight="1">
      <c r="A56" s="131">
        <v>42</v>
      </c>
      <c r="B56" s="131" t="s">
        <v>4432</v>
      </c>
      <c r="C56" s="131">
        <v>1</v>
      </c>
      <c r="D56" s="131" t="s">
        <v>4433</v>
      </c>
      <c r="E56" s="131" t="s">
        <v>4433</v>
      </c>
      <c r="F56" s="132" t="s">
        <v>4651</v>
      </c>
      <c r="G56" s="131"/>
      <c r="H56" s="131"/>
      <c r="I56" s="131"/>
      <c r="J56" s="132" t="s">
        <v>4652</v>
      </c>
      <c r="K56" s="132"/>
      <c r="L56" s="132" t="s">
        <v>4653</v>
      </c>
      <c r="M56" s="131"/>
      <c r="N56" s="131"/>
      <c r="O56" s="199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  <c r="AB56" s="132"/>
      <c r="AC56" s="132"/>
      <c r="AD56" s="132"/>
      <c r="AE56" s="131"/>
      <c r="AG56" s="196"/>
      <c r="AH56" s="196"/>
      <c r="AI56" s="131"/>
      <c r="AJ56" s="131"/>
      <c r="AK56" s="131"/>
      <c r="AP56" s="132"/>
      <c r="BC56" s="197" t="str">
        <f t="shared" si="3"/>
        <v/>
      </c>
      <c r="BD56" s="131" t="str">
        <f t="shared" si="4"/>
        <v>INDENIZAÇÃO</v>
      </c>
      <c r="BE56" s="131" t="str">
        <f t="shared" si="5"/>
        <v>NÃO</v>
      </c>
      <c r="BF56" s="131"/>
      <c r="BG56" s="199"/>
      <c r="BH56" s="199"/>
      <c r="BN56" s="182"/>
      <c r="CI56" s="182"/>
    </row>
    <row r="57" spans="1:87" s="141" customFormat="1" ht="30" hidden="1" customHeight="1">
      <c r="A57" s="131">
        <v>43</v>
      </c>
      <c r="B57" s="131" t="s">
        <v>4432</v>
      </c>
      <c r="C57" s="131">
        <v>1</v>
      </c>
      <c r="D57" s="131" t="s">
        <v>4433</v>
      </c>
      <c r="E57" s="131" t="s">
        <v>4433</v>
      </c>
      <c r="F57" s="132" t="s">
        <v>4654</v>
      </c>
      <c r="G57" s="131"/>
      <c r="H57" s="131"/>
      <c r="I57" s="131" t="s">
        <v>4624</v>
      </c>
      <c r="J57" s="132" t="s">
        <v>4655</v>
      </c>
      <c r="K57" s="132"/>
      <c r="L57" s="132" t="s">
        <v>4656</v>
      </c>
      <c r="M57" s="131"/>
      <c r="N57" s="131"/>
      <c r="O57" s="199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  <c r="AB57" s="132"/>
      <c r="AC57" s="132"/>
      <c r="AD57" s="132"/>
      <c r="AE57" s="131"/>
      <c r="AG57" s="196"/>
      <c r="AH57" s="196"/>
      <c r="AI57" s="131"/>
      <c r="AP57" s="132"/>
      <c r="AU57" s="199"/>
      <c r="AX57" s="199"/>
      <c r="AY57" s="136"/>
      <c r="BC57" s="197" t="str">
        <f t="shared" si="3"/>
        <v/>
      </c>
      <c r="BD57" s="131" t="str">
        <f t="shared" si="4"/>
        <v>INDENIZAÇÃO</v>
      </c>
      <c r="BE57" s="131" t="str">
        <f t="shared" si="5"/>
        <v>NÃO</v>
      </c>
      <c r="BF57" s="131"/>
      <c r="BG57" s="131"/>
      <c r="BH57" s="131"/>
      <c r="BK57" s="199"/>
      <c r="BN57" s="182"/>
      <c r="CI57" s="182"/>
    </row>
    <row r="58" spans="1:87" s="141" customFormat="1" ht="30" hidden="1" customHeight="1">
      <c r="A58" s="131">
        <v>204</v>
      </c>
      <c r="B58" s="131" t="s">
        <v>4432</v>
      </c>
      <c r="C58" s="131">
        <v>1</v>
      </c>
      <c r="D58" s="131" t="s">
        <v>4433</v>
      </c>
      <c r="E58" s="131" t="s">
        <v>4433</v>
      </c>
      <c r="F58" s="210" t="s">
        <v>4657</v>
      </c>
      <c r="G58" s="131" t="s">
        <v>4339</v>
      </c>
      <c r="H58" s="131" t="s">
        <v>4340</v>
      </c>
      <c r="I58" s="131" t="s">
        <v>4350</v>
      </c>
      <c r="J58" s="132" t="s">
        <v>4658</v>
      </c>
      <c r="K58" s="132" t="s">
        <v>4659</v>
      </c>
      <c r="L58" s="132" t="s">
        <v>4660</v>
      </c>
      <c r="M58" s="131" t="s">
        <v>4342</v>
      </c>
      <c r="N58" s="131" t="s">
        <v>4343</v>
      </c>
      <c r="O58" s="199">
        <v>46076</v>
      </c>
      <c r="P58" s="133" t="s">
        <v>4361</v>
      </c>
      <c r="Q58" s="133" t="s">
        <v>4361</v>
      </c>
      <c r="R58" s="133" t="s">
        <v>4361</v>
      </c>
      <c r="S58" s="133" t="s">
        <v>4361</v>
      </c>
      <c r="T58" s="133" t="s">
        <v>4361</v>
      </c>
      <c r="U58" s="133" t="s">
        <v>4361</v>
      </c>
      <c r="V58" s="133" t="s">
        <v>4361</v>
      </c>
      <c r="W58" s="133" t="s">
        <v>4361</v>
      </c>
      <c r="X58" s="133" t="s">
        <v>4361</v>
      </c>
      <c r="Y58" s="133" t="s">
        <v>4361</v>
      </c>
      <c r="Z58" s="133" t="s">
        <v>4361</v>
      </c>
      <c r="AB58" s="132" t="s">
        <v>4658</v>
      </c>
      <c r="AC58" s="132" t="s">
        <v>4659</v>
      </c>
      <c r="AD58" s="132" t="s">
        <v>4660</v>
      </c>
      <c r="AE58" s="131" t="s">
        <v>4350</v>
      </c>
      <c r="AF58" s="141" t="s">
        <v>4534</v>
      </c>
      <c r="AG58" s="196">
        <v>41269.74</v>
      </c>
      <c r="AH58" s="196">
        <v>60000</v>
      </c>
      <c r="AI58" s="131" t="s">
        <v>4344</v>
      </c>
      <c r="AJ58" s="132" t="s">
        <v>4616</v>
      </c>
      <c r="AK58" s="131">
        <v>146125884</v>
      </c>
      <c r="AL58" s="141" t="s">
        <v>4442</v>
      </c>
      <c r="AM58" s="131" t="s">
        <v>4442</v>
      </c>
      <c r="AN58" s="141" t="s">
        <v>4443</v>
      </c>
      <c r="AP58" s="257" t="s">
        <v>4661</v>
      </c>
      <c r="AQ58" s="141" t="s">
        <v>4442</v>
      </c>
      <c r="AR58" s="141" t="s">
        <v>4442</v>
      </c>
      <c r="AS58" s="141" t="s">
        <v>4442</v>
      </c>
      <c r="AT58" s="141" t="s">
        <v>4442</v>
      </c>
      <c r="AU58" s="199">
        <v>46191</v>
      </c>
      <c r="AV58" s="141" t="s">
        <v>4442</v>
      </c>
      <c r="AW58" s="141" t="s">
        <v>4442</v>
      </c>
      <c r="AX58" s="199">
        <v>46218</v>
      </c>
      <c r="AY58" s="263">
        <v>46218</v>
      </c>
      <c r="AZ58" s="137" t="s">
        <v>4370</v>
      </c>
      <c r="BA58" s="137" t="s">
        <v>4445</v>
      </c>
      <c r="BB58" s="141" t="s">
        <v>4442</v>
      </c>
      <c r="BC58" s="197">
        <f t="shared" si="3"/>
        <v>142</v>
      </c>
      <c r="BD58" s="131" t="str">
        <f t="shared" si="4"/>
        <v>INDENIZAÇÃO</v>
      </c>
      <c r="BE58" s="131" t="str">
        <f t="shared" si="5"/>
        <v>NÃO</v>
      </c>
      <c r="BF58" s="131" t="s">
        <v>4361</v>
      </c>
      <c r="BG58" s="131" t="s">
        <v>4361</v>
      </c>
      <c r="BH58" s="131" t="s">
        <v>4361</v>
      </c>
      <c r="BI58" s="137" t="s">
        <v>4446</v>
      </c>
      <c r="BJ58" s="137"/>
      <c r="BK58" s="137"/>
      <c r="BL58" s="137"/>
      <c r="BM58" s="137"/>
      <c r="BN58" s="182"/>
      <c r="CI58" s="182"/>
    </row>
    <row r="59" spans="1:87" s="141" customFormat="1" ht="30" hidden="1" customHeight="1">
      <c r="A59" s="131">
        <v>45</v>
      </c>
      <c r="B59" s="131" t="s">
        <v>4432</v>
      </c>
      <c r="C59" s="131">
        <v>1</v>
      </c>
      <c r="D59" s="131" t="s">
        <v>4433</v>
      </c>
      <c r="E59" s="131" t="s">
        <v>4433</v>
      </c>
      <c r="F59" s="132" t="s">
        <v>4662</v>
      </c>
      <c r="G59" s="131" t="s">
        <v>4348</v>
      </c>
      <c r="H59" s="131"/>
      <c r="I59" s="131"/>
      <c r="J59" s="132" t="s">
        <v>4663</v>
      </c>
      <c r="K59" s="132"/>
      <c r="L59" s="132" t="s">
        <v>4664</v>
      </c>
      <c r="M59" s="131"/>
      <c r="N59" s="131"/>
      <c r="O59" s="199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  <c r="AB59" s="132"/>
      <c r="AC59" s="132"/>
      <c r="AD59" s="132"/>
      <c r="AE59" s="131"/>
      <c r="AG59" s="196"/>
      <c r="AH59" s="196"/>
      <c r="AI59" s="131"/>
      <c r="AJ59" s="131"/>
      <c r="AK59" s="131"/>
      <c r="AO59" s="201"/>
      <c r="AP59" s="132"/>
      <c r="AU59" s="199"/>
      <c r="AX59" s="199"/>
      <c r="AY59" s="136"/>
      <c r="BC59" s="197" t="str">
        <f t="shared" si="3"/>
        <v/>
      </c>
      <c r="BD59" s="131" t="str">
        <f t="shared" si="4"/>
        <v>INDENIZAÇÃO</v>
      </c>
      <c r="BE59" s="131" t="str">
        <f t="shared" si="5"/>
        <v>NÃO</v>
      </c>
      <c r="BF59" s="131"/>
      <c r="BG59" s="131"/>
      <c r="BH59" s="131"/>
      <c r="BK59" s="199"/>
      <c r="BN59" s="182"/>
      <c r="CI59" s="182"/>
    </row>
    <row r="60" spans="1:87" s="141" customFormat="1" ht="30" hidden="1" customHeight="1">
      <c r="A60" s="131">
        <v>46</v>
      </c>
      <c r="B60" s="131" t="s">
        <v>4432</v>
      </c>
      <c r="C60" s="131">
        <v>1</v>
      </c>
      <c r="D60" s="131" t="s">
        <v>4433</v>
      </c>
      <c r="E60" s="131" t="s">
        <v>4433</v>
      </c>
      <c r="F60" s="210" t="s">
        <v>4665</v>
      </c>
      <c r="G60" s="131"/>
      <c r="H60" s="131"/>
      <c r="I60" s="131"/>
      <c r="J60" s="132" t="s">
        <v>4666</v>
      </c>
      <c r="K60" s="132"/>
      <c r="L60" s="132" t="s">
        <v>4667</v>
      </c>
      <c r="M60" s="131"/>
      <c r="N60" s="131"/>
      <c r="O60" s="199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  <c r="AB60" s="132"/>
      <c r="AC60" s="132"/>
      <c r="AD60" s="132"/>
      <c r="AE60" s="131"/>
      <c r="AG60" s="196"/>
      <c r="AH60" s="196"/>
      <c r="AI60" s="131"/>
      <c r="AO60" s="201"/>
      <c r="AP60" s="132"/>
      <c r="BC60" s="197" t="str">
        <f t="shared" si="3"/>
        <v/>
      </c>
      <c r="BD60" s="131" t="str">
        <f t="shared" si="4"/>
        <v>INDENIZAÇÃO</v>
      </c>
      <c r="BE60" s="131" t="str">
        <f t="shared" si="5"/>
        <v>NÃO</v>
      </c>
      <c r="BF60" s="131"/>
      <c r="BG60" s="199"/>
      <c r="BH60" s="199"/>
      <c r="BN60" s="182"/>
      <c r="CI60" s="182"/>
    </row>
    <row r="61" spans="1:87" s="141" customFormat="1" ht="30" hidden="1" customHeight="1">
      <c r="A61" s="131">
        <v>47</v>
      </c>
      <c r="B61" s="131" t="s">
        <v>4432</v>
      </c>
      <c r="C61" s="131">
        <v>1</v>
      </c>
      <c r="D61" s="131" t="s">
        <v>4433</v>
      </c>
      <c r="E61" s="131" t="s">
        <v>4433</v>
      </c>
      <c r="F61" s="210" t="s">
        <v>4668</v>
      </c>
      <c r="G61" s="131"/>
      <c r="H61" s="131"/>
      <c r="I61" s="131"/>
      <c r="J61" s="132" t="s">
        <v>4669</v>
      </c>
      <c r="K61" s="132"/>
      <c r="L61" s="132" t="s">
        <v>4670</v>
      </c>
      <c r="M61" s="131"/>
      <c r="N61" s="131"/>
      <c r="O61" s="199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  <c r="AB61" s="132"/>
      <c r="AC61" s="132"/>
      <c r="AD61" s="132"/>
      <c r="AE61" s="131"/>
      <c r="AG61" s="196"/>
      <c r="AH61" s="196"/>
      <c r="AI61" s="131"/>
      <c r="AJ61" s="131"/>
      <c r="AK61" s="131"/>
      <c r="AP61" s="132"/>
      <c r="AU61" s="199"/>
      <c r="BC61" s="197" t="str">
        <f t="shared" si="3"/>
        <v/>
      </c>
      <c r="BD61" s="131" t="str">
        <f t="shared" si="4"/>
        <v>INDENIZAÇÃO</v>
      </c>
      <c r="BE61" s="131" t="str">
        <f t="shared" si="5"/>
        <v>NÃO</v>
      </c>
      <c r="BF61" s="131"/>
      <c r="BG61" s="199"/>
      <c r="BH61" s="199"/>
      <c r="BN61" s="182"/>
      <c r="CI61" s="182"/>
    </row>
    <row r="62" spans="1:87" s="141" customFormat="1" ht="30" hidden="1" customHeight="1">
      <c r="A62" s="131">
        <v>48</v>
      </c>
      <c r="B62" s="131" t="s">
        <v>4432</v>
      </c>
      <c r="C62" s="131">
        <v>1</v>
      </c>
      <c r="D62" s="131" t="s">
        <v>4433</v>
      </c>
      <c r="E62" s="131" t="s">
        <v>4433</v>
      </c>
      <c r="F62" s="211" t="s">
        <v>4671</v>
      </c>
      <c r="G62" s="131"/>
      <c r="H62" s="131"/>
      <c r="I62" s="131" t="s">
        <v>4624</v>
      </c>
      <c r="J62" s="132" t="s">
        <v>4672</v>
      </c>
      <c r="K62" s="132"/>
      <c r="L62" s="132" t="s">
        <v>4673</v>
      </c>
      <c r="M62" s="131"/>
      <c r="N62" s="131"/>
      <c r="O62" s="199"/>
      <c r="P62" s="136"/>
      <c r="Q62" s="131"/>
      <c r="R62" s="136"/>
      <c r="S62" s="136"/>
      <c r="T62" s="136"/>
      <c r="U62" s="136"/>
      <c r="V62" s="136"/>
      <c r="W62" s="136"/>
      <c r="X62" s="136"/>
      <c r="Y62" s="136"/>
      <c r="Z62" s="136"/>
      <c r="AB62" s="132"/>
      <c r="AC62" s="132"/>
      <c r="AD62" s="132"/>
      <c r="AE62" s="131"/>
      <c r="AG62" s="196"/>
      <c r="AH62" s="196"/>
      <c r="AI62" s="131"/>
      <c r="AJ62" s="131"/>
      <c r="AK62" s="131"/>
      <c r="AP62" s="132"/>
      <c r="AU62" s="199"/>
      <c r="BC62" s="197" t="str">
        <f t="shared" si="3"/>
        <v/>
      </c>
      <c r="BD62" s="131" t="str">
        <f t="shared" si="4"/>
        <v>INDENIZAÇÃO</v>
      </c>
      <c r="BE62" s="131" t="str">
        <f t="shared" si="5"/>
        <v>NÃO</v>
      </c>
      <c r="BF62" s="131"/>
      <c r="BG62" s="199"/>
      <c r="BH62" s="199"/>
      <c r="BN62" s="182"/>
      <c r="CI62" s="182"/>
    </row>
    <row r="63" spans="1:87" s="141" customFormat="1" ht="30" hidden="1" customHeight="1">
      <c r="A63" s="131">
        <v>49</v>
      </c>
      <c r="B63" s="131" t="s">
        <v>4432</v>
      </c>
      <c r="C63" s="131">
        <v>1</v>
      </c>
      <c r="D63" s="131" t="s">
        <v>4433</v>
      </c>
      <c r="E63" s="131" t="s">
        <v>4433</v>
      </c>
      <c r="F63" s="210" t="s">
        <v>4674</v>
      </c>
      <c r="G63" s="131" t="s">
        <v>4339</v>
      </c>
      <c r="H63" s="131" t="s">
        <v>4349</v>
      </c>
      <c r="I63" s="131"/>
      <c r="J63" s="132" t="s">
        <v>4675</v>
      </c>
      <c r="K63" s="132"/>
      <c r="L63" s="132" t="s">
        <v>4676</v>
      </c>
      <c r="M63" s="131"/>
      <c r="N63" s="131"/>
      <c r="O63" s="199"/>
      <c r="P63" s="136"/>
      <c r="Q63" s="131"/>
      <c r="R63" s="136"/>
      <c r="S63" s="136"/>
      <c r="T63" s="136"/>
      <c r="U63" s="136"/>
      <c r="V63" s="136"/>
      <c r="W63" s="136"/>
      <c r="X63" s="136"/>
      <c r="Y63" s="136"/>
      <c r="Z63" s="136"/>
      <c r="AB63" s="132"/>
      <c r="AC63" s="132"/>
      <c r="AD63" s="132"/>
      <c r="AE63" s="131"/>
      <c r="AG63" s="196"/>
      <c r="AH63" s="196"/>
      <c r="AI63" s="131"/>
      <c r="AJ63" s="131"/>
      <c r="AK63" s="131"/>
      <c r="AO63" s="201"/>
      <c r="AP63" s="132"/>
      <c r="BC63" s="197" t="str">
        <f t="shared" si="3"/>
        <v/>
      </c>
      <c r="BD63" s="131" t="str">
        <f t="shared" si="4"/>
        <v>INDENIZAÇÃO</v>
      </c>
      <c r="BE63" s="131" t="str">
        <f t="shared" si="5"/>
        <v>NÃO</v>
      </c>
      <c r="BF63" s="131"/>
      <c r="BG63" s="199"/>
      <c r="BH63" s="199"/>
      <c r="BN63" s="182"/>
      <c r="CI63" s="182"/>
    </row>
    <row r="64" spans="1:87" s="141" customFormat="1" ht="30" hidden="1" customHeight="1">
      <c r="A64" s="131">
        <v>50</v>
      </c>
      <c r="B64" s="131" t="s">
        <v>4432</v>
      </c>
      <c r="C64" s="131">
        <v>1</v>
      </c>
      <c r="D64" s="131" t="s">
        <v>4433</v>
      </c>
      <c r="E64" s="131" t="s">
        <v>4433</v>
      </c>
      <c r="F64" s="210" t="s">
        <v>4677</v>
      </c>
      <c r="G64" s="131"/>
      <c r="H64" s="131"/>
      <c r="I64" s="131"/>
      <c r="J64" s="132" t="s">
        <v>4678</v>
      </c>
      <c r="K64" s="132"/>
      <c r="L64" s="132" t="s">
        <v>4679</v>
      </c>
      <c r="M64" s="131"/>
      <c r="N64" s="131"/>
      <c r="O64" s="199"/>
      <c r="P64" s="136"/>
      <c r="Q64" s="131"/>
      <c r="R64" s="136"/>
      <c r="S64" s="136"/>
      <c r="T64" s="136"/>
      <c r="U64" s="136"/>
      <c r="V64" s="136"/>
      <c r="W64" s="136"/>
      <c r="X64" s="136"/>
      <c r="Y64" s="136"/>
      <c r="Z64" s="136"/>
      <c r="AB64" s="132"/>
      <c r="AC64" s="132"/>
      <c r="AD64" s="132"/>
      <c r="AE64" s="131"/>
      <c r="AG64" s="196"/>
      <c r="AH64" s="196"/>
      <c r="AI64" s="131"/>
      <c r="AJ64" s="131"/>
      <c r="AK64" s="131"/>
      <c r="AP64" s="132"/>
      <c r="AU64" s="199"/>
      <c r="BC64" s="197" t="str">
        <f t="shared" si="3"/>
        <v/>
      </c>
      <c r="BD64" s="131" t="str">
        <f t="shared" si="4"/>
        <v>INDENIZAÇÃO</v>
      </c>
      <c r="BE64" s="131" t="str">
        <f t="shared" si="5"/>
        <v>NÃO</v>
      </c>
      <c r="BF64" s="131"/>
      <c r="BG64" s="199"/>
      <c r="BH64" s="199"/>
      <c r="BN64" s="182"/>
      <c r="CI64" s="182"/>
    </row>
    <row r="65" spans="1:87" s="141" customFormat="1" ht="30" hidden="1" customHeight="1">
      <c r="A65" s="131">
        <v>51</v>
      </c>
      <c r="B65" s="131" t="s">
        <v>4432</v>
      </c>
      <c r="C65" s="131">
        <v>1</v>
      </c>
      <c r="D65" s="131" t="s">
        <v>4433</v>
      </c>
      <c r="E65" s="131" t="s">
        <v>4433</v>
      </c>
      <c r="F65" s="210" t="s">
        <v>4680</v>
      </c>
      <c r="G65" s="131"/>
      <c r="H65" s="131"/>
      <c r="I65" s="131"/>
      <c r="J65" s="132" t="s">
        <v>4628</v>
      </c>
      <c r="K65" s="132"/>
      <c r="L65" s="132" t="s">
        <v>4628</v>
      </c>
      <c r="M65" s="131"/>
      <c r="N65" s="131"/>
      <c r="O65" s="199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  <c r="AB65" s="132"/>
      <c r="AC65" s="132"/>
      <c r="AD65" s="132"/>
      <c r="AE65" s="131"/>
      <c r="AG65" s="196"/>
      <c r="AH65" s="196"/>
      <c r="AI65" s="131"/>
      <c r="AJ65" s="131"/>
      <c r="AK65" s="131"/>
      <c r="AP65" s="132"/>
      <c r="BC65" s="197" t="str">
        <f t="shared" si="3"/>
        <v/>
      </c>
      <c r="BD65" s="131" t="str">
        <f t="shared" si="4"/>
        <v>INDENIZAÇÃO</v>
      </c>
      <c r="BE65" s="131" t="str">
        <f t="shared" si="5"/>
        <v>NÃO</v>
      </c>
      <c r="BF65" s="131"/>
      <c r="BG65" s="199"/>
      <c r="BH65" s="199"/>
      <c r="BN65" s="182"/>
      <c r="CI65" s="182"/>
    </row>
    <row r="66" spans="1:87" s="141" customFormat="1" ht="30" hidden="1" customHeight="1">
      <c r="A66" s="131">
        <v>52</v>
      </c>
      <c r="B66" s="131" t="s">
        <v>4432</v>
      </c>
      <c r="C66" s="131">
        <v>1</v>
      </c>
      <c r="D66" s="131" t="s">
        <v>4433</v>
      </c>
      <c r="E66" s="131" t="s">
        <v>4433</v>
      </c>
      <c r="F66" s="210" t="s">
        <v>4681</v>
      </c>
      <c r="G66" s="131"/>
      <c r="H66" s="131"/>
      <c r="I66" s="131"/>
      <c r="J66" s="132" t="s">
        <v>4682</v>
      </c>
      <c r="K66" s="132"/>
      <c r="L66" s="132" t="s">
        <v>4683</v>
      </c>
      <c r="M66" s="131"/>
      <c r="N66" s="131"/>
      <c r="O66" s="199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  <c r="AB66" s="132"/>
      <c r="AC66" s="132"/>
      <c r="AD66" s="132"/>
      <c r="AE66" s="131"/>
      <c r="AG66" s="196"/>
      <c r="AH66" s="196"/>
      <c r="AI66" s="131"/>
      <c r="AJ66" s="131"/>
      <c r="AK66" s="131"/>
      <c r="AP66" s="132"/>
      <c r="BC66" s="197" t="str">
        <f t="shared" si="3"/>
        <v/>
      </c>
      <c r="BD66" s="131" t="str">
        <f t="shared" si="4"/>
        <v>INDENIZAÇÃO</v>
      </c>
      <c r="BE66" s="131" t="str">
        <f t="shared" si="5"/>
        <v>NÃO</v>
      </c>
      <c r="BF66" s="131"/>
      <c r="BG66" s="199"/>
      <c r="BH66" s="199"/>
      <c r="BN66" s="182"/>
      <c r="CI66" s="182"/>
    </row>
    <row r="67" spans="1:87" s="141" customFormat="1" ht="30" hidden="1" customHeight="1">
      <c r="A67" s="131">
        <v>53</v>
      </c>
      <c r="B67" s="131" t="s">
        <v>4432</v>
      </c>
      <c r="C67" s="131">
        <v>1</v>
      </c>
      <c r="D67" s="131" t="s">
        <v>4433</v>
      </c>
      <c r="E67" s="131" t="s">
        <v>4433</v>
      </c>
      <c r="F67" s="210" t="s">
        <v>4684</v>
      </c>
      <c r="G67" s="131" t="s">
        <v>4339</v>
      </c>
      <c r="H67" s="131"/>
      <c r="I67" s="131" t="s">
        <v>4624</v>
      </c>
      <c r="J67" s="132" t="s">
        <v>4685</v>
      </c>
      <c r="K67" s="132"/>
      <c r="L67" s="132" t="s">
        <v>4686</v>
      </c>
      <c r="M67" s="131"/>
      <c r="N67" s="131"/>
      <c r="O67" s="199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  <c r="AB67" s="132"/>
      <c r="AC67" s="132"/>
      <c r="AD67" s="132"/>
      <c r="AE67" s="131"/>
      <c r="AG67" s="196"/>
      <c r="AH67" s="196"/>
      <c r="AI67" s="131"/>
      <c r="AJ67" s="131"/>
      <c r="AK67" s="131"/>
      <c r="AO67" s="201"/>
      <c r="AP67" s="132"/>
      <c r="AU67" s="199"/>
      <c r="AX67" s="199"/>
      <c r="AY67" s="136"/>
      <c r="BC67" s="197" t="str">
        <f t="shared" si="3"/>
        <v/>
      </c>
      <c r="BD67" s="131" t="str">
        <f t="shared" si="4"/>
        <v>INDENIZAÇÃO</v>
      </c>
      <c r="BE67" s="131" t="str">
        <f t="shared" si="5"/>
        <v>NÃO</v>
      </c>
      <c r="BF67" s="131"/>
      <c r="BG67" s="131"/>
      <c r="BH67" s="131"/>
      <c r="BK67" s="199"/>
      <c r="BN67" s="182"/>
      <c r="CI67" s="182"/>
    </row>
    <row r="68" spans="1:87" s="141" customFormat="1" ht="30" hidden="1" customHeight="1">
      <c r="A68" s="131">
        <v>54</v>
      </c>
      <c r="B68" s="131" t="s">
        <v>4432</v>
      </c>
      <c r="C68" s="131">
        <v>1</v>
      </c>
      <c r="D68" s="131" t="s">
        <v>4433</v>
      </c>
      <c r="E68" s="131" t="s">
        <v>4433</v>
      </c>
      <c r="F68" s="210" t="s">
        <v>4687</v>
      </c>
      <c r="G68" s="131"/>
      <c r="H68" s="131"/>
      <c r="I68" s="131"/>
      <c r="J68" s="132" t="s">
        <v>4688</v>
      </c>
      <c r="K68" s="132"/>
      <c r="L68" s="132" t="s">
        <v>4689</v>
      </c>
      <c r="M68" s="131"/>
      <c r="N68" s="131"/>
      <c r="O68" s="199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  <c r="AB68" s="132"/>
      <c r="AC68" s="132"/>
      <c r="AD68" s="132"/>
      <c r="AE68" s="131"/>
      <c r="AG68" s="196"/>
      <c r="AH68" s="196"/>
      <c r="AI68" s="131"/>
      <c r="AJ68" s="131"/>
      <c r="AK68" s="131"/>
      <c r="AP68" s="132"/>
      <c r="BC68" s="197" t="str">
        <f t="shared" si="3"/>
        <v/>
      </c>
      <c r="BD68" s="131" t="str">
        <f t="shared" si="4"/>
        <v>INDENIZAÇÃO</v>
      </c>
      <c r="BE68" s="131" t="str">
        <f t="shared" si="5"/>
        <v>NÃO</v>
      </c>
      <c r="BF68" s="131"/>
      <c r="BG68" s="199"/>
      <c r="BH68" s="199"/>
      <c r="BN68" s="182"/>
      <c r="CI68" s="182"/>
    </row>
    <row r="69" spans="1:87" s="141" customFormat="1" ht="30" hidden="1" customHeight="1">
      <c r="A69" s="131">
        <v>55</v>
      </c>
      <c r="B69" s="131" t="s">
        <v>4432</v>
      </c>
      <c r="C69" s="131">
        <v>1</v>
      </c>
      <c r="D69" s="131" t="s">
        <v>4433</v>
      </c>
      <c r="E69" s="131" t="s">
        <v>4433</v>
      </c>
      <c r="F69" s="210" t="s">
        <v>4690</v>
      </c>
      <c r="G69" s="131"/>
      <c r="H69" s="131"/>
      <c r="I69" s="131" t="s">
        <v>4624</v>
      </c>
      <c r="J69" s="132" t="s">
        <v>4691</v>
      </c>
      <c r="K69" s="132"/>
      <c r="L69" s="132" t="s">
        <v>4692</v>
      </c>
      <c r="M69" s="131"/>
      <c r="N69" s="131"/>
      <c r="O69" s="199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  <c r="AB69" s="132"/>
      <c r="AC69" s="132"/>
      <c r="AD69" s="132"/>
      <c r="AE69" s="131"/>
      <c r="AG69" s="196"/>
      <c r="AH69" s="196"/>
      <c r="AI69" s="131"/>
      <c r="AJ69" s="131"/>
      <c r="AK69" s="131"/>
      <c r="AP69" s="132"/>
      <c r="BC69" s="197" t="str">
        <f t="shared" si="3"/>
        <v/>
      </c>
      <c r="BD69" s="131" t="str">
        <f t="shared" si="4"/>
        <v>INDENIZAÇÃO</v>
      </c>
      <c r="BE69" s="131" t="str">
        <f t="shared" si="5"/>
        <v>NÃO</v>
      </c>
      <c r="BF69" s="131"/>
      <c r="BG69" s="199"/>
      <c r="BH69" s="199"/>
      <c r="BN69" s="182"/>
      <c r="CI69" s="182"/>
    </row>
    <row r="70" spans="1:87" s="141" customFormat="1" ht="30" hidden="1" customHeight="1">
      <c r="A70" s="131">
        <v>56</v>
      </c>
      <c r="B70" s="131" t="s">
        <v>4432</v>
      </c>
      <c r="C70" s="131">
        <v>1</v>
      </c>
      <c r="D70" s="131" t="s">
        <v>4433</v>
      </c>
      <c r="E70" s="131" t="s">
        <v>4433</v>
      </c>
      <c r="F70" s="210" t="s">
        <v>4693</v>
      </c>
      <c r="G70" s="131"/>
      <c r="H70" s="131"/>
      <c r="I70" s="131" t="s">
        <v>4624</v>
      </c>
      <c r="J70" s="132" t="s">
        <v>4694</v>
      </c>
      <c r="K70" s="132"/>
      <c r="L70" s="132" t="s">
        <v>4695</v>
      </c>
      <c r="M70" s="131"/>
      <c r="N70" s="131"/>
      <c r="O70" s="199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  <c r="AB70" s="132"/>
      <c r="AC70" s="132"/>
      <c r="AD70" s="132"/>
      <c r="AE70" s="131"/>
      <c r="AG70" s="196"/>
      <c r="AH70" s="196"/>
      <c r="AI70" s="131"/>
      <c r="AJ70" s="131"/>
      <c r="AK70" s="131"/>
      <c r="AP70" s="132"/>
      <c r="BC70" s="197" t="str">
        <f t="shared" si="3"/>
        <v/>
      </c>
      <c r="BD70" s="131" t="str">
        <f t="shared" si="4"/>
        <v>INDENIZAÇÃO</v>
      </c>
      <c r="BE70" s="131" t="str">
        <f t="shared" si="5"/>
        <v>NÃO</v>
      </c>
      <c r="BF70" s="131"/>
      <c r="BG70" s="199"/>
      <c r="BH70" s="199"/>
      <c r="BN70" s="182"/>
      <c r="CI70" s="182"/>
    </row>
    <row r="71" spans="1:87" s="141" customFormat="1" ht="30" hidden="1" customHeight="1">
      <c r="A71" s="131">
        <v>57</v>
      </c>
      <c r="B71" s="131" t="s">
        <v>4432</v>
      </c>
      <c r="C71" s="131">
        <v>1</v>
      </c>
      <c r="D71" s="131" t="s">
        <v>4433</v>
      </c>
      <c r="E71" s="131" t="s">
        <v>4433</v>
      </c>
      <c r="F71" s="210" t="s">
        <v>4696</v>
      </c>
      <c r="G71" s="131"/>
      <c r="H71" s="131"/>
      <c r="I71" s="131"/>
      <c r="J71" s="132" t="s">
        <v>4697</v>
      </c>
      <c r="K71" s="132"/>
      <c r="L71" s="132" t="s">
        <v>4698</v>
      </c>
      <c r="M71" s="131"/>
      <c r="N71" s="131"/>
      <c r="O71" s="199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  <c r="AB71" s="132"/>
      <c r="AC71" s="132"/>
      <c r="AD71" s="132"/>
      <c r="AE71" s="131"/>
      <c r="AG71" s="196"/>
      <c r="AH71" s="196"/>
      <c r="AI71" s="131"/>
      <c r="AJ71" s="131"/>
      <c r="AK71" s="131"/>
      <c r="AP71" s="132"/>
      <c r="BC71" s="197" t="str">
        <f t="shared" si="3"/>
        <v/>
      </c>
      <c r="BD71" s="131" t="str">
        <f t="shared" si="4"/>
        <v>INDENIZAÇÃO</v>
      </c>
      <c r="BE71" s="131" t="str">
        <f t="shared" si="5"/>
        <v>NÃO</v>
      </c>
      <c r="BF71" s="131"/>
      <c r="BG71" s="199"/>
      <c r="BH71" s="199"/>
      <c r="BN71" s="182"/>
      <c r="CI71" s="182"/>
    </row>
    <row r="72" spans="1:87" s="141" customFormat="1" ht="30" hidden="1" customHeight="1">
      <c r="A72" s="131">
        <v>58</v>
      </c>
      <c r="B72" s="131" t="s">
        <v>4432</v>
      </c>
      <c r="C72" s="131">
        <v>1</v>
      </c>
      <c r="D72" s="131" t="s">
        <v>4433</v>
      </c>
      <c r="E72" s="131" t="s">
        <v>4433</v>
      </c>
      <c r="F72" s="210" t="s">
        <v>4699</v>
      </c>
      <c r="G72" s="131"/>
      <c r="H72" s="131"/>
      <c r="I72" s="131"/>
      <c r="J72" s="132" t="s">
        <v>4700</v>
      </c>
      <c r="K72" s="132"/>
      <c r="L72" s="132" t="s">
        <v>4701</v>
      </c>
      <c r="M72" s="131"/>
      <c r="N72" s="131"/>
      <c r="O72" s="199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  <c r="AB72" s="132"/>
      <c r="AC72" s="132"/>
      <c r="AD72" s="132"/>
      <c r="AE72" s="131"/>
      <c r="AG72" s="196"/>
      <c r="AH72" s="196"/>
      <c r="AI72" s="131"/>
      <c r="AO72" s="201"/>
      <c r="AP72" s="132"/>
      <c r="BC72" s="197" t="str">
        <f t="shared" si="3"/>
        <v/>
      </c>
      <c r="BD72" s="131" t="str">
        <f t="shared" si="4"/>
        <v>INDENIZAÇÃO</v>
      </c>
      <c r="BE72" s="131" t="str">
        <f t="shared" si="5"/>
        <v>NÃO</v>
      </c>
      <c r="BF72" s="131"/>
      <c r="BG72" s="199"/>
      <c r="BH72" s="199"/>
      <c r="BN72" s="182"/>
      <c r="CI72" s="182"/>
    </row>
    <row r="73" spans="1:87" s="141" customFormat="1" ht="30" hidden="1" customHeight="1">
      <c r="A73" s="131">
        <v>59</v>
      </c>
      <c r="B73" s="131" t="s">
        <v>4432</v>
      </c>
      <c r="C73" s="131">
        <v>1</v>
      </c>
      <c r="D73" s="131" t="s">
        <v>4433</v>
      </c>
      <c r="E73" s="131" t="s">
        <v>4433</v>
      </c>
      <c r="F73" s="210" t="s">
        <v>4702</v>
      </c>
      <c r="G73" s="131"/>
      <c r="H73" s="131"/>
      <c r="I73" s="131"/>
      <c r="J73" s="132" t="s">
        <v>4703</v>
      </c>
      <c r="K73" s="132"/>
      <c r="L73" s="132" t="s">
        <v>4704</v>
      </c>
      <c r="M73" s="131"/>
      <c r="N73" s="131"/>
      <c r="O73" s="199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  <c r="AB73" s="132"/>
      <c r="AC73" s="132"/>
      <c r="AD73" s="132"/>
      <c r="AE73" s="131"/>
      <c r="AG73" s="196"/>
      <c r="AH73" s="196"/>
      <c r="AI73" s="131"/>
      <c r="AJ73" s="131"/>
      <c r="AK73" s="131"/>
      <c r="AP73" s="132"/>
      <c r="BC73" s="197" t="str">
        <f t="shared" si="3"/>
        <v/>
      </c>
      <c r="BD73" s="131" t="str">
        <f t="shared" si="4"/>
        <v>INDENIZAÇÃO</v>
      </c>
      <c r="BE73" s="131" t="str">
        <f t="shared" si="5"/>
        <v>NÃO</v>
      </c>
      <c r="BF73" s="131"/>
      <c r="BG73" s="199"/>
      <c r="BH73" s="199"/>
      <c r="BN73" s="182"/>
      <c r="CI73" s="182"/>
    </row>
    <row r="74" spans="1:87" s="141" customFormat="1" ht="30" hidden="1" customHeight="1">
      <c r="A74" s="131">
        <v>60</v>
      </c>
      <c r="B74" s="131" t="s">
        <v>4432</v>
      </c>
      <c r="C74" s="131">
        <v>1</v>
      </c>
      <c r="D74" s="131" t="s">
        <v>4433</v>
      </c>
      <c r="E74" s="131" t="s">
        <v>4433</v>
      </c>
      <c r="F74" s="210" t="s">
        <v>4705</v>
      </c>
      <c r="G74" s="131"/>
      <c r="H74" s="131"/>
      <c r="I74" s="131"/>
      <c r="J74" s="132" t="s">
        <v>4706</v>
      </c>
      <c r="K74" s="132"/>
      <c r="L74" s="132" t="s">
        <v>4707</v>
      </c>
      <c r="M74" s="131"/>
      <c r="N74" s="131"/>
      <c r="O74" s="199"/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  <c r="AB74" s="132"/>
      <c r="AC74" s="132"/>
      <c r="AD74" s="132"/>
      <c r="AE74" s="131"/>
      <c r="AG74" s="196"/>
      <c r="AH74" s="196"/>
      <c r="AI74" s="131"/>
      <c r="AJ74" s="131"/>
      <c r="AK74" s="131"/>
      <c r="AO74" s="201"/>
      <c r="AP74" s="132"/>
      <c r="AU74" s="199"/>
      <c r="AX74" s="199"/>
      <c r="AY74" s="136"/>
      <c r="BC74" s="197" t="str">
        <f t="shared" si="3"/>
        <v/>
      </c>
      <c r="BD74" s="131" t="str">
        <f t="shared" si="4"/>
        <v>INDENIZAÇÃO</v>
      </c>
      <c r="BE74" s="131" t="str">
        <f t="shared" si="5"/>
        <v>NÃO</v>
      </c>
      <c r="BF74" s="131"/>
      <c r="BG74" s="131"/>
      <c r="BH74" s="131"/>
      <c r="BK74" s="199"/>
      <c r="BN74" s="182"/>
      <c r="CI74" s="182"/>
    </row>
    <row r="75" spans="1:87" s="141" customFormat="1" ht="30" hidden="1" customHeight="1">
      <c r="A75" s="131">
        <v>61</v>
      </c>
      <c r="B75" s="131" t="s">
        <v>4432</v>
      </c>
      <c r="C75" s="131">
        <v>1</v>
      </c>
      <c r="D75" s="131" t="s">
        <v>4433</v>
      </c>
      <c r="E75" s="131" t="s">
        <v>4433</v>
      </c>
      <c r="F75" s="210" t="s">
        <v>4708</v>
      </c>
      <c r="G75" s="131" t="s">
        <v>4348</v>
      </c>
      <c r="H75" s="131"/>
      <c r="I75" s="131"/>
      <c r="J75" s="132" t="s">
        <v>4628</v>
      </c>
      <c r="K75" s="132"/>
      <c r="L75" s="132" t="s">
        <v>4628</v>
      </c>
      <c r="M75" s="131"/>
      <c r="N75" s="131"/>
      <c r="O75" s="199"/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  <c r="AB75" s="132"/>
      <c r="AC75" s="132"/>
      <c r="AD75" s="132"/>
      <c r="AE75" s="131"/>
      <c r="AG75" s="196"/>
      <c r="AH75" s="196"/>
      <c r="AI75" s="131"/>
      <c r="AO75" s="201"/>
      <c r="AP75" s="132"/>
      <c r="BC75" s="197" t="str">
        <f t="shared" si="3"/>
        <v/>
      </c>
      <c r="BD75" s="131" t="str">
        <f t="shared" si="4"/>
        <v>INDENIZAÇÃO</v>
      </c>
      <c r="BE75" s="131" t="str">
        <f t="shared" si="5"/>
        <v>NÃO</v>
      </c>
      <c r="BF75" s="131"/>
      <c r="BG75" s="199"/>
      <c r="BH75" s="199"/>
      <c r="BN75" s="182"/>
      <c r="CI75" s="182"/>
    </row>
    <row r="76" spans="1:87" s="141" customFormat="1" ht="30" hidden="1" customHeight="1">
      <c r="A76" s="131">
        <v>62</v>
      </c>
      <c r="B76" s="131" t="s">
        <v>4432</v>
      </c>
      <c r="C76" s="131">
        <v>1</v>
      </c>
      <c r="D76" s="131" t="s">
        <v>4433</v>
      </c>
      <c r="E76" s="131" t="s">
        <v>4433</v>
      </c>
      <c r="F76" s="210" t="s">
        <v>4709</v>
      </c>
      <c r="G76" s="131" t="s">
        <v>4348</v>
      </c>
      <c r="H76" s="131"/>
      <c r="I76" s="131"/>
      <c r="J76" s="132" t="s">
        <v>4628</v>
      </c>
      <c r="K76" s="132"/>
      <c r="L76" s="132" t="s">
        <v>4628</v>
      </c>
      <c r="M76" s="131"/>
      <c r="N76" s="131"/>
      <c r="O76" s="199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  <c r="AB76" s="132"/>
      <c r="AC76" s="132"/>
      <c r="AD76" s="132"/>
      <c r="AE76" s="131"/>
      <c r="AG76" s="196"/>
      <c r="AH76" s="196"/>
      <c r="AI76" s="131"/>
      <c r="AJ76" s="131"/>
      <c r="AK76" s="131"/>
      <c r="AP76" s="132"/>
      <c r="BC76" s="197" t="str">
        <f t="shared" si="3"/>
        <v/>
      </c>
      <c r="BD76" s="131" t="str">
        <f t="shared" si="4"/>
        <v>INDENIZAÇÃO</v>
      </c>
      <c r="BE76" s="131" t="str">
        <f t="shared" si="5"/>
        <v>NÃO</v>
      </c>
      <c r="BF76" s="131"/>
      <c r="BG76" s="199"/>
      <c r="BH76" s="199"/>
      <c r="BN76" s="182"/>
      <c r="CI76" s="182"/>
    </row>
    <row r="77" spans="1:87" s="141" customFormat="1" ht="30" hidden="1" customHeight="1">
      <c r="A77" s="131">
        <v>63</v>
      </c>
      <c r="B77" s="131" t="s">
        <v>4432</v>
      </c>
      <c r="C77" s="131">
        <v>1</v>
      </c>
      <c r="D77" s="131" t="s">
        <v>4433</v>
      </c>
      <c r="E77" s="131" t="s">
        <v>4433</v>
      </c>
      <c r="F77" s="210" t="s">
        <v>4710</v>
      </c>
      <c r="G77" s="131"/>
      <c r="H77" s="131"/>
      <c r="I77" s="131"/>
      <c r="J77" s="132" t="s">
        <v>4711</v>
      </c>
      <c r="K77" s="132"/>
      <c r="L77" s="132" t="s">
        <v>4712</v>
      </c>
      <c r="M77" s="131"/>
      <c r="N77" s="131"/>
      <c r="O77" s="199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  <c r="AB77" s="132"/>
      <c r="AC77" s="132"/>
      <c r="AD77" s="132"/>
      <c r="AE77" s="131"/>
      <c r="AG77" s="196"/>
      <c r="AH77" s="196"/>
      <c r="AI77" s="131"/>
      <c r="AJ77" s="131"/>
      <c r="AK77" s="131"/>
      <c r="AP77" s="132"/>
      <c r="BC77" s="197" t="str">
        <f t="shared" si="3"/>
        <v/>
      </c>
      <c r="BD77" s="131" t="str">
        <f t="shared" si="4"/>
        <v>INDENIZAÇÃO</v>
      </c>
      <c r="BE77" s="131" t="str">
        <f t="shared" si="5"/>
        <v>NÃO</v>
      </c>
      <c r="BF77" s="131"/>
      <c r="BG77" s="199"/>
      <c r="BH77" s="199"/>
      <c r="BN77" s="182"/>
      <c r="CI77" s="182"/>
    </row>
    <row r="78" spans="1:87" s="141" customFormat="1" ht="30" hidden="1" customHeight="1">
      <c r="A78" s="131">
        <v>64</v>
      </c>
      <c r="B78" s="131" t="s">
        <v>4432</v>
      </c>
      <c r="C78" s="131">
        <v>1</v>
      </c>
      <c r="D78" s="131" t="s">
        <v>4433</v>
      </c>
      <c r="E78" s="131" t="s">
        <v>4433</v>
      </c>
      <c r="F78" s="210" t="s">
        <v>4713</v>
      </c>
      <c r="G78" s="131"/>
      <c r="H78" s="131"/>
      <c r="I78" s="131"/>
      <c r="J78" s="132" t="s">
        <v>4628</v>
      </c>
      <c r="K78" s="132"/>
      <c r="L78" s="132" t="s">
        <v>4628</v>
      </c>
      <c r="M78" s="131"/>
      <c r="N78" s="131"/>
      <c r="O78" s="199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  <c r="AB78" s="132"/>
      <c r="AC78" s="132"/>
      <c r="AD78" s="132"/>
      <c r="AE78" s="131"/>
      <c r="AG78" s="196"/>
      <c r="AH78" s="196"/>
      <c r="AI78" s="131"/>
      <c r="AJ78" s="131"/>
      <c r="AK78" s="131"/>
      <c r="AP78" s="132"/>
      <c r="BC78" s="197" t="str">
        <f t="shared" si="3"/>
        <v/>
      </c>
      <c r="BD78" s="131" t="str">
        <f t="shared" si="4"/>
        <v>INDENIZAÇÃO</v>
      </c>
      <c r="BE78" s="131" t="str">
        <f t="shared" si="5"/>
        <v>NÃO</v>
      </c>
      <c r="BF78" s="131"/>
      <c r="BG78" s="199"/>
      <c r="BH78" s="199"/>
      <c r="BN78" s="182"/>
      <c r="CI78" s="182"/>
    </row>
    <row r="79" spans="1:87" s="141" customFormat="1" ht="30" hidden="1" customHeight="1">
      <c r="A79" s="131">
        <v>65</v>
      </c>
      <c r="B79" s="131" t="s">
        <v>4432</v>
      </c>
      <c r="C79" s="131">
        <v>1</v>
      </c>
      <c r="D79" s="131" t="s">
        <v>4433</v>
      </c>
      <c r="E79" s="131" t="s">
        <v>4433</v>
      </c>
      <c r="F79" s="210" t="s">
        <v>4714</v>
      </c>
      <c r="G79" s="131"/>
      <c r="H79" s="131"/>
      <c r="I79" s="131"/>
      <c r="J79" s="132" t="s">
        <v>4715</v>
      </c>
      <c r="K79" s="132"/>
      <c r="L79" s="132" t="s">
        <v>4716</v>
      </c>
      <c r="M79" s="131"/>
      <c r="N79" s="131"/>
      <c r="O79" s="199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  <c r="AB79" s="132"/>
      <c r="AC79" s="132"/>
      <c r="AD79" s="132"/>
      <c r="AE79" s="131"/>
      <c r="AG79" s="196"/>
      <c r="AH79" s="196"/>
      <c r="AI79" s="131"/>
      <c r="AJ79" s="131"/>
      <c r="AK79" s="131"/>
      <c r="AP79" s="132"/>
      <c r="BC79" s="197" t="str">
        <f t="shared" si="3"/>
        <v/>
      </c>
      <c r="BD79" s="131" t="str">
        <f t="shared" si="4"/>
        <v>INDENIZAÇÃO</v>
      </c>
      <c r="BE79" s="131" t="str">
        <f t="shared" si="5"/>
        <v>NÃO</v>
      </c>
      <c r="BF79" s="131"/>
      <c r="BG79" s="199"/>
      <c r="BH79" s="199"/>
      <c r="BN79" s="182"/>
      <c r="CI79" s="182"/>
    </row>
    <row r="80" spans="1:87" s="141" customFormat="1" ht="30" hidden="1" customHeight="1">
      <c r="A80" s="131">
        <v>66</v>
      </c>
      <c r="B80" s="131" t="s">
        <v>4432</v>
      </c>
      <c r="C80" s="131">
        <v>1</v>
      </c>
      <c r="D80" s="131" t="s">
        <v>4433</v>
      </c>
      <c r="E80" s="131" t="s">
        <v>4433</v>
      </c>
      <c r="F80" s="210" t="s">
        <v>4717</v>
      </c>
      <c r="G80" s="131"/>
      <c r="H80" s="131"/>
      <c r="I80" s="131"/>
      <c r="J80" s="132" t="s">
        <v>4718</v>
      </c>
      <c r="K80" s="132"/>
      <c r="L80" s="132" t="s">
        <v>4719</v>
      </c>
      <c r="M80" s="131"/>
      <c r="N80" s="131"/>
      <c r="O80" s="199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  <c r="AB80" s="132"/>
      <c r="AC80" s="132"/>
      <c r="AD80" s="132"/>
      <c r="AE80" s="131"/>
      <c r="AG80" s="196"/>
      <c r="AH80" s="196"/>
      <c r="AI80" s="131"/>
      <c r="AJ80" s="131"/>
      <c r="AK80" s="131"/>
      <c r="AP80" s="132"/>
      <c r="BC80" s="197" t="str">
        <f t="shared" si="3"/>
        <v/>
      </c>
      <c r="BD80" s="131" t="str">
        <f t="shared" si="4"/>
        <v>INDENIZAÇÃO</v>
      </c>
      <c r="BE80" s="131" t="str">
        <f t="shared" si="5"/>
        <v>NÃO</v>
      </c>
      <c r="BF80" s="131"/>
      <c r="BG80" s="199"/>
      <c r="BH80" s="199"/>
      <c r="BN80" s="182"/>
      <c r="CI80" s="182"/>
    </row>
    <row r="81" spans="1:87" s="141" customFormat="1" ht="30" hidden="1" customHeight="1">
      <c r="A81" s="131">
        <v>67</v>
      </c>
      <c r="B81" s="131" t="s">
        <v>4432</v>
      </c>
      <c r="C81" s="131">
        <v>1</v>
      </c>
      <c r="D81" s="131" t="s">
        <v>4433</v>
      </c>
      <c r="E81" s="131" t="s">
        <v>4433</v>
      </c>
      <c r="F81" s="210" t="s">
        <v>4720</v>
      </c>
      <c r="G81" s="131"/>
      <c r="H81" s="131"/>
      <c r="I81" s="131"/>
      <c r="J81" s="132" t="s">
        <v>4721</v>
      </c>
      <c r="K81" s="132"/>
      <c r="L81" s="132" t="s">
        <v>4722</v>
      </c>
      <c r="M81" s="131"/>
      <c r="N81" s="131"/>
      <c r="O81" s="199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  <c r="AB81" s="132"/>
      <c r="AC81" s="132"/>
      <c r="AD81" s="132"/>
      <c r="AE81" s="131"/>
      <c r="AG81" s="196"/>
      <c r="AH81" s="196"/>
      <c r="AI81" s="131"/>
      <c r="AJ81" s="131"/>
      <c r="AK81" s="131"/>
      <c r="AP81" s="132"/>
      <c r="BC81" s="197" t="str">
        <f t="shared" si="3"/>
        <v/>
      </c>
      <c r="BD81" s="131" t="str">
        <f t="shared" si="4"/>
        <v>INDENIZAÇÃO</v>
      </c>
      <c r="BE81" s="131" t="str">
        <f t="shared" si="5"/>
        <v>NÃO</v>
      </c>
      <c r="BF81" s="131"/>
      <c r="BG81" s="199"/>
      <c r="BH81" s="199"/>
      <c r="BN81" s="182"/>
      <c r="CI81" s="182"/>
    </row>
    <row r="82" spans="1:87" s="141" customFormat="1" ht="30" hidden="1" customHeight="1">
      <c r="A82" s="131">
        <v>68</v>
      </c>
      <c r="B82" s="131" t="s">
        <v>4432</v>
      </c>
      <c r="C82" s="131">
        <v>1</v>
      </c>
      <c r="D82" s="131" t="s">
        <v>4433</v>
      </c>
      <c r="E82" s="131" t="s">
        <v>4433</v>
      </c>
      <c r="F82" s="210" t="s">
        <v>4723</v>
      </c>
      <c r="G82" s="131" t="s">
        <v>4339</v>
      </c>
      <c r="H82" s="131" t="s">
        <v>4340</v>
      </c>
      <c r="I82" s="131" t="s">
        <v>4624</v>
      </c>
      <c r="J82" s="132" t="s">
        <v>4724</v>
      </c>
      <c r="K82" s="132" t="s">
        <v>4725</v>
      </c>
      <c r="L82" s="132" t="s">
        <v>4726</v>
      </c>
      <c r="M82" s="131" t="s">
        <v>4342</v>
      </c>
      <c r="N82" s="131" t="s">
        <v>4</v>
      </c>
      <c r="O82" s="199">
        <v>46142</v>
      </c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  <c r="AB82" s="132" t="s">
        <v>4727</v>
      </c>
      <c r="AC82" s="132" t="s">
        <v>4728</v>
      </c>
      <c r="AD82" s="132" t="s">
        <v>4729</v>
      </c>
      <c r="AE82" s="131" t="s">
        <v>4341</v>
      </c>
      <c r="AF82" s="141" t="s">
        <v>4534</v>
      </c>
      <c r="AG82" s="196">
        <v>28673.41</v>
      </c>
      <c r="AH82" s="196">
        <v>28673.41</v>
      </c>
      <c r="AI82" s="131" t="s">
        <v>4344</v>
      </c>
      <c r="AJ82" s="132" t="s">
        <v>4616</v>
      </c>
      <c r="AK82" s="131">
        <v>153085859</v>
      </c>
      <c r="AL82" s="141" t="s">
        <v>4442</v>
      </c>
      <c r="AM82" s="141" t="s">
        <v>4442</v>
      </c>
      <c r="AN82" s="141" t="s">
        <v>4443</v>
      </c>
      <c r="AP82" s="132" t="s">
        <v>4730</v>
      </c>
      <c r="AQ82" s="141" t="s">
        <v>4442</v>
      </c>
      <c r="AR82" s="141" t="s">
        <v>4442</v>
      </c>
      <c r="AS82" s="141" t="s">
        <v>4442</v>
      </c>
      <c r="AT82" s="141" t="s">
        <v>4442</v>
      </c>
      <c r="AU82" s="199">
        <v>46191</v>
      </c>
      <c r="AV82" s="141" t="s">
        <v>4442</v>
      </c>
      <c r="AW82" s="141" t="s">
        <v>4442</v>
      </c>
      <c r="AX82" s="199">
        <v>46198</v>
      </c>
      <c r="AY82" s="220">
        <v>46198</v>
      </c>
      <c r="AZ82" s="137" t="s">
        <v>4370</v>
      </c>
      <c r="BA82" s="137" t="s">
        <v>4339</v>
      </c>
      <c r="BB82" s="141" t="s">
        <v>4442</v>
      </c>
      <c r="BC82" s="197">
        <f t="shared" si="3"/>
        <v>56</v>
      </c>
      <c r="BD82" s="131" t="str">
        <f t="shared" si="4"/>
        <v>INDENIZAÇÃO</v>
      </c>
      <c r="BE82" s="131" t="str">
        <f t="shared" si="5"/>
        <v>NÃO</v>
      </c>
      <c r="BF82" s="131" t="s">
        <v>4361</v>
      </c>
      <c r="BG82" s="131" t="s">
        <v>4361</v>
      </c>
      <c r="BH82" s="131" t="s">
        <v>4361</v>
      </c>
      <c r="BI82" s="137" t="s">
        <v>4446</v>
      </c>
      <c r="BJ82" s="137"/>
      <c r="BK82" s="255"/>
      <c r="BL82" s="137"/>
      <c r="BM82" s="137"/>
      <c r="BN82" s="182"/>
      <c r="CI82" s="182"/>
    </row>
    <row r="83" spans="1:87" s="141" customFormat="1" ht="30" hidden="1" customHeight="1">
      <c r="A83" s="131">
        <v>69</v>
      </c>
      <c r="B83" s="131" t="s">
        <v>4432</v>
      </c>
      <c r="C83" s="131">
        <v>1</v>
      </c>
      <c r="D83" s="131" t="s">
        <v>4433</v>
      </c>
      <c r="E83" s="131" t="s">
        <v>4433</v>
      </c>
      <c r="F83" s="210" t="s">
        <v>4731</v>
      </c>
      <c r="G83" s="131" t="s">
        <v>4339</v>
      </c>
      <c r="H83" s="131" t="s">
        <v>4340</v>
      </c>
      <c r="I83" s="131" t="s">
        <v>4350</v>
      </c>
      <c r="J83" s="132" t="s">
        <v>4732</v>
      </c>
      <c r="K83" s="132" t="s">
        <v>4733</v>
      </c>
      <c r="L83" s="132" t="s">
        <v>4734</v>
      </c>
      <c r="M83" s="131" t="s">
        <v>4342</v>
      </c>
      <c r="N83" s="131" t="s">
        <v>4343</v>
      </c>
      <c r="O83" s="199">
        <v>46076</v>
      </c>
      <c r="P83" s="133" t="s">
        <v>4361</v>
      </c>
      <c r="Q83" s="133" t="s">
        <v>4361</v>
      </c>
      <c r="R83" s="133" t="s">
        <v>4361</v>
      </c>
      <c r="S83" s="133" t="s">
        <v>4361</v>
      </c>
      <c r="T83" s="133" t="s">
        <v>4361</v>
      </c>
      <c r="U83" s="133" t="s">
        <v>4361</v>
      </c>
      <c r="V83" s="133" t="s">
        <v>4361</v>
      </c>
      <c r="W83" s="133" t="s">
        <v>4361</v>
      </c>
      <c r="X83" s="133" t="s">
        <v>4361</v>
      </c>
      <c r="Y83" s="133" t="s">
        <v>4361</v>
      </c>
      <c r="Z83" s="133" t="s">
        <v>4361</v>
      </c>
      <c r="AB83" s="132" t="s">
        <v>4732</v>
      </c>
      <c r="AC83" s="132" t="s">
        <v>4733</v>
      </c>
      <c r="AD83" s="132" t="s">
        <v>4734</v>
      </c>
      <c r="AE83" s="131" t="s">
        <v>4350</v>
      </c>
      <c r="AF83" s="141" t="s">
        <v>4534</v>
      </c>
      <c r="AG83" s="196">
        <v>31028.23</v>
      </c>
      <c r="AH83" s="196">
        <v>60000</v>
      </c>
      <c r="AI83" s="131" t="s">
        <v>4344</v>
      </c>
      <c r="AJ83" s="132" t="s">
        <v>4616</v>
      </c>
      <c r="AK83" s="131">
        <v>145688546</v>
      </c>
      <c r="AL83" s="131" t="s">
        <v>4442</v>
      </c>
      <c r="AM83" s="141" t="s">
        <v>4442</v>
      </c>
      <c r="AN83" s="141" t="s">
        <v>4443</v>
      </c>
      <c r="AP83" s="132" t="s">
        <v>4735</v>
      </c>
      <c r="AQ83" s="141" t="s">
        <v>4442</v>
      </c>
      <c r="AR83" s="141" t="s">
        <v>4442</v>
      </c>
      <c r="AS83" s="141" t="s">
        <v>4442</v>
      </c>
      <c r="AT83" s="141" t="s">
        <v>4442</v>
      </c>
      <c r="AU83" s="199">
        <v>46191</v>
      </c>
      <c r="AV83" s="141" t="s">
        <v>4442</v>
      </c>
      <c r="AW83" s="141" t="s">
        <v>4442</v>
      </c>
      <c r="AX83" s="199">
        <v>46199</v>
      </c>
      <c r="AY83" s="220">
        <v>46199</v>
      </c>
      <c r="AZ83" s="137" t="s">
        <v>4370</v>
      </c>
      <c r="BA83" s="137" t="s">
        <v>4339</v>
      </c>
      <c r="BB83" s="141" t="s">
        <v>4442</v>
      </c>
      <c r="BC83" s="197">
        <f t="shared" si="3"/>
        <v>123</v>
      </c>
      <c r="BD83" s="131" t="str">
        <f t="shared" si="4"/>
        <v>INDENIZAÇÃO</v>
      </c>
      <c r="BE83" s="131" t="str">
        <f t="shared" si="5"/>
        <v>NÃO</v>
      </c>
      <c r="BF83" s="131" t="s">
        <v>4361</v>
      </c>
      <c r="BG83" s="131" t="s">
        <v>4361</v>
      </c>
      <c r="BH83" s="131" t="s">
        <v>4361</v>
      </c>
      <c r="BI83" s="137" t="s">
        <v>4446</v>
      </c>
      <c r="BJ83" s="137"/>
      <c r="BK83" s="255"/>
      <c r="BL83" s="137"/>
      <c r="BM83" s="137"/>
      <c r="BN83" s="182"/>
      <c r="CI83" s="182"/>
    </row>
    <row r="84" spans="1:87" s="141" customFormat="1" ht="30" hidden="1" customHeight="1">
      <c r="A84" s="131">
        <v>70</v>
      </c>
      <c r="B84" s="131" t="s">
        <v>4432</v>
      </c>
      <c r="C84" s="131">
        <v>1</v>
      </c>
      <c r="D84" s="131" t="s">
        <v>4433</v>
      </c>
      <c r="E84" s="131" t="s">
        <v>4433</v>
      </c>
      <c r="F84" s="210" t="s">
        <v>4736</v>
      </c>
      <c r="G84" s="131"/>
      <c r="H84" s="131"/>
      <c r="I84" s="131"/>
      <c r="J84" s="132" t="s">
        <v>4737</v>
      </c>
      <c r="K84" s="132"/>
      <c r="L84" s="132" t="s">
        <v>4738</v>
      </c>
      <c r="M84" s="131"/>
      <c r="N84" s="131"/>
      <c r="O84" s="199"/>
      <c r="P84" s="136"/>
      <c r="Q84" s="131"/>
      <c r="R84" s="136"/>
      <c r="S84" s="136"/>
      <c r="T84" s="136"/>
      <c r="U84" s="136"/>
      <c r="V84" s="136"/>
      <c r="W84" s="136"/>
      <c r="X84" s="136"/>
      <c r="Y84" s="136"/>
      <c r="Z84" s="136"/>
      <c r="AB84" s="132"/>
      <c r="AC84" s="132"/>
      <c r="AD84" s="132"/>
      <c r="AE84" s="131"/>
      <c r="AG84" s="196"/>
      <c r="AH84" s="196"/>
      <c r="AI84" s="131"/>
      <c r="AJ84" s="131"/>
      <c r="AK84" s="131"/>
      <c r="AO84" s="201"/>
      <c r="AP84" s="132"/>
      <c r="BC84" s="197" t="str">
        <f t="shared" si="3"/>
        <v/>
      </c>
      <c r="BD84" s="131" t="str">
        <f t="shared" si="4"/>
        <v>INDENIZAÇÃO</v>
      </c>
      <c r="BE84" s="131" t="str">
        <f t="shared" si="5"/>
        <v>NÃO</v>
      </c>
      <c r="BF84" s="131"/>
      <c r="BG84" s="199"/>
      <c r="BH84" s="199"/>
      <c r="BN84" s="182"/>
      <c r="CI84" s="182"/>
    </row>
    <row r="85" spans="1:87" s="141" customFormat="1" ht="30" hidden="1" customHeight="1">
      <c r="A85" s="131">
        <v>44</v>
      </c>
      <c r="B85" s="131" t="s">
        <v>4432</v>
      </c>
      <c r="C85" s="131">
        <v>1</v>
      </c>
      <c r="D85" s="131" t="s">
        <v>4433</v>
      </c>
      <c r="E85" s="131" t="s">
        <v>4433</v>
      </c>
      <c r="F85" s="132" t="s">
        <v>4739</v>
      </c>
      <c r="G85" s="131" t="s">
        <v>4339</v>
      </c>
      <c r="H85" s="131" t="s">
        <v>4340</v>
      </c>
      <c r="I85" s="131" t="s">
        <v>4350</v>
      </c>
      <c r="J85" s="132" t="s">
        <v>4740</v>
      </c>
      <c r="K85" s="132" t="s">
        <v>4741</v>
      </c>
      <c r="L85" s="132" t="s">
        <v>4742</v>
      </c>
      <c r="M85" s="131" t="s">
        <v>4342</v>
      </c>
      <c r="N85" s="131" t="s">
        <v>4343</v>
      </c>
      <c r="O85" s="199">
        <v>46076</v>
      </c>
      <c r="P85" s="133" t="s">
        <v>4361</v>
      </c>
      <c r="Q85" s="133" t="s">
        <v>4361</v>
      </c>
      <c r="R85" s="133" t="s">
        <v>4361</v>
      </c>
      <c r="S85" s="133" t="s">
        <v>4361</v>
      </c>
      <c r="T85" s="133" t="s">
        <v>4361</v>
      </c>
      <c r="U85" s="133" t="s">
        <v>4361</v>
      </c>
      <c r="V85" s="133" t="s">
        <v>4361</v>
      </c>
      <c r="W85" s="133" t="s">
        <v>4361</v>
      </c>
      <c r="X85" s="133" t="s">
        <v>4361</v>
      </c>
      <c r="Y85" s="133" t="s">
        <v>4361</v>
      </c>
      <c r="Z85" s="133" t="s">
        <v>4361</v>
      </c>
      <c r="AB85" s="132" t="s">
        <v>4740</v>
      </c>
      <c r="AC85" s="132" t="s">
        <v>4741</v>
      </c>
      <c r="AD85" s="132" t="s">
        <v>4742</v>
      </c>
      <c r="AE85" s="131" t="s">
        <v>4350</v>
      </c>
      <c r="AF85" s="141" t="s">
        <v>4342</v>
      </c>
      <c r="AG85" s="196">
        <v>41320.699999999997</v>
      </c>
      <c r="AH85" s="196">
        <v>60000</v>
      </c>
      <c r="AI85" s="131" t="s">
        <v>4344</v>
      </c>
      <c r="AJ85" s="132" t="s">
        <v>4616</v>
      </c>
      <c r="AK85" s="131">
        <v>145686507</v>
      </c>
      <c r="AL85" s="131" t="s">
        <v>4442</v>
      </c>
      <c r="AM85" s="141" t="s">
        <v>4442</v>
      </c>
      <c r="AN85" s="141" t="s">
        <v>4443</v>
      </c>
      <c r="AP85" s="132" t="s">
        <v>4743</v>
      </c>
      <c r="AQ85" s="141" t="s">
        <v>4442</v>
      </c>
      <c r="AR85" s="141" t="s">
        <v>4442</v>
      </c>
      <c r="AS85" s="141" t="s">
        <v>4442</v>
      </c>
      <c r="AT85" s="141" t="s">
        <v>4442</v>
      </c>
      <c r="AU85" s="199">
        <v>46191</v>
      </c>
      <c r="AV85" s="141" t="s">
        <v>4442</v>
      </c>
      <c r="AW85" s="141" t="s">
        <v>4442</v>
      </c>
      <c r="AX85" s="199">
        <v>46220</v>
      </c>
      <c r="AY85" s="263">
        <v>46220</v>
      </c>
      <c r="AZ85" s="137" t="s">
        <v>4370</v>
      </c>
      <c r="BA85" s="137" t="s">
        <v>4445</v>
      </c>
      <c r="BB85" s="141" t="s">
        <v>4442</v>
      </c>
      <c r="BC85" s="197">
        <f t="shared" si="3"/>
        <v>144</v>
      </c>
      <c r="BD85" s="131" t="str">
        <f t="shared" si="4"/>
        <v>INDENIZAÇÃO</v>
      </c>
      <c r="BE85" s="131" t="str">
        <f t="shared" si="5"/>
        <v>NÃO</v>
      </c>
      <c r="BF85" s="131" t="s">
        <v>4361</v>
      </c>
      <c r="BG85" s="258" t="s">
        <v>4361</v>
      </c>
      <c r="BH85" s="258" t="s">
        <v>4361</v>
      </c>
      <c r="BI85" s="259" t="s">
        <v>4446</v>
      </c>
      <c r="BJ85" s="259"/>
      <c r="BK85" s="259"/>
      <c r="BL85" s="259"/>
      <c r="BM85" s="259"/>
      <c r="BN85" s="182"/>
      <c r="CI85" s="182"/>
    </row>
    <row r="86" spans="1:87" s="141" customFormat="1" ht="30" hidden="1" customHeight="1">
      <c r="A86" s="131">
        <v>71</v>
      </c>
      <c r="B86" s="131" t="s">
        <v>4432</v>
      </c>
      <c r="C86" s="131">
        <v>1</v>
      </c>
      <c r="D86" s="131" t="s">
        <v>4433</v>
      </c>
      <c r="E86" s="131" t="s">
        <v>4433</v>
      </c>
      <c r="F86" s="210" t="s">
        <v>4744</v>
      </c>
      <c r="G86" s="131" t="s">
        <v>4339</v>
      </c>
      <c r="H86" s="131" t="s">
        <v>4340</v>
      </c>
      <c r="I86" s="131" t="s">
        <v>4350</v>
      </c>
      <c r="J86" s="132" t="s">
        <v>4745</v>
      </c>
      <c r="K86" s="132" t="s">
        <v>4746</v>
      </c>
      <c r="L86" s="132" t="s">
        <v>4747</v>
      </c>
      <c r="M86" s="131" t="s">
        <v>4342</v>
      </c>
      <c r="N86" s="131" t="s">
        <v>4343</v>
      </c>
      <c r="O86" s="199">
        <v>46090</v>
      </c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  <c r="AB86" s="132" t="s">
        <v>4745</v>
      </c>
      <c r="AC86" s="132" t="s">
        <v>4746</v>
      </c>
      <c r="AD86" s="132" t="s">
        <v>4747</v>
      </c>
      <c r="AE86" s="131" t="s">
        <v>4350</v>
      </c>
      <c r="AF86" s="141" t="s">
        <v>4534</v>
      </c>
      <c r="AG86" s="196">
        <v>18618.55</v>
      </c>
      <c r="AH86" s="196">
        <v>48618.55</v>
      </c>
      <c r="AI86" s="131" t="s">
        <v>4344</v>
      </c>
      <c r="AJ86" s="132" t="s">
        <v>4616</v>
      </c>
      <c r="AK86" s="131">
        <v>145688759</v>
      </c>
      <c r="AL86" s="141" t="s">
        <v>4442</v>
      </c>
      <c r="AM86" s="141" t="s">
        <v>4442</v>
      </c>
      <c r="AN86" s="141" t="s">
        <v>4443</v>
      </c>
      <c r="AP86" s="132" t="s">
        <v>4748</v>
      </c>
      <c r="AQ86" s="141" t="s">
        <v>4442</v>
      </c>
      <c r="AR86" s="141" t="s">
        <v>4442</v>
      </c>
      <c r="AS86" s="141" t="s">
        <v>4442</v>
      </c>
      <c r="AT86" s="141" t="s">
        <v>4442</v>
      </c>
      <c r="AU86" s="199">
        <v>46191</v>
      </c>
      <c r="AV86" s="141" t="s">
        <v>4442</v>
      </c>
      <c r="AW86" s="141" t="s">
        <v>4442</v>
      </c>
      <c r="AX86" s="199">
        <v>46220</v>
      </c>
      <c r="AY86" s="263">
        <v>46220</v>
      </c>
      <c r="AZ86" s="137" t="s">
        <v>4370</v>
      </c>
      <c r="BA86" s="137" t="s">
        <v>4445</v>
      </c>
      <c r="BB86" s="141" t="s">
        <v>4442</v>
      </c>
      <c r="BC86" s="197">
        <f t="shared" si="3"/>
        <v>130</v>
      </c>
      <c r="BD86" s="131" t="str">
        <f t="shared" si="4"/>
        <v>INDENIZAÇÃO</v>
      </c>
      <c r="BE86" s="131" t="str">
        <f t="shared" si="5"/>
        <v>NÃO</v>
      </c>
      <c r="BF86" s="131" t="s">
        <v>4361</v>
      </c>
      <c r="BG86" s="258" t="s">
        <v>4361</v>
      </c>
      <c r="BH86" s="258" t="s">
        <v>4361</v>
      </c>
      <c r="BI86" s="259" t="s">
        <v>4446</v>
      </c>
      <c r="BJ86" s="259"/>
      <c r="BK86" s="259"/>
      <c r="BL86" s="259"/>
      <c r="BM86" s="259"/>
      <c r="BN86" s="182"/>
      <c r="CI86" s="182"/>
    </row>
    <row r="87" spans="1:87" s="141" customFormat="1" ht="30" hidden="1" customHeight="1">
      <c r="A87" s="131">
        <v>73</v>
      </c>
      <c r="B87" s="131" t="s">
        <v>4432</v>
      </c>
      <c r="C87" s="131">
        <v>1</v>
      </c>
      <c r="D87" s="131" t="s">
        <v>4433</v>
      </c>
      <c r="E87" s="131" t="s">
        <v>4433</v>
      </c>
      <c r="F87" s="210" t="s">
        <v>4749</v>
      </c>
      <c r="G87" s="131"/>
      <c r="H87" s="131"/>
      <c r="I87" s="131"/>
      <c r="J87" s="132" t="s">
        <v>4750</v>
      </c>
      <c r="K87" s="132"/>
      <c r="L87" s="132" t="s">
        <v>4751</v>
      </c>
      <c r="M87" s="131"/>
      <c r="N87" s="131"/>
      <c r="O87" s="199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  <c r="AB87" s="132"/>
      <c r="AC87" s="132"/>
      <c r="AD87" s="132"/>
      <c r="AE87" s="131"/>
      <c r="AG87" s="196"/>
      <c r="AH87" s="196"/>
      <c r="AI87" s="131"/>
      <c r="AJ87" s="131"/>
      <c r="AK87" s="131"/>
      <c r="AP87" s="132"/>
      <c r="BC87" s="197" t="str">
        <f t="shared" si="3"/>
        <v/>
      </c>
      <c r="BD87" s="131" t="str">
        <f t="shared" si="4"/>
        <v>INDENIZAÇÃO</v>
      </c>
      <c r="BE87" s="131" t="str">
        <f t="shared" si="5"/>
        <v>NÃO</v>
      </c>
      <c r="BF87" s="131"/>
      <c r="BG87" s="199"/>
      <c r="BH87" s="199"/>
      <c r="BN87" s="182"/>
      <c r="CI87" s="182"/>
    </row>
    <row r="88" spans="1:87" s="141" customFormat="1" ht="30" hidden="1" customHeight="1">
      <c r="A88" s="131">
        <v>74</v>
      </c>
      <c r="B88" s="131" t="s">
        <v>4432</v>
      </c>
      <c r="C88" s="131">
        <v>1</v>
      </c>
      <c r="D88" s="131" t="s">
        <v>4433</v>
      </c>
      <c r="E88" s="131" t="s">
        <v>4433</v>
      </c>
      <c r="F88" s="210" t="s">
        <v>4752</v>
      </c>
      <c r="G88" s="131"/>
      <c r="H88" s="131"/>
      <c r="I88" s="131"/>
      <c r="J88" s="132" t="s">
        <v>4753</v>
      </c>
      <c r="K88" s="132"/>
      <c r="L88" s="132" t="s">
        <v>4754</v>
      </c>
      <c r="M88" s="131"/>
      <c r="N88" s="131"/>
      <c r="O88" s="199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  <c r="AB88" s="132"/>
      <c r="AC88" s="132"/>
      <c r="AD88" s="132"/>
      <c r="AE88" s="131"/>
      <c r="AG88" s="196"/>
      <c r="AH88" s="196"/>
      <c r="AI88" s="131"/>
      <c r="AJ88" s="131"/>
      <c r="AK88" s="131"/>
      <c r="AP88" s="132"/>
      <c r="BC88" s="197" t="str">
        <f t="shared" si="3"/>
        <v/>
      </c>
      <c r="BD88" s="131" t="str">
        <f t="shared" si="4"/>
        <v>INDENIZAÇÃO</v>
      </c>
      <c r="BE88" s="131" t="str">
        <f t="shared" si="5"/>
        <v>NÃO</v>
      </c>
      <c r="BF88" s="131"/>
      <c r="BG88" s="199"/>
      <c r="BH88" s="199"/>
      <c r="BN88" s="182"/>
      <c r="CI88" s="182"/>
    </row>
    <row r="89" spans="1:87" s="141" customFormat="1" ht="30" hidden="1" customHeight="1">
      <c r="A89" s="131">
        <v>75</v>
      </c>
      <c r="B89" s="131" t="s">
        <v>4432</v>
      </c>
      <c r="C89" s="131">
        <v>1</v>
      </c>
      <c r="D89" s="131" t="s">
        <v>4433</v>
      </c>
      <c r="E89" s="131" t="s">
        <v>4433</v>
      </c>
      <c r="F89" s="210" t="s">
        <v>4755</v>
      </c>
      <c r="G89" s="131"/>
      <c r="H89" s="131"/>
      <c r="I89" s="131"/>
      <c r="J89" s="132" t="s">
        <v>4756</v>
      </c>
      <c r="K89" s="132"/>
      <c r="L89" s="132" t="s">
        <v>4757</v>
      </c>
      <c r="M89" s="131"/>
      <c r="N89" s="131"/>
      <c r="O89" s="199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  <c r="AB89" s="132"/>
      <c r="AC89" s="132"/>
      <c r="AD89" s="132"/>
      <c r="AE89" s="131"/>
      <c r="AG89" s="196"/>
      <c r="AH89" s="196"/>
      <c r="AI89" s="131"/>
      <c r="AJ89" s="131"/>
      <c r="AK89" s="131"/>
      <c r="AP89" s="132"/>
      <c r="BC89" s="197" t="str">
        <f t="shared" si="3"/>
        <v/>
      </c>
      <c r="BD89" s="131" t="str">
        <f t="shared" si="4"/>
        <v>INDENIZAÇÃO</v>
      </c>
      <c r="BE89" s="131" t="str">
        <f t="shared" si="5"/>
        <v>NÃO</v>
      </c>
      <c r="BF89" s="131"/>
      <c r="BG89" s="199"/>
      <c r="BH89" s="199"/>
      <c r="BN89" s="182"/>
      <c r="CI89" s="182"/>
    </row>
    <row r="90" spans="1:87" s="141" customFormat="1" ht="30" hidden="1" customHeight="1">
      <c r="A90" s="131">
        <v>76</v>
      </c>
      <c r="B90" s="131" t="s">
        <v>4432</v>
      </c>
      <c r="C90" s="131">
        <v>1</v>
      </c>
      <c r="D90" s="131" t="s">
        <v>4433</v>
      </c>
      <c r="E90" s="131" t="s">
        <v>4433</v>
      </c>
      <c r="F90" s="210" t="s">
        <v>4758</v>
      </c>
      <c r="G90" s="131" t="s">
        <v>4339</v>
      </c>
      <c r="H90" s="131" t="s">
        <v>4349</v>
      </c>
      <c r="I90" s="131"/>
      <c r="J90" s="132" t="s">
        <v>4759</v>
      </c>
      <c r="K90" s="132"/>
      <c r="L90" s="132" t="s">
        <v>4760</v>
      </c>
      <c r="M90" s="131"/>
      <c r="N90" s="131"/>
      <c r="O90" s="199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  <c r="AB90" s="132"/>
      <c r="AC90" s="132"/>
      <c r="AD90" s="132"/>
      <c r="AE90" s="131"/>
      <c r="AG90" s="196"/>
      <c r="AH90" s="196"/>
      <c r="AI90" s="131"/>
      <c r="AJ90" s="131"/>
      <c r="AK90" s="131"/>
      <c r="AP90" s="132"/>
      <c r="BC90" s="197" t="str">
        <f t="shared" si="3"/>
        <v/>
      </c>
      <c r="BD90" s="131" t="str">
        <f t="shared" si="4"/>
        <v>INDENIZAÇÃO</v>
      </c>
      <c r="BE90" s="131" t="str">
        <f t="shared" si="5"/>
        <v>NÃO</v>
      </c>
      <c r="BF90" s="131"/>
      <c r="BG90" s="199"/>
      <c r="BH90" s="199"/>
      <c r="BN90" s="182"/>
      <c r="CI90" s="182"/>
    </row>
    <row r="91" spans="1:87" s="141" customFormat="1" ht="30" hidden="1" customHeight="1">
      <c r="A91" s="131">
        <v>77</v>
      </c>
      <c r="B91" s="131" t="s">
        <v>4432</v>
      </c>
      <c r="C91" s="131">
        <v>1</v>
      </c>
      <c r="D91" s="131" t="s">
        <v>4433</v>
      </c>
      <c r="E91" s="131" t="s">
        <v>4433</v>
      </c>
      <c r="F91" s="210" t="s">
        <v>4761</v>
      </c>
      <c r="G91" s="131"/>
      <c r="H91" s="131"/>
      <c r="I91" s="131"/>
      <c r="J91" s="132" t="s">
        <v>4762</v>
      </c>
      <c r="K91" s="132"/>
      <c r="L91" s="132" t="s">
        <v>4763</v>
      </c>
      <c r="M91" s="131"/>
      <c r="N91" s="131"/>
      <c r="O91" s="199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  <c r="AB91" s="132"/>
      <c r="AC91" s="132"/>
      <c r="AD91" s="132"/>
      <c r="AE91" s="131"/>
      <c r="AG91" s="196"/>
      <c r="AH91" s="196"/>
      <c r="AI91" s="131"/>
      <c r="AP91" s="132"/>
      <c r="BC91" s="197" t="str">
        <f t="shared" si="3"/>
        <v/>
      </c>
      <c r="BD91" s="131" t="str">
        <f t="shared" si="4"/>
        <v>INDENIZAÇÃO</v>
      </c>
      <c r="BE91" s="131" t="str">
        <f t="shared" si="5"/>
        <v>NÃO</v>
      </c>
      <c r="BF91" s="131"/>
      <c r="BG91" s="199"/>
      <c r="BH91" s="199"/>
      <c r="BN91" s="182"/>
      <c r="CI91" s="182"/>
    </row>
    <row r="92" spans="1:87" s="141" customFormat="1" ht="30" hidden="1" customHeight="1">
      <c r="A92" s="131">
        <v>78</v>
      </c>
      <c r="B92" s="131" t="s">
        <v>4432</v>
      </c>
      <c r="C92" s="131">
        <v>1</v>
      </c>
      <c r="D92" s="131" t="s">
        <v>4433</v>
      </c>
      <c r="E92" s="131" t="s">
        <v>4433</v>
      </c>
      <c r="F92" s="210" t="s">
        <v>4764</v>
      </c>
      <c r="G92" s="131"/>
      <c r="H92" s="131"/>
      <c r="I92" s="131"/>
      <c r="J92" s="132" t="s">
        <v>4765</v>
      </c>
      <c r="K92" s="132"/>
      <c r="L92" s="132" t="s">
        <v>4766</v>
      </c>
      <c r="M92" s="131"/>
      <c r="N92" s="131"/>
      <c r="O92" s="199"/>
      <c r="P92" s="136"/>
      <c r="Q92" s="136"/>
      <c r="R92" s="136"/>
      <c r="S92" s="136"/>
      <c r="T92" s="136"/>
      <c r="U92" s="136"/>
      <c r="V92" s="136"/>
      <c r="W92" s="136"/>
      <c r="X92" s="136"/>
      <c r="Y92" s="136"/>
      <c r="Z92" s="136"/>
      <c r="AB92" s="132"/>
      <c r="AC92" s="132"/>
      <c r="AD92" s="132"/>
      <c r="AE92" s="131"/>
      <c r="AG92" s="196"/>
      <c r="AH92" s="196"/>
      <c r="AI92" s="131"/>
      <c r="AJ92" s="131"/>
      <c r="AK92" s="131"/>
      <c r="AP92" s="132"/>
      <c r="BC92" s="197" t="str">
        <f t="shared" si="3"/>
        <v/>
      </c>
      <c r="BD92" s="131" t="str">
        <f t="shared" si="4"/>
        <v>INDENIZAÇÃO</v>
      </c>
      <c r="BE92" s="131" t="str">
        <f t="shared" si="5"/>
        <v>NÃO</v>
      </c>
      <c r="BF92" s="131"/>
      <c r="BG92" s="199"/>
      <c r="BH92" s="199"/>
      <c r="BN92" s="182"/>
      <c r="CI92" s="182"/>
    </row>
    <row r="93" spans="1:87" s="141" customFormat="1" ht="30" hidden="1" customHeight="1">
      <c r="A93" s="131">
        <v>79</v>
      </c>
      <c r="B93" s="131" t="s">
        <v>4432</v>
      </c>
      <c r="C93" s="131">
        <v>1</v>
      </c>
      <c r="D93" s="131" t="s">
        <v>4433</v>
      </c>
      <c r="E93" s="131" t="s">
        <v>4433</v>
      </c>
      <c r="F93" s="210" t="s">
        <v>4767</v>
      </c>
      <c r="G93" s="131"/>
      <c r="H93" s="131"/>
      <c r="I93" s="131"/>
      <c r="J93" s="132" t="s">
        <v>4768</v>
      </c>
      <c r="K93" s="132"/>
      <c r="L93" s="132" t="s">
        <v>4769</v>
      </c>
      <c r="M93" s="131"/>
      <c r="N93" s="131"/>
      <c r="O93" s="199"/>
      <c r="P93" s="136"/>
      <c r="Q93" s="131"/>
      <c r="R93" s="136"/>
      <c r="S93" s="136"/>
      <c r="T93" s="136"/>
      <c r="U93" s="136"/>
      <c r="V93" s="136"/>
      <c r="W93" s="136"/>
      <c r="X93" s="136"/>
      <c r="Y93" s="136"/>
      <c r="Z93" s="136"/>
      <c r="AB93" s="132"/>
      <c r="AC93" s="132"/>
      <c r="AD93" s="132"/>
      <c r="AE93" s="131"/>
      <c r="AF93" s="131"/>
      <c r="AG93" s="196"/>
      <c r="AH93" s="196"/>
      <c r="AI93" s="131"/>
      <c r="AJ93" s="131"/>
      <c r="AK93" s="131"/>
      <c r="AL93" s="131"/>
      <c r="AM93" s="131"/>
      <c r="AN93" s="131"/>
      <c r="AO93" s="131"/>
      <c r="AP93" s="132"/>
      <c r="AQ93" s="131"/>
      <c r="AR93" s="131"/>
      <c r="AS93" s="131"/>
      <c r="AT93" s="131"/>
      <c r="AU93" s="131"/>
      <c r="AV93" s="131"/>
      <c r="AW93" s="131"/>
      <c r="AX93" s="131"/>
      <c r="AY93" s="131"/>
      <c r="BC93" s="197" t="str">
        <f t="shared" si="3"/>
        <v/>
      </c>
      <c r="BD93" s="131" t="str">
        <f t="shared" si="4"/>
        <v>INDENIZAÇÃO</v>
      </c>
      <c r="BE93" s="131" t="str">
        <f t="shared" si="5"/>
        <v>NÃO</v>
      </c>
      <c r="BF93" s="197"/>
      <c r="BG93" s="197"/>
      <c r="BH93" s="197"/>
      <c r="BI93" s="197"/>
      <c r="BJ93" s="197"/>
      <c r="BK93" s="197"/>
      <c r="BL93" s="197"/>
      <c r="BM93" s="197"/>
      <c r="BN93" s="182"/>
      <c r="CI93" s="182"/>
    </row>
    <row r="94" spans="1:87" s="141" customFormat="1" ht="30" hidden="1" customHeight="1">
      <c r="A94" s="131">
        <v>80</v>
      </c>
      <c r="B94" s="131" t="s">
        <v>4432</v>
      </c>
      <c r="C94" s="131">
        <v>1</v>
      </c>
      <c r="D94" s="131" t="s">
        <v>4433</v>
      </c>
      <c r="E94" s="131" t="s">
        <v>4433</v>
      </c>
      <c r="F94" s="210" t="s">
        <v>4770</v>
      </c>
      <c r="G94" s="131"/>
      <c r="H94" s="131"/>
      <c r="I94" s="131"/>
      <c r="J94" s="132" t="s">
        <v>4771</v>
      </c>
      <c r="K94" s="132"/>
      <c r="L94" s="132" t="s">
        <v>4772</v>
      </c>
      <c r="M94" s="131"/>
      <c r="N94" s="131"/>
      <c r="O94" s="199"/>
      <c r="P94" s="136"/>
      <c r="Q94" s="136"/>
      <c r="R94" s="136"/>
      <c r="S94" s="136"/>
      <c r="T94" s="136"/>
      <c r="U94" s="136"/>
      <c r="V94" s="136"/>
      <c r="W94" s="136"/>
      <c r="X94" s="136"/>
      <c r="Y94" s="136"/>
      <c r="Z94" s="136"/>
      <c r="AB94" s="132"/>
      <c r="AC94" s="132"/>
      <c r="AD94" s="132"/>
      <c r="AE94" s="131"/>
      <c r="AG94" s="196"/>
      <c r="AH94" s="196"/>
      <c r="AI94" s="131"/>
      <c r="AJ94" s="131"/>
      <c r="AK94" s="131"/>
      <c r="AP94" s="132"/>
      <c r="BC94" s="197" t="str">
        <f t="shared" si="3"/>
        <v/>
      </c>
      <c r="BD94" s="131" t="str">
        <f t="shared" si="4"/>
        <v>INDENIZAÇÃO</v>
      </c>
      <c r="BE94" s="131" t="str">
        <f t="shared" si="5"/>
        <v>NÃO</v>
      </c>
      <c r="BF94" s="131"/>
      <c r="BG94" s="199"/>
      <c r="BH94" s="199"/>
      <c r="BN94" s="182"/>
      <c r="CI94" s="182"/>
    </row>
    <row r="95" spans="1:87" s="141" customFormat="1" ht="30" hidden="1" customHeight="1">
      <c r="A95" s="131">
        <v>81</v>
      </c>
      <c r="B95" s="131" t="s">
        <v>4432</v>
      </c>
      <c r="C95" s="131">
        <v>1</v>
      </c>
      <c r="D95" s="131" t="s">
        <v>4433</v>
      </c>
      <c r="E95" s="131" t="s">
        <v>4433</v>
      </c>
      <c r="F95" s="210" t="s">
        <v>4773</v>
      </c>
      <c r="G95" s="131"/>
      <c r="H95" s="131"/>
      <c r="I95" s="131"/>
      <c r="J95" s="132" t="s">
        <v>4774</v>
      </c>
      <c r="K95" s="132"/>
      <c r="L95" s="132" t="s">
        <v>4775</v>
      </c>
      <c r="M95" s="131"/>
      <c r="N95" s="131"/>
      <c r="O95" s="199"/>
      <c r="P95" s="136"/>
      <c r="Q95" s="136"/>
      <c r="R95" s="136"/>
      <c r="S95" s="136"/>
      <c r="T95" s="136"/>
      <c r="U95" s="136"/>
      <c r="V95" s="136"/>
      <c r="W95" s="136"/>
      <c r="X95" s="136"/>
      <c r="Y95" s="136"/>
      <c r="Z95" s="136"/>
      <c r="AB95" s="132"/>
      <c r="AC95" s="132"/>
      <c r="AD95" s="132"/>
      <c r="AE95" s="131"/>
      <c r="AG95" s="196"/>
      <c r="AH95" s="196"/>
      <c r="AI95" s="131"/>
      <c r="AJ95" s="131"/>
      <c r="AK95" s="131"/>
      <c r="AP95" s="132"/>
      <c r="BC95" s="197" t="str">
        <f t="shared" ref="BC95:BC158" si="6">IF(AY95-KD95=0,"",AY95-O95)</f>
        <v/>
      </c>
      <c r="BD95" s="131" t="str">
        <f t="shared" ref="BD95:BD158" si="7">IF(AND(AI95&lt;&gt;"SIM",AI95="UH"),"AA","INDENIZAÇÃO")</f>
        <v>INDENIZAÇÃO</v>
      </c>
      <c r="BE95" s="131" t="str">
        <f t="shared" ref="BE95:BE158" si="8">IF(AND(AY95&lt;&gt;"AGUARDANDO",AY95&lt;&gt;"",N95="AUXÍLIO ALUGUEL ATÉ INDENIZAÇÃO"),"SIM","NÃO")</f>
        <v>NÃO</v>
      </c>
      <c r="BF95" s="131"/>
      <c r="BG95" s="199"/>
      <c r="BH95" s="199"/>
      <c r="BN95" s="182"/>
      <c r="CI95" s="182"/>
    </row>
    <row r="96" spans="1:87" s="141" customFormat="1" ht="30" hidden="1" customHeight="1">
      <c r="A96" s="131">
        <v>82</v>
      </c>
      <c r="B96" s="131" t="s">
        <v>4432</v>
      </c>
      <c r="C96" s="131">
        <v>1</v>
      </c>
      <c r="D96" s="131" t="s">
        <v>4433</v>
      </c>
      <c r="E96" s="131" t="s">
        <v>4433</v>
      </c>
      <c r="F96" s="210" t="s">
        <v>4776</v>
      </c>
      <c r="G96" s="131"/>
      <c r="H96" s="131"/>
      <c r="I96" s="131"/>
      <c r="J96" s="132" t="s">
        <v>4777</v>
      </c>
      <c r="K96" s="132"/>
      <c r="L96" s="132" t="s">
        <v>4778</v>
      </c>
      <c r="M96" s="131"/>
      <c r="N96" s="131"/>
      <c r="O96" s="199"/>
      <c r="P96" s="136"/>
      <c r="Q96" s="136"/>
      <c r="R96" s="136"/>
      <c r="S96" s="136"/>
      <c r="T96" s="136"/>
      <c r="U96" s="136"/>
      <c r="V96" s="136"/>
      <c r="W96" s="136"/>
      <c r="X96" s="136"/>
      <c r="Y96" s="136"/>
      <c r="Z96" s="136"/>
      <c r="AB96" s="132"/>
      <c r="AC96" s="132"/>
      <c r="AD96" s="132"/>
      <c r="AE96" s="131"/>
      <c r="AG96" s="196"/>
      <c r="AH96" s="196"/>
      <c r="AI96" s="131"/>
      <c r="AJ96" s="131"/>
      <c r="AK96" s="131"/>
      <c r="AP96" s="132"/>
      <c r="BC96" s="197" t="str">
        <f t="shared" si="6"/>
        <v/>
      </c>
      <c r="BD96" s="131" t="str">
        <f t="shared" si="7"/>
        <v>INDENIZAÇÃO</v>
      </c>
      <c r="BE96" s="131" t="str">
        <f t="shared" si="8"/>
        <v>NÃO</v>
      </c>
      <c r="BF96" s="131"/>
      <c r="BG96" s="199"/>
      <c r="BH96" s="199"/>
      <c r="BN96" s="182"/>
      <c r="CI96" s="182"/>
    </row>
    <row r="97" spans="1:87" s="141" customFormat="1" ht="30" hidden="1" customHeight="1">
      <c r="A97" s="131">
        <v>83</v>
      </c>
      <c r="B97" s="131" t="s">
        <v>4432</v>
      </c>
      <c r="C97" s="131">
        <v>1</v>
      </c>
      <c r="D97" s="131" t="s">
        <v>4433</v>
      </c>
      <c r="E97" s="131" t="s">
        <v>4433</v>
      </c>
      <c r="F97" s="210" t="s">
        <v>4779</v>
      </c>
      <c r="G97" s="131"/>
      <c r="H97" s="131"/>
      <c r="I97" s="131"/>
      <c r="J97" s="132" t="s">
        <v>4780</v>
      </c>
      <c r="K97" s="132"/>
      <c r="L97" s="132" t="s">
        <v>4781</v>
      </c>
      <c r="M97" s="131"/>
      <c r="N97" s="131"/>
      <c r="O97" s="199"/>
      <c r="P97" s="136"/>
      <c r="Q97" s="136"/>
      <c r="R97" s="136"/>
      <c r="S97" s="136"/>
      <c r="T97" s="136"/>
      <c r="U97" s="136"/>
      <c r="V97" s="136"/>
      <c r="W97" s="136"/>
      <c r="X97" s="136"/>
      <c r="Y97" s="136"/>
      <c r="Z97" s="136"/>
      <c r="AB97" s="132"/>
      <c r="AC97" s="132"/>
      <c r="AD97" s="132"/>
      <c r="AE97" s="131"/>
      <c r="AG97" s="196"/>
      <c r="AH97" s="196"/>
      <c r="AI97" s="131"/>
      <c r="AO97" s="201"/>
      <c r="AP97" s="132"/>
      <c r="AU97" s="199"/>
      <c r="AX97" s="199"/>
      <c r="AY97" s="136"/>
      <c r="BC97" s="197" t="str">
        <f t="shared" si="6"/>
        <v/>
      </c>
      <c r="BD97" s="131" t="str">
        <f t="shared" si="7"/>
        <v>INDENIZAÇÃO</v>
      </c>
      <c r="BE97" s="131" t="str">
        <f t="shared" si="8"/>
        <v>NÃO</v>
      </c>
      <c r="BF97" s="131"/>
      <c r="BG97" s="131"/>
      <c r="BH97" s="131"/>
      <c r="BK97" s="199"/>
      <c r="BN97" s="182"/>
      <c r="CI97" s="182"/>
    </row>
    <row r="98" spans="1:87" s="141" customFormat="1" ht="30" hidden="1" customHeight="1">
      <c r="A98" s="131">
        <v>84</v>
      </c>
      <c r="B98" s="131" t="s">
        <v>4432</v>
      </c>
      <c r="C98" s="131">
        <v>1</v>
      </c>
      <c r="D98" s="131" t="s">
        <v>4433</v>
      </c>
      <c r="E98" s="131" t="s">
        <v>4433</v>
      </c>
      <c r="F98" s="210" t="s">
        <v>4782</v>
      </c>
      <c r="G98" s="131"/>
      <c r="H98" s="131"/>
      <c r="I98" s="131"/>
      <c r="J98" s="132" t="s">
        <v>4783</v>
      </c>
      <c r="K98" s="132"/>
      <c r="L98" s="132" t="s">
        <v>4784</v>
      </c>
      <c r="M98" s="131"/>
      <c r="N98" s="131"/>
      <c r="O98" s="199"/>
      <c r="P98" s="136"/>
      <c r="Q98" s="136"/>
      <c r="R98" s="136"/>
      <c r="S98" s="136"/>
      <c r="T98" s="136"/>
      <c r="U98" s="136"/>
      <c r="V98" s="136"/>
      <c r="W98" s="136"/>
      <c r="X98" s="136"/>
      <c r="Y98" s="136"/>
      <c r="Z98" s="136"/>
      <c r="AB98" s="132"/>
      <c r="AC98" s="132"/>
      <c r="AD98" s="132"/>
      <c r="AE98" s="131"/>
      <c r="AG98" s="196"/>
      <c r="AH98" s="196"/>
      <c r="AI98" s="131"/>
      <c r="AJ98" s="131"/>
      <c r="AK98" s="131"/>
      <c r="AP98" s="132"/>
      <c r="BC98" s="197" t="str">
        <f t="shared" si="6"/>
        <v/>
      </c>
      <c r="BD98" s="131" t="str">
        <f t="shared" si="7"/>
        <v>INDENIZAÇÃO</v>
      </c>
      <c r="BE98" s="131" t="str">
        <f t="shared" si="8"/>
        <v>NÃO</v>
      </c>
      <c r="BF98" s="131"/>
      <c r="BG98" s="199"/>
      <c r="BH98" s="199"/>
      <c r="BN98" s="182"/>
      <c r="CI98" s="182"/>
    </row>
    <row r="99" spans="1:87" s="141" customFormat="1" ht="30" hidden="1" customHeight="1">
      <c r="A99" s="131">
        <v>85</v>
      </c>
      <c r="B99" s="131" t="s">
        <v>4432</v>
      </c>
      <c r="C99" s="131">
        <v>1</v>
      </c>
      <c r="D99" s="131" t="s">
        <v>4433</v>
      </c>
      <c r="E99" s="131" t="s">
        <v>4433</v>
      </c>
      <c r="F99" s="210" t="s">
        <v>4785</v>
      </c>
      <c r="G99" s="131" t="s">
        <v>4339</v>
      </c>
      <c r="H99" s="131" t="s">
        <v>4340</v>
      </c>
      <c r="I99" s="131" t="s">
        <v>4624</v>
      </c>
      <c r="J99" s="132" t="s">
        <v>4786</v>
      </c>
      <c r="K99" s="132"/>
      <c r="L99" s="132" t="s">
        <v>4787</v>
      </c>
      <c r="M99" s="131"/>
      <c r="N99" s="131"/>
      <c r="O99" s="199"/>
      <c r="P99" s="136"/>
      <c r="Q99" s="136"/>
      <c r="R99" s="136"/>
      <c r="S99" s="136"/>
      <c r="T99" s="136"/>
      <c r="U99" s="136"/>
      <c r="V99" s="136"/>
      <c r="W99" s="136"/>
      <c r="X99" s="136"/>
      <c r="Y99" s="136"/>
      <c r="Z99" s="136"/>
      <c r="AB99" s="132"/>
      <c r="AC99" s="132"/>
      <c r="AD99" s="132"/>
      <c r="AE99" s="131"/>
      <c r="AG99" s="196"/>
      <c r="AH99" s="196"/>
      <c r="AI99" s="131"/>
      <c r="AJ99" s="131"/>
      <c r="AK99" s="131"/>
      <c r="AO99" s="201"/>
      <c r="AP99" s="132"/>
      <c r="AU99" s="199"/>
      <c r="AX99" s="199"/>
      <c r="AY99" s="136"/>
      <c r="BC99" s="197" t="str">
        <f t="shared" si="6"/>
        <v/>
      </c>
      <c r="BD99" s="131" t="str">
        <f t="shared" si="7"/>
        <v>INDENIZAÇÃO</v>
      </c>
      <c r="BE99" s="131" t="str">
        <f t="shared" si="8"/>
        <v>NÃO</v>
      </c>
      <c r="BF99" s="131"/>
      <c r="BG99" s="131"/>
      <c r="BH99" s="131"/>
      <c r="BN99" s="182"/>
      <c r="CI99" s="182"/>
    </row>
    <row r="100" spans="1:87" s="141" customFormat="1" ht="30" hidden="1" customHeight="1">
      <c r="A100" s="131">
        <v>86</v>
      </c>
      <c r="B100" s="131" t="s">
        <v>4432</v>
      </c>
      <c r="C100" s="131">
        <v>1</v>
      </c>
      <c r="D100" s="131" t="s">
        <v>4433</v>
      </c>
      <c r="E100" s="131" t="s">
        <v>4433</v>
      </c>
      <c r="F100" s="210" t="s">
        <v>4788</v>
      </c>
      <c r="G100" s="131"/>
      <c r="H100" s="131"/>
      <c r="I100" s="131"/>
      <c r="J100" s="138" t="s">
        <v>4789</v>
      </c>
      <c r="K100" s="132"/>
      <c r="L100" s="132" t="s">
        <v>4790</v>
      </c>
      <c r="M100" s="131"/>
      <c r="N100" s="131"/>
      <c r="O100" s="199"/>
      <c r="P100" s="136"/>
      <c r="Q100" s="136"/>
      <c r="R100" s="136"/>
      <c r="S100" s="136"/>
      <c r="T100" s="136"/>
      <c r="U100" s="136"/>
      <c r="V100" s="136"/>
      <c r="W100" s="136"/>
      <c r="X100" s="136"/>
      <c r="Y100" s="136"/>
      <c r="Z100" s="136"/>
      <c r="AB100" s="138"/>
      <c r="AC100" s="132"/>
      <c r="AD100" s="132"/>
      <c r="AE100" s="131"/>
      <c r="AG100" s="196"/>
      <c r="AH100" s="196"/>
      <c r="AI100" s="131"/>
      <c r="AP100" s="132"/>
      <c r="AU100" s="199"/>
      <c r="BC100" s="197" t="str">
        <f t="shared" si="6"/>
        <v/>
      </c>
      <c r="BD100" s="131" t="str">
        <f t="shared" si="7"/>
        <v>INDENIZAÇÃO</v>
      </c>
      <c r="BE100" s="131" t="str">
        <f t="shared" si="8"/>
        <v>NÃO</v>
      </c>
      <c r="BF100" s="131"/>
      <c r="BG100" s="199"/>
      <c r="BH100" s="199"/>
      <c r="BN100" s="182"/>
      <c r="CI100" s="182"/>
    </row>
    <row r="101" spans="1:87" s="141" customFormat="1" ht="30" hidden="1" customHeight="1">
      <c r="A101" s="131">
        <v>87</v>
      </c>
      <c r="B101" s="131" t="s">
        <v>4432</v>
      </c>
      <c r="C101" s="131">
        <v>1</v>
      </c>
      <c r="D101" s="131" t="s">
        <v>4433</v>
      </c>
      <c r="E101" s="131" t="s">
        <v>4433</v>
      </c>
      <c r="F101" s="210" t="s">
        <v>4791</v>
      </c>
      <c r="G101" s="131"/>
      <c r="H101" s="131"/>
      <c r="I101" s="131"/>
      <c r="J101" s="138" t="s">
        <v>4792</v>
      </c>
      <c r="K101" s="132"/>
      <c r="L101" s="132" t="s">
        <v>4793</v>
      </c>
      <c r="M101" s="131"/>
      <c r="N101" s="131"/>
      <c r="O101" s="199"/>
      <c r="P101" s="136"/>
      <c r="Q101" s="136"/>
      <c r="R101" s="136"/>
      <c r="S101" s="136"/>
      <c r="T101" s="136"/>
      <c r="U101" s="136"/>
      <c r="V101" s="136"/>
      <c r="W101" s="136"/>
      <c r="X101" s="136"/>
      <c r="Y101" s="136"/>
      <c r="Z101" s="136"/>
      <c r="AB101" s="138"/>
      <c r="AC101" s="132"/>
      <c r="AD101" s="132"/>
      <c r="AE101" s="131"/>
      <c r="AG101" s="196"/>
      <c r="AH101" s="196"/>
      <c r="AI101" s="131"/>
      <c r="AJ101" s="131"/>
      <c r="AK101" s="131"/>
      <c r="AO101" s="201"/>
      <c r="AP101" s="132"/>
      <c r="BC101" s="197" t="str">
        <f t="shared" si="6"/>
        <v/>
      </c>
      <c r="BD101" s="131" t="str">
        <f t="shared" si="7"/>
        <v>INDENIZAÇÃO</v>
      </c>
      <c r="BE101" s="131" t="str">
        <f t="shared" si="8"/>
        <v>NÃO</v>
      </c>
      <c r="BF101" s="131"/>
      <c r="BG101" s="199"/>
      <c r="BH101" s="199"/>
      <c r="BN101" s="182"/>
      <c r="CI101" s="182"/>
    </row>
    <row r="102" spans="1:87" s="141" customFormat="1" ht="30" hidden="1" customHeight="1">
      <c r="A102" s="131">
        <v>88</v>
      </c>
      <c r="B102" s="131" t="s">
        <v>4432</v>
      </c>
      <c r="C102" s="131">
        <v>1</v>
      </c>
      <c r="D102" s="131" t="s">
        <v>4433</v>
      </c>
      <c r="E102" s="131" t="s">
        <v>4433</v>
      </c>
      <c r="F102" s="210" t="s">
        <v>4794</v>
      </c>
      <c r="G102" s="131"/>
      <c r="H102" s="131"/>
      <c r="I102" s="131"/>
      <c r="J102" s="138" t="s">
        <v>4795</v>
      </c>
      <c r="K102" s="132"/>
      <c r="L102" s="132" t="s">
        <v>4796</v>
      </c>
      <c r="M102" s="131"/>
      <c r="N102" s="131"/>
      <c r="O102" s="199"/>
      <c r="P102" s="136"/>
      <c r="Q102" s="136"/>
      <c r="R102" s="136"/>
      <c r="S102" s="136"/>
      <c r="T102" s="136"/>
      <c r="U102" s="136"/>
      <c r="V102" s="136"/>
      <c r="W102" s="136"/>
      <c r="X102" s="136"/>
      <c r="Y102" s="136"/>
      <c r="Z102" s="136"/>
      <c r="AB102" s="138"/>
      <c r="AC102" s="132"/>
      <c r="AD102" s="132"/>
      <c r="AE102" s="131"/>
      <c r="AG102" s="196"/>
      <c r="AH102" s="196"/>
      <c r="AI102" s="131"/>
      <c r="AP102" s="132"/>
      <c r="AU102" s="199"/>
      <c r="AX102" s="199"/>
      <c r="AY102" s="136"/>
      <c r="BC102" s="197" t="str">
        <f t="shared" si="6"/>
        <v/>
      </c>
      <c r="BD102" s="131" t="str">
        <f t="shared" si="7"/>
        <v>INDENIZAÇÃO</v>
      </c>
      <c r="BE102" s="131" t="str">
        <f t="shared" si="8"/>
        <v>NÃO</v>
      </c>
      <c r="BF102" s="131"/>
      <c r="BG102" s="131"/>
      <c r="BH102" s="131"/>
      <c r="BK102" s="199"/>
      <c r="BN102" s="182"/>
      <c r="CI102" s="182"/>
    </row>
    <row r="103" spans="1:87" s="141" customFormat="1" ht="30" hidden="1" customHeight="1">
      <c r="A103" s="131">
        <v>89</v>
      </c>
      <c r="B103" s="131" t="s">
        <v>4432</v>
      </c>
      <c r="C103" s="131">
        <v>1</v>
      </c>
      <c r="D103" s="131" t="s">
        <v>4433</v>
      </c>
      <c r="E103" s="131" t="s">
        <v>4433</v>
      </c>
      <c r="F103" s="210" t="s">
        <v>4797</v>
      </c>
      <c r="G103" s="131"/>
      <c r="H103" s="131"/>
      <c r="I103" s="131"/>
      <c r="J103" s="132" t="s">
        <v>4798</v>
      </c>
      <c r="K103" s="202"/>
      <c r="L103" s="132" t="s">
        <v>4799</v>
      </c>
      <c r="M103" s="131"/>
      <c r="N103" s="131"/>
      <c r="O103" s="199"/>
      <c r="P103" s="136"/>
      <c r="Q103" s="136"/>
      <c r="R103" s="136"/>
      <c r="S103" s="136"/>
      <c r="T103" s="136"/>
      <c r="U103" s="136"/>
      <c r="V103" s="136"/>
      <c r="W103" s="136"/>
      <c r="X103" s="136"/>
      <c r="Y103" s="136"/>
      <c r="Z103" s="136"/>
      <c r="AB103" s="132"/>
      <c r="AC103" s="132"/>
      <c r="AD103" s="132"/>
      <c r="AE103" s="131"/>
      <c r="AG103" s="196"/>
      <c r="AH103" s="196"/>
      <c r="AI103" s="131"/>
      <c r="AJ103" s="131"/>
      <c r="AK103" s="131"/>
      <c r="AP103" s="132"/>
      <c r="BC103" s="197" t="str">
        <f t="shared" si="6"/>
        <v/>
      </c>
      <c r="BD103" s="131" t="str">
        <f t="shared" si="7"/>
        <v>INDENIZAÇÃO</v>
      </c>
      <c r="BE103" s="131" t="str">
        <f t="shared" si="8"/>
        <v>NÃO</v>
      </c>
      <c r="BF103" s="131"/>
      <c r="BG103" s="199"/>
      <c r="BH103" s="199"/>
      <c r="BN103" s="182"/>
      <c r="CI103" s="182"/>
    </row>
    <row r="104" spans="1:87" s="141" customFormat="1" ht="30" hidden="1" customHeight="1">
      <c r="A104" s="131">
        <v>90</v>
      </c>
      <c r="B104" s="131" t="s">
        <v>4432</v>
      </c>
      <c r="C104" s="131">
        <v>1</v>
      </c>
      <c r="D104" s="131" t="s">
        <v>4433</v>
      </c>
      <c r="E104" s="131" t="s">
        <v>4433</v>
      </c>
      <c r="F104" s="210" t="s">
        <v>4800</v>
      </c>
      <c r="G104" s="131"/>
      <c r="H104" s="131"/>
      <c r="I104" s="131"/>
      <c r="J104" s="132" t="s">
        <v>4628</v>
      </c>
      <c r="K104" s="132"/>
      <c r="L104" s="132" t="s">
        <v>4628</v>
      </c>
      <c r="M104" s="131"/>
      <c r="N104" s="131"/>
      <c r="O104" s="199"/>
      <c r="P104" s="136"/>
      <c r="Q104" s="136"/>
      <c r="R104" s="136"/>
      <c r="S104" s="136"/>
      <c r="T104" s="136"/>
      <c r="U104" s="136"/>
      <c r="V104" s="136"/>
      <c r="W104" s="136"/>
      <c r="X104" s="136"/>
      <c r="Y104" s="136"/>
      <c r="Z104" s="136"/>
      <c r="AB104" s="132"/>
      <c r="AC104" s="132"/>
      <c r="AD104" s="132"/>
      <c r="AE104" s="131"/>
      <c r="AG104" s="196"/>
      <c r="AH104" s="196"/>
      <c r="AI104" s="131"/>
      <c r="AJ104" s="131"/>
      <c r="AK104" s="131"/>
      <c r="AP104" s="132"/>
      <c r="BC104" s="197" t="str">
        <f t="shared" si="6"/>
        <v/>
      </c>
      <c r="BD104" s="131" t="str">
        <f t="shared" si="7"/>
        <v>INDENIZAÇÃO</v>
      </c>
      <c r="BE104" s="131" t="str">
        <f t="shared" si="8"/>
        <v>NÃO</v>
      </c>
      <c r="BF104" s="131"/>
      <c r="BG104" s="199"/>
      <c r="BH104" s="199"/>
      <c r="BN104" s="182"/>
      <c r="CI104" s="182"/>
    </row>
    <row r="105" spans="1:87" s="141" customFormat="1" ht="30" hidden="1" customHeight="1">
      <c r="A105" s="131">
        <v>91</v>
      </c>
      <c r="B105" s="131" t="s">
        <v>4432</v>
      </c>
      <c r="C105" s="131">
        <v>1</v>
      </c>
      <c r="D105" s="131" t="s">
        <v>4433</v>
      </c>
      <c r="E105" s="131" t="s">
        <v>4433</v>
      </c>
      <c r="F105" s="210" t="s">
        <v>4801</v>
      </c>
      <c r="G105" s="131"/>
      <c r="H105" s="131"/>
      <c r="I105" s="131"/>
      <c r="J105" s="132" t="s">
        <v>4802</v>
      </c>
      <c r="K105" s="132"/>
      <c r="L105" s="132" t="s">
        <v>4803</v>
      </c>
      <c r="M105" s="131"/>
      <c r="N105" s="131"/>
      <c r="O105" s="199"/>
      <c r="P105" s="136"/>
      <c r="Q105" s="136"/>
      <c r="R105" s="136"/>
      <c r="S105" s="136"/>
      <c r="T105" s="136"/>
      <c r="U105" s="136"/>
      <c r="V105" s="136"/>
      <c r="W105" s="136"/>
      <c r="X105" s="136"/>
      <c r="Y105" s="136"/>
      <c r="Z105" s="136"/>
      <c r="AB105" s="132"/>
      <c r="AC105" s="132"/>
      <c r="AD105" s="132"/>
      <c r="AE105" s="131"/>
      <c r="AG105" s="196"/>
      <c r="AH105" s="196"/>
      <c r="AI105" s="131"/>
      <c r="AO105" s="201"/>
      <c r="AP105" s="132"/>
      <c r="AU105" s="199"/>
      <c r="AX105" s="199"/>
      <c r="AY105" s="136"/>
      <c r="BC105" s="197" t="str">
        <f t="shared" si="6"/>
        <v/>
      </c>
      <c r="BD105" s="131" t="str">
        <f t="shared" si="7"/>
        <v>INDENIZAÇÃO</v>
      </c>
      <c r="BE105" s="131" t="str">
        <f t="shared" si="8"/>
        <v>NÃO</v>
      </c>
      <c r="BF105" s="131"/>
      <c r="BG105" s="131"/>
      <c r="BH105" s="131"/>
      <c r="BK105" s="199"/>
      <c r="BN105" s="182"/>
      <c r="CI105" s="182"/>
    </row>
    <row r="106" spans="1:87" s="141" customFormat="1" ht="30" hidden="1" customHeight="1">
      <c r="A106" s="131">
        <v>92</v>
      </c>
      <c r="B106" s="131" t="s">
        <v>4432</v>
      </c>
      <c r="C106" s="131">
        <v>1</v>
      </c>
      <c r="D106" s="131" t="s">
        <v>4433</v>
      </c>
      <c r="E106" s="131" t="s">
        <v>4433</v>
      </c>
      <c r="F106" s="211" t="s">
        <v>4804</v>
      </c>
      <c r="G106" s="131"/>
      <c r="H106" s="131"/>
      <c r="I106" s="131" t="s">
        <v>4624</v>
      </c>
      <c r="J106" s="138" t="s">
        <v>4805</v>
      </c>
      <c r="K106" s="132"/>
      <c r="L106" s="132" t="s">
        <v>4806</v>
      </c>
      <c r="M106" s="131"/>
      <c r="N106" s="131"/>
      <c r="O106" s="199"/>
      <c r="P106" s="136"/>
      <c r="Q106" s="136"/>
      <c r="R106" s="136"/>
      <c r="S106" s="136"/>
      <c r="T106" s="136"/>
      <c r="U106" s="136"/>
      <c r="V106" s="136"/>
      <c r="W106" s="136"/>
      <c r="X106" s="136"/>
      <c r="Y106" s="136"/>
      <c r="Z106" s="136"/>
      <c r="AB106" s="138"/>
      <c r="AC106" s="132"/>
      <c r="AD106" s="132"/>
      <c r="AE106" s="131"/>
      <c r="AG106" s="196"/>
      <c r="AH106" s="196"/>
      <c r="AI106" s="131"/>
      <c r="AJ106" s="131"/>
      <c r="AK106" s="131"/>
      <c r="AP106" s="132"/>
      <c r="BC106" s="197" t="str">
        <f t="shared" si="6"/>
        <v/>
      </c>
      <c r="BD106" s="131" t="str">
        <f t="shared" si="7"/>
        <v>INDENIZAÇÃO</v>
      </c>
      <c r="BE106" s="131" t="str">
        <f t="shared" si="8"/>
        <v>NÃO</v>
      </c>
      <c r="BF106" s="131"/>
      <c r="BG106" s="199"/>
      <c r="BH106" s="199"/>
      <c r="BN106" s="182"/>
      <c r="CI106" s="182"/>
    </row>
    <row r="107" spans="1:87" s="141" customFormat="1" ht="30" hidden="1" customHeight="1">
      <c r="A107" s="131">
        <v>93</v>
      </c>
      <c r="B107" s="131" t="s">
        <v>4432</v>
      </c>
      <c r="C107" s="131">
        <v>1</v>
      </c>
      <c r="D107" s="131" t="s">
        <v>4433</v>
      </c>
      <c r="E107" s="131" t="s">
        <v>4433</v>
      </c>
      <c r="F107" s="210" t="s">
        <v>4807</v>
      </c>
      <c r="G107" s="131"/>
      <c r="H107" s="131"/>
      <c r="I107" s="131"/>
      <c r="J107" s="132" t="s">
        <v>4628</v>
      </c>
      <c r="K107" s="132"/>
      <c r="L107" s="132" t="s">
        <v>4628</v>
      </c>
      <c r="M107" s="131"/>
      <c r="N107" s="131"/>
      <c r="O107" s="199"/>
      <c r="P107" s="136"/>
      <c r="Q107" s="136"/>
      <c r="R107" s="136"/>
      <c r="S107" s="136"/>
      <c r="T107" s="136"/>
      <c r="U107" s="136"/>
      <c r="V107" s="136"/>
      <c r="W107" s="136"/>
      <c r="X107" s="136"/>
      <c r="Y107" s="136"/>
      <c r="Z107" s="136"/>
      <c r="AB107" s="132"/>
      <c r="AC107" s="132"/>
      <c r="AD107" s="132"/>
      <c r="AE107" s="131"/>
      <c r="AG107" s="196"/>
      <c r="AH107" s="196"/>
      <c r="AI107" s="131"/>
      <c r="AJ107" s="131"/>
      <c r="AK107" s="131"/>
      <c r="AP107" s="132"/>
      <c r="BC107" s="197" t="str">
        <f t="shared" si="6"/>
        <v/>
      </c>
      <c r="BD107" s="131" t="str">
        <f t="shared" si="7"/>
        <v>INDENIZAÇÃO</v>
      </c>
      <c r="BE107" s="131" t="str">
        <f t="shared" si="8"/>
        <v>NÃO</v>
      </c>
      <c r="BF107" s="131"/>
      <c r="BG107" s="199"/>
      <c r="BH107" s="199"/>
      <c r="BN107" s="182"/>
      <c r="CI107" s="182"/>
    </row>
    <row r="108" spans="1:87" s="141" customFormat="1" ht="30" hidden="1" customHeight="1">
      <c r="A108" s="131">
        <v>94</v>
      </c>
      <c r="B108" s="131" t="s">
        <v>4432</v>
      </c>
      <c r="C108" s="131">
        <v>1</v>
      </c>
      <c r="D108" s="131" t="s">
        <v>4433</v>
      </c>
      <c r="E108" s="131" t="s">
        <v>4433</v>
      </c>
      <c r="F108" s="210" t="s">
        <v>4808</v>
      </c>
      <c r="G108" s="131"/>
      <c r="H108" s="131"/>
      <c r="I108" s="131"/>
      <c r="J108" s="138" t="s">
        <v>4809</v>
      </c>
      <c r="K108" s="132"/>
      <c r="L108" s="132" t="s">
        <v>4810</v>
      </c>
      <c r="M108" s="131"/>
      <c r="N108" s="131"/>
      <c r="O108" s="199"/>
      <c r="P108" s="136"/>
      <c r="Q108" s="136"/>
      <c r="R108" s="136"/>
      <c r="S108" s="136"/>
      <c r="T108" s="136"/>
      <c r="U108" s="136"/>
      <c r="V108" s="136"/>
      <c r="W108" s="136"/>
      <c r="X108" s="136"/>
      <c r="Y108" s="136"/>
      <c r="Z108" s="136"/>
      <c r="AB108" s="138"/>
      <c r="AC108" s="132"/>
      <c r="AD108" s="132"/>
      <c r="AE108" s="131"/>
      <c r="AG108" s="196"/>
      <c r="AH108" s="196"/>
      <c r="AI108" s="131"/>
      <c r="AJ108" s="131"/>
      <c r="AK108" s="131"/>
      <c r="AP108" s="132"/>
      <c r="BC108" s="197" t="str">
        <f t="shared" si="6"/>
        <v/>
      </c>
      <c r="BD108" s="131" t="str">
        <f t="shared" si="7"/>
        <v>INDENIZAÇÃO</v>
      </c>
      <c r="BE108" s="131" t="str">
        <f t="shared" si="8"/>
        <v>NÃO</v>
      </c>
      <c r="BF108" s="131"/>
      <c r="BG108" s="199"/>
      <c r="BH108" s="199"/>
      <c r="BN108" s="182"/>
      <c r="CI108" s="182"/>
    </row>
    <row r="109" spans="1:87" s="141" customFormat="1" ht="30" hidden="1" customHeight="1">
      <c r="A109" s="131">
        <v>95</v>
      </c>
      <c r="B109" s="131" t="s">
        <v>4432</v>
      </c>
      <c r="C109" s="131">
        <v>1</v>
      </c>
      <c r="D109" s="131" t="s">
        <v>4433</v>
      </c>
      <c r="E109" s="131" t="s">
        <v>4433</v>
      </c>
      <c r="F109" s="210" t="s">
        <v>4811</v>
      </c>
      <c r="G109" s="131"/>
      <c r="H109" s="131"/>
      <c r="I109" s="131"/>
      <c r="J109" s="138" t="s">
        <v>4812</v>
      </c>
      <c r="K109" s="132"/>
      <c r="L109" s="132" t="s">
        <v>4813</v>
      </c>
      <c r="M109" s="131"/>
      <c r="N109" s="131"/>
      <c r="O109" s="199"/>
      <c r="P109" s="136"/>
      <c r="Q109" s="136"/>
      <c r="R109" s="136"/>
      <c r="S109" s="136"/>
      <c r="T109" s="136"/>
      <c r="U109" s="136"/>
      <c r="V109" s="136"/>
      <c r="W109" s="136"/>
      <c r="X109" s="136"/>
      <c r="Y109" s="136"/>
      <c r="Z109" s="136"/>
      <c r="AB109" s="138"/>
      <c r="AC109" s="132"/>
      <c r="AD109" s="132"/>
      <c r="AE109" s="131"/>
      <c r="AG109" s="196"/>
      <c r="AH109" s="196"/>
      <c r="AI109" s="131"/>
      <c r="AJ109" s="131"/>
      <c r="AK109" s="131"/>
      <c r="AP109" s="132"/>
      <c r="BC109" s="197" t="str">
        <f t="shared" si="6"/>
        <v/>
      </c>
      <c r="BD109" s="131" t="str">
        <f t="shared" si="7"/>
        <v>INDENIZAÇÃO</v>
      </c>
      <c r="BE109" s="131" t="str">
        <f t="shared" si="8"/>
        <v>NÃO</v>
      </c>
      <c r="BF109" s="131"/>
      <c r="BG109" s="199"/>
      <c r="BH109" s="199"/>
      <c r="BN109" s="182"/>
      <c r="CI109" s="182"/>
    </row>
    <row r="110" spans="1:87" s="141" customFormat="1" ht="30" hidden="1" customHeight="1">
      <c r="A110" s="131">
        <v>96</v>
      </c>
      <c r="B110" s="131" t="s">
        <v>4432</v>
      </c>
      <c r="C110" s="131">
        <v>1</v>
      </c>
      <c r="D110" s="131" t="s">
        <v>4433</v>
      </c>
      <c r="E110" s="131" t="s">
        <v>4433</v>
      </c>
      <c r="F110" s="210" t="s">
        <v>4814</v>
      </c>
      <c r="G110" s="131" t="s">
        <v>4339</v>
      </c>
      <c r="H110" s="131" t="s">
        <v>4340</v>
      </c>
      <c r="I110" s="131" t="s">
        <v>4624</v>
      </c>
      <c r="J110" s="138" t="s">
        <v>4815</v>
      </c>
      <c r="K110" s="132"/>
      <c r="L110" s="132" t="s">
        <v>4816</v>
      </c>
      <c r="M110" s="131"/>
      <c r="N110" s="131"/>
      <c r="O110" s="199"/>
      <c r="P110" s="136"/>
      <c r="Q110" s="136"/>
      <c r="R110" s="136"/>
      <c r="S110" s="136"/>
      <c r="T110" s="136"/>
      <c r="U110" s="136"/>
      <c r="V110" s="136"/>
      <c r="W110" s="136"/>
      <c r="X110" s="136"/>
      <c r="Y110" s="136"/>
      <c r="Z110" s="136"/>
      <c r="AB110" s="138"/>
      <c r="AC110" s="132"/>
      <c r="AD110" s="132"/>
      <c r="AE110" s="131"/>
      <c r="AG110" s="196"/>
      <c r="AH110" s="196"/>
      <c r="AI110" s="131"/>
      <c r="AJ110" s="131"/>
      <c r="AK110" s="131"/>
      <c r="AP110" s="132"/>
      <c r="BC110" s="197" t="str">
        <f t="shared" si="6"/>
        <v/>
      </c>
      <c r="BD110" s="131" t="str">
        <f t="shared" si="7"/>
        <v>INDENIZAÇÃO</v>
      </c>
      <c r="BE110" s="131" t="str">
        <f t="shared" si="8"/>
        <v>NÃO</v>
      </c>
      <c r="BF110" s="131"/>
      <c r="BG110" s="199"/>
      <c r="BH110" s="199"/>
      <c r="BN110" s="182"/>
      <c r="CI110" s="182"/>
    </row>
    <row r="111" spans="1:87" s="141" customFormat="1" ht="30" hidden="1" customHeight="1">
      <c r="A111" s="131">
        <v>97</v>
      </c>
      <c r="B111" s="131" t="s">
        <v>4432</v>
      </c>
      <c r="C111" s="131">
        <v>1</v>
      </c>
      <c r="D111" s="131" t="s">
        <v>4433</v>
      </c>
      <c r="E111" s="131" t="s">
        <v>4433</v>
      </c>
      <c r="F111" s="210" t="s">
        <v>4817</v>
      </c>
      <c r="G111" s="131"/>
      <c r="H111" s="131"/>
      <c r="I111" s="131"/>
      <c r="J111" s="132" t="s">
        <v>4818</v>
      </c>
      <c r="K111" s="132"/>
      <c r="L111" s="132" t="s">
        <v>4819</v>
      </c>
      <c r="M111" s="131"/>
      <c r="N111" s="131"/>
      <c r="O111" s="199"/>
      <c r="P111" s="136"/>
      <c r="Q111" s="136"/>
      <c r="R111" s="136"/>
      <c r="S111" s="136"/>
      <c r="T111" s="136"/>
      <c r="U111" s="136"/>
      <c r="V111" s="136"/>
      <c r="W111" s="136"/>
      <c r="X111" s="136"/>
      <c r="Y111" s="136"/>
      <c r="Z111" s="136"/>
      <c r="AB111" s="132"/>
      <c r="AC111" s="132"/>
      <c r="AD111" s="132"/>
      <c r="AE111" s="131"/>
      <c r="AG111" s="196"/>
      <c r="AH111" s="196"/>
      <c r="AI111" s="131"/>
      <c r="AP111" s="132"/>
      <c r="AU111" s="199"/>
      <c r="AX111" s="199"/>
      <c r="AY111" s="136"/>
      <c r="BC111" s="197" t="str">
        <f t="shared" si="6"/>
        <v/>
      </c>
      <c r="BD111" s="131" t="str">
        <f t="shared" si="7"/>
        <v>INDENIZAÇÃO</v>
      </c>
      <c r="BE111" s="131" t="str">
        <f t="shared" si="8"/>
        <v>NÃO</v>
      </c>
      <c r="BF111" s="131"/>
      <c r="BG111" s="131"/>
      <c r="BH111" s="131"/>
      <c r="BK111" s="199"/>
      <c r="BN111" s="182"/>
      <c r="CI111" s="182"/>
    </row>
    <row r="112" spans="1:87" s="141" customFormat="1" ht="30" hidden="1" customHeight="1">
      <c r="A112" s="131">
        <v>98</v>
      </c>
      <c r="B112" s="131" t="s">
        <v>4432</v>
      </c>
      <c r="C112" s="131">
        <v>1</v>
      </c>
      <c r="D112" s="131" t="s">
        <v>4433</v>
      </c>
      <c r="E112" s="131" t="s">
        <v>4433</v>
      </c>
      <c r="F112" s="210" t="s">
        <v>4820</v>
      </c>
      <c r="G112" s="131"/>
      <c r="H112" s="131"/>
      <c r="I112" s="131"/>
      <c r="J112" s="132" t="s">
        <v>4821</v>
      </c>
      <c r="K112" s="132"/>
      <c r="L112" s="132" t="s">
        <v>4822</v>
      </c>
      <c r="M112" s="131"/>
      <c r="N112" s="131"/>
      <c r="O112" s="199"/>
      <c r="P112" s="136"/>
      <c r="Q112" s="136"/>
      <c r="R112" s="136"/>
      <c r="S112" s="136"/>
      <c r="T112" s="136"/>
      <c r="U112" s="136"/>
      <c r="V112" s="136"/>
      <c r="W112" s="136"/>
      <c r="X112" s="136"/>
      <c r="Y112" s="136"/>
      <c r="Z112" s="136"/>
      <c r="AB112" s="132"/>
      <c r="AC112" s="132"/>
      <c r="AD112" s="132"/>
      <c r="AE112" s="131"/>
      <c r="AG112" s="196"/>
      <c r="AH112" s="196"/>
      <c r="AI112" s="131"/>
      <c r="AP112" s="132"/>
      <c r="BC112" s="197" t="str">
        <f t="shared" si="6"/>
        <v/>
      </c>
      <c r="BD112" s="131" t="str">
        <f t="shared" si="7"/>
        <v>INDENIZAÇÃO</v>
      </c>
      <c r="BE112" s="131" t="str">
        <f t="shared" si="8"/>
        <v>NÃO</v>
      </c>
      <c r="BF112" s="131"/>
      <c r="BG112" s="199"/>
      <c r="BH112" s="199"/>
      <c r="BN112" s="182"/>
      <c r="CI112" s="182"/>
    </row>
    <row r="113" spans="1:87" s="141" customFormat="1" ht="30" hidden="1" customHeight="1">
      <c r="A113" s="131">
        <v>99</v>
      </c>
      <c r="B113" s="131" t="s">
        <v>4432</v>
      </c>
      <c r="C113" s="131">
        <v>1</v>
      </c>
      <c r="D113" s="131" t="s">
        <v>4433</v>
      </c>
      <c r="E113" s="131" t="s">
        <v>4433</v>
      </c>
      <c r="F113" s="210" t="s">
        <v>4823</v>
      </c>
      <c r="G113" s="131"/>
      <c r="H113" s="131"/>
      <c r="I113" s="131"/>
      <c r="J113" s="132" t="s">
        <v>4824</v>
      </c>
      <c r="K113" s="132"/>
      <c r="L113" s="132" t="s">
        <v>4825</v>
      </c>
      <c r="M113" s="131"/>
      <c r="N113" s="131"/>
      <c r="O113" s="199"/>
      <c r="P113" s="136"/>
      <c r="Q113" s="136"/>
      <c r="R113" s="136"/>
      <c r="S113" s="136"/>
      <c r="T113" s="136"/>
      <c r="U113" s="136"/>
      <c r="V113" s="136"/>
      <c r="W113" s="136"/>
      <c r="X113" s="136"/>
      <c r="Y113" s="136"/>
      <c r="Z113" s="136"/>
      <c r="AB113" s="132"/>
      <c r="AC113" s="132"/>
      <c r="AD113" s="132"/>
      <c r="AE113" s="131"/>
      <c r="AG113" s="196"/>
      <c r="AH113" s="196"/>
      <c r="AI113" s="131"/>
      <c r="AP113" s="132"/>
      <c r="AU113" s="199"/>
      <c r="AX113" s="199"/>
      <c r="AY113" s="136"/>
      <c r="BC113" s="197" t="str">
        <f t="shared" si="6"/>
        <v/>
      </c>
      <c r="BD113" s="131" t="str">
        <f t="shared" si="7"/>
        <v>INDENIZAÇÃO</v>
      </c>
      <c r="BE113" s="131" t="str">
        <f t="shared" si="8"/>
        <v>NÃO</v>
      </c>
      <c r="BF113" s="131"/>
      <c r="BG113" s="131"/>
      <c r="BH113" s="131"/>
      <c r="BK113" s="199"/>
      <c r="BN113" s="182"/>
      <c r="CI113" s="182"/>
    </row>
    <row r="114" spans="1:87" s="141" customFormat="1" ht="30" hidden="1" customHeight="1">
      <c r="A114" s="131">
        <v>100</v>
      </c>
      <c r="B114" s="131" t="s">
        <v>4432</v>
      </c>
      <c r="C114" s="131">
        <v>1</v>
      </c>
      <c r="D114" s="131" t="s">
        <v>4433</v>
      </c>
      <c r="E114" s="131" t="s">
        <v>4433</v>
      </c>
      <c r="F114" s="210" t="s">
        <v>4826</v>
      </c>
      <c r="G114" s="131" t="s">
        <v>4339</v>
      </c>
      <c r="H114" s="131" t="s">
        <v>4340</v>
      </c>
      <c r="I114" s="131" t="s">
        <v>4624</v>
      </c>
      <c r="J114" s="132" t="s">
        <v>4827</v>
      </c>
      <c r="K114" s="132"/>
      <c r="L114" s="132" t="s">
        <v>4828</v>
      </c>
      <c r="M114" s="131"/>
      <c r="N114" s="131"/>
      <c r="O114" s="199"/>
      <c r="P114" s="136"/>
      <c r="Q114" s="136"/>
      <c r="R114" s="136"/>
      <c r="S114" s="136"/>
      <c r="T114" s="136"/>
      <c r="U114" s="136"/>
      <c r="V114" s="136"/>
      <c r="W114" s="136"/>
      <c r="X114" s="136"/>
      <c r="Y114" s="136"/>
      <c r="Z114" s="136"/>
      <c r="AB114" s="132"/>
      <c r="AC114" s="132"/>
      <c r="AD114" s="132"/>
      <c r="AE114" s="131"/>
      <c r="AG114" s="196"/>
      <c r="AH114" s="196"/>
      <c r="AI114" s="131"/>
      <c r="AP114" s="132"/>
      <c r="AU114" s="199"/>
      <c r="BC114" s="197" t="str">
        <f t="shared" si="6"/>
        <v/>
      </c>
      <c r="BD114" s="131" t="str">
        <f t="shared" si="7"/>
        <v>INDENIZAÇÃO</v>
      </c>
      <c r="BE114" s="131" t="str">
        <f t="shared" si="8"/>
        <v>NÃO</v>
      </c>
      <c r="BF114" s="131"/>
      <c r="BG114" s="199"/>
      <c r="BH114" s="199"/>
      <c r="BN114" s="182"/>
      <c r="CI114" s="182"/>
    </row>
    <row r="115" spans="1:87" s="141" customFormat="1" ht="30" hidden="1" customHeight="1">
      <c r="A115" s="131">
        <v>101</v>
      </c>
      <c r="B115" s="131" t="s">
        <v>4432</v>
      </c>
      <c r="C115" s="131">
        <v>1</v>
      </c>
      <c r="D115" s="131" t="s">
        <v>4433</v>
      </c>
      <c r="E115" s="131" t="s">
        <v>4433</v>
      </c>
      <c r="F115" s="210" t="s">
        <v>4829</v>
      </c>
      <c r="G115" s="131"/>
      <c r="H115" s="131"/>
      <c r="I115" s="131"/>
      <c r="J115" s="132" t="s">
        <v>4830</v>
      </c>
      <c r="K115" s="132"/>
      <c r="L115" s="132" t="s">
        <v>4831</v>
      </c>
      <c r="M115" s="131"/>
      <c r="N115" s="131"/>
      <c r="O115" s="199"/>
      <c r="P115" s="136"/>
      <c r="Q115" s="136"/>
      <c r="R115" s="136"/>
      <c r="S115" s="136"/>
      <c r="T115" s="136"/>
      <c r="U115" s="136"/>
      <c r="V115" s="136"/>
      <c r="W115" s="136"/>
      <c r="X115" s="136"/>
      <c r="Y115" s="136"/>
      <c r="Z115" s="136"/>
      <c r="AB115" s="132"/>
      <c r="AC115" s="132"/>
      <c r="AD115" s="132"/>
      <c r="AE115" s="131"/>
      <c r="AG115" s="196"/>
      <c r="AH115" s="196"/>
      <c r="AI115" s="131"/>
      <c r="AJ115" s="131"/>
      <c r="AK115" s="131"/>
      <c r="AP115" s="132"/>
      <c r="BC115" s="197" t="str">
        <f t="shared" si="6"/>
        <v/>
      </c>
      <c r="BD115" s="131" t="str">
        <f t="shared" si="7"/>
        <v>INDENIZAÇÃO</v>
      </c>
      <c r="BE115" s="131" t="str">
        <f t="shared" si="8"/>
        <v>NÃO</v>
      </c>
      <c r="BF115" s="131"/>
      <c r="BG115" s="199"/>
      <c r="BH115" s="199"/>
      <c r="BN115" s="182"/>
      <c r="CI115" s="182"/>
    </row>
    <row r="116" spans="1:87" s="141" customFormat="1" ht="30" hidden="1" customHeight="1">
      <c r="A116" s="131">
        <v>102</v>
      </c>
      <c r="B116" s="131" t="s">
        <v>4432</v>
      </c>
      <c r="C116" s="131">
        <v>1</v>
      </c>
      <c r="D116" s="131" t="s">
        <v>4433</v>
      </c>
      <c r="E116" s="131" t="s">
        <v>4433</v>
      </c>
      <c r="F116" s="210" t="s">
        <v>4832</v>
      </c>
      <c r="G116" s="131"/>
      <c r="H116" s="131"/>
      <c r="I116" s="131"/>
      <c r="J116" s="132" t="s">
        <v>4833</v>
      </c>
      <c r="K116" s="132"/>
      <c r="L116" s="132" t="s">
        <v>4834</v>
      </c>
      <c r="M116" s="131"/>
      <c r="N116" s="131"/>
      <c r="O116" s="199"/>
      <c r="P116" s="136"/>
      <c r="Q116" s="136"/>
      <c r="R116" s="136"/>
      <c r="S116" s="136"/>
      <c r="T116" s="136"/>
      <c r="U116" s="136"/>
      <c r="V116" s="136"/>
      <c r="W116" s="136"/>
      <c r="X116" s="136"/>
      <c r="Y116" s="136"/>
      <c r="Z116" s="136"/>
      <c r="AB116" s="132"/>
      <c r="AC116" s="132"/>
      <c r="AD116" s="132"/>
      <c r="AE116" s="131"/>
      <c r="AG116" s="196"/>
      <c r="AH116" s="196"/>
      <c r="AI116" s="131"/>
      <c r="AJ116" s="131"/>
      <c r="AK116" s="131"/>
      <c r="AP116" s="132"/>
      <c r="BC116" s="197" t="str">
        <f t="shared" si="6"/>
        <v/>
      </c>
      <c r="BD116" s="131" t="str">
        <f t="shared" si="7"/>
        <v>INDENIZAÇÃO</v>
      </c>
      <c r="BE116" s="131" t="str">
        <f t="shared" si="8"/>
        <v>NÃO</v>
      </c>
      <c r="BF116" s="131"/>
      <c r="BG116" s="199"/>
      <c r="BH116" s="199"/>
      <c r="BN116" s="182"/>
      <c r="CI116" s="182"/>
    </row>
    <row r="117" spans="1:87" s="141" customFormat="1" ht="30" hidden="1" customHeight="1">
      <c r="A117" s="131">
        <v>103</v>
      </c>
      <c r="B117" s="131" t="s">
        <v>4432</v>
      </c>
      <c r="C117" s="131">
        <v>1</v>
      </c>
      <c r="D117" s="131" t="s">
        <v>4433</v>
      </c>
      <c r="E117" s="131" t="s">
        <v>4433</v>
      </c>
      <c r="F117" s="210" t="s">
        <v>4835</v>
      </c>
      <c r="G117" s="131"/>
      <c r="H117" s="131"/>
      <c r="I117" s="131"/>
      <c r="J117" s="132" t="s">
        <v>4836</v>
      </c>
      <c r="K117" s="132"/>
      <c r="L117" s="132" t="s">
        <v>4837</v>
      </c>
      <c r="M117" s="131"/>
      <c r="N117" s="131"/>
      <c r="O117" s="199"/>
      <c r="P117" s="136"/>
      <c r="Q117" s="136"/>
      <c r="R117" s="136"/>
      <c r="S117" s="136"/>
      <c r="T117" s="136"/>
      <c r="U117" s="136"/>
      <c r="V117" s="136"/>
      <c r="W117" s="136"/>
      <c r="X117" s="136"/>
      <c r="Y117" s="136"/>
      <c r="Z117" s="136"/>
      <c r="AB117" s="132"/>
      <c r="AC117" s="132"/>
      <c r="AD117" s="132"/>
      <c r="AE117" s="131"/>
      <c r="AG117" s="196"/>
      <c r="AH117" s="196"/>
      <c r="AI117" s="131"/>
      <c r="AJ117" s="131"/>
      <c r="AK117" s="131"/>
      <c r="AP117" s="132"/>
      <c r="AU117" s="136"/>
      <c r="AX117" s="136"/>
      <c r="AY117" s="136"/>
      <c r="AZ117" s="136"/>
      <c r="BC117" s="197" t="str">
        <f t="shared" si="6"/>
        <v/>
      </c>
      <c r="BD117" s="131" t="str">
        <f t="shared" si="7"/>
        <v>INDENIZAÇÃO</v>
      </c>
      <c r="BE117" s="131" t="str">
        <f t="shared" si="8"/>
        <v>NÃO</v>
      </c>
      <c r="BF117" s="131"/>
      <c r="BG117" s="131"/>
      <c r="BH117" s="131"/>
      <c r="BK117" s="136"/>
      <c r="BN117" s="182"/>
      <c r="CI117" s="182"/>
    </row>
    <row r="118" spans="1:87" s="141" customFormat="1" ht="30" hidden="1" customHeight="1">
      <c r="A118" s="131">
        <v>104</v>
      </c>
      <c r="B118" s="131" t="s">
        <v>4432</v>
      </c>
      <c r="C118" s="131">
        <v>1</v>
      </c>
      <c r="D118" s="131" t="s">
        <v>4433</v>
      </c>
      <c r="E118" s="131" t="s">
        <v>4433</v>
      </c>
      <c r="F118" s="210" t="s">
        <v>4838</v>
      </c>
      <c r="G118" s="131"/>
      <c r="H118" s="131"/>
      <c r="I118" s="131"/>
      <c r="J118" s="132" t="s">
        <v>4839</v>
      </c>
      <c r="K118" s="132"/>
      <c r="L118" s="132" t="s">
        <v>4840</v>
      </c>
      <c r="M118" s="131"/>
      <c r="N118" s="131"/>
      <c r="O118" s="199"/>
      <c r="P118" s="136"/>
      <c r="Q118" s="136"/>
      <c r="R118" s="136"/>
      <c r="S118" s="136"/>
      <c r="T118" s="136"/>
      <c r="U118" s="136"/>
      <c r="V118" s="136"/>
      <c r="W118" s="136"/>
      <c r="X118" s="136"/>
      <c r="Y118" s="136"/>
      <c r="Z118" s="136"/>
      <c r="AB118" s="132"/>
      <c r="AC118" s="132"/>
      <c r="AD118" s="132"/>
      <c r="AE118" s="131"/>
      <c r="AG118" s="196"/>
      <c r="AH118" s="196"/>
      <c r="AI118" s="131"/>
      <c r="AJ118" s="131"/>
      <c r="AK118" s="131"/>
      <c r="AP118" s="132"/>
      <c r="BC118" s="197" t="str">
        <f t="shared" si="6"/>
        <v/>
      </c>
      <c r="BD118" s="131" t="str">
        <f t="shared" si="7"/>
        <v>INDENIZAÇÃO</v>
      </c>
      <c r="BE118" s="131" t="str">
        <f t="shared" si="8"/>
        <v>NÃO</v>
      </c>
      <c r="BF118" s="131"/>
      <c r="BG118" s="199"/>
      <c r="BH118" s="199"/>
      <c r="BN118" s="182"/>
      <c r="CI118" s="182"/>
    </row>
    <row r="119" spans="1:87" s="141" customFormat="1" ht="30" hidden="1" customHeight="1">
      <c r="A119" s="131">
        <v>105</v>
      </c>
      <c r="B119" s="131" t="s">
        <v>4432</v>
      </c>
      <c r="C119" s="131">
        <v>1</v>
      </c>
      <c r="D119" s="131" t="s">
        <v>4433</v>
      </c>
      <c r="E119" s="131" t="s">
        <v>4433</v>
      </c>
      <c r="F119" s="210" t="s">
        <v>4841</v>
      </c>
      <c r="G119" s="131"/>
      <c r="H119" s="131"/>
      <c r="I119" s="131"/>
      <c r="J119" s="132" t="s">
        <v>4842</v>
      </c>
      <c r="K119" s="132"/>
      <c r="L119" s="132" t="s">
        <v>4843</v>
      </c>
      <c r="M119" s="131"/>
      <c r="N119" s="131"/>
      <c r="O119" s="199"/>
      <c r="P119" s="136"/>
      <c r="Q119" s="136"/>
      <c r="R119" s="136"/>
      <c r="S119" s="136"/>
      <c r="T119" s="136"/>
      <c r="U119" s="136"/>
      <c r="V119" s="136"/>
      <c r="W119" s="136"/>
      <c r="X119" s="136"/>
      <c r="Y119" s="136"/>
      <c r="Z119" s="136"/>
      <c r="AB119" s="132"/>
      <c r="AC119" s="132"/>
      <c r="AD119" s="132"/>
      <c r="AE119" s="131"/>
      <c r="AG119" s="196"/>
      <c r="AH119" s="196"/>
      <c r="AI119" s="131"/>
      <c r="AJ119" s="131"/>
      <c r="AK119" s="131"/>
      <c r="AP119" s="132"/>
      <c r="BC119" s="197" t="str">
        <f t="shared" si="6"/>
        <v/>
      </c>
      <c r="BD119" s="131" t="str">
        <f t="shared" si="7"/>
        <v>INDENIZAÇÃO</v>
      </c>
      <c r="BE119" s="131" t="str">
        <f t="shared" si="8"/>
        <v>NÃO</v>
      </c>
      <c r="BF119" s="131"/>
      <c r="BG119" s="199"/>
      <c r="BH119" s="199"/>
      <c r="BN119" s="182"/>
      <c r="CI119" s="182"/>
    </row>
    <row r="120" spans="1:87" s="141" customFormat="1" ht="30" hidden="1" customHeight="1">
      <c r="A120" s="131">
        <v>106</v>
      </c>
      <c r="B120" s="131" t="s">
        <v>4432</v>
      </c>
      <c r="C120" s="131">
        <v>1</v>
      </c>
      <c r="D120" s="131" t="s">
        <v>4433</v>
      </c>
      <c r="E120" s="131" t="s">
        <v>4433</v>
      </c>
      <c r="F120" s="210" t="s">
        <v>4844</v>
      </c>
      <c r="G120" s="131"/>
      <c r="H120" s="131"/>
      <c r="I120" s="131"/>
      <c r="J120" s="132" t="s">
        <v>4845</v>
      </c>
      <c r="K120" s="132"/>
      <c r="L120" s="132" t="s">
        <v>4846</v>
      </c>
      <c r="M120" s="131"/>
      <c r="N120" s="131"/>
      <c r="O120" s="199"/>
      <c r="P120" s="136"/>
      <c r="Q120" s="136"/>
      <c r="R120" s="136"/>
      <c r="S120" s="136"/>
      <c r="T120" s="136"/>
      <c r="U120" s="136"/>
      <c r="V120" s="136"/>
      <c r="W120" s="136"/>
      <c r="X120" s="136"/>
      <c r="Y120" s="136"/>
      <c r="Z120" s="136"/>
      <c r="AB120" s="132"/>
      <c r="AC120" s="132"/>
      <c r="AD120" s="132"/>
      <c r="AE120" s="131"/>
      <c r="AG120" s="196"/>
      <c r="AH120" s="196"/>
      <c r="AI120" s="131"/>
      <c r="AJ120" s="131"/>
      <c r="AK120" s="131"/>
      <c r="AP120" s="132"/>
      <c r="AR120" s="144"/>
      <c r="AS120" s="144"/>
      <c r="AT120" s="144"/>
      <c r="AU120" s="144"/>
      <c r="AV120" s="144"/>
      <c r="AW120" s="144"/>
      <c r="AX120" s="144"/>
      <c r="AY120" s="144"/>
      <c r="AZ120" s="144"/>
      <c r="BA120" s="144"/>
      <c r="BC120" s="197" t="str">
        <f t="shared" si="6"/>
        <v/>
      </c>
      <c r="BD120" s="131" t="str">
        <f t="shared" si="7"/>
        <v>INDENIZAÇÃO</v>
      </c>
      <c r="BE120" s="131" t="str">
        <f t="shared" si="8"/>
        <v>NÃO</v>
      </c>
      <c r="BF120" s="131"/>
      <c r="BG120" s="199"/>
      <c r="BH120" s="199"/>
      <c r="BN120" s="182"/>
      <c r="CI120" s="182"/>
    </row>
    <row r="121" spans="1:87" s="141" customFormat="1" ht="30" hidden="1" customHeight="1">
      <c r="A121" s="131">
        <v>107</v>
      </c>
      <c r="B121" s="131" t="s">
        <v>4432</v>
      </c>
      <c r="C121" s="131">
        <v>1</v>
      </c>
      <c r="D121" s="131" t="s">
        <v>4433</v>
      </c>
      <c r="E121" s="131" t="s">
        <v>4433</v>
      </c>
      <c r="F121" s="210" t="s">
        <v>4847</v>
      </c>
      <c r="G121" s="131"/>
      <c r="H121" s="131"/>
      <c r="I121" s="198"/>
      <c r="J121" s="132" t="s">
        <v>4848</v>
      </c>
      <c r="K121" s="132"/>
      <c r="L121" s="132" t="s">
        <v>4849</v>
      </c>
      <c r="M121" s="131"/>
      <c r="N121" s="131"/>
      <c r="O121" s="199"/>
      <c r="P121" s="136"/>
      <c r="Q121" s="136"/>
      <c r="R121" s="136"/>
      <c r="S121" s="136"/>
      <c r="T121" s="136"/>
      <c r="U121" s="136"/>
      <c r="V121" s="136"/>
      <c r="W121" s="136"/>
      <c r="X121" s="136"/>
      <c r="Y121" s="136"/>
      <c r="Z121" s="136"/>
      <c r="AB121" s="132"/>
      <c r="AC121" s="132"/>
      <c r="AD121" s="132"/>
      <c r="AE121" s="131"/>
      <c r="AG121" s="196"/>
      <c r="AH121" s="196"/>
      <c r="AI121" s="131"/>
      <c r="AJ121" s="131"/>
      <c r="AK121" s="131"/>
      <c r="AO121" s="201"/>
      <c r="AP121" s="132"/>
      <c r="AU121" s="199"/>
      <c r="AX121" s="199"/>
      <c r="AY121" s="136"/>
      <c r="AZ121" s="136"/>
      <c r="BC121" s="197" t="str">
        <f t="shared" si="6"/>
        <v/>
      </c>
      <c r="BD121" s="131" t="str">
        <f t="shared" si="7"/>
        <v>INDENIZAÇÃO</v>
      </c>
      <c r="BE121" s="131" t="str">
        <f t="shared" si="8"/>
        <v>NÃO</v>
      </c>
      <c r="BF121" s="131"/>
      <c r="BG121" s="131"/>
      <c r="BH121" s="131"/>
      <c r="BK121" s="199"/>
      <c r="BN121" s="182"/>
      <c r="CI121" s="182"/>
    </row>
    <row r="122" spans="1:87" s="141" customFormat="1" ht="30" hidden="1" customHeight="1">
      <c r="A122" s="131">
        <v>108</v>
      </c>
      <c r="B122" s="131" t="s">
        <v>4432</v>
      </c>
      <c r="C122" s="131">
        <v>1</v>
      </c>
      <c r="D122" s="131" t="s">
        <v>4433</v>
      </c>
      <c r="E122" s="131" t="s">
        <v>4433</v>
      </c>
      <c r="F122" s="210" t="s">
        <v>4850</v>
      </c>
      <c r="G122" s="131"/>
      <c r="H122" s="131"/>
      <c r="I122" s="131"/>
      <c r="J122" s="132" t="s">
        <v>4851</v>
      </c>
      <c r="K122" s="132"/>
      <c r="L122" s="132" t="s">
        <v>4852</v>
      </c>
      <c r="M122" s="131"/>
      <c r="N122" s="131"/>
      <c r="O122" s="199"/>
      <c r="P122" s="136"/>
      <c r="Q122" s="136"/>
      <c r="R122" s="136"/>
      <c r="S122" s="136"/>
      <c r="T122" s="136"/>
      <c r="U122" s="136"/>
      <c r="V122" s="136"/>
      <c r="W122" s="136"/>
      <c r="X122" s="136"/>
      <c r="Y122" s="136"/>
      <c r="Z122" s="136"/>
      <c r="AB122" s="132"/>
      <c r="AC122" s="132"/>
      <c r="AD122" s="132"/>
      <c r="AE122" s="131"/>
      <c r="AG122" s="196"/>
      <c r="AH122" s="196"/>
      <c r="AI122" s="131"/>
      <c r="AJ122" s="131"/>
      <c r="AK122" s="131"/>
      <c r="AP122" s="132"/>
      <c r="AU122" s="199"/>
      <c r="AX122" s="199"/>
      <c r="AY122" s="136"/>
      <c r="AZ122" s="136"/>
      <c r="BC122" s="197" t="str">
        <f t="shared" si="6"/>
        <v/>
      </c>
      <c r="BD122" s="131" t="str">
        <f t="shared" si="7"/>
        <v>INDENIZAÇÃO</v>
      </c>
      <c r="BE122" s="131" t="str">
        <f t="shared" si="8"/>
        <v>NÃO</v>
      </c>
      <c r="BF122" s="131"/>
      <c r="BG122" s="131"/>
      <c r="BH122" s="131"/>
      <c r="BK122" s="199"/>
      <c r="BN122" s="182"/>
      <c r="CI122" s="182"/>
    </row>
    <row r="123" spans="1:87" s="141" customFormat="1" ht="30" hidden="1" customHeight="1">
      <c r="A123" s="131">
        <v>109</v>
      </c>
      <c r="B123" s="131" t="s">
        <v>4432</v>
      </c>
      <c r="C123" s="131">
        <v>1</v>
      </c>
      <c r="D123" s="131" t="s">
        <v>4433</v>
      </c>
      <c r="E123" s="131" t="s">
        <v>4433</v>
      </c>
      <c r="F123" s="210" t="s">
        <v>4853</v>
      </c>
      <c r="G123" s="131"/>
      <c r="H123" s="131"/>
      <c r="I123" s="131"/>
      <c r="J123" s="132" t="s">
        <v>4854</v>
      </c>
      <c r="K123" s="132"/>
      <c r="L123" s="132" t="s">
        <v>4855</v>
      </c>
      <c r="M123" s="131"/>
      <c r="N123" s="131"/>
      <c r="O123" s="199"/>
      <c r="P123" s="136"/>
      <c r="Q123" s="136"/>
      <c r="R123" s="136"/>
      <c r="S123" s="136"/>
      <c r="T123" s="136"/>
      <c r="U123" s="136"/>
      <c r="V123" s="136"/>
      <c r="W123" s="136"/>
      <c r="X123" s="136"/>
      <c r="Y123" s="136"/>
      <c r="Z123" s="136"/>
      <c r="AB123" s="132"/>
      <c r="AC123" s="132"/>
      <c r="AD123" s="132"/>
      <c r="AE123" s="131"/>
      <c r="AG123" s="196"/>
      <c r="AH123" s="196"/>
      <c r="AI123" s="131"/>
      <c r="AP123" s="132"/>
      <c r="AU123" s="199"/>
      <c r="BC123" s="197" t="str">
        <f t="shared" si="6"/>
        <v/>
      </c>
      <c r="BD123" s="131" t="str">
        <f t="shared" si="7"/>
        <v>INDENIZAÇÃO</v>
      </c>
      <c r="BE123" s="131" t="str">
        <f t="shared" si="8"/>
        <v>NÃO</v>
      </c>
      <c r="BF123" s="131"/>
      <c r="BG123" s="199"/>
      <c r="BH123" s="199"/>
      <c r="BN123" s="182"/>
      <c r="CI123" s="182"/>
    </row>
    <row r="124" spans="1:87" s="141" customFormat="1" ht="30" hidden="1" customHeight="1">
      <c r="A124" s="131">
        <v>110</v>
      </c>
      <c r="B124" s="131" t="s">
        <v>4432</v>
      </c>
      <c r="C124" s="131">
        <v>1</v>
      </c>
      <c r="D124" s="131" t="s">
        <v>4433</v>
      </c>
      <c r="E124" s="131" t="s">
        <v>4433</v>
      </c>
      <c r="F124" s="210" t="s">
        <v>4856</v>
      </c>
      <c r="G124" s="131" t="s">
        <v>4348</v>
      </c>
      <c r="H124" s="131"/>
      <c r="I124" s="131"/>
      <c r="J124" s="132" t="s">
        <v>4628</v>
      </c>
      <c r="K124" s="132"/>
      <c r="L124" s="132" t="s">
        <v>4628</v>
      </c>
      <c r="M124" s="131"/>
      <c r="N124" s="131"/>
      <c r="O124" s="199"/>
      <c r="P124" s="136"/>
      <c r="Q124" s="136"/>
      <c r="R124" s="136"/>
      <c r="S124" s="136"/>
      <c r="T124" s="136"/>
      <c r="U124" s="136"/>
      <c r="V124" s="136"/>
      <c r="W124" s="136"/>
      <c r="X124" s="136"/>
      <c r="Y124" s="136"/>
      <c r="Z124" s="136"/>
      <c r="AB124" s="132"/>
      <c r="AC124" s="132"/>
      <c r="AD124" s="132"/>
      <c r="AE124" s="131"/>
      <c r="AG124" s="196"/>
      <c r="AH124" s="196"/>
      <c r="AI124" s="131"/>
      <c r="AJ124" s="131"/>
      <c r="AK124" s="131"/>
      <c r="AO124" s="201"/>
      <c r="AP124" s="132"/>
      <c r="AU124" s="199"/>
      <c r="AX124" s="199"/>
      <c r="AY124" s="136"/>
      <c r="BC124" s="197" t="str">
        <f t="shared" si="6"/>
        <v/>
      </c>
      <c r="BD124" s="131" t="str">
        <f t="shared" si="7"/>
        <v>INDENIZAÇÃO</v>
      </c>
      <c r="BE124" s="131" t="str">
        <f t="shared" si="8"/>
        <v>NÃO</v>
      </c>
      <c r="BF124" s="131"/>
      <c r="BG124" s="131"/>
      <c r="BH124" s="131"/>
      <c r="BK124" s="199"/>
      <c r="BN124" s="182"/>
      <c r="CI124" s="182"/>
    </row>
    <row r="125" spans="1:87" s="141" customFormat="1" ht="30" hidden="1" customHeight="1">
      <c r="A125" s="131">
        <v>111</v>
      </c>
      <c r="B125" s="131" t="s">
        <v>4432</v>
      </c>
      <c r="C125" s="131">
        <v>1</v>
      </c>
      <c r="D125" s="131" t="s">
        <v>4433</v>
      </c>
      <c r="E125" s="131" t="s">
        <v>4433</v>
      </c>
      <c r="F125" s="210" t="s">
        <v>4857</v>
      </c>
      <c r="G125" s="131"/>
      <c r="H125" s="131"/>
      <c r="I125" s="131"/>
      <c r="J125" s="132" t="s">
        <v>4858</v>
      </c>
      <c r="K125" s="132"/>
      <c r="L125" s="132" t="s">
        <v>4859</v>
      </c>
      <c r="M125" s="131"/>
      <c r="N125" s="131"/>
      <c r="O125" s="199"/>
      <c r="P125" s="136"/>
      <c r="Q125" s="136"/>
      <c r="R125" s="136"/>
      <c r="S125" s="136"/>
      <c r="T125" s="136"/>
      <c r="U125" s="136"/>
      <c r="V125" s="136"/>
      <c r="W125" s="136"/>
      <c r="X125" s="136"/>
      <c r="Y125" s="136"/>
      <c r="Z125" s="136"/>
      <c r="AB125" s="132"/>
      <c r="AC125" s="132"/>
      <c r="AD125" s="132"/>
      <c r="AE125" s="131"/>
      <c r="AG125" s="196"/>
      <c r="AH125" s="196"/>
      <c r="AI125" s="131"/>
      <c r="AJ125" s="131"/>
      <c r="AK125" s="131"/>
      <c r="AP125" s="132"/>
      <c r="AU125" s="199"/>
      <c r="AX125" s="199"/>
      <c r="AY125" s="136"/>
      <c r="BC125" s="197" t="str">
        <f t="shared" si="6"/>
        <v/>
      </c>
      <c r="BD125" s="131" t="str">
        <f t="shared" si="7"/>
        <v>INDENIZAÇÃO</v>
      </c>
      <c r="BE125" s="131" t="str">
        <f t="shared" si="8"/>
        <v>NÃO</v>
      </c>
      <c r="BF125" s="131"/>
      <c r="BG125" s="131"/>
      <c r="BH125" s="131"/>
      <c r="BK125" s="199"/>
      <c r="BN125" s="182"/>
      <c r="CI125" s="182"/>
    </row>
    <row r="126" spans="1:87" s="141" customFormat="1" ht="30" hidden="1" customHeight="1">
      <c r="A126" s="131">
        <v>112</v>
      </c>
      <c r="B126" s="131" t="s">
        <v>4432</v>
      </c>
      <c r="C126" s="131">
        <v>1</v>
      </c>
      <c r="D126" s="131" t="s">
        <v>4433</v>
      </c>
      <c r="E126" s="131" t="s">
        <v>4433</v>
      </c>
      <c r="F126" s="210" t="s">
        <v>4860</v>
      </c>
      <c r="G126" s="131"/>
      <c r="H126" s="131"/>
      <c r="I126" s="198"/>
      <c r="J126" s="132" t="s">
        <v>4861</v>
      </c>
      <c r="K126" s="132"/>
      <c r="L126" s="132" t="s">
        <v>4862</v>
      </c>
      <c r="M126" s="131"/>
      <c r="N126" s="131"/>
      <c r="O126" s="199"/>
      <c r="P126" s="136"/>
      <c r="Q126" s="131"/>
      <c r="R126" s="136"/>
      <c r="S126" s="136"/>
      <c r="T126" s="136"/>
      <c r="U126" s="136"/>
      <c r="V126" s="136"/>
      <c r="W126" s="136"/>
      <c r="X126" s="136"/>
      <c r="Y126" s="136"/>
      <c r="Z126" s="136"/>
      <c r="AB126" s="132"/>
      <c r="AC126" s="132"/>
      <c r="AD126" s="132"/>
      <c r="AE126" s="131"/>
      <c r="AG126" s="196"/>
      <c r="AH126" s="196"/>
      <c r="AI126" s="131"/>
      <c r="AJ126" s="131"/>
      <c r="AK126" s="131"/>
      <c r="AP126" s="132"/>
      <c r="BC126" s="197" t="str">
        <f t="shared" si="6"/>
        <v/>
      </c>
      <c r="BD126" s="131" t="str">
        <f t="shared" si="7"/>
        <v>INDENIZAÇÃO</v>
      </c>
      <c r="BE126" s="131" t="str">
        <f t="shared" si="8"/>
        <v>NÃO</v>
      </c>
      <c r="BF126" s="131"/>
      <c r="BG126" s="199"/>
      <c r="BH126" s="199"/>
      <c r="BN126" s="182"/>
      <c r="CI126" s="182"/>
    </row>
    <row r="127" spans="1:87" s="141" customFormat="1" ht="30" hidden="1" customHeight="1">
      <c r="A127" s="131">
        <v>113</v>
      </c>
      <c r="B127" s="131" t="s">
        <v>4432</v>
      </c>
      <c r="C127" s="131">
        <v>1</v>
      </c>
      <c r="D127" s="131" t="s">
        <v>4433</v>
      </c>
      <c r="E127" s="131" t="s">
        <v>4433</v>
      </c>
      <c r="F127" s="210" t="s">
        <v>4863</v>
      </c>
      <c r="G127" s="131"/>
      <c r="H127" s="131"/>
      <c r="I127" s="131"/>
      <c r="J127" s="132" t="s">
        <v>4864</v>
      </c>
      <c r="K127" s="132"/>
      <c r="L127" s="132" t="s">
        <v>4865</v>
      </c>
      <c r="M127" s="131"/>
      <c r="N127" s="131"/>
      <c r="O127" s="199"/>
      <c r="P127" s="136"/>
      <c r="Q127" s="136"/>
      <c r="R127" s="136"/>
      <c r="S127" s="136"/>
      <c r="T127" s="136"/>
      <c r="U127" s="136"/>
      <c r="V127" s="136"/>
      <c r="W127" s="136"/>
      <c r="X127" s="136"/>
      <c r="Y127" s="136"/>
      <c r="Z127" s="136"/>
      <c r="AB127" s="132"/>
      <c r="AC127" s="132"/>
      <c r="AD127" s="132"/>
      <c r="AE127" s="131"/>
      <c r="AG127" s="196"/>
      <c r="AH127" s="196"/>
      <c r="AI127" s="131"/>
      <c r="AJ127" s="131"/>
      <c r="AK127" s="131"/>
      <c r="AP127" s="132"/>
      <c r="BC127" s="197" t="str">
        <f t="shared" si="6"/>
        <v/>
      </c>
      <c r="BD127" s="131" t="str">
        <f t="shared" si="7"/>
        <v>INDENIZAÇÃO</v>
      </c>
      <c r="BE127" s="131" t="str">
        <f t="shared" si="8"/>
        <v>NÃO</v>
      </c>
      <c r="BF127" s="131"/>
      <c r="BG127" s="199"/>
      <c r="BH127" s="199"/>
      <c r="BN127" s="182"/>
      <c r="CI127" s="182"/>
    </row>
    <row r="128" spans="1:87" s="141" customFormat="1" ht="30" hidden="1" customHeight="1">
      <c r="A128" s="131">
        <v>114</v>
      </c>
      <c r="B128" s="131" t="s">
        <v>4432</v>
      </c>
      <c r="C128" s="131">
        <v>1</v>
      </c>
      <c r="D128" s="131" t="s">
        <v>4433</v>
      </c>
      <c r="E128" s="131" t="s">
        <v>4433</v>
      </c>
      <c r="F128" s="210" t="s">
        <v>4866</v>
      </c>
      <c r="G128" s="131"/>
      <c r="H128" s="131"/>
      <c r="I128" s="131"/>
      <c r="J128" s="132" t="s">
        <v>4867</v>
      </c>
      <c r="K128" s="132"/>
      <c r="L128" s="132" t="s">
        <v>4868</v>
      </c>
      <c r="M128" s="131"/>
      <c r="N128" s="131"/>
      <c r="O128" s="199"/>
      <c r="P128" s="136"/>
      <c r="Q128" s="136"/>
      <c r="R128" s="136"/>
      <c r="S128" s="136"/>
      <c r="T128" s="136"/>
      <c r="U128" s="136"/>
      <c r="V128" s="136"/>
      <c r="W128" s="136"/>
      <c r="X128" s="136"/>
      <c r="Y128" s="136"/>
      <c r="Z128" s="136"/>
      <c r="AB128" s="132"/>
      <c r="AC128" s="132"/>
      <c r="AD128" s="132"/>
      <c r="AE128" s="131"/>
      <c r="AG128" s="196"/>
      <c r="AH128" s="196"/>
      <c r="AI128" s="131"/>
      <c r="AJ128" s="131"/>
      <c r="AK128" s="131"/>
      <c r="AP128" s="132"/>
      <c r="BC128" s="197" t="str">
        <f t="shared" si="6"/>
        <v/>
      </c>
      <c r="BD128" s="131" t="str">
        <f t="shared" si="7"/>
        <v>INDENIZAÇÃO</v>
      </c>
      <c r="BE128" s="131" t="str">
        <f t="shared" si="8"/>
        <v>NÃO</v>
      </c>
      <c r="BF128" s="131"/>
      <c r="BG128" s="199"/>
      <c r="BH128" s="199"/>
      <c r="BN128" s="182"/>
      <c r="CI128" s="182"/>
    </row>
    <row r="129" spans="1:87" s="141" customFormat="1" ht="30" hidden="1" customHeight="1">
      <c r="A129" s="131">
        <v>115</v>
      </c>
      <c r="B129" s="131" t="s">
        <v>4432</v>
      </c>
      <c r="C129" s="131">
        <v>1</v>
      </c>
      <c r="D129" s="131" t="s">
        <v>4433</v>
      </c>
      <c r="E129" s="131" t="s">
        <v>4433</v>
      </c>
      <c r="F129" s="210" t="s">
        <v>4869</v>
      </c>
      <c r="G129" s="131" t="s">
        <v>4348</v>
      </c>
      <c r="H129" s="131"/>
      <c r="I129" s="131"/>
      <c r="J129" s="132" t="s">
        <v>4628</v>
      </c>
      <c r="K129" s="132"/>
      <c r="L129" s="132" t="s">
        <v>4628</v>
      </c>
      <c r="M129" s="131"/>
      <c r="N129" s="131"/>
      <c r="O129" s="199"/>
      <c r="P129" s="136"/>
      <c r="Q129" s="136"/>
      <c r="R129" s="136"/>
      <c r="S129" s="136"/>
      <c r="T129" s="136"/>
      <c r="U129" s="136"/>
      <c r="V129" s="136"/>
      <c r="W129" s="136"/>
      <c r="X129" s="136"/>
      <c r="Y129" s="136"/>
      <c r="Z129" s="136"/>
      <c r="AB129" s="132"/>
      <c r="AC129" s="132"/>
      <c r="AD129" s="132"/>
      <c r="AE129" s="131"/>
      <c r="AG129" s="196"/>
      <c r="AH129" s="196"/>
      <c r="AI129" s="131"/>
      <c r="AJ129" s="131"/>
      <c r="AK129" s="131"/>
      <c r="AP129" s="132"/>
      <c r="AU129" s="199"/>
      <c r="AX129" s="199"/>
      <c r="AY129" s="136"/>
      <c r="BC129" s="197" t="str">
        <f t="shared" si="6"/>
        <v/>
      </c>
      <c r="BD129" s="131" t="str">
        <f t="shared" si="7"/>
        <v>INDENIZAÇÃO</v>
      </c>
      <c r="BE129" s="131" t="str">
        <f t="shared" si="8"/>
        <v>NÃO</v>
      </c>
      <c r="BF129" s="131"/>
      <c r="BG129" s="131"/>
      <c r="BH129" s="131"/>
      <c r="BK129" s="199"/>
      <c r="BN129" s="182"/>
      <c r="CI129" s="182"/>
    </row>
    <row r="130" spans="1:87" s="141" customFormat="1" ht="30" hidden="1" customHeight="1">
      <c r="A130" s="131">
        <v>116</v>
      </c>
      <c r="B130" s="131" t="s">
        <v>4432</v>
      </c>
      <c r="C130" s="131">
        <v>1</v>
      </c>
      <c r="D130" s="131" t="s">
        <v>4433</v>
      </c>
      <c r="E130" s="131" t="s">
        <v>4433</v>
      </c>
      <c r="F130" s="210" t="s">
        <v>4870</v>
      </c>
      <c r="G130" s="131"/>
      <c r="H130" s="131"/>
      <c r="I130" s="131"/>
      <c r="J130" s="132" t="s">
        <v>4871</v>
      </c>
      <c r="K130" s="132"/>
      <c r="L130" s="132" t="s">
        <v>4872</v>
      </c>
      <c r="M130" s="131"/>
      <c r="N130" s="131"/>
      <c r="O130" s="199"/>
      <c r="P130" s="136"/>
      <c r="Q130" s="136"/>
      <c r="R130" s="136"/>
      <c r="S130" s="136"/>
      <c r="T130" s="136"/>
      <c r="U130" s="136"/>
      <c r="V130" s="136"/>
      <c r="W130" s="136"/>
      <c r="X130" s="136"/>
      <c r="Y130" s="136"/>
      <c r="Z130" s="136"/>
      <c r="AB130" s="132"/>
      <c r="AC130" s="132"/>
      <c r="AD130" s="132"/>
      <c r="AE130" s="131"/>
      <c r="AG130" s="196"/>
      <c r="AH130" s="196"/>
      <c r="AI130" s="131"/>
      <c r="AJ130" s="131"/>
      <c r="AK130" s="131"/>
      <c r="AP130" s="132"/>
      <c r="AU130" s="199"/>
      <c r="AX130" s="199"/>
      <c r="AY130" s="136"/>
      <c r="AZ130" s="136"/>
      <c r="BC130" s="197" t="str">
        <f t="shared" si="6"/>
        <v/>
      </c>
      <c r="BD130" s="131" t="str">
        <f t="shared" si="7"/>
        <v>INDENIZAÇÃO</v>
      </c>
      <c r="BE130" s="131" t="str">
        <f t="shared" si="8"/>
        <v>NÃO</v>
      </c>
      <c r="BF130" s="131"/>
      <c r="BG130" s="131"/>
      <c r="BH130" s="131"/>
      <c r="BK130" s="199"/>
      <c r="BN130" s="182"/>
      <c r="CI130" s="182"/>
    </row>
    <row r="131" spans="1:87" s="141" customFormat="1" ht="30" hidden="1" customHeight="1">
      <c r="A131" s="131">
        <v>117</v>
      </c>
      <c r="B131" s="131" t="s">
        <v>4432</v>
      </c>
      <c r="C131" s="131">
        <v>1</v>
      </c>
      <c r="D131" s="131" t="s">
        <v>4433</v>
      </c>
      <c r="E131" s="131" t="s">
        <v>4433</v>
      </c>
      <c r="F131" s="210" t="s">
        <v>4873</v>
      </c>
      <c r="G131" s="131"/>
      <c r="H131" s="131"/>
      <c r="I131" s="131"/>
      <c r="J131" s="132" t="s">
        <v>4874</v>
      </c>
      <c r="K131" s="132"/>
      <c r="L131" s="132" t="s">
        <v>4875</v>
      </c>
      <c r="M131" s="131"/>
      <c r="N131" s="131"/>
      <c r="O131" s="199"/>
      <c r="P131" s="136"/>
      <c r="Q131" s="136"/>
      <c r="R131" s="136"/>
      <c r="S131" s="136"/>
      <c r="T131" s="136"/>
      <c r="U131" s="136"/>
      <c r="V131" s="136"/>
      <c r="W131" s="136"/>
      <c r="X131" s="136"/>
      <c r="Y131" s="136"/>
      <c r="Z131" s="136"/>
      <c r="AB131" s="132"/>
      <c r="AC131" s="132"/>
      <c r="AD131" s="132"/>
      <c r="AE131" s="131"/>
      <c r="AG131" s="196"/>
      <c r="AH131" s="196"/>
      <c r="AI131" s="131"/>
      <c r="AJ131" s="131"/>
      <c r="AK131" s="131"/>
      <c r="AP131" s="132"/>
      <c r="AU131" s="199"/>
      <c r="AX131" s="199"/>
      <c r="AY131" s="136"/>
      <c r="BC131" s="197" t="str">
        <f t="shared" si="6"/>
        <v/>
      </c>
      <c r="BD131" s="131" t="str">
        <f t="shared" si="7"/>
        <v>INDENIZAÇÃO</v>
      </c>
      <c r="BE131" s="131" t="str">
        <f t="shared" si="8"/>
        <v>NÃO</v>
      </c>
      <c r="BF131" s="131"/>
      <c r="BG131" s="131"/>
      <c r="BH131" s="131"/>
      <c r="BK131" s="199"/>
      <c r="BN131" s="182"/>
      <c r="CI131" s="182"/>
    </row>
    <row r="132" spans="1:87" s="141" customFormat="1" ht="30" hidden="1" customHeight="1">
      <c r="A132" s="131">
        <v>118</v>
      </c>
      <c r="B132" s="131" t="s">
        <v>4432</v>
      </c>
      <c r="C132" s="131">
        <v>1</v>
      </c>
      <c r="D132" s="131" t="s">
        <v>4433</v>
      </c>
      <c r="E132" s="131" t="s">
        <v>4433</v>
      </c>
      <c r="F132" s="210" t="s">
        <v>4876</v>
      </c>
      <c r="G132" s="131"/>
      <c r="H132" s="131"/>
      <c r="I132" s="131"/>
      <c r="J132" s="132" t="s">
        <v>4877</v>
      </c>
      <c r="K132" s="132"/>
      <c r="L132" s="132" t="s">
        <v>4878</v>
      </c>
      <c r="M132" s="131"/>
      <c r="N132" s="131"/>
      <c r="O132" s="199"/>
      <c r="P132" s="136"/>
      <c r="Q132" s="136"/>
      <c r="R132" s="136"/>
      <c r="S132" s="136"/>
      <c r="T132" s="136"/>
      <c r="U132" s="136"/>
      <c r="V132" s="136"/>
      <c r="W132" s="136"/>
      <c r="X132" s="136"/>
      <c r="Y132" s="136"/>
      <c r="Z132" s="136"/>
      <c r="AB132" s="132"/>
      <c r="AC132" s="132"/>
      <c r="AD132" s="132"/>
      <c r="AE132" s="131"/>
      <c r="AG132" s="196"/>
      <c r="AH132" s="196"/>
      <c r="AI132" s="131"/>
      <c r="AJ132" s="131"/>
      <c r="AK132" s="131"/>
      <c r="AP132" s="132"/>
      <c r="AU132" s="199"/>
      <c r="AX132" s="199"/>
      <c r="AY132" s="136"/>
      <c r="AZ132" s="136"/>
      <c r="BC132" s="197" t="str">
        <f t="shared" si="6"/>
        <v/>
      </c>
      <c r="BD132" s="131" t="str">
        <f t="shared" si="7"/>
        <v>INDENIZAÇÃO</v>
      </c>
      <c r="BE132" s="131" t="str">
        <f t="shared" si="8"/>
        <v>NÃO</v>
      </c>
      <c r="BF132" s="131"/>
      <c r="BG132" s="131"/>
      <c r="BH132" s="131"/>
      <c r="BK132" s="199"/>
      <c r="BN132" s="182"/>
      <c r="CI132" s="182"/>
    </row>
    <row r="133" spans="1:87" s="141" customFormat="1" ht="30" hidden="1" customHeight="1">
      <c r="A133" s="131">
        <v>119</v>
      </c>
      <c r="B133" s="131" t="s">
        <v>4432</v>
      </c>
      <c r="C133" s="131">
        <v>1</v>
      </c>
      <c r="D133" s="131" t="s">
        <v>4433</v>
      </c>
      <c r="E133" s="131" t="s">
        <v>4433</v>
      </c>
      <c r="F133" s="210" t="s">
        <v>4879</v>
      </c>
      <c r="G133" s="131"/>
      <c r="H133" s="131"/>
      <c r="I133" s="131"/>
      <c r="J133" s="132" t="s">
        <v>4880</v>
      </c>
      <c r="K133" s="132"/>
      <c r="L133" s="132" t="s">
        <v>4881</v>
      </c>
      <c r="M133" s="131"/>
      <c r="N133" s="131"/>
      <c r="O133" s="199"/>
      <c r="P133" s="136"/>
      <c r="Q133" s="136"/>
      <c r="R133" s="136"/>
      <c r="S133" s="136"/>
      <c r="T133" s="136"/>
      <c r="U133" s="136"/>
      <c r="V133" s="136"/>
      <c r="W133" s="136"/>
      <c r="X133" s="136"/>
      <c r="Y133" s="136"/>
      <c r="Z133" s="136"/>
      <c r="AB133" s="132"/>
      <c r="AC133" s="132"/>
      <c r="AD133" s="132"/>
      <c r="AE133" s="131"/>
      <c r="AG133" s="196"/>
      <c r="AH133" s="196"/>
      <c r="AI133" s="131"/>
      <c r="AJ133" s="131"/>
      <c r="AK133" s="131"/>
      <c r="AP133" s="132"/>
      <c r="AU133" s="199"/>
      <c r="AX133" s="199"/>
      <c r="AY133" s="136"/>
      <c r="AZ133" s="136"/>
      <c r="BC133" s="197" t="str">
        <f t="shared" si="6"/>
        <v/>
      </c>
      <c r="BD133" s="131" t="str">
        <f t="shared" si="7"/>
        <v>INDENIZAÇÃO</v>
      </c>
      <c r="BE133" s="131" t="str">
        <f t="shared" si="8"/>
        <v>NÃO</v>
      </c>
      <c r="BF133" s="131"/>
      <c r="BG133" s="131"/>
      <c r="BH133" s="131"/>
      <c r="BK133" s="199"/>
      <c r="BN133" s="182"/>
      <c r="CI133" s="182"/>
    </row>
    <row r="134" spans="1:87" s="141" customFormat="1" ht="30" hidden="1" customHeight="1">
      <c r="A134" s="131">
        <v>120</v>
      </c>
      <c r="B134" s="131" t="s">
        <v>4432</v>
      </c>
      <c r="C134" s="131">
        <v>1</v>
      </c>
      <c r="D134" s="131" t="s">
        <v>4433</v>
      </c>
      <c r="E134" s="131" t="s">
        <v>4433</v>
      </c>
      <c r="F134" s="210" t="s">
        <v>4882</v>
      </c>
      <c r="G134" s="131"/>
      <c r="H134" s="131"/>
      <c r="I134" s="131"/>
      <c r="J134" s="132" t="s">
        <v>4883</v>
      </c>
      <c r="K134" s="132"/>
      <c r="L134" s="132" t="s">
        <v>4884</v>
      </c>
      <c r="M134" s="131"/>
      <c r="N134" s="131"/>
      <c r="O134" s="199"/>
      <c r="P134" s="136"/>
      <c r="Q134" s="136"/>
      <c r="R134" s="136"/>
      <c r="S134" s="136"/>
      <c r="T134" s="136"/>
      <c r="U134" s="136"/>
      <c r="V134" s="136"/>
      <c r="W134" s="136"/>
      <c r="X134" s="136"/>
      <c r="Y134" s="136"/>
      <c r="Z134" s="136"/>
      <c r="AB134" s="132"/>
      <c r="AC134" s="132"/>
      <c r="AD134" s="132"/>
      <c r="AE134" s="203"/>
      <c r="AG134" s="196"/>
      <c r="AH134" s="196"/>
      <c r="AI134" s="131"/>
      <c r="AJ134" s="131"/>
      <c r="AK134" s="131"/>
      <c r="AP134" s="132"/>
      <c r="AU134" s="199"/>
      <c r="AX134" s="199"/>
      <c r="AY134" s="136"/>
      <c r="BC134" s="197" t="str">
        <f t="shared" si="6"/>
        <v/>
      </c>
      <c r="BD134" s="131" t="str">
        <f t="shared" si="7"/>
        <v>INDENIZAÇÃO</v>
      </c>
      <c r="BE134" s="131" t="str">
        <f t="shared" si="8"/>
        <v>NÃO</v>
      </c>
      <c r="BF134" s="131"/>
      <c r="BG134" s="131"/>
      <c r="BH134" s="131"/>
      <c r="BK134" s="199"/>
      <c r="BN134" s="182"/>
      <c r="CI134" s="182"/>
    </row>
    <row r="135" spans="1:87" s="141" customFormat="1" ht="30" hidden="1" customHeight="1">
      <c r="A135" s="131">
        <v>121</v>
      </c>
      <c r="B135" s="131" t="s">
        <v>4432</v>
      </c>
      <c r="C135" s="131">
        <v>1</v>
      </c>
      <c r="D135" s="131" t="s">
        <v>4433</v>
      </c>
      <c r="E135" s="131" t="s">
        <v>4433</v>
      </c>
      <c r="F135" s="210" t="s">
        <v>4885</v>
      </c>
      <c r="G135" s="131"/>
      <c r="H135" s="131"/>
      <c r="I135" s="131"/>
      <c r="J135" s="132" t="s">
        <v>4886</v>
      </c>
      <c r="K135" s="132"/>
      <c r="L135" s="132" t="s">
        <v>4887</v>
      </c>
      <c r="M135" s="131"/>
      <c r="N135" s="131"/>
      <c r="O135" s="199"/>
      <c r="P135" s="136"/>
      <c r="Q135" s="136"/>
      <c r="R135" s="136"/>
      <c r="S135" s="136"/>
      <c r="T135" s="136"/>
      <c r="U135" s="136"/>
      <c r="V135" s="136"/>
      <c r="W135" s="136"/>
      <c r="X135" s="136"/>
      <c r="Y135" s="136"/>
      <c r="Z135" s="136"/>
      <c r="AB135" s="132"/>
      <c r="AC135" s="132"/>
      <c r="AD135" s="132"/>
      <c r="AE135" s="131"/>
      <c r="AG135" s="196"/>
      <c r="AH135" s="196"/>
      <c r="AI135" s="131"/>
      <c r="AJ135" s="131"/>
      <c r="AK135" s="131"/>
      <c r="AO135" s="201"/>
      <c r="AP135" s="132"/>
      <c r="BC135" s="197" t="str">
        <f t="shared" si="6"/>
        <v/>
      </c>
      <c r="BD135" s="131" t="str">
        <f t="shared" si="7"/>
        <v>INDENIZAÇÃO</v>
      </c>
      <c r="BE135" s="131" t="str">
        <f t="shared" si="8"/>
        <v>NÃO</v>
      </c>
      <c r="BF135" s="131"/>
      <c r="BG135" s="199"/>
      <c r="BH135" s="199"/>
      <c r="BN135" s="182"/>
      <c r="CI135" s="182"/>
    </row>
    <row r="136" spans="1:87" s="141" customFormat="1" ht="30" hidden="1" customHeight="1">
      <c r="A136" s="131">
        <v>122</v>
      </c>
      <c r="B136" s="131" t="s">
        <v>4432</v>
      </c>
      <c r="C136" s="131">
        <v>1</v>
      </c>
      <c r="D136" s="131" t="s">
        <v>4433</v>
      </c>
      <c r="E136" s="131" t="s">
        <v>4433</v>
      </c>
      <c r="F136" s="210" t="s">
        <v>4888</v>
      </c>
      <c r="G136" s="131"/>
      <c r="H136" s="131"/>
      <c r="I136" s="131"/>
      <c r="J136" s="132" t="s">
        <v>4628</v>
      </c>
      <c r="K136" s="132"/>
      <c r="L136" s="132" t="s">
        <v>4628</v>
      </c>
      <c r="M136" s="131"/>
      <c r="N136" s="131"/>
      <c r="O136" s="199"/>
      <c r="P136" s="136"/>
      <c r="Q136" s="136"/>
      <c r="R136" s="136"/>
      <c r="S136" s="136"/>
      <c r="T136" s="136"/>
      <c r="U136" s="136"/>
      <c r="V136" s="136"/>
      <c r="W136" s="136"/>
      <c r="X136" s="136"/>
      <c r="Y136" s="136"/>
      <c r="Z136" s="136"/>
      <c r="AB136" s="132"/>
      <c r="AC136" s="132"/>
      <c r="AD136" s="132"/>
      <c r="AE136" s="131"/>
      <c r="AG136" s="196"/>
      <c r="AH136" s="196"/>
      <c r="AI136" s="131"/>
      <c r="AJ136" s="131"/>
      <c r="AK136" s="131"/>
      <c r="AP136" s="132"/>
      <c r="AU136" s="199"/>
      <c r="AX136" s="199"/>
      <c r="AY136" s="136"/>
      <c r="BC136" s="197" t="str">
        <f t="shared" si="6"/>
        <v/>
      </c>
      <c r="BD136" s="131" t="str">
        <f t="shared" si="7"/>
        <v>INDENIZAÇÃO</v>
      </c>
      <c r="BE136" s="131" t="str">
        <f t="shared" si="8"/>
        <v>NÃO</v>
      </c>
      <c r="BF136" s="131"/>
      <c r="BG136" s="131"/>
      <c r="BH136" s="131"/>
      <c r="BK136" s="199"/>
      <c r="BN136" s="182"/>
      <c r="CI136" s="182"/>
    </row>
    <row r="137" spans="1:87" s="141" customFormat="1" ht="30" hidden="1" customHeight="1">
      <c r="A137" s="131">
        <v>123</v>
      </c>
      <c r="B137" s="131" t="s">
        <v>4432</v>
      </c>
      <c r="C137" s="131">
        <v>1</v>
      </c>
      <c r="D137" s="131" t="s">
        <v>4433</v>
      </c>
      <c r="E137" s="131" t="s">
        <v>4433</v>
      </c>
      <c r="F137" s="210" t="s">
        <v>4889</v>
      </c>
      <c r="G137" s="131"/>
      <c r="H137" s="131"/>
      <c r="I137" s="131"/>
      <c r="J137" s="132" t="s">
        <v>4890</v>
      </c>
      <c r="K137" s="132"/>
      <c r="L137" s="132" t="s">
        <v>4891</v>
      </c>
      <c r="M137" s="131"/>
      <c r="N137" s="131"/>
      <c r="O137" s="199"/>
      <c r="P137" s="136"/>
      <c r="Q137" s="136"/>
      <c r="R137" s="136"/>
      <c r="S137" s="136"/>
      <c r="T137" s="136"/>
      <c r="U137" s="136"/>
      <c r="V137" s="136"/>
      <c r="W137" s="136"/>
      <c r="X137" s="136"/>
      <c r="Y137" s="136"/>
      <c r="Z137" s="136"/>
      <c r="AB137" s="132"/>
      <c r="AC137" s="132"/>
      <c r="AD137" s="132"/>
      <c r="AE137" s="131"/>
      <c r="AG137" s="196"/>
      <c r="AH137" s="196"/>
      <c r="AI137" s="131"/>
      <c r="AJ137" s="131"/>
      <c r="AK137" s="131"/>
      <c r="AP137" s="132"/>
      <c r="AU137" s="199"/>
      <c r="AX137" s="199"/>
      <c r="AY137" s="136"/>
      <c r="BC137" s="197" t="str">
        <f t="shared" si="6"/>
        <v/>
      </c>
      <c r="BD137" s="131" t="str">
        <f t="shared" si="7"/>
        <v>INDENIZAÇÃO</v>
      </c>
      <c r="BE137" s="131" t="str">
        <f t="shared" si="8"/>
        <v>NÃO</v>
      </c>
      <c r="BF137" s="131"/>
      <c r="BG137" s="131"/>
      <c r="BH137" s="131"/>
      <c r="BK137" s="199"/>
      <c r="BN137" s="182"/>
      <c r="CI137" s="182"/>
    </row>
    <row r="138" spans="1:87" s="141" customFormat="1" ht="30" hidden="1" customHeight="1">
      <c r="A138" s="131">
        <v>124</v>
      </c>
      <c r="B138" s="131" t="s">
        <v>4432</v>
      </c>
      <c r="C138" s="131">
        <v>1</v>
      </c>
      <c r="D138" s="131" t="s">
        <v>4433</v>
      </c>
      <c r="E138" s="131" t="s">
        <v>4433</v>
      </c>
      <c r="F138" s="210" t="s">
        <v>4892</v>
      </c>
      <c r="G138" s="131"/>
      <c r="H138" s="131"/>
      <c r="I138" s="131"/>
      <c r="J138" s="132" t="s">
        <v>4893</v>
      </c>
      <c r="K138" s="132"/>
      <c r="L138" s="132" t="s">
        <v>4894</v>
      </c>
      <c r="M138" s="131"/>
      <c r="N138" s="131"/>
      <c r="O138" s="199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B138" s="132"/>
      <c r="AC138" s="132"/>
      <c r="AD138" s="132"/>
      <c r="AE138" s="131"/>
      <c r="AG138" s="196"/>
      <c r="AH138" s="196"/>
      <c r="AI138" s="131"/>
      <c r="AJ138" s="131"/>
      <c r="AK138" s="131"/>
      <c r="AP138" s="132"/>
      <c r="BC138" s="197" t="str">
        <f t="shared" si="6"/>
        <v/>
      </c>
      <c r="BD138" s="131" t="str">
        <f t="shared" si="7"/>
        <v>INDENIZAÇÃO</v>
      </c>
      <c r="BE138" s="131" t="str">
        <f t="shared" si="8"/>
        <v>NÃO</v>
      </c>
      <c r="BF138" s="131"/>
      <c r="BG138" s="199"/>
      <c r="BH138" s="199"/>
      <c r="BN138" s="182"/>
      <c r="CI138" s="182"/>
    </row>
    <row r="139" spans="1:87" s="141" customFormat="1" ht="30" hidden="1" customHeight="1">
      <c r="A139" s="131">
        <v>125</v>
      </c>
      <c r="B139" s="131" t="s">
        <v>4432</v>
      </c>
      <c r="C139" s="131">
        <v>1</v>
      </c>
      <c r="D139" s="131" t="s">
        <v>4433</v>
      </c>
      <c r="E139" s="131" t="s">
        <v>4433</v>
      </c>
      <c r="F139" s="210" t="s">
        <v>4895</v>
      </c>
      <c r="G139" s="131"/>
      <c r="H139" s="131"/>
      <c r="I139" s="131"/>
      <c r="J139" s="132" t="s">
        <v>4896</v>
      </c>
      <c r="K139" s="132"/>
      <c r="L139" s="132" t="s">
        <v>4897</v>
      </c>
      <c r="M139" s="131"/>
      <c r="N139" s="131"/>
      <c r="O139" s="199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B139" s="132"/>
      <c r="AC139" s="132"/>
      <c r="AD139" s="132"/>
      <c r="AE139" s="131"/>
      <c r="AG139" s="196"/>
      <c r="AH139" s="196"/>
      <c r="AI139" s="131"/>
      <c r="AJ139" s="131"/>
      <c r="AK139" s="131"/>
      <c r="AP139" s="132"/>
      <c r="BC139" s="197" t="str">
        <f t="shared" si="6"/>
        <v/>
      </c>
      <c r="BD139" s="131" t="str">
        <f t="shared" si="7"/>
        <v>INDENIZAÇÃO</v>
      </c>
      <c r="BE139" s="131" t="str">
        <f t="shared" si="8"/>
        <v>NÃO</v>
      </c>
      <c r="BF139" s="131"/>
      <c r="BG139" s="199"/>
      <c r="BH139" s="199"/>
      <c r="BN139" s="182"/>
      <c r="CI139" s="182"/>
    </row>
    <row r="140" spans="1:87" s="141" customFormat="1" ht="30" hidden="1" customHeight="1">
      <c r="A140" s="131">
        <v>126</v>
      </c>
      <c r="B140" s="131" t="s">
        <v>4432</v>
      </c>
      <c r="C140" s="131">
        <v>1</v>
      </c>
      <c r="D140" s="131" t="s">
        <v>4433</v>
      </c>
      <c r="E140" s="131" t="s">
        <v>4433</v>
      </c>
      <c r="F140" s="210" t="s">
        <v>4898</v>
      </c>
      <c r="G140" s="131"/>
      <c r="H140" s="131"/>
      <c r="I140" s="198"/>
      <c r="J140" s="132" t="s">
        <v>4628</v>
      </c>
      <c r="K140" s="132"/>
      <c r="L140" s="132" t="s">
        <v>4628</v>
      </c>
      <c r="M140" s="131"/>
      <c r="N140" s="131"/>
      <c r="O140" s="199"/>
      <c r="P140" s="136"/>
      <c r="Q140" s="136"/>
      <c r="R140" s="136"/>
      <c r="S140" s="136"/>
      <c r="T140" s="136"/>
      <c r="U140" s="136"/>
      <c r="V140" s="136"/>
      <c r="W140" s="136"/>
      <c r="X140" s="136"/>
      <c r="Y140" s="136"/>
      <c r="Z140" s="136"/>
      <c r="AB140" s="132"/>
      <c r="AC140" s="132"/>
      <c r="AD140" s="132"/>
      <c r="AE140" s="131"/>
      <c r="AG140" s="196"/>
      <c r="AH140" s="196"/>
      <c r="AI140" s="131"/>
      <c r="AJ140" s="131"/>
      <c r="AK140" s="131"/>
      <c r="AP140" s="132"/>
      <c r="BC140" s="197" t="str">
        <f t="shared" si="6"/>
        <v/>
      </c>
      <c r="BD140" s="131" t="str">
        <f t="shared" si="7"/>
        <v>INDENIZAÇÃO</v>
      </c>
      <c r="BE140" s="131" t="str">
        <f t="shared" si="8"/>
        <v>NÃO</v>
      </c>
      <c r="BF140" s="131"/>
      <c r="BG140" s="199"/>
      <c r="BH140" s="199"/>
      <c r="BN140" s="182"/>
      <c r="CI140" s="182"/>
    </row>
    <row r="141" spans="1:87" s="141" customFormat="1" ht="30" hidden="1" customHeight="1">
      <c r="A141" s="131">
        <v>127</v>
      </c>
      <c r="B141" s="131" t="s">
        <v>4432</v>
      </c>
      <c r="C141" s="131">
        <v>1</v>
      </c>
      <c r="D141" s="131" t="s">
        <v>4433</v>
      </c>
      <c r="E141" s="131" t="s">
        <v>4433</v>
      </c>
      <c r="F141" s="210" t="s">
        <v>4899</v>
      </c>
      <c r="G141" s="131" t="s">
        <v>4348</v>
      </c>
      <c r="H141" s="131"/>
      <c r="I141" s="131"/>
      <c r="J141" s="132" t="s">
        <v>4628</v>
      </c>
      <c r="K141" s="132"/>
      <c r="L141" s="132" t="s">
        <v>4628</v>
      </c>
      <c r="M141" s="131"/>
      <c r="N141" s="131"/>
      <c r="O141" s="199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B141" s="132"/>
      <c r="AC141" s="132"/>
      <c r="AD141" s="132"/>
      <c r="AE141" s="131"/>
      <c r="AG141" s="196"/>
      <c r="AH141" s="196"/>
      <c r="AI141" s="131"/>
      <c r="AJ141" s="131"/>
      <c r="AK141" s="131"/>
      <c r="AP141" s="132"/>
      <c r="BC141" s="197" t="str">
        <f t="shared" si="6"/>
        <v/>
      </c>
      <c r="BD141" s="131" t="str">
        <f t="shared" si="7"/>
        <v>INDENIZAÇÃO</v>
      </c>
      <c r="BE141" s="131" t="str">
        <f t="shared" si="8"/>
        <v>NÃO</v>
      </c>
      <c r="BF141" s="131"/>
      <c r="BG141" s="199"/>
      <c r="BH141" s="199"/>
      <c r="BN141" s="182"/>
      <c r="CI141" s="182"/>
    </row>
    <row r="142" spans="1:87" s="141" customFormat="1" ht="30" hidden="1" customHeight="1">
      <c r="A142" s="131">
        <v>128</v>
      </c>
      <c r="B142" s="131" t="s">
        <v>4432</v>
      </c>
      <c r="C142" s="131">
        <v>1</v>
      </c>
      <c r="D142" s="131" t="s">
        <v>4433</v>
      </c>
      <c r="E142" s="131" t="s">
        <v>4433</v>
      </c>
      <c r="F142" s="210" t="s">
        <v>4900</v>
      </c>
      <c r="G142" s="131"/>
      <c r="H142" s="131"/>
      <c r="I142" s="198"/>
      <c r="J142" s="132" t="s">
        <v>4901</v>
      </c>
      <c r="K142" s="132"/>
      <c r="L142" s="132" t="s">
        <v>4902</v>
      </c>
      <c r="M142" s="131"/>
      <c r="N142" s="131"/>
      <c r="O142" s="199"/>
      <c r="P142" s="136"/>
      <c r="Q142" s="136"/>
      <c r="R142" s="136"/>
      <c r="S142" s="136"/>
      <c r="T142" s="136"/>
      <c r="U142" s="136"/>
      <c r="V142" s="136"/>
      <c r="W142" s="136"/>
      <c r="X142" s="136"/>
      <c r="Y142" s="136"/>
      <c r="Z142" s="136"/>
      <c r="AB142" s="132"/>
      <c r="AC142" s="132"/>
      <c r="AD142" s="132"/>
      <c r="AE142" s="131"/>
      <c r="AG142" s="196"/>
      <c r="AH142" s="196"/>
      <c r="AI142" s="131"/>
      <c r="AJ142" s="131"/>
      <c r="AK142" s="131"/>
      <c r="AP142" s="132"/>
      <c r="BC142" s="197" t="str">
        <f t="shared" si="6"/>
        <v/>
      </c>
      <c r="BD142" s="131" t="str">
        <f t="shared" si="7"/>
        <v>INDENIZAÇÃO</v>
      </c>
      <c r="BE142" s="131" t="str">
        <f t="shared" si="8"/>
        <v>NÃO</v>
      </c>
      <c r="BF142" s="131"/>
      <c r="BG142" s="199"/>
      <c r="BH142" s="199"/>
      <c r="BN142" s="182"/>
      <c r="CI142" s="182"/>
    </row>
    <row r="143" spans="1:87" s="141" customFormat="1" ht="30" hidden="1" customHeight="1">
      <c r="A143" s="131">
        <v>129</v>
      </c>
      <c r="B143" s="131" t="s">
        <v>4432</v>
      </c>
      <c r="C143" s="131">
        <v>1</v>
      </c>
      <c r="D143" s="131" t="s">
        <v>4433</v>
      </c>
      <c r="E143" s="131" t="s">
        <v>4433</v>
      </c>
      <c r="F143" s="210" t="s">
        <v>4903</v>
      </c>
      <c r="G143" s="131"/>
      <c r="H143" s="131"/>
      <c r="I143" s="131"/>
      <c r="J143" s="132" t="s">
        <v>4904</v>
      </c>
      <c r="K143" s="132"/>
      <c r="L143" s="132" t="s">
        <v>4905</v>
      </c>
      <c r="M143" s="131"/>
      <c r="N143" s="131"/>
      <c r="O143" s="199"/>
      <c r="P143" s="136"/>
      <c r="Q143" s="136"/>
      <c r="R143" s="136"/>
      <c r="S143" s="136"/>
      <c r="T143" s="136"/>
      <c r="U143" s="136"/>
      <c r="V143" s="136"/>
      <c r="W143" s="136"/>
      <c r="X143" s="136"/>
      <c r="Y143" s="136"/>
      <c r="Z143" s="136"/>
      <c r="AB143" s="132"/>
      <c r="AC143" s="132"/>
      <c r="AD143" s="132"/>
      <c r="AE143" s="131"/>
      <c r="AG143" s="196"/>
      <c r="AH143" s="196"/>
      <c r="AI143" s="131"/>
      <c r="AJ143" s="131"/>
      <c r="AK143" s="131"/>
      <c r="AP143" s="132"/>
      <c r="BC143" s="197" t="str">
        <f t="shared" si="6"/>
        <v/>
      </c>
      <c r="BD143" s="131" t="str">
        <f t="shared" si="7"/>
        <v>INDENIZAÇÃO</v>
      </c>
      <c r="BE143" s="131" t="str">
        <f t="shared" si="8"/>
        <v>NÃO</v>
      </c>
      <c r="BF143" s="131"/>
      <c r="BG143" s="199"/>
      <c r="BH143" s="199"/>
      <c r="BN143" s="182"/>
      <c r="CI143" s="182"/>
    </row>
    <row r="144" spans="1:87" s="141" customFormat="1" ht="30" hidden="1" customHeight="1">
      <c r="A144" s="131">
        <v>130</v>
      </c>
      <c r="B144" s="131" t="s">
        <v>4432</v>
      </c>
      <c r="C144" s="131">
        <v>1</v>
      </c>
      <c r="D144" s="131" t="s">
        <v>4433</v>
      </c>
      <c r="E144" s="131" t="s">
        <v>4433</v>
      </c>
      <c r="F144" s="210" t="s">
        <v>4906</v>
      </c>
      <c r="G144" s="131"/>
      <c r="H144" s="131"/>
      <c r="I144" s="131"/>
      <c r="J144" s="132" t="s">
        <v>4907</v>
      </c>
      <c r="K144" s="132"/>
      <c r="L144" s="132" t="s">
        <v>4908</v>
      </c>
      <c r="M144" s="131"/>
      <c r="N144" s="131"/>
      <c r="O144" s="199"/>
      <c r="P144" s="136"/>
      <c r="Q144" s="136"/>
      <c r="R144" s="136"/>
      <c r="S144" s="136"/>
      <c r="T144" s="136"/>
      <c r="U144" s="136"/>
      <c r="V144" s="136"/>
      <c r="W144" s="136"/>
      <c r="X144" s="136"/>
      <c r="Y144" s="136"/>
      <c r="Z144" s="136"/>
      <c r="AB144" s="132"/>
      <c r="AC144" s="132"/>
      <c r="AD144" s="132"/>
      <c r="AE144" s="131"/>
      <c r="AG144" s="196"/>
      <c r="AH144" s="196"/>
      <c r="AI144" s="131"/>
      <c r="AJ144" s="131"/>
      <c r="AK144" s="131"/>
      <c r="AP144" s="132"/>
      <c r="BC144" s="197" t="str">
        <f t="shared" si="6"/>
        <v/>
      </c>
      <c r="BD144" s="131" t="str">
        <f t="shared" si="7"/>
        <v>INDENIZAÇÃO</v>
      </c>
      <c r="BE144" s="131" t="str">
        <f t="shared" si="8"/>
        <v>NÃO</v>
      </c>
      <c r="BF144" s="131"/>
      <c r="BG144" s="199"/>
      <c r="BH144" s="199"/>
      <c r="BN144" s="182"/>
      <c r="CI144" s="182"/>
    </row>
    <row r="145" spans="1:87" s="141" customFormat="1" ht="30" hidden="1" customHeight="1">
      <c r="A145" s="131">
        <v>131</v>
      </c>
      <c r="B145" s="131" t="s">
        <v>4432</v>
      </c>
      <c r="C145" s="131">
        <v>1</v>
      </c>
      <c r="D145" s="131" t="s">
        <v>4433</v>
      </c>
      <c r="E145" s="131" t="s">
        <v>4433</v>
      </c>
      <c r="F145" s="210" t="s">
        <v>4909</v>
      </c>
      <c r="G145" s="131" t="s">
        <v>4339</v>
      </c>
      <c r="H145" s="131" t="s">
        <v>4340</v>
      </c>
      <c r="I145" s="131" t="s">
        <v>4624</v>
      </c>
      <c r="J145" s="132" t="s">
        <v>4910</v>
      </c>
      <c r="K145" s="132"/>
      <c r="L145" s="132" t="s">
        <v>4911</v>
      </c>
      <c r="M145" s="131"/>
      <c r="N145" s="131"/>
      <c r="O145" s="199"/>
      <c r="P145" s="136"/>
      <c r="Q145" s="136"/>
      <c r="R145" s="136"/>
      <c r="S145" s="136"/>
      <c r="T145" s="136"/>
      <c r="U145" s="136"/>
      <c r="V145" s="136"/>
      <c r="W145" s="136"/>
      <c r="X145" s="136"/>
      <c r="Y145" s="136"/>
      <c r="Z145" s="136"/>
      <c r="AB145" s="132"/>
      <c r="AC145" s="132"/>
      <c r="AD145" s="132"/>
      <c r="AE145" s="131"/>
      <c r="AG145" s="196"/>
      <c r="AH145" s="196"/>
      <c r="AI145" s="131"/>
      <c r="AJ145" s="131"/>
      <c r="AK145" s="131"/>
      <c r="AP145" s="132"/>
      <c r="BC145" s="197" t="str">
        <f t="shared" si="6"/>
        <v/>
      </c>
      <c r="BD145" s="131" t="str">
        <f t="shared" si="7"/>
        <v>INDENIZAÇÃO</v>
      </c>
      <c r="BE145" s="131" t="str">
        <f t="shared" si="8"/>
        <v>NÃO</v>
      </c>
      <c r="BF145" s="131"/>
      <c r="BG145" s="199"/>
      <c r="BH145" s="199"/>
      <c r="BN145" s="182"/>
      <c r="CI145" s="182"/>
    </row>
    <row r="146" spans="1:87" s="141" customFormat="1" ht="30" hidden="1" customHeight="1">
      <c r="A146" s="131">
        <v>132</v>
      </c>
      <c r="B146" s="131" t="s">
        <v>4432</v>
      </c>
      <c r="C146" s="131">
        <v>1</v>
      </c>
      <c r="D146" s="131" t="s">
        <v>4433</v>
      </c>
      <c r="E146" s="131" t="s">
        <v>4433</v>
      </c>
      <c r="F146" s="210" t="s">
        <v>4912</v>
      </c>
      <c r="G146" s="131" t="s">
        <v>4339</v>
      </c>
      <c r="H146" s="131" t="s">
        <v>4340</v>
      </c>
      <c r="I146" s="131" t="s">
        <v>4624</v>
      </c>
      <c r="J146" s="132" t="s">
        <v>4913</v>
      </c>
      <c r="K146" s="132"/>
      <c r="L146" s="132" t="s">
        <v>4914</v>
      </c>
      <c r="M146" s="131"/>
      <c r="N146" s="131"/>
      <c r="O146" s="199"/>
      <c r="P146" s="136"/>
      <c r="Q146" s="136"/>
      <c r="R146" s="136"/>
      <c r="S146" s="136"/>
      <c r="T146" s="136"/>
      <c r="U146" s="136"/>
      <c r="V146" s="136"/>
      <c r="W146" s="136"/>
      <c r="X146" s="136"/>
      <c r="Y146" s="136"/>
      <c r="Z146" s="136"/>
      <c r="AB146" s="132"/>
      <c r="AC146" s="132"/>
      <c r="AD146" s="132"/>
      <c r="AE146" s="131"/>
      <c r="AG146" s="196"/>
      <c r="AH146" s="196"/>
      <c r="AI146" s="131"/>
      <c r="AJ146" s="131"/>
      <c r="AK146" s="131"/>
      <c r="AP146" s="132"/>
      <c r="BC146" s="197" t="str">
        <f t="shared" si="6"/>
        <v/>
      </c>
      <c r="BD146" s="131" t="str">
        <f t="shared" si="7"/>
        <v>INDENIZAÇÃO</v>
      </c>
      <c r="BE146" s="131" t="str">
        <f t="shared" si="8"/>
        <v>NÃO</v>
      </c>
      <c r="BF146" s="131"/>
      <c r="BG146" s="199"/>
      <c r="BH146" s="199"/>
      <c r="BN146" s="182"/>
      <c r="CI146" s="182"/>
    </row>
    <row r="147" spans="1:87" s="141" customFormat="1" ht="30" hidden="1" customHeight="1">
      <c r="A147" s="131">
        <v>133</v>
      </c>
      <c r="B147" s="131" t="s">
        <v>4432</v>
      </c>
      <c r="C147" s="131">
        <v>1</v>
      </c>
      <c r="D147" s="131" t="s">
        <v>4433</v>
      </c>
      <c r="E147" s="131" t="s">
        <v>4433</v>
      </c>
      <c r="F147" s="210" t="s">
        <v>4915</v>
      </c>
      <c r="G147" s="131" t="s">
        <v>4339</v>
      </c>
      <c r="H147" s="131" t="s">
        <v>4340</v>
      </c>
      <c r="I147" s="131" t="s">
        <v>4624</v>
      </c>
      <c r="J147" s="132" t="s">
        <v>4916</v>
      </c>
      <c r="K147" s="132"/>
      <c r="L147" s="132" t="s">
        <v>4917</v>
      </c>
      <c r="M147" s="131"/>
      <c r="N147" s="131"/>
      <c r="O147" s="199"/>
      <c r="P147" s="136"/>
      <c r="Q147" s="136"/>
      <c r="R147" s="136"/>
      <c r="S147" s="136"/>
      <c r="T147" s="136"/>
      <c r="U147" s="136"/>
      <c r="V147" s="136"/>
      <c r="W147" s="136"/>
      <c r="X147" s="136"/>
      <c r="Y147" s="136"/>
      <c r="Z147" s="136"/>
      <c r="AB147" s="132"/>
      <c r="AC147" s="132"/>
      <c r="AD147" s="132"/>
      <c r="AE147" s="131"/>
      <c r="AG147" s="196"/>
      <c r="AH147" s="196"/>
      <c r="AI147" s="131"/>
      <c r="AJ147" s="131"/>
      <c r="AK147" s="131"/>
      <c r="AP147" s="132"/>
      <c r="BC147" s="197" t="str">
        <f t="shared" si="6"/>
        <v/>
      </c>
      <c r="BD147" s="131" t="str">
        <f t="shared" si="7"/>
        <v>INDENIZAÇÃO</v>
      </c>
      <c r="BE147" s="131" t="str">
        <f t="shared" si="8"/>
        <v>NÃO</v>
      </c>
      <c r="BF147" s="131"/>
      <c r="BG147" s="199"/>
      <c r="BH147" s="199"/>
      <c r="BN147" s="182"/>
      <c r="CI147" s="182"/>
    </row>
    <row r="148" spans="1:87" s="141" customFormat="1" ht="30" hidden="1" customHeight="1">
      <c r="A148" s="131">
        <v>134</v>
      </c>
      <c r="B148" s="131" t="s">
        <v>4432</v>
      </c>
      <c r="C148" s="131">
        <v>1</v>
      </c>
      <c r="D148" s="131" t="s">
        <v>4433</v>
      </c>
      <c r="E148" s="131" t="s">
        <v>4433</v>
      </c>
      <c r="F148" s="210" t="s">
        <v>4918</v>
      </c>
      <c r="G148" s="131" t="s">
        <v>4339</v>
      </c>
      <c r="H148" s="131" t="s">
        <v>4340</v>
      </c>
      <c r="I148" s="131" t="s">
        <v>4624</v>
      </c>
      <c r="J148" s="132" t="s">
        <v>4919</v>
      </c>
      <c r="K148" s="132"/>
      <c r="L148" s="132" t="s">
        <v>4920</v>
      </c>
      <c r="M148" s="131"/>
      <c r="N148" s="131"/>
      <c r="O148" s="199"/>
      <c r="P148" s="136"/>
      <c r="Q148" s="136"/>
      <c r="R148" s="136"/>
      <c r="S148" s="136"/>
      <c r="T148" s="136"/>
      <c r="U148" s="136"/>
      <c r="V148" s="136"/>
      <c r="W148" s="136"/>
      <c r="X148" s="136"/>
      <c r="Y148" s="136"/>
      <c r="Z148" s="136"/>
      <c r="AB148" s="132"/>
      <c r="AC148" s="132"/>
      <c r="AD148" s="132"/>
      <c r="AE148" s="131"/>
      <c r="AG148" s="196"/>
      <c r="AH148" s="196"/>
      <c r="AI148" s="131"/>
      <c r="AJ148" s="131"/>
      <c r="AK148" s="131"/>
      <c r="AP148" s="132"/>
      <c r="AU148" s="199"/>
      <c r="AX148" s="199"/>
      <c r="AY148" s="136"/>
      <c r="BC148" s="197" t="str">
        <f t="shared" si="6"/>
        <v/>
      </c>
      <c r="BD148" s="131" t="str">
        <f t="shared" si="7"/>
        <v>INDENIZAÇÃO</v>
      </c>
      <c r="BE148" s="131" t="str">
        <f t="shared" si="8"/>
        <v>NÃO</v>
      </c>
      <c r="BF148" s="131"/>
      <c r="BG148" s="131"/>
      <c r="BH148" s="131"/>
      <c r="BK148" s="199"/>
      <c r="BN148" s="182"/>
      <c r="CI148" s="182"/>
    </row>
    <row r="149" spans="1:87" s="141" customFormat="1" ht="30" hidden="1" customHeight="1">
      <c r="A149" s="131">
        <v>135</v>
      </c>
      <c r="B149" s="131" t="s">
        <v>4432</v>
      </c>
      <c r="C149" s="131">
        <v>1</v>
      </c>
      <c r="D149" s="131" t="s">
        <v>4433</v>
      </c>
      <c r="E149" s="131" t="s">
        <v>4433</v>
      </c>
      <c r="F149" s="210" t="s">
        <v>4921</v>
      </c>
      <c r="G149" s="131"/>
      <c r="H149" s="131"/>
      <c r="I149" s="131"/>
      <c r="J149" s="132" t="s">
        <v>4922</v>
      </c>
      <c r="K149" s="132"/>
      <c r="L149" s="132" t="s">
        <v>4923</v>
      </c>
      <c r="M149" s="131"/>
      <c r="N149" s="131"/>
      <c r="O149" s="199"/>
      <c r="P149" s="136"/>
      <c r="Q149" s="136"/>
      <c r="R149" s="136"/>
      <c r="S149" s="136"/>
      <c r="T149" s="136"/>
      <c r="U149" s="136"/>
      <c r="V149" s="136"/>
      <c r="W149" s="136"/>
      <c r="X149" s="136"/>
      <c r="Y149" s="136"/>
      <c r="Z149" s="136"/>
      <c r="AB149" s="132"/>
      <c r="AC149" s="132"/>
      <c r="AD149" s="132"/>
      <c r="AE149" s="131"/>
      <c r="AG149" s="196"/>
      <c r="AH149" s="196"/>
      <c r="AI149" s="131"/>
      <c r="AJ149" s="131"/>
      <c r="AK149" s="131"/>
      <c r="AP149" s="132"/>
      <c r="AU149" s="199"/>
      <c r="AX149" s="136"/>
      <c r="AY149" s="136"/>
      <c r="BC149" s="197" t="str">
        <f t="shared" si="6"/>
        <v/>
      </c>
      <c r="BD149" s="131" t="str">
        <f t="shared" si="7"/>
        <v>INDENIZAÇÃO</v>
      </c>
      <c r="BE149" s="131" t="str">
        <f t="shared" si="8"/>
        <v>NÃO</v>
      </c>
      <c r="BF149" s="131"/>
      <c r="BG149" s="131"/>
      <c r="BH149" s="131"/>
      <c r="BN149" s="182"/>
      <c r="CI149" s="182"/>
    </row>
    <row r="150" spans="1:87" s="141" customFormat="1" ht="30" hidden="1" customHeight="1">
      <c r="A150" s="131">
        <v>136</v>
      </c>
      <c r="B150" s="131" t="s">
        <v>4432</v>
      </c>
      <c r="C150" s="131">
        <v>1</v>
      </c>
      <c r="D150" s="131" t="s">
        <v>4433</v>
      </c>
      <c r="E150" s="131" t="s">
        <v>4433</v>
      </c>
      <c r="F150" s="210" t="s">
        <v>4924</v>
      </c>
      <c r="G150" s="131"/>
      <c r="H150" s="131"/>
      <c r="I150" s="131"/>
      <c r="J150" s="132" t="s">
        <v>4925</v>
      </c>
      <c r="K150" s="132"/>
      <c r="L150" s="132" t="s">
        <v>4926</v>
      </c>
      <c r="M150" s="131"/>
      <c r="N150" s="131"/>
      <c r="O150" s="199"/>
      <c r="P150" s="136"/>
      <c r="Q150" s="136"/>
      <c r="R150" s="136"/>
      <c r="S150" s="136"/>
      <c r="T150" s="136"/>
      <c r="U150" s="136"/>
      <c r="V150" s="136"/>
      <c r="W150" s="136"/>
      <c r="X150" s="136"/>
      <c r="Y150" s="136"/>
      <c r="Z150" s="136"/>
      <c r="AB150" s="132"/>
      <c r="AC150" s="132"/>
      <c r="AD150" s="132"/>
      <c r="AE150" s="131"/>
      <c r="AG150" s="196"/>
      <c r="AH150" s="196"/>
      <c r="AI150" s="131"/>
      <c r="AJ150" s="131"/>
      <c r="AK150" s="131"/>
      <c r="AP150" s="132"/>
      <c r="AU150" s="199"/>
      <c r="AX150" s="199"/>
      <c r="AY150" s="136"/>
      <c r="AZ150" s="136"/>
      <c r="BC150" s="197" t="str">
        <f t="shared" si="6"/>
        <v/>
      </c>
      <c r="BD150" s="131" t="str">
        <f t="shared" si="7"/>
        <v>INDENIZAÇÃO</v>
      </c>
      <c r="BE150" s="131" t="str">
        <f t="shared" si="8"/>
        <v>NÃO</v>
      </c>
      <c r="BF150" s="131"/>
      <c r="BG150" s="131"/>
      <c r="BH150" s="131"/>
      <c r="BK150" s="199"/>
      <c r="BN150" s="182"/>
      <c r="CI150" s="182"/>
    </row>
    <row r="151" spans="1:87" s="141" customFormat="1" ht="30" hidden="1" customHeight="1">
      <c r="A151" s="131">
        <v>137</v>
      </c>
      <c r="B151" s="131" t="s">
        <v>4432</v>
      </c>
      <c r="C151" s="131">
        <v>1</v>
      </c>
      <c r="D151" s="131" t="s">
        <v>4433</v>
      </c>
      <c r="E151" s="131" t="s">
        <v>4433</v>
      </c>
      <c r="F151" s="210" t="s">
        <v>4927</v>
      </c>
      <c r="G151" s="131"/>
      <c r="H151" s="131"/>
      <c r="I151" s="131"/>
      <c r="J151" s="132" t="s">
        <v>4928</v>
      </c>
      <c r="K151" s="132"/>
      <c r="L151" s="132" t="s">
        <v>4929</v>
      </c>
      <c r="M151" s="131"/>
      <c r="N151" s="131"/>
      <c r="O151" s="199"/>
      <c r="P151" s="136"/>
      <c r="Q151" s="136"/>
      <c r="R151" s="136"/>
      <c r="S151" s="136"/>
      <c r="T151" s="136"/>
      <c r="U151" s="136"/>
      <c r="V151" s="136"/>
      <c r="W151" s="136"/>
      <c r="X151" s="136"/>
      <c r="Y151" s="136"/>
      <c r="Z151" s="136"/>
      <c r="AB151" s="132"/>
      <c r="AC151" s="132"/>
      <c r="AD151" s="132"/>
      <c r="AE151" s="131"/>
      <c r="AG151" s="196"/>
      <c r="AH151" s="196"/>
      <c r="AI151" s="131"/>
      <c r="AJ151" s="131"/>
      <c r="AK151" s="131"/>
      <c r="AP151" s="132"/>
      <c r="AU151" s="199"/>
      <c r="AX151" s="199"/>
      <c r="AY151" s="136"/>
      <c r="AZ151" s="136"/>
      <c r="BC151" s="197" t="str">
        <f t="shared" si="6"/>
        <v/>
      </c>
      <c r="BD151" s="131" t="str">
        <f t="shared" si="7"/>
        <v>INDENIZAÇÃO</v>
      </c>
      <c r="BE151" s="131" t="str">
        <f t="shared" si="8"/>
        <v>NÃO</v>
      </c>
      <c r="BF151" s="131"/>
      <c r="BG151" s="131"/>
      <c r="BH151" s="131"/>
      <c r="BK151" s="199"/>
      <c r="BN151" s="182"/>
      <c r="CI151" s="182"/>
    </row>
    <row r="152" spans="1:87" s="141" customFormat="1" ht="30" hidden="1" customHeight="1">
      <c r="A152" s="131">
        <v>138</v>
      </c>
      <c r="B152" s="131" t="s">
        <v>4432</v>
      </c>
      <c r="C152" s="131">
        <v>1</v>
      </c>
      <c r="D152" s="131" t="s">
        <v>4433</v>
      </c>
      <c r="E152" s="131" t="s">
        <v>4433</v>
      </c>
      <c r="F152" s="210" t="s">
        <v>4930</v>
      </c>
      <c r="G152" s="131"/>
      <c r="H152" s="131"/>
      <c r="I152" s="131"/>
      <c r="J152" s="132" t="s">
        <v>4931</v>
      </c>
      <c r="K152" s="132"/>
      <c r="L152" s="132" t="s">
        <v>4932</v>
      </c>
      <c r="M152" s="131"/>
      <c r="N152" s="131"/>
      <c r="O152" s="199"/>
      <c r="P152" s="136"/>
      <c r="Q152" s="136"/>
      <c r="R152" s="136"/>
      <c r="S152" s="136"/>
      <c r="T152" s="136"/>
      <c r="U152" s="136"/>
      <c r="V152" s="136"/>
      <c r="W152" s="136"/>
      <c r="X152" s="136"/>
      <c r="Y152" s="136"/>
      <c r="Z152" s="136"/>
      <c r="AB152" s="132"/>
      <c r="AC152" s="132"/>
      <c r="AD152" s="132"/>
      <c r="AE152" s="131"/>
      <c r="AG152" s="196"/>
      <c r="AH152" s="196"/>
      <c r="AI152" s="131"/>
      <c r="AJ152" s="131"/>
      <c r="AK152" s="131"/>
      <c r="AP152" s="132"/>
      <c r="AU152" s="199"/>
      <c r="AX152" s="199"/>
      <c r="AY152" s="136"/>
      <c r="BC152" s="197" t="str">
        <f t="shared" si="6"/>
        <v/>
      </c>
      <c r="BD152" s="131" t="str">
        <f t="shared" si="7"/>
        <v>INDENIZAÇÃO</v>
      </c>
      <c r="BE152" s="131" t="str">
        <f t="shared" si="8"/>
        <v>NÃO</v>
      </c>
      <c r="BF152" s="131"/>
      <c r="BG152" s="131"/>
      <c r="BH152" s="131"/>
      <c r="BK152" s="136"/>
      <c r="BN152" s="182"/>
      <c r="CI152" s="182"/>
    </row>
    <row r="153" spans="1:87" s="141" customFormat="1" ht="30" hidden="1" customHeight="1">
      <c r="A153" s="131">
        <v>139</v>
      </c>
      <c r="B153" s="131" t="s">
        <v>4432</v>
      </c>
      <c r="C153" s="131">
        <v>1</v>
      </c>
      <c r="D153" s="131" t="s">
        <v>4433</v>
      </c>
      <c r="E153" s="131" t="s">
        <v>4433</v>
      </c>
      <c r="F153" s="210" t="s">
        <v>4933</v>
      </c>
      <c r="G153" s="131"/>
      <c r="H153" s="131"/>
      <c r="I153" s="198"/>
      <c r="J153" s="132" t="s">
        <v>4934</v>
      </c>
      <c r="K153" s="132"/>
      <c r="L153" s="132" t="s">
        <v>4935</v>
      </c>
      <c r="M153" s="131"/>
      <c r="N153" s="131"/>
      <c r="O153" s="199"/>
      <c r="P153" s="136"/>
      <c r="Q153" s="136"/>
      <c r="R153" s="136"/>
      <c r="S153" s="136"/>
      <c r="T153" s="136"/>
      <c r="U153" s="136"/>
      <c r="V153" s="136"/>
      <c r="W153" s="136"/>
      <c r="X153" s="136"/>
      <c r="Y153" s="136"/>
      <c r="Z153" s="136"/>
      <c r="AB153" s="132"/>
      <c r="AC153" s="132"/>
      <c r="AD153" s="132"/>
      <c r="AE153" s="131"/>
      <c r="AG153" s="196"/>
      <c r="AH153" s="196"/>
      <c r="AI153" s="131"/>
      <c r="AJ153" s="131"/>
      <c r="AK153" s="131"/>
      <c r="AO153" s="201"/>
      <c r="AP153" s="132"/>
      <c r="AU153" s="199"/>
      <c r="AX153" s="199"/>
      <c r="AY153" s="136"/>
      <c r="BC153" s="197" t="str">
        <f t="shared" si="6"/>
        <v/>
      </c>
      <c r="BD153" s="131" t="str">
        <f t="shared" si="7"/>
        <v>INDENIZAÇÃO</v>
      </c>
      <c r="BE153" s="131" t="str">
        <f t="shared" si="8"/>
        <v>NÃO</v>
      </c>
      <c r="BF153" s="131"/>
      <c r="BG153" s="131"/>
      <c r="BH153" s="131"/>
      <c r="BK153" s="199"/>
      <c r="BN153" s="182"/>
      <c r="CI153" s="182"/>
    </row>
    <row r="154" spans="1:87" s="141" customFormat="1" ht="30" hidden="1" customHeight="1">
      <c r="A154" s="131">
        <v>140</v>
      </c>
      <c r="B154" s="131" t="s">
        <v>4432</v>
      </c>
      <c r="C154" s="131">
        <v>1</v>
      </c>
      <c r="D154" s="131" t="s">
        <v>4433</v>
      </c>
      <c r="E154" s="131" t="s">
        <v>4433</v>
      </c>
      <c r="F154" s="210" t="s">
        <v>4936</v>
      </c>
      <c r="G154" s="131"/>
      <c r="H154" s="131"/>
      <c r="I154" s="131"/>
      <c r="J154" s="132" t="s">
        <v>4937</v>
      </c>
      <c r="K154" s="132"/>
      <c r="L154" s="132" t="s">
        <v>4938</v>
      </c>
      <c r="M154" s="131"/>
      <c r="N154" s="131"/>
      <c r="O154" s="199"/>
      <c r="P154" s="136"/>
      <c r="Q154" s="136"/>
      <c r="R154" s="136"/>
      <c r="S154" s="136"/>
      <c r="T154" s="136"/>
      <c r="U154" s="136"/>
      <c r="V154" s="136"/>
      <c r="W154" s="136"/>
      <c r="X154" s="136"/>
      <c r="Y154" s="136"/>
      <c r="Z154" s="136"/>
      <c r="AB154" s="132"/>
      <c r="AC154" s="132"/>
      <c r="AD154" s="132"/>
      <c r="AE154" s="131"/>
      <c r="AG154" s="196"/>
      <c r="AH154" s="196"/>
      <c r="AI154" s="131"/>
      <c r="AJ154" s="131"/>
      <c r="AK154" s="131"/>
      <c r="AP154" s="132"/>
      <c r="AU154" s="199"/>
      <c r="AX154" s="199"/>
      <c r="AY154" s="136"/>
      <c r="AZ154" s="136"/>
      <c r="BC154" s="197" t="str">
        <f t="shared" si="6"/>
        <v/>
      </c>
      <c r="BD154" s="131" t="str">
        <f t="shared" si="7"/>
        <v>INDENIZAÇÃO</v>
      </c>
      <c r="BE154" s="131" t="str">
        <f t="shared" si="8"/>
        <v>NÃO</v>
      </c>
      <c r="BF154" s="131"/>
      <c r="BG154" s="131"/>
      <c r="BH154" s="131"/>
      <c r="BK154" s="199"/>
      <c r="BN154" s="182"/>
      <c r="CI154" s="182"/>
    </row>
    <row r="155" spans="1:87" s="141" customFormat="1" ht="30" hidden="1" customHeight="1">
      <c r="A155" s="131">
        <v>141</v>
      </c>
      <c r="B155" s="131" t="s">
        <v>4432</v>
      </c>
      <c r="C155" s="131">
        <v>1</v>
      </c>
      <c r="D155" s="131" t="s">
        <v>4433</v>
      </c>
      <c r="E155" s="131" t="s">
        <v>4433</v>
      </c>
      <c r="F155" s="210" t="s">
        <v>4939</v>
      </c>
      <c r="G155" s="131"/>
      <c r="H155" s="131"/>
      <c r="I155" s="131"/>
      <c r="J155" s="132" t="s">
        <v>4940</v>
      </c>
      <c r="K155" s="132"/>
      <c r="L155" s="132" t="s">
        <v>4941</v>
      </c>
      <c r="M155" s="131"/>
      <c r="N155" s="131"/>
      <c r="O155" s="199"/>
      <c r="P155" s="136"/>
      <c r="Q155" s="136"/>
      <c r="R155" s="136"/>
      <c r="S155" s="136"/>
      <c r="T155" s="136"/>
      <c r="U155" s="136"/>
      <c r="V155" s="136"/>
      <c r="W155" s="136"/>
      <c r="X155" s="136"/>
      <c r="Y155" s="136"/>
      <c r="Z155" s="136"/>
      <c r="AB155" s="132"/>
      <c r="AC155" s="132"/>
      <c r="AD155" s="132"/>
      <c r="AE155" s="203"/>
      <c r="AG155" s="196"/>
      <c r="AH155" s="196"/>
      <c r="AI155" s="131"/>
      <c r="AJ155" s="131"/>
      <c r="AK155" s="131"/>
      <c r="AP155" s="132"/>
      <c r="AU155" s="136"/>
      <c r="AX155" s="136"/>
      <c r="AY155" s="136"/>
      <c r="AZ155" s="136"/>
      <c r="BC155" s="197" t="str">
        <f t="shared" si="6"/>
        <v/>
      </c>
      <c r="BD155" s="131" t="str">
        <f t="shared" si="7"/>
        <v>INDENIZAÇÃO</v>
      </c>
      <c r="BE155" s="131" t="str">
        <f t="shared" si="8"/>
        <v>NÃO</v>
      </c>
      <c r="BF155" s="131"/>
      <c r="BG155" s="131"/>
      <c r="BH155" s="131"/>
      <c r="BK155" s="136"/>
      <c r="BN155" s="182"/>
      <c r="CI155" s="182"/>
    </row>
    <row r="156" spans="1:87" s="141" customFormat="1" ht="30" hidden="1" customHeight="1">
      <c r="A156" s="131">
        <v>142</v>
      </c>
      <c r="B156" s="131" t="s">
        <v>4432</v>
      </c>
      <c r="C156" s="131">
        <v>1</v>
      </c>
      <c r="D156" s="131" t="s">
        <v>4433</v>
      </c>
      <c r="E156" s="131" t="s">
        <v>4433</v>
      </c>
      <c r="F156" s="210" t="s">
        <v>4942</v>
      </c>
      <c r="G156" s="131"/>
      <c r="H156" s="131"/>
      <c r="I156" s="131"/>
      <c r="J156" s="132" t="s">
        <v>4943</v>
      </c>
      <c r="K156" s="132"/>
      <c r="L156" s="132" t="s">
        <v>4944</v>
      </c>
      <c r="M156" s="131"/>
      <c r="N156" s="131"/>
      <c r="O156" s="199"/>
      <c r="P156" s="136"/>
      <c r="Q156" s="136"/>
      <c r="R156" s="136"/>
      <c r="S156" s="136"/>
      <c r="T156" s="136"/>
      <c r="U156" s="136"/>
      <c r="V156" s="136"/>
      <c r="W156" s="136"/>
      <c r="X156" s="136"/>
      <c r="Y156" s="136"/>
      <c r="Z156" s="136"/>
      <c r="AB156" s="132"/>
      <c r="AC156" s="132"/>
      <c r="AD156" s="132"/>
      <c r="AE156" s="131"/>
      <c r="AG156" s="196"/>
      <c r="AH156" s="196"/>
      <c r="AI156" s="131"/>
      <c r="AJ156" s="131"/>
      <c r="AK156" s="131"/>
      <c r="AO156" s="201"/>
      <c r="AP156" s="132"/>
      <c r="AU156" s="199"/>
      <c r="AX156" s="199"/>
      <c r="AY156" s="136"/>
      <c r="BC156" s="197" t="str">
        <f t="shared" si="6"/>
        <v/>
      </c>
      <c r="BD156" s="131" t="str">
        <f t="shared" si="7"/>
        <v>INDENIZAÇÃO</v>
      </c>
      <c r="BE156" s="131" t="str">
        <f t="shared" si="8"/>
        <v>NÃO</v>
      </c>
      <c r="BF156" s="131"/>
      <c r="BG156" s="131"/>
      <c r="BH156" s="131"/>
      <c r="BK156" s="199"/>
      <c r="BN156" s="182"/>
      <c r="CI156" s="182"/>
    </row>
    <row r="157" spans="1:87" s="141" customFormat="1" ht="30" hidden="1" customHeight="1">
      <c r="A157" s="131">
        <v>143</v>
      </c>
      <c r="B157" s="131" t="s">
        <v>4432</v>
      </c>
      <c r="C157" s="131">
        <v>1</v>
      </c>
      <c r="D157" s="131" t="s">
        <v>4433</v>
      </c>
      <c r="E157" s="131" t="s">
        <v>4433</v>
      </c>
      <c r="F157" s="210" t="s">
        <v>4945</v>
      </c>
      <c r="G157" s="131"/>
      <c r="H157" s="131"/>
      <c r="I157" s="131"/>
      <c r="J157" s="132" t="s">
        <v>4946</v>
      </c>
      <c r="K157" s="132"/>
      <c r="L157" s="132" t="s">
        <v>4947</v>
      </c>
      <c r="M157" s="131"/>
      <c r="N157" s="131"/>
      <c r="O157" s="199"/>
      <c r="P157" s="136"/>
      <c r="Q157" s="136"/>
      <c r="R157" s="136"/>
      <c r="S157" s="136"/>
      <c r="T157" s="136"/>
      <c r="U157" s="136"/>
      <c r="V157" s="136"/>
      <c r="W157" s="136"/>
      <c r="X157" s="136"/>
      <c r="Y157" s="136"/>
      <c r="Z157" s="136"/>
      <c r="AB157" s="132"/>
      <c r="AC157" s="132"/>
      <c r="AD157" s="132"/>
      <c r="AE157" s="131"/>
      <c r="AF157" s="200"/>
      <c r="AG157" s="196"/>
      <c r="AH157" s="196"/>
      <c r="AI157" s="200"/>
      <c r="AJ157" s="200"/>
      <c r="AK157" s="200"/>
      <c r="AL157" s="200"/>
      <c r="AM157" s="200"/>
      <c r="AN157" s="200"/>
      <c r="AP157" s="132"/>
      <c r="BC157" s="197" t="str">
        <f t="shared" si="6"/>
        <v/>
      </c>
      <c r="BD157" s="131" t="str">
        <f t="shared" si="7"/>
        <v>INDENIZAÇÃO</v>
      </c>
      <c r="BE157" s="131" t="str">
        <f t="shared" si="8"/>
        <v>NÃO</v>
      </c>
      <c r="BF157" s="197"/>
      <c r="BG157" s="197"/>
      <c r="BH157" s="197"/>
      <c r="BI157" s="197"/>
      <c r="BJ157" s="197"/>
      <c r="BK157" s="197"/>
      <c r="BL157" s="197"/>
      <c r="BM157" s="197"/>
      <c r="BN157" s="182"/>
      <c r="CI157" s="182"/>
    </row>
    <row r="158" spans="1:87" s="141" customFormat="1" ht="30" hidden="1" customHeight="1">
      <c r="A158" s="131">
        <v>144</v>
      </c>
      <c r="B158" s="131" t="s">
        <v>4432</v>
      </c>
      <c r="C158" s="131">
        <v>1</v>
      </c>
      <c r="D158" s="131" t="s">
        <v>4433</v>
      </c>
      <c r="E158" s="131" t="s">
        <v>4433</v>
      </c>
      <c r="F158" s="210" t="s">
        <v>4948</v>
      </c>
      <c r="G158" s="131"/>
      <c r="H158" s="131"/>
      <c r="I158" s="131"/>
      <c r="J158" s="132" t="s">
        <v>2976</v>
      </c>
      <c r="K158" s="132"/>
      <c r="L158" s="132" t="s">
        <v>4949</v>
      </c>
      <c r="M158" s="131"/>
      <c r="N158" s="131"/>
      <c r="O158" s="199"/>
      <c r="P158" s="136"/>
      <c r="Q158" s="136"/>
      <c r="R158" s="136"/>
      <c r="S158" s="136"/>
      <c r="T158" s="136"/>
      <c r="U158" s="136"/>
      <c r="V158" s="136"/>
      <c r="W158" s="136"/>
      <c r="X158" s="136"/>
      <c r="Y158" s="136"/>
      <c r="Z158" s="136"/>
      <c r="AB158" s="132"/>
      <c r="AC158" s="132"/>
      <c r="AD158" s="132"/>
      <c r="AE158" s="131"/>
      <c r="AG158" s="196"/>
      <c r="AH158" s="196"/>
      <c r="AI158" s="131"/>
      <c r="AJ158" s="131"/>
      <c r="AK158" s="131"/>
      <c r="AP158" s="132"/>
      <c r="AU158" s="199"/>
      <c r="AX158" s="199"/>
      <c r="AY158" s="136"/>
      <c r="BC158" s="197" t="str">
        <f t="shared" si="6"/>
        <v/>
      </c>
      <c r="BD158" s="131" t="str">
        <f t="shared" si="7"/>
        <v>INDENIZAÇÃO</v>
      </c>
      <c r="BE158" s="131" t="str">
        <f t="shared" si="8"/>
        <v>NÃO</v>
      </c>
      <c r="BF158" s="131"/>
      <c r="BG158" s="131"/>
      <c r="BH158" s="131"/>
      <c r="BK158" s="199"/>
      <c r="BN158" s="182"/>
      <c r="CI158" s="182"/>
    </row>
    <row r="159" spans="1:87" s="141" customFormat="1" ht="30" hidden="1" customHeight="1">
      <c r="A159" s="131">
        <v>145</v>
      </c>
      <c r="B159" s="131" t="s">
        <v>4432</v>
      </c>
      <c r="C159" s="131">
        <v>1</v>
      </c>
      <c r="D159" s="131" t="s">
        <v>4433</v>
      </c>
      <c r="E159" s="131" t="s">
        <v>4433</v>
      </c>
      <c r="F159" s="210" t="s">
        <v>4950</v>
      </c>
      <c r="G159" s="131"/>
      <c r="H159" s="131"/>
      <c r="I159" s="131"/>
      <c r="J159" s="132" t="s">
        <v>4628</v>
      </c>
      <c r="K159" s="132"/>
      <c r="L159" s="132" t="s">
        <v>4628</v>
      </c>
      <c r="M159" s="131"/>
      <c r="N159" s="131"/>
      <c r="O159" s="199"/>
      <c r="P159" s="136"/>
      <c r="Q159" s="136"/>
      <c r="R159" s="136"/>
      <c r="S159" s="136"/>
      <c r="T159" s="136"/>
      <c r="U159" s="136"/>
      <c r="V159" s="136"/>
      <c r="W159" s="136"/>
      <c r="X159" s="136"/>
      <c r="Y159" s="136"/>
      <c r="Z159" s="136"/>
      <c r="AB159" s="132"/>
      <c r="AC159" s="132"/>
      <c r="AD159" s="132"/>
      <c r="AE159" s="131"/>
      <c r="AG159" s="196"/>
      <c r="AH159" s="196"/>
      <c r="AI159" s="131"/>
      <c r="AJ159" s="131"/>
      <c r="AK159" s="131"/>
      <c r="AP159" s="132"/>
      <c r="AU159" s="199"/>
      <c r="AX159" s="199"/>
      <c r="AY159" s="136"/>
      <c r="AZ159" s="136"/>
      <c r="BC159" s="197" t="str">
        <f t="shared" ref="BC159:BC222" si="9">IF(AY159-KD159=0,"",AY159-O159)</f>
        <v/>
      </c>
      <c r="BD159" s="131" t="str">
        <f t="shared" ref="BD159:BD222" si="10">IF(AND(AI159&lt;&gt;"SIM",AI159="UH"),"AA","INDENIZAÇÃO")</f>
        <v>INDENIZAÇÃO</v>
      </c>
      <c r="BE159" s="131" t="str">
        <f t="shared" ref="BE159:BE222" si="11">IF(AND(AY159&lt;&gt;"AGUARDANDO",AY159&lt;&gt;"",N159="AUXÍLIO ALUGUEL ATÉ INDENIZAÇÃO"),"SIM","NÃO")</f>
        <v>NÃO</v>
      </c>
      <c r="BF159" s="131"/>
      <c r="BG159" s="131"/>
      <c r="BH159" s="131"/>
      <c r="BK159" s="199"/>
      <c r="BN159" s="182"/>
      <c r="CI159" s="182"/>
    </row>
    <row r="160" spans="1:87" s="141" customFormat="1" ht="30" hidden="1" customHeight="1">
      <c r="A160" s="131">
        <v>146</v>
      </c>
      <c r="B160" s="131" t="s">
        <v>4432</v>
      </c>
      <c r="C160" s="131">
        <v>1</v>
      </c>
      <c r="D160" s="131" t="s">
        <v>4433</v>
      </c>
      <c r="E160" s="131" t="s">
        <v>4433</v>
      </c>
      <c r="F160" s="210" t="s">
        <v>4951</v>
      </c>
      <c r="G160" s="131"/>
      <c r="H160" s="131"/>
      <c r="I160" s="131"/>
      <c r="J160" s="132" t="s">
        <v>4628</v>
      </c>
      <c r="K160" s="132"/>
      <c r="L160" s="132" t="s">
        <v>4628</v>
      </c>
      <c r="M160" s="131"/>
      <c r="N160" s="131"/>
      <c r="O160" s="199"/>
      <c r="P160" s="136"/>
      <c r="Q160" s="136"/>
      <c r="R160" s="136"/>
      <c r="S160" s="136"/>
      <c r="T160" s="136"/>
      <c r="U160" s="136"/>
      <c r="V160" s="136"/>
      <c r="W160" s="136"/>
      <c r="X160" s="136"/>
      <c r="Y160" s="136"/>
      <c r="Z160" s="136"/>
      <c r="AB160" s="132"/>
      <c r="AC160" s="132"/>
      <c r="AD160" s="132"/>
      <c r="AE160" s="131"/>
      <c r="AG160" s="196"/>
      <c r="AH160" s="196"/>
      <c r="AI160" s="131"/>
      <c r="AJ160" s="131"/>
      <c r="AK160" s="131"/>
      <c r="AP160" s="132"/>
      <c r="AU160" s="136"/>
      <c r="AX160" s="136"/>
      <c r="AY160" s="136"/>
      <c r="AZ160" s="136"/>
      <c r="BC160" s="197" t="str">
        <f t="shared" si="9"/>
        <v/>
      </c>
      <c r="BD160" s="131" t="str">
        <f t="shared" si="10"/>
        <v>INDENIZAÇÃO</v>
      </c>
      <c r="BE160" s="131" t="str">
        <f t="shared" si="11"/>
        <v>NÃO</v>
      </c>
      <c r="BF160" s="131"/>
      <c r="BG160" s="131"/>
      <c r="BH160" s="131"/>
      <c r="BK160" s="136"/>
      <c r="BN160" s="182"/>
      <c r="CI160" s="182"/>
    </row>
    <row r="161" spans="1:91" s="141" customFormat="1" ht="30" hidden="1" customHeight="1">
      <c r="A161" s="131">
        <v>147</v>
      </c>
      <c r="B161" s="131" t="s">
        <v>4432</v>
      </c>
      <c r="C161" s="131">
        <v>1</v>
      </c>
      <c r="D161" s="131" t="s">
        <v>4433</v>
      </c>
      <c r="E161" s="131" t="s">
        <v>4433</v>
      </c>
      <c r="F161" s="210" t="s">
        <v>4952</v>
      </c>
      <c r="G161" s="131"/>
      <c r="H161" s="131"/>
      <c r="I161" s="131"/>
      <c r="J161" s="132" t="s">
        <v>4953</v>
      </c>
      <c r="K161" s="132"/>
      <c r="L161" s="132" t="s">
        <v>4954</v>
      </c>
      <c r="M161" s="131"/>
      <c r="N161" s="131"/>
      <c r="O161" s="199"/>
      <c r="P161" s="136"/>
      <c r="Q161" s="136"/>
      <c r="R161" s="136"/>
      <c r="S161" s="136"/>
      <c r="T161" s="136"/>
      <c r="U161" s="136"/>
      <c r="V161" s="136"/>
      <c r="W161" s="136"/>
      <c r="X161" s="136"/>
      <c r="Y161" s="136"/>
      <c r="Z161" s="136"/>
      <c r="AB161" s="132"/>
      <c r="AC161" s="132"/>
      <c r="AD161" s="132"/>
      <c r="AE161" s="131"/>
      <c r="AG161" s="196"/>
      <c r="AH161" s="196"/>
      <c r="AI161" s="131"/>
      <c r="AJ161" s="131"/>
      <c r="AK161" s="131"/>
      <c r="AP161" s="132"/>
      <c r="BC161" s="197" t="str">
        <f t="shared" si="9"/>
        <v/>
      </c>
      <c r="BD161" s="131" t="str">
        <f t="shared" si="10"/>
        <v>INDENIZAÇÃO</v>
      </c>
      <c r="BE161" s="131" t="str">
        <f t="shared" si="11"/>
        <v>NÃO</v>
      </c>
      <c r="BF161" s="131"/>
      <c r="BG161" s="199"/>
      <c r="BH161" s="199"/>
      <c r="BN161" s="182"/>
      <c r="CI161" s="182"/>
    </row>
    <row r="162" spans="1:91" s="141" customFormat="1" ht="30" hidden="1" customHeight="1">
      <c r="A162" s="131">
        <v>148</v>
      </c>
      <c r="B162" s="131" t="s">
        <v>4432</v>
      </c>
      <c r="C162" s="131">
        <v>1</v>
      </c>
      <c r="D162" s="131" t="s">
        <v>4433</v>
      </c>
      <c r="E162" s="131" t="s">
        <v>4433</v>
      </c>
      <c r="F162" s="210" t="s">
        <v>4955</v>
      </c>
      <c r="G162" s="131"/>
      <c r="H162" s="131"/>
      <c r="I162" s="131"/>
      <c r="J162" s="132" t="s">
        <v>4956</v>
      </c>
      <c r="K162" s="132"/>
      <c r="L162" s="132" t="s">
        <v>4957</v>
      </c>
      <c r="M162" s="131"/>
      <c r="N162" s="131"/>
      <c r="O162" s="199"/>
      <c r="P162" s="136"/>
      <c r="Q162" s="136"/>
      <c r="R162" s="136"/>
      <c r="S162" s="136"/>
      <c r="T162" s="136"/>
      <c r="U162" s="136"/>
      <c r="V162" s="136"/>
      <c r="W162" s="136"/>
      <c r="X162" s="136"/>
      <c r="Y162" s="136"/>
      <c r="Z162" s="136"/>
      <c r="AB162" s="132"/>
      <c r="AC162" s="132"/>
      <c r="AD162" s="132"/>
      <c r="AE162" s="131"/>
      <c r="AG162" s="196"/>
      <c r="AH162" s="196"/>
      <c r="AI162" s="131"/>
      <c r="AJ162" s="131"/>
      <c r="AK162" s="131"/>
      <c r="AP162" s="132"/>
      <c r="BC162" s="197" t="str">
        <f t="shared" si="9"/>
        <v/>
      </c>
      <c r="BD162" s="131" t="str">
        <f t="shared" si="10"/>
        <v>INDENIZAÇÃO</v>
      </c>
      <c r="BE162" s="131" t="str">
        <f t="shared" si="11"/>
        <v>NÃO</v>
      </c>
      <c r="BF162" s="131"/>
      <c r="BG162" s="199"/>
      <c r="BH162" s="199"/>
      <c r="BN162" s="182"/>
      <c r="CI162" s="182"/>
    </row>
    <row r="163" spans="1:91" s="141" customFormat="1" ht="30" hidden="1" customHeight="1">
      <c r="A163" s="131">
        <v>149</v>
      </c>
      <c r="B163" s="131" t="s">
        <v>4432</v>
      </c>
      <c r="C163" s="131">
        <v>1</v>
      </c>
      <c r="D163" s="131" t="s">
        <v>4433</v>
      </c>
      <c r="E163" s="131" t="s">
        <v>4433</v>
      </c>
      <c r="F163" s="210" t="s">
        <v>4958</v>
      </c>
      <c r="G163" s="131"/>
      <c r="H163" s="131"/>
      <c r="I163" s="198"/>
      <c r="J163" s="132" t="s">
        <v>4959</v>
      </c>
      <c r="K163" s="132"/>
      <c r="L163" s="132" t="s">
        <v>4960</v>
      </c>
      <c r="M163" s="131"/>
      <c r="N163" s="131"/>
      <c r="O163" s="199"/>
      <c r="P163" s="136"/>
      <c r="Q163" s="131"/>
      <c r="R163" s="136"/>
      <c r="S163" s="136"/>
      <c r="T163" s="136"/>
      <c r="U163" s="136"/>
      <c r="V163" s="136"/>
      <c r="W163" s="136"/>
      <c r="X163" s="136"/>
      <c r="Y163" s="136"/>
      <c r="Z163" s="136"/>
      <c r="AB163" s="132"/>
      <c r="AC163" s="132"/>
      <c r="AD163" s="132"/>
      <c r="AE163" s="131"/>
      <c r="AG163" s="196"/>
      <c r="AH163" s="196"/>
      <c r="AI163" s="131"/>
      <c r="AJ163" s="131"/>
      <c r="AK163" s="131"/>
      <c r="AO163" s="201"/>
      <c r="AP163" s="132"/>
      <c r="BC163" s="197" t="str">
        <f t="shared" si="9"/>
        <v/>
      </c>
      <c r="BD163" s="131" t="str">
        <f t="shared" si="10"/>
        <v>INDENIZAÇÃO</v>
      </c>
      <c r="BE163" s="131" t="str">
        <f t="shared" si="11"/>
        <v>NÃO</v>
      </c>
      <c r="BF163" s="131"/>
      <c r="BG163" s="199"/>
      <c r="BH163" s="199"/>
      <c r="BN163" s="182"/>
      <c r="CI163" s="182"/>
    </row>
    <row r="164" spans="1:91" s="141" customFormat="1" ht="30" hidden="1" customHeight="1">
      <c r="A164" s="131">
        <v>150</v>
      </c>
      <c r="B164" s="131" t="s">
        <v>4432</v>
      </c>
      <c r="C164" s="131">
        <v>1</v>
      </c>
      <c r="D164" s="131" t="s">
        <v>4433</v>
      </c>
      <c r="E164" s="131" t="s">
        <v>4433</v>
      </c>
      <c r="F164" s="210" t="s">
        <v>4961</v>
      </c>
      <c r="G164" s="131"/>
      <c r="H164" s="131"/>
      <c r="I164" s="198"/>
      <c r="J164" s="132" t="s">
        <v>4962</v>
      </c>
      <c r="K164" s="132"/>
      <c r="L164" s="132" t="s">
        <v>4963</v>
      </c>
      <c r="M164" s="131"/>
      <c r="N164" s="131"/>
      <c r="O164" s="199"/>
      <c r="P164" s="136"/>
      <c r="Q164" s="131"/>
      <c r="R164" s="136"/>
      <c r="S164" s="136"/>
      <c r="T164" s="136"/>
      <c r="U164" s="136"/>
      <c r="V164" s="136"/>
      <c r="W164" s="136"/>
      <c r="X164" s="136"/>
      <c r="Y164" s="136"/>
      <c r="Z164" s="136"/>
      <c r="AB164" s="132"/>
      <c r="AC164" s="132"/>
      <c r="AD164" s="132"/>
      <c r="AE164" s="131"/>
      <c r="AG164" s="196"/>
      <c r="AH164" s="196"/>
      <c r="AI164" s="131"/>
      <c r="AJ164" s="131"/>
      <c r="AK164" s="131"/>
      <c r="AP164" s="132"/>
      <c r="AU164" s="199"/>
      <c r="BC164" s="197" t="str">
        <f t="shared" si="9"/>
        <v/>
      </c>
      <c r="BD164" s="131" t="str">
        <f t="shared" si="10"/>
        <v>INDENIZAÇÃO</v>
      </c>
      <c r="BE164" s="131" t="str">
        <f t="shared" si="11"/>
        <v>NÃO</v>
      </c>
      <c r="BF164" s="131"/>
      <c r="BG164" s="199"/>
      <c r="BH164" s="199"/>
      <c r="BN164" s="182"/>
      <c r="CI164" s="182"/>
    </row>
    <row r="165" spans="1:91" s="141" customFormat="1" ht="30" hidden="1" customHeight="1">
      <c r="A165" s="131">
        <v>151</v>
      </c>
      <c r="B165" s="131" t="s">
        <v>4432</v>
      </c>
      <c r="C165" s="131">
        <v>1</v>
      </c>
      <c r="D165" s="131" t="s">
        <v>4433</v>
      </c>
      <c r="E165" s="131" t="s">
        <v>4433</v>
      </c>
      <c r="F165" s="212" t="s">
        <v>4964</v>
      </c>
      <c r="I165" s="131"/>
      <c r="J165" s="144" t="s">
        <v>4965</v>
      </c>
      <c r="K165" s="132"/>
      <c r="L165" s="144" t="s">
        <v>4966</v>
      </c>
      <c r="M165" s="131"/>
      <c r="N165" s="131"/>
      <c r="O165" s="199"/>
      <c r="P165" s="136"/>
      <c r="Q165" s="131"/>
      <c r="R165" s="136"/>
      <c r="S165" s="136"/>
      <c r="T165" s="136"/>
      <c r="U165" s="136"/>
      <c r="V165" s="136"/>
      <c r="W165" s="136"/>
      <c r="X165" s="136"/>
      <c r="Y165" s="136"/>
      <c r="Z165" s="136"/>
      <c r="AB165" s="132"/>
      <c r="AC165" s="132"/>
      <c r="AD165" s="132"/>
      <c r="AE165" s="131"/>
      <c r="AG165" s="204"/>
      <c r="AH165" s="204"/>
      <c r="AP165" s="132"/>
      <c r="BC165" s="197" t="str">
        <f t="shared" si="9"/>
        <v/>
      </c>
      <c r="BD165" s="131" t="str">
        <f t="shared" si="10"/>
        <v>INDENIZAÇÃO</v>
      </c>
      <c r="BE165" s="131" t="str">
        <f t="shared" si="11"/>
        <v>NÃO</v>
      </c>
      <c r="BG165" s="199"/>
      <c r="BH165" s="199"/>
      <c r="BN165" s="182"/>
      <c r="CI165" s="182"/>
    </row>
    <row r="166" spans="1:91" s="141" customFormat="1" ht="30" hidden="1" customHeight="1">
      <c r="A166" s="131">
        <v>152</v>
      </c>
      <c r="B166" s="131" t="s">
        <v>4432</v>
      </c>
      <c r="C166" s="131">
        <v>1</v>
      </c>
      <c r="D166" s="131" t="s">
        <v>4433</v>
      </c>
      <c r="E166" s="131" t="s">
        <v>4433</v>
      </c>
      <c r="F166" s="210" t="s">
        <v>4967</v>
      </c>
      <c r="G166" s="131"/>
      <c r="H166" s="131"/>
      <c r="I166" s="131"/>
      <c r="J166" s="132" t="s">
        <v>4968</v>
      </c>
      <c r="K166" s="132"/>
      <c r="L166" s="132" t="s">
        <v>4969</v>
      </c>
      <c r="M166" s="131"/>
      <c r="N166" s="131"/>
      <c r="O166" s="199"/>
      <c r="P166" s="136"/>
      <c r="Q166" s="136"/>
      <c r="R166" s="136"/>
      <c r="S166" s="136"/>
      <c r="T166" s="136"/>
      <c r="U166" s="136"/>
      <c r="V166" s="136"/>
      <c r="W166" s="136"/>
      <c r="X166" s="136"/>
      <c r="Y166" s="136"/>
      <c r="Z166" s="136"/>
      <c r="AB166" s="132"/>
      <c r="AC166" s="132"/>
      <c r="AD166" s="132"/>
      <c r="AE166" s="131"/>
      <c r="AG166" s="196"/>
      <c r="AH166" s="196"/>
      <c r="AI166" s="131"/>
      <c r="AJ166" s="131"/>
      <c r="AK166" s="131"/>
      <c r="AP166" s="132"/>
      <c r="AU166" s="199"/>
      <c r="AX166" s="199"/>
      <c r="AY166" s="205"/>
      <c r="AZ166" s="205"/>
      <c r="BC166" s="197" t="str">
        <f t="shared" si="9"/>
        <v/>
      </c>
      <c r="BD166" s="131" t="str">
        <f t="shared" si="10"/>
        <v>INDENIZAÇÃO</v>
      </c>
      <c r="BE166" s="131" t="str">
        <f t="shared" si="11"/>
        <v>NÃO</v>
      </c>
      <c r="BF166" s="131"/>
      <c r="BG166" s="131"/>
      <c r="BH166" s="131"/>
      <c r="BK166" s="136"/>
      <c r="BN166" s="182"/>
      <c r="CI166" s="182"/>
    </row>
    <row r="167" spans="1:91" s="141" customFormat="1" ht="30" hidden="1" customHeight="1">
      <c r="A167" s="131">
        <v>153</v>
      </c>
      <c r="B167" s="131" t="s">
        <v>4432</v>
      </c>
      <c r="C167" s="131">
        <v>1</v>
      </c>
      <c r="D167" s="131" t="s">
        <v>4433</v>
      </c>
      <c r="E167" s="131" t="s">
        <v>4433</v>
      </c>
      <c r="F167" s="210" t="s">
        <v>4970</v>
      </c>
      <c r="G167" s="131"/>
      <c r="H167" s="131"/>
      <c r="I167" s="198"/>
      <c r="J167" s="132" t="s">
        <v>4971</v>
      </c>
      <c r="K167" s="132"/>
      <c r="L167" s="132" t="s">
        <v>4972</v>
      </c>
      <c r="M167" s="131"/>
      <c r="N167" s="131"/>
      <c r="O167" s="199"/>
      <c r="P167" s="136"/>
      <c r="Q167" s="131"/>
      <c r="R167" s="136"/>
      <c r="S167" s="136"/>
      <c r="T167" s="136"/>
      <c r="U167" s="136"/>
      <c r="V167" s="136"/>
      <c r="W167" s="136"/>
      <c r="X167" s="136"/>
      <c r="Y167" s="136"/>
      <c r="Z167" s="136"/>
      <c r="AB167" s="132"/>
      <c r="AC167" s="132"/>
      <c r="AD167" s="132"/>
      <c r="AE167" s="131"/>
      <c r="AG167" s="196"/>
      <c r="AH167" s="196"/>
      <c r="AI167" s="131"/>
      <c r="AJ167" s="131"/>
      <c r="AK167" s="131"/>
      <c r="AO167" s="201"/>
      <c r="AP167" s="132"/>
      <c r="BC167" s="197" t="str">
        <f t="shared" si="9"/>
        <v/>
      </c>
      <c r="BD167" s="131" t="str">
        <f t="shared" si="10"/>
        <v>INDENIZAÇÃO</v>
      </c>
      <c r="BE167" s="131" t="str">
        <f t="shared" si="11"/>
        <v>NÃO</v>
      </c>
      <c r="BF167" s="131"/>
      <c r="BG167" s="199"/>
      <c r="BH167" s="199"/>
      <c r="BN167" s="182"/>
      <c r="CI167" s="182"/>
    </row>
    <row r="168" spans="1:91" s="141" customFormat="1" ht="30" hidden="1" customHeight="1">
      <c r="A168" s="131">
        <v>154</v>
      </c>
      <c r="B168" s="131" t="s">
        <v>4432</v>
      </c>
      <c r="C168" s="131">
        <v>1</v>
      </c>
      <c r="D168" s="131" t="s">
        <v>4433</v>
      </c>
      <c r="E168" s="131" t="s">
        <v>4433</v>
      </c>
      <c r="F168" s="210" t="s">
        <v>4973</v>
      </c>
      <c r="G168" s="131"/>
      <c r="H168" s="131"/>
      <c r="I168" s="131"/>
      <c r="J168" s="132" t="s">
        <v>4974</v>
      </c>
      <c r="K168" s="132"/>
      <c r="L168" s="132" t="s">
        <v>4975</v>
      </c>
      <c r="M168" s="131"/>
      <c r="N168" s="131"/>
      <c r="O168" s="199"/>
      <c r="P168" s="136"/>
      <c r="Q168" s="136"/>
      <c r="R168" s="136"/>
      <c r="S168" s="136"/>
      <c r="T168" s="136"/>
      <c r="U168" s="136"/>
      <c r="V168" s="136"/>
      <c r="W168" s="136"/>
      <c r="X168" s="136"/>
      <c r="Y168" s="136"/>
      <c r="Z168" s="136"/>
      <c r="AB168" s="132"/>
      <c r="AC168" s="132"/>
      <c r="AD168" s="132"/>
      <c r="AE168" s="131"/>
      <c r="AG168" s="196"/>
      <c r="AH168" s="196"/>
      <c r="AI168" s="131"/>
      <c r="AJ168" s="131"/>
      <c r="AK168" s="131"/>
      <c r="AP168" s="132"/>
      <c r="AU168" s="199"/>
      <c r="AX168" s="199"/>
      <c r="AY168" s="136"/>
      <c r="AZ168" s="136"/>
      <c r="BC168" s="197" t="str">
        <f t="shared" si="9"/>
        <v/>
      </c>
      <c r="BD168" s="131" t="str">
        <f t="shared" si="10"/>
        <v>INDENIZAÇÃO</v>
      </c>
      <c r="BE168" s="131" t="str">
        <f t="shared" si="11"/>
        <v>NÃO</v>
      </c>
      <c r="BF168" s="131"/>
      <c r="BG168" s="131"/>
      <c r="BH168" s="131"/>
      <c r="BK168" s="199"/>
      <c r="BN168" s="182"/>
      <c r="CI168" s="182"/>
    </row>
    <row r="169" spans="1:91" s="141" customFormat="1" ht="30" hidden="1" customHeight="1">
      <c r="A169" s="131">
        <v>155</v>
      </c>
      <c r="B169" s="131" t="s">
        <v>4432</v>
      </c>
      <c r="C169" s="131">
        <v>1</v>
      </c>
      <c r="D169" s="131" t="s">
        <v>4433</v>
      </c>
      <c r="E169" s="131" t="s">
        <v>4433</v>
      </c>
      <c r="F169" s="210" t="s">
        <v>4976</v>
      </c>
      <c r="G169" s="131"/>
      <c r="H169" s="131"/>
      <c r="I169" s="131"/>
      <c r="J169" s="132" t="s">
        <v>4977</v>
      </c>
      <c r="K169" s="132"/>
      <c r="L169" s="132" t="s">
        <v>4978</v>
      </c>
      <c r="M169" s="131"/>
      <c r="N169" s="131"/>
      <c r="O169" s="199"/>
      <c r="P169" s="136"/>
      <c r="Q169" s="131"/>
      <c r="R169" s="136"/>
      <c r="S169" s="136"/>
      <c r="T169" s="136"/>
      <c r="U169" s="136"/>
      <c r="V169" s="136"/>
      <c r="W169" s="136"/>
      <c r="X169" s="136"/>
      <c r="Y169" s="136"/>
      <c r="Z169" s="136"/>
      <c r="AB169" s="144"/>
      <c r="AC169" s="144"/>
      <c r="AD169" s="144"/>
      <c r="AG169" s="204"/>
      <c r="AH169" s="204"/>
      <c r="AP169" s="132"/>
      <c r="BC169" s="197" t="str">
        <f t="shared" si="9"/>
        <v/>
      </c>
      <c r="BD169" s="131" t="str">
        <f t="shared" si="10"/>
        <v>INDENIZAÇÃO</v>
      </c>
      <c r="BE169" s="131" t="str">
        <f t="shared" si="11"/>
        <v>NÃO</v>
      </c>
      <c r="BG169" s="199"/>
      <c r="BH169" s="199"/>
      <c r="BN169" s="182"/>
      <c r="CI169" s="182"/>
    </row>
    <row r="170" spans="1:91" s="141" customFormat="1" ht="30" hidden="1" customHeight="1">
      <c r="A170" s="131">
        <v>156</v>
      </c>
      <c r="B170" s="131" t="s">
        <v>4432</v>
      </c>
      <c r="C170" s="131">
        <v>1</v>
      </c>
      <c r="D170" s="131" t="s">
        <v>4433</v>
      </c>
      <c r="E170" s="131" t="s">
        <v>4433</v>
      </c>
      <c r="F170" s="210" t="s">
        <v>4979</v>
      </c>
      <c r="G170" s="131" t="s">
        <v>4339</v>
      </c>
      <c r="H170" s="131" t="s">
        <v>4340</v>
      </c>
      <c r="I170" s="131" t="s">
        <v>4624</v>
      </c>
      <c r="J170" s="132" t="s">
        <v>4980</v>
      </c>
      <c r="K170" s="132"/>
      <c r="L170" s="132" t="s">
        <v>4981</v>
      </c>
      <c r="M170" s="131"/>
      <c r="N170" s="131"/>
      <c r="O170" s="199"/>
      <c r="P170" s="136"/>
      <c r="Q170" s="136"/>
      <c r="R170" s="136"/>
      <c r="S170" s="136"/>
      <c r="T170" s="136"/>
      <c r="U170" s="136"/>
      <c r="V170" s="136"/>
      <c r="W170" s="136"/>
      <c r="X170" s="136"/>
      <c r="Y170" s="136"/>
      <c r="Z170" s="136"/>
      <c r="AB170" s="132"/>
      <c r="AC170" s="132"/>
      <c r="AD170" s="132"/>
      <c r="AE170" s="131"/>
      <c r="AG170" s="196"/>
      <c r="AH170" s="196"/>
      <c r="AI170" s="131"/>
      <c r="AJ170" s="131"/>
      <c r="AK170" s="131"/>
      <c r="AP170" s="132"/>
      <c r="AU170" s="199"/>
      <c r="AX170" s="199"/>
      <c r="AY170" s="136"/>
      <c r="AZ170" s="136"/>
      <c r="BC170" s="197" t="str">
        <f t="shared" si="9"/>
        <v/>
      </c>
      <c r="BD170" s="131" t="str">
        <f t="shared" si="10"/>
        <v>INDENIZAÇÃO</v>
      </c>
      <c r="BE170" s="131" t="str">
        <f t="shared" si="11"/>
        <v>NÃO</v>
      </c>
      <c r="BF170" s="131"/>
      <c r="BG170" s="131"/>
      <c r="BH170" s="131"/>
      <c r="BK170" s="199"/>
      <c r="BN170" s="182"/>
      <c r="CI170" s="182"/>
    </row>
    <row r="171" spans="1:91" s="141" customFormat="1" ht="30" hidden="1" customHeight="1">
      <c r="A171" s="131">
        <v>157</v>
      </c>
      <c r="B171" s="131" t="s">
        <v>4432</v>
      </c>
      <c r="C171" s="131">
        <v>1</v>
      </c>
      <c r="D171" s="131" t="s">
        <v>4433</v>
      </c>
      <c r="E171" s="131" t="s">
        <v>4433</v>
      </c>
      <c r="F171" s="210" t="s">
        <v>4982</v>
      </c>
      <c r="G171" s="131"/>
      <c r="H171" s="131"/>
      <c r="I171" s="131"/>
      <c r="J171" s="132" t="s">
        <v>4983</v>
      </c>
      <c r="K171" s="132"/>
      <c r="L171" s="132" t="s">
        <v>4984</v>
      </c>
      <c r="M171" s="131"/>
      <c r="N171" s="131"/>
      <c r="O171" s="199"/>
      <c r="P171" s="136"/>
      <c r="Q171" s="136"/>
      <c r="R171" s="136"/>
      <c r="S171" s="136"/>
      <c r="T171" s="136"/>
      <c r="U171" s="136"/>
      <c r="V171" s="136"/>
      <c r="W171" s="136"/>
      <c r="X171" s="136"/>
      <c r="Y171" s="136"/>
      <c r="Z171" s="136"/>
      <c r="AB171" s="132"/>
      <c r="AC171" s="132"/>
      <c r="AD171" s="132"/>
      <c r="AE171" s="131"/>
      <c r="AG171" s="196"/>
      <c r="AH171" s="196"/>
      <c r="AI171" s="131"/>
      <c r="AJ171" s="131"/>
      <c r="AK171" s="131"/>
      <c r="AP171" s="132"/>
      <c r="AU171" s="199"/>
      <c r="AX171" s="199"/>
      <c r="AY171" s="136"/>
      <c r="AZ171" s="136"/>
      <c r="BC171" s="197" t="str">
        <f t="shared" si="9"/>
        <v/>
      </c>
      <c r="BD171" s="131" t="str">
        <f t="shared" si="10"/>
        <v>INDENIZAÇÃO</v>
      </c>
      <c r="BE171" s="131" t="str">
        <f t="shared" si="11"/>
        <v>NÃO</v>
      </c>
      <c r="BF171" s="131"/>
      <c r="BG171" s="131"/>
      <c r="BH171" s="131"/>
      <c r="BK171" s="136"/>
      <c r="BN171" s="182"/>
      <c r="CI171" s="182"/>
    </row>
    <row r="172" spans="1:91" s="141" customFormat="1" ht="30" hidden="1" customHeight="1">
      <c r="A172" s="131">
        <v>158</v>
      </c>
      <c r="B172" s="131" t="s">
        <v>4432</v>
      </c>
      <c r="C172" s="131">
        <v>1</v>
      </c>
      <c r="D172" s="131" t="s">
        <v>4433</v>
      </c>
      <c r="E172" s="131" t="s">
        <v>4433</v>
      </c>
      <c r="F172" s="210" t="s">
        <v>4985</v>
      </c>
      <c r="G172" s="131"/>
      <c r="H172" s="131"/>
      <c r="I172" s="131"/>
      <c r="J172" s="132" t="s">
        <v>4986</v>
      </c>
      <c r="K172" s="132"/>
      <c r="L172" s="132" t="s">
        <v>4987</v>
      </c>
      <c r="M172" s="131"/>
      <c r="N172" s="131"/>
      <c r="O172" s="199"/>
      <c r="P172" s="136"/>
      <c r="Q172" s="136"/>
      <c r="R172" s="136"/>
      <c r="S172" s="136"/>
      <c r="T172" s="136"/>
      <c r="U172" s="136"/>
      <c r="V172" s="136"/>
      <c r="W172" s="136"/>
      <c r="X172" s="136"/>
      <c r="Y172" s="136"/>
      <c r="Z172" s="136"/>
      <c r="AB172" s="132"/>
      <c r="AC172" s="132"/>
      <c r="AD172" s="132"/>
      <c r="AE172" s="131"/>
      <c r="AG172" s="196"/>
      <c r="AH172" s="196"/>
      <c r="AI172" s="131"/>
      <c r="AJ172" s="131"/>
      <c r="AK172" s="131"/>
      <c r="AO172" s="201"/>
      <c r="AP172" s="132"/>
      <c r="AU172" s="199"/>
      <c r="AX172" s="199"/>
      <c r="AY172" s="205"/>
      <c r="AZ172" s="136"/>
      <c r="BC172" s="197" t="str">
        <f t="shared" si="9"/>
        <v/>
      </c>
      <c r="BD172" s="131" t="str">
        <f t="shared" si="10"/>
        <v>INDENIZAÇÃO</v>
      </c>
      <c r="BE172" s="131" t="str">
        <f t="shared" si="11"/>
        <v>NÃO</v>
      </c>
      <c r="BF172" s="131"/>
      <c r="BG172" s="131"/>
      <c r="BH172" s="131"/>
      <c r="BK172" s="136"/>
      <c r="BN172" s="182"/>
      <c r="CI172" s="182"/>
    </row>
    <row r="173" spans="1:91" s="141" customFormat="1" ht="30" hidden="1" customHeight="1">
      <c r="A173" s="131">
        <v>159</v>
      </c>
      <c r="B173" s="131" t="s">
        <v>4432</v>
      </c>
      <c r="C173" s="131">
        <v>1</v>
      </c>
      <c r="D173" s="131" t="s">
        <v>4433</v>
      </c>
      <c r="E173" s="131" t="s">
        <v>4433</v>
      </c>
      <c r="F173" s="210" t="s">
        <v>4988</v>
      </c>
      <c r="G173" s="131"/>
      <c r="H173" s="131"/>
      <c r="I173" s="131"/>
      <c r="J173" s="132" t="s">
        <v>4989</v>
      </c>
      <c r="K173" s="132"/>
      <c r="L173" s="132" t="s">
        <v>4990</v>
      </c>
      <c r="M173" s="131"/>
      <c r="N173" s="131"/>
      <c r="O173" s="199"/>
      <c r="P173" s="136"/>
      <c r="Q173" s="136"/>
      <c r="R173" s="136"/>
      <c r="S173" s="136"/>
      <c r="T173" s="136"/>
      <c r="U173" s="136"/>
      <c r="V173" s="136"/>
      <c r="W173" s="136"/>
      <c r="X173" s="136"/>
      <c r="Y173" s="136"/>
      <c r="Z173" s="136"/>
      <c r="AB173" s="132"/>
      <c r="AC173" s="132"/>
      <c r="AD173" s="132"/>
      <c r="AE173" s="131"/>
      <c r="AG173" s="196"/>
      <c r="AH173" s="196"/>
      <c r="AI173" s="131"/>
      <c r="AJ173" s="131"/>
      <c r="AK173" s="131"/>
      <c r="AP173" s="132"/>
      <c r="AU173" s="199"/>
      <c r="BC173" s="197" t="str">
        <f t="shared" si="9"/>
        <v/>
      </c>
      <c r="BD173" s="131" t="str">
        <f t="shared" si="10"/>
        <v>INDENIZAÇÃO</v>
      </c>
      <c r="BE173" s="131" t="str">
        <f t="shared" si="11"/>
        <v>NÃO</v>
      </c>
      <c r="BF173" s="131"/>
      <c r="BG173" s="199"/>
      <c r="BH173" s="199"/>
      <c r="BN173" s="182"/>
      <c r="CI173" s="182"/>
    </row>
    <row r="174" spans="1:91" s="141" customFormat="1" ht="30" hidden="1" customHeight="1">
      <c r="A174" s="131">
        <v>160</v>
      </c>
      <c r="B174" s="131" t="s">
        <v>4432</v>
      </c>
      <c r="C174" s="131">
        <v>1</v>
      </c>
      <c r="D174" s="131" t="s">
        <v>4433</v>
      </c>
      <c r="E174" s="131" t="s">
        <v>4433</v>
      </c>
      <c r="F174" s="210" t="s">
        <v>4991</v>
      </c>
      <c r="G174" s="131"/>
      <c r="H174" s="131"/>
      <c r="I174" s="131"/>
      <c r="J174" s="132" t="s">
        <v>4992</v>
      </c>
      <c r="K174" s="132"/>
      <c r="L174" s="132" t="s">
        <v>4993</v>
      </c>
      <c r="M174" s="131"/>
      <c r="N174" s="131"/>
      <c r="O174" s="199"/>
      <c r="P174" s="136"/>
      <c r="Q174" s="136"/>
      <c r="R174" s="136"/>
      <c r="S174" s="136"/>
      <c r="T174" s="136"/>
      <c r="U174" s="136"/>
      <c r="V174" s="136"/>
      <c r="W174" s="136"/>
      <c r="X174" s="136"/>
      <c r="Y174" s="136"/>
      <c r="Z174" s="136"/>
      <c r="AB174" s="132"/>
      <c r="AC174" s="132"/>
      <c r="AD174" s="132"/>
      <c r="AE174" s="131"/>
      <c r="AG174" s="196"/>
      <c r="AH174" s="196"/>
      <c r="AI174" s="131"/>
      <c r="AJ174" s="131"/>
      <c r="AK174" s="131"/>
      <c r="AP174" s="132"/>
      <c r="BC174" s="197" t="str">
        <f t="shared" si="9"/>
        <v/>
      </c>
      <c r="BD174" s="131" t="str">
        <f t="shared" si="10"/>
        <v>INDENIZAÇÃO</v>
      </c>
      <c r="BE174" s="131" t="str">
        <f t="shared" si="11"/>
        <v>NÃO</v>
      </c>
      <c r="BF174" s="131"/>
      <c r="BG174" s="199"/>
      <c r="BH174" s="199"/>
      <c r="BN174" s="182"/>
      <c r="CI174" s="182"/>
    </row>
    <row r="175" spans="1:91" s="141" customFormat="1" ht="30" hidden="1" customHeight="1">
      <c r="A175" s="131">
        <v>161</v>
      </c>
      <c r="B175" s="131" t="s">
        <v>4432</v>
      </c>
      <c r="C175" s="131">
        <v>1</v>
      </c>
      <c r="D175" s="131" t="s">
        <v>4433</v>
      </c>
      <c r="E175" s="131" t="s">
        <v>4433</v>
      </c>
      <c r="F175" s="210" t="s">
        <v>4994</v>
      </c>
      <c r="G175" s="131"/>
      <c r="H175" s="131"/>
      <c r="I175" s="131"/>
      <c r="J175" s="132" t="s">
        <v>4995</v>
      </c>
      <c r="K175" s="132"/>
      <c r="L175" s="132" t="s">
        <v>4996</v>
      </c>
      <c r="M175" s="131"/>
      <c r="N175" s="131"/>
      <c r="O175" s="199"/>
      <c r="P175" s="136"/>
      <c r="Q175" s="136"/>
      <c r="R175" s="136"/>
      <c r="S175" s="136"/>
      <c r="T175" s="136"/>
      <c r="U175" s="136"/>
      <c r="V175" s="136"/>
      <c r="W175" s="136"/>
      <c r="X175" s="136"/>
      <c r="Y175" s="136"/>
      <c r="Z175" s="136"/>
      <c r="AB175" s="132"/>
      <c r="AC175" s="132"/>
      <c r="AD175" s="132"/>
      <c r="AE175" s="131"/>
      <c r="AG175" s="196"/>
      <c r="AH175" s="196"/>
      <c r="AI175" s="131"/>
      <c r="AJ175" s="131"/>
      <c r="AK175" s="131"/>
      <c r="AP175" s="132"/>
      <c r="BC175" s="197" t="str">
        <f t="shared" si="9"/>
        <v/>
      </c>
      <c r="BD175" s="131" t="str">
        <f t="shared" si="10"/>
        <v>INDENIZAÇÃO</v>
      </c>
      <c r="BE175" s="131" t="str">
        <f t="shared" si="11"/>
        <v>NÃO</v>
      </c>
      <c r="BF175" s="131"/>
      <c r="BG175" s="199"/>
      <c r="BH175" s="199"/>
      <c r="BN175" s="182"/>
      <c r="CI175" s="182"/>
    </row>
    <row r="176" spans="1:91" s="141" customFormat="1" ht="30" hidden="1" customHeight="1">
      <c r="A176" s="131">
        <v>162</v>
      </c>
      <c r="B176" s="131" t="s">
        <v>4432</v>
      </c>
      <c r="C176" s="131">
        <v>1</v>
      </c>
      <c r="D176" s="131" t="s">
        <v>4433</v>
      </c>
      <c r="E176" s="131" t="s">
        <v>4433</v>
      </c>
      <c r="F176" s="210" t="s">
        <v>4997</v>
      </c>
      <c r="G176" s="131"/>
      <c r="H176" s="131"/>
      <c r="I176" s="131"/>
      <c r="J176" s="132" t="s">
        <v>4998</v>
      </c>
      <c r="K176" s="132"/>
      <c r="L176" s="132" t="s">
        <v>4999</v>
      </c>
      <c r="M176" s="131"/>
      <c r="N176" s="131"/>
      <c r="O176" s="199"/>
      <c r="P176" s="136"/>
      <c r="Q176" s="136"/>
      <c r="R176" s="136"/>
      <c r="S176" s="136"/>
      <c r="T176" s="136"/>
      <c r="U176" s="136"/>
      <c r="V176" s="136"/>
      <c r="W176" s="136"/>
      <c r="X176" s="136"/>
      <c r="Y176" s="136"/>
      <c r="Z176" s="136"/>
      <c r="AB176" s="132"/>
      <c r="AC176" s="132"/>
      <c r="AD176" s="132"/>
      <c r="AE176" s="131"/>
      <c r="AG176" s="196"/>
      <c r="AH176" s="196"/>
      <c r="AI176" s="131"/>
      <c r="AJ176" s="131"/>
      <c r="AK176" s="131"/>
      <c r="AO176" s="201"/>
      <c r="AP176" s="132"/>
      <c r="AU176" s="199"/>
      <c r="AX176" s="199"/>
      <c r="AY176" s="136"/>
      <c r="BC176" s="197" t="str">
        <f t="shared" si="9"/>
        <v/>
      </c>
      <c r="BD176" s="131" t="str">
        <f t="shared" si="10"/>
        <v>INDENIZAÇÃO</v>
      </c>
      <c r="BE176" s="131" t="str">
        <f t="shared" si="11"/>
        <v>NÃO</v>
      </c>
      <c r="BF176" s="131"/>
      <c r="BG176" s="131"/>
      <c r="BH176" s="131"/>
      <c r="BK176" s="199"/>
      <c r="BN176" s="182"/>
      <c r="CI176" s="190"/>
      <c r="CJ176" s="183"/>
      <c r="CK176" s="183"/>
      <c r="CL176" s="183"/>
      <c r="CM176" s="183"/>
    </row>
    <row r="177" spans="1:92" s="141" customFormat="1" ht="30" hidden="1" customHeight="1">
      <c r="A177" s="131">
        <v>163</v>
      </c>
      <c r="B177" s="131" t="s">
        <v>4432</v>
      </c>
      <c r="C177" s="131">
        <v>1</v>
      </c>
      <c r="D177" s="131" t="s">
        <v>4433</v>
      </c>
      <c r="E177" s="131" t="s">
        <v>4433</v>
      </c>
      <c r="F177" s="210" t="s">
        <v>5000</v>
      </c>
      <c r="G177" s="131"/>
      <c r="H177" s="131"/>
      <c r="I177" s="131"/>
      <c r="J177" s="132" t="s">
        <v>5001</v>
      </c>
      <c r="K177" s="132"/>
      <c r="L177" s="132" t="s">
        <v>5002</v>
      </c>
      <c r="M177" s="131"/>
      <c r="N177" s="131"/>
      <c r="O177" s="199"/>
      <c r="P177" s="136"/>
      <c r="Q177" s="136"/>
      <c r="R177" s="136"/>
      <c r="S177" s="136"/>
      <c r="T177" s="136"/>
      <c r="U177" s="136"/>
      <c r="V177" s="136"/>
      <c r="W177" s="136"/>
      <c r="X177" s="136"/>
      <c r="Y177" s="136"/>
      <c r="Z177" s="136"/>
      <c r="AB177" s="132"/>
      <c r="AC177" s="132"/>
      <c r="AD177" s="132"/>
      <c r="AE177" s="131"/>
      <c r="AG177" s="196"/>
      <c r="AH177" s="196"/>
      <c r="AI177" s="131"/>
      <c r="AJ177" s="131"/>
      <c r="AK177" s="131"/>
      <c r="AP177" s="132"/>
      <c r="AU177" s="199"/>
      <c r="AX177" s="199"/>
      <c r="AY177" s="136"/>
      <c r="BC177" s="197" t="str">
        <f t="shared" si="9"/>
        <v/>
      </c>
      <c r="BD177" s="131" t="str">
        <f t="shared" si="10"/>
        <v>INDENIZAÇÃO</v>
      </c>
      <c r="BE177" s="131" t="str">
        <f t="shared" si="11"/>
        <v>NÃO</v>
      </c>
      <c r="BF177" s="131"/>
      <c r="BG177" s="131"/>
      <c r="BH177" s="131"/>
      <c r="BK177" s="136"/>
      <c r="BN177" s="182"/>
      <c r="CI177" s="192"/>
      <c r="CJ177" s="158"/>
      <c r="CK177" s="158"/>
      <c r="CL177" s="158"/>
      <c r="CM177" s="158"/>
    </row>
    <row r="178" spans="1:92" s="141" customFormat="1" ht="30" hidden="1" customHeight="1">
      <c r="A178" s="131">
        <v>164</v>
      </c>
      <c r="B178" s="131" t="s">
        <v>4432</v>
      </c>
      <c r="C178" s="131">
        <v>1</v>
      </c>
      <c r="D178" s="131" t="s">
        <v>4433</v>
      </c>
      <c r="E178" s="131" t="s">
        <v>4433</v>
      </c>
      <c r="F178" s="210" t="s">
        <v>5003</v>
      </c>
      <c r="G178" s="131"/>
      <c r="H178" s="131"/>
      <c r="I178" s="131"/>
      <c r="J178" s="132" t="s">
        <v>5004</v>
      </c>
      <c r="K178" s="132"/>
      <c r="L178" s="132" t="s">
        <v>5005</v>
      </c>
      <c r="M178" s="131"/>
      <c r="N178" s="131"/>
      <c r="O178" s="199"/>
      <c r="P178" s="136"/>
      <c r="Q178" s="131"/>
      <c r="R178" s="136"/>
      <c r="S178" s="136"/>
      <c r="T178" s="136"/>
      <c r="U178" s="136"/>
      <c r="V178" s="136"/>
      <c r="W178" s="136"/>
      <c r="X178" s="136"/>
      <c r="Y178" s="136"/>
      <c r="Z178" s="136"/>
      <c r="AB178" s="132"/>
      <c r="AC178" s="132"/>
      <c r="AD178" s="132"/>
      <c r="AE178" s="131"/>
      <c r="AG178" s="196"/>
      <c r="AH178" s="196"/>
      <c r="AI178" s="131"/>
      <c r="AJ178" s="131"/>
      <c r="AK178" s="131"/>
      <c r="AP178" s="132"/>
      <c r="BC178" s="197" t="str">
        <f t="shared" si="9"/>
        <v/>
      </c>
      <c r="BD178" s="131" t="str">
        <f t="shared" si="10"/>
        <v>INDENIZAÇÃO</v>
      </c>
      <c r="BE178" s="131" t="str">
        <f t="shared" si="11"/>
        <v>NÃO</v>
      </c>
      <c r="BF178" s="131"/>
      <c r="BG178" s="199"/>
      <c r="BH178" s="199"/>
      <c r="BN178" s="182"/>
      <c r="CI178" s="190"/>
      <c r="CJ178" s="183"/>
      <c r="CK178" s="183"/>
      <c r="CL178" s="183"/>
      <c r="CM178" s="183"/>
    </row>
    <row r="179" spans="1:92" s="141" customFormat="1" ht="30" hidden="1" customHeight="1">
      <c r="A179" s="131">
        <v>165</v>
      </c>
      <c r="B179" s="131" t="s">
        <v>4432</v>
      </c>
      <c r="C179" s="131">
        <v>1</v>
      </c>
      <c r="D179" s="131" t="s">
        <v>4433</v>
      </c>
      <c r="E179" s="131" t="s">
        <v>4433</v>
      </c>
      <c r="F179" s="210" t="s">
        <v>5006</v>
      </c>
      <c r="G179" s="131"/>
      <c r="H179" s="131"/>
      <c r="I179" s="131"/>
      <c r="J179" s="132" t="s">
        <v>5007</v>
      </c>
      <c r="K179" s="132"/>
      <c r="L179" s="132" t="s">
        <v>5008</v>
      </c>
      <c r="M179" s="131"/>
      <c r="N179" s="131"/>
      <c r="O179" s="199"/>
      <c r="P179" s="136"/>
      <c r="Q179" s="131"/>
      <c r="R179" s="136"/>
      <c r="S179" s="136"/>
      <c r="T179" s="136"/>
      <c r="U179" s="136"/>
      <c r="V179" s="136"/>
      <c r="W179" s="136"/>
      <c r="X179" s="136"/>
      <c r="Y179" s="136"/>
      <c r="Z179" s="136"/>
      <c r="AB179" s="132"/>
      <c r="AC179" s="132"/>
      <c r="AD179" s="132"/>
      <c r="AE179" s="131"/>
      <c r="AG179" s="196"/>
      <c r="AH179" s="196"/>
      <c r="AI179" s="131"/>
      <c r="AJ179" s="131"/>
      <c r="AK179" s="131"/>
      <c r="AP179" s="132"/>
      <c r="BC179" s="197" t="str">
        <f t="shared" si="9"/>
        <v/>
      </c>
      <c r="BD179" s="131" t="str">
        <f t="shared" si="10"/>
        <v>INDENIZAÇÃO</v>
      </c>
      <c r="BE179" s="131" t="str">
        <f t="shared" si="11"/>
        <v>NÃO</v>
      </c>
      <c r="BF179" s="131"/>
      <c r="BG179" s="199"/>
      <c r="BH179" s="199"/>
      <c r="BN179" s="182"/>
      <c r="CI179" s="182"/>
      <c r="CN179" s="182"/>
    </row>
    <row r="180" spans="1:92" s="141" customFormat="1" ht="30" hidden="1" customHeight="1">
      <c r="A180" s="131">
        <v>166</v>
      </c>
      <c r="B180" s="131" t="s">
        <v>4432</v>
      </c>
      <c r="C180" s="131">
        <v>1</v>
      </c>
      <c r="D180" s="131" t="s">
        <v>4433</v>
      </c>
      <c r="E180" s="131" t="s">
        <v>4433</v>
      </c>
      <c r="F180" s="210" t="s">
        <v>5009</v>
      </c>
      <c r="G180" s="131"/>
      <c r="H180" s="131"/>
      <c r="I180" s="198"/>
      <c r="J180" s="132" t="s">
        <v>5010</v>
      </c>
      <c r="K180" s="132"/>
      <c r="L180" s="132" t="s">
        <v>5011</v>
      </c>
      <c r="M180" s="131"/>
      <c r="N180" s="131"/>
      <c r="O180" s="199"/>
      <c r="P180" s="136"/>
      <c r="Q180" s="131"/>
      <c r="R180" s="136"/>
      <c r="S180" s="136"/>
      <c r="T180" s="136"/>
      <c r="U180" s="136"/>
      <c r="V180" s="136"/>
      <c r="W180" s="136"/>
      <c r="X180" s="136"/>
      <c r="Y180" s="136"/>
      <c r="Z180" s="136"/>
      <c r="AB180" s="132"/>
      <c r="AC180" s="132"/>
      <c r="AD180" s="132"/>
      <c r="AE180" s="131"/>
      <c r="AG180" s="196"/>
      <c r="AH180" s="196"/>
      <c r="AI180" s="131"/>
      <c r="AJ180" s="131"/>
      <c r="AK180" s="131"/>
      <c r="AP180" s="132"/>
      <c r="BC180" s="197" t="str">
        <f t="shared" si="9"/>
        <v/>
      </c>
      <c r="BD180" s="131" t="str">
        <f t="shared" si="10"/>
        <v>INDENIZAÇÃO</v>
      </c>
      <c r="BE180" s="131" t="str">
        <f t="shared" si="11"/>
        <v>NÃO</v>
      </c>
      <c r="BF180" s="131"/>
      <c r="BG180" s="199"/>
      <c r="BH180" s="199"/>
      <c r="BN180" s="182"/>
      <c r="CI180" s="182"/>
      <c r="CN180" s="182"/>
    </row>
    <row r="181" spans="1:92" s="141" customFormat="1" ht="30" hidden="1" customHeight="1">
      <c r="A181" s="131">
        <v>167</v>
      </c>
      <c r="B181" s="131" t="s">
        <v>4432</v>
      </c>
      <c r="C181" s="131">
        <v>1</v>
      </c>
      <c r="D181" s="131" t="s">
        <v>4433</v>
      </c>
      <c r="E181" s="131" t="s">
        <v>4433</v>
      </c>
      <c r="F181" s="210" t="s">
        <v>5012</v>
      </c>
      <c r="G181" s="131"/>
      <c r="H181" s="131"/>
      <c r="I181" s="131"/>
      <c r="J181" s="132" t="s">
        <v>5013</v>
      </c>
      <c r="K181" s="132"/>
      <c r="L181" s="132" t="s">
        <v>5014</v>
      </c>
      <c r="M181" s="131"/>
      <c r="N181" s="131"/>
      <c r="O181" s="199"/>
      <c r="P181" s="136"/>
      <c r="Q181" s="136"/>
      <c r="R181" s="136"/>
      <c r="S181" s="136"/>
      <c r="T181" s="136"/>
      <c r="U181" s="136"/>
      <c r="V181" s="136"/>
      <c r="W181" s="136"/>
      <c r="X181" s="136"/>
      <c r="Y181" s="136"/>
      <c r="Z181" s="136"/>
      <c r="AB181" s="132"/>
      <c r="AC181" s="132"/>
      <c r="AD181" s="132"/>
      <c r="AE181" s="131"/>
      <c r="AG181" s="196"/>
      <c r="AH181" s="196"/>
      <c r="AI181" s="131"/>
      <c r="AJ181" s="131"/>
      <c r="AK181" s="131"/>
      <c r="AP181" s="132"/>
      <c r="AU181" s="199"/>
      <c r="AX181" s="199"/>
      <c r="AY181" s="205"/>
      <c r="AZ181" s="205"/>
      <c r="BC181" s="197" t="str">
        <f t="shared" si="9"/>
        <v/>
      </c>
      <c r="BD181" s="131" t="str">
        <f t="shared" si="10"/>
        <v>INDENIZAÇÃO</v>
      </c>
      <c r="BE181" s="131" t="str">
        <f t="shared" si="11"/>
        <v>NÃO</v>
      </c>
      <c r="BF181" s="131"/>
      <c r="BG181" s="131"/>
      <c r="BH181" s="131"/>
      <c r="BK181" s="136"/>
      <c r="BN181" s="182"/>
      <c r="CI181" s="182"/>
    </row>
    <row r="182" spans="1:92" s="141" customFormat="1" ht="30" hidden="1" customHeight="1">
      <c r="A182" s="131">
        <v>168</v>
      </c>
      <c r="B182" s="131" t="s">
        <v>4432</v>
      </c>
      <c r="C182" s="131">
        <v>1</v>
      </c>
      <c r="D182" s="131" t="s">
        <v>4433</v>
      </c>
      <c r="E182" s="131" t="s">
        <v>4433</v>
      </c>
      <c r="F182" s="210" t="s">
        <v>5015</v>
      </c>
      <c r="G182" s="131"/>
      <c r="H182" s="131"/>
      <c r="I182" s="131"/>
      <c r="J182" s="132" t="s">
        <v>5016</v>
      </c>
      <c r="K182" s="132"/>
      <c r="L182" s="132" t="s">
        <v>5017</v>
      </c>
      <c r="M182" s="131"/>
      <c r="N182" s="131"/>
      <c r="O182" s="199"/>
      <c r="P182" s="136"/>
      <c r="Q182" s="136"/>
      <c r="R182" s="136"/>
      <c r="S182" s="136"/>
      <c r="T182" s="136"/>
      <c r="U182" s="136"/>
      <c r="V182" s="136"/>
      <c r="W182" s="136"/>
      <c r="X182" s="136"/>
      <c r="Y182" s="136"/>
      <c r="Z182" s="136"/>
      <c r="AB182" s="132"/>
      <c r="AC182" s="132"/>
      <c r="AD182" s="132"/>
      <c r="AE182" s="131"/>
      <c r="AG182" s="196"/>
      <c r="AH182" s="196"/>
      <c r="AI182" s="131"/>
      <c r="AJ182" s="131"/>
      <c r="AK182" s="131"/>
      <c r="AP182" s="132"/>
      <c r="AU182" s="199"/>
      <c r="AX182" s="199"/>
      <c r="AY182" s="136"/>
      <c r="AZ182" s="136"/>
      <c r="BC182" s="197" t="str">
        <f t="shared" si="9"/>
        <v/>
      </c>
      <c r="BD182" s="131" t="str">
        <f t="shared" si="10"/>
        <v>INDENIZAÇÃO</v>
      </c>
      <c r="BE182" s="131" t="str">
        <f t="shared" si="11"/>
        <v>NÃO</v>
      </c>
      <c r="BF182" s="131"/>
      <c r="BG182" s="131"/>
      <c r="BH182" s="131"/>
      <c r="BK182" s="199"/>
      <c r="BN182" s="182"/>
      <c r="CI182" s="182"/>
    </row>
    <row r="183" spans="1:92" s="141" customFormat="1" ht="30" hidden="1" customHeight="1">
      <c r="A183" s="131">
        <v>169</v>
      </c>
      <c r="B183" s="131" t="s">
        <v>4432</v>
      </c>
      <c r="C183" s="131">
        <v>1</v>
      </c>
      <c r="D183" s="131" t="s">
        <v>4433</v>
      </c>
      <c r="E183" s="131" t="s">
        <v>4433</v>
      </c>
      <c r="F183" s="210" t="s">
        <v>5018</v>
      </c>
      <c r="G183" s="131" t="s">
        <v>4339</v>
      </c>
      <c r="H183" s="131" t="s">
        <v>4340</v>
      </c>
      <c r="I183" s="131" t="s">
        <v>4624</v>
      </c>
      <c r="J183" s="132" t="s">
        <v>5019</v>
      </c>
      <c r="K183" s="132"/>
      <c r="L183" s="132" t="s">
        <v>5020</v>
      </c>
      <c r="M183" s="131"/>
      <c r="N183" s="131"/>
      <c r="O183" s="199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B183" s="132"/>
      <c r="AC183" s="132"/>
      <c r="AD183" s="132"/>
      <c r="AE183" s="131"/>
      <c r="AG183" s="196"/>
      <c r="AH183" s="196"/>
      <c r="AI183" s="131"/>
      <c r="AJ183" s="131"/>
      <c r="AK183" s="131"/>
      <c r="AO183" s="201"/>
      <c r="AP183" s="132"/>
      <c r="AU183" s="199"/>
      <c r="AX183" s="199"/>
      <c r="AY183" s="136"/>
      <c r="BC183" s="197" t="str">
        <f t="shared" si="9"/>
        <v/>
      </c>
      <c r="BD183" s="131" t="str">
        <f t="shared" si="10"/>
        <v>INDENIZAÇÃO</v>
      </c>
      <c r="BE183" s="131" t="str">
        <f t="shared" si="11"/>
        <v>NÃO</v>
      </c>
      <c r="BF183" s="131"/>
      <c r="BG183" s="131"/>
      <c r="BH183" s="131"/>
      <c r="BK183" s="199"/>
      <c r="BN183" s="182"/>
      <c r="CI183" s="182"/>
      <c r="CN183" s="182"/>
    </row>
    <row r="184" spans="1:92" s="141" customFormat="1" ht="30" hidden="1" customHeight="1">
      <c r="A184" s="131">
        <v>170</v>
      </c>
      <c r="B184" s="131" t="s">
        <v>4432</v>
      </c>
      <c r="C184" s="131">
        <v>1</v>
      </c>
      <c r="D184" s="131" t="s">
        <v>4433</v>
      </c>
      <c r="E184" s="131" t="s">
        <v>4433</v>
      </c>
      <c r="F184" s="210" t="s">
        <v>5021</v>
      </c>
      <c r="G184" s="131"/>
      <c r="H184" s="131"/>
      <c r="I184" s="131"/>
      <c r="J184" s="132" t="s">
        <v>5022</v>
      </c>
      <c r="K184" s="132"/>
      <c r="L184" s="132" t="s">
        <v>5023</v>
      </c>
      <c r="M184" s="131"/>
      <c r="N184" s="131"/>
      <c r="O184" s="199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B184" s="132"/>
      <c r="AC184" s="132"/>
      <c r="AD184" s="132"/>
      <c r="AE184" s="131"/>
      <c r="AG184" s="196"/>
      <c r="AH184" s="196"/>
      <c r="AI184" s="131"/>
      <c r="AJ184" s="131"/>
      <c r="AK184" s="131"/>
      <c r="AP184" s="132"/>
      <c r="AU184" s="199"/>
      <c r="AX184" s="199"/>
      <c r="AY184" s="136"/>
      <c r="AZ184" s="136"/>
      <c r="BC184" s="197" t="str">
        <f t="shared" si="9"/>
        <v/>
      </c>
      <c r="BD184" s="131" t="str">
        <f t="shared" si="10"/>
        <v>INDENIZAÇÃO</v>
      </c>
      <c r="BE184" s="131" t="str">
        <f t="shared" si="11"/>
        <v>NÃO</v>
      </c>
      <c r="BF184" s="131"/>
      <c r="BG184" s="131"/>
      <c r="BH184" s="131"/>
      <c r="BK184" s="199"/>
      <c r="BN184" s="182"/>
      <c r="CI184" s="182"/>
      <c r="CN184" s="182"/>
    </row>
    <row r="185" spans="1:92" s="141" customFormat="1" ht="30" hidden="1" customHeight="1">
      <c r="A185" s="131">
        <v>171</v>
      </c>
      <c r="B185" s="131" t="s">
        <v>4432</v>
      </c>
      <c r="C185" s="131">
        <v>1</v>
      </c>
      <c r="D185" s="131" t="s">
        <v>4433</v>
      </c>
      <c r="E185" s="131" t="s">
        <v>4433</v>
      </c>
      <c r="F185" s="210" t="s">
        <v>5024</v>
      </c>
      <c r="G185" s="131"/>
      <c r="H185" s="131"/>
      <c r="I185" s="131"/>
      <c r="J185" s="132" t="s">
        <v>5025</v>
      </c>
      <c r="K185" s="132"/>
      <c r="L185" s="132" t="s">
        <v>5026</v>
      </c>
      <c r="M185" s="131"/>
      <c r="N185" s="131"/>
      <c r="O185" s="136"/>
      <c r="P185" s="136"/>
      <c r="Q185" s="136"/>
      <c r="R185" s="136"/>
      <c r="S185" s="136"/>
      <c r="T185" s="136"/>
      <c r="U185" s="136"/>
      <c r="V185" s="136"/>
      <c r="W185" s="136"/>
      <c r="X185" s="136"/>
      <c r="Y185" s="136"/>
      <c r="Z185" s="136"/>
      <c r="AB185" s="132"/>
      <c r="AC185" s="132"/>
      <c r="AD185" s="132"/>
      <c r="AE185" s="131"/>
      <c r="AG185" s="196"/>
      <c r="AH185" s="196"/>
      <c r="AI185" s="131"/>
      <c r="AJ185" s="131"/>
      <c r="AK185" s="131"/>
      <c r="AP185" s="132"/>
      <c r="AR185" s="144"/>
      <c r="AS185" s="144"/>
      <c r="AT185" s="144"/>
      <c r="AU185" s="144"/>
      <c r="AV185" s="144"/>
      <c r="AW185" s="144"/>
      <c r="AX185" s="144"/>
      <c r="AY185" s="144"/>
      <c r="AZ185" s="144"/>
      <c r="BA185" s="144"/>
      <c r="BC185" s="197" t="str">
        <f t="shared" si="9"/>
        <v/>
      </c>
      <c r="BD185" s="131" t="str">
        <f t="shared" si="10"/>
        <v>INDENIZAÇÃO</v>
      </c>
      <c r="BE185" s="131" t="str">
        <f t="shared" si="11"/>
        <v>NÃO</v>
      </c>
      <c r="BF185" s="131"/>
      <c r="BG185" s="199"/>
      <c r="BH185" s="199"/>
      <c r="BN185" s="182"/>
      <c r="CI185" s="182"/>
      <c r="CN185" s="182"/>
    </row>
    <row r="186" spans="1:92" s="141" customFormat="1" ht="30" hidden="1" customHeight="1">
      <c r="A186" s="131">
        <v>172</v>
      </c>
      <c r="B186" s="131" t="s">
        <v>4432</v>
      </c>
      <c r="C186" s="131">
        <v>2</v>
      </c>
      <c r="D186" s="131" t="s">
        <v>4433</v>
      </c>
      <c r="E186" s="131" t="s">
        <v>4433</v>
      </c>
      <c r="F186" s="210" t="s">
        <v>5027</v>
      </c>
      <c r="G186" s="131" t="s">
        <v>4339</v>
      </c>
      <c r="H186" s="131" t="s">
        <v>4340</v>
      </c>
      <c r="I186" s="131" t="s">
        <v>4350</v>
      </c>
      <c r="J186" s="132" t="s">
        <v>5028</v>
      </c>
      <c r="K186" s="132" t="s">
        <v>5029</v>
      </c>
      <c r="L186" s="132" t="s">
        <v>5030</v>
      </c>
      <c r="M186" s="131" t="s">
        <v>4342</v>
      </c>
      <c r="N186" s="131" t="s">
        <v>4343</v>
      </c>
      <c r="O186" s="199">
        <v>46147</v>
      </c>
      <c r="P186" s="136" t="s">
        <v>4361</v>
      </c>
      <c r="Q186" s="136" t="s">
        <v>4361</v>
      </c>
      <c r="R186" s="136" t="s">
        <v>4361</v>
      </c>
      <c r="S186" s="136" t="s">
        <v>4361</v>
      </c>
      <c r="T186" s="136" t="s">
        <v>4361</v>
      </c>
      <c r="U186" s="136" t="s">
        <v>4361</v>
      </c>
      <c r="V186" s="136" t="s">
        <v>4361</v>
      </c>
      <c r="W186" s="136" t="s">
        <v>4361</v>
      </c>
      <c r="X186" s="136" t="s">
        <v>4361</v>
      </c>
      <c r="Y186" s="136" t="s">
        <v>4361</v>
      </c>
      <c r="Z186" s="136" t="s">
        <v>4361</v>
      </c>
      <c r="AB186" s="132" t="s">
        <v>5028</v>
      </c>
      <c r="AC186" s="132" t="s">
        <v>5029</v>
      </c>
      <c r="AD186" s="132" t="s">
        <v>5030</v>
      </c>
      <c r="AE186" s="131" t="s">
        <v>4350</v>
      </c>
      <c r="AF186" s="141" t="s">
        <v>4534</v>
      </c>
      <c r="AG186" s="196">
        <v>23105.68</v>
      </c>
      <c r="AH186" s="196">
        <v>53105.68</v>
      </c>
      <c r="AI186" s="131" t="s">
        <v>4344</v>
      </c>
      <c r="AJ186" s="132" t="s">
        <v>4616</v>
      </c>
      <c r="AK186" s="131">
        <v>147145732</v>
      </c>
      <c r="AL186" s="141" t="s">
        <v>4442</v>
      </c>
      <c r="AM186" s="141" t="s">
        <v>4442</v>
      </c>
      <c r="AN186" s="141" t="s">
        <v>4443</v>
      </c>
      <c r="AP186" s="132" t="s">
        <v>5031</v>
      </c>
      <c r="AQ186" s="141" t="s">
        <v>4442</v>
      </c>
      <c r="AR186" s="141" t="s">
        <v>4442</v>
      </c>
      <c r="AS186" s="141" t="s">
        <v>4442</v>
      </c>
      <c r="AT186" s="141" t="s">
        <v>4442</v>
      </c>
      <c r="AU186" s="199">
        <v>46191</v>
      </c>
      <c r="AV186" s="141" t="s">
        <v>4442</v>
      </c>
      <c r="AW186" s="141" t="s">
        <v>4442</v>
      </c>
      <c r="AX186" s="199">
        <v>46199</v>
      </c>
      <c r="AY186" s="220">
        <v>46199</v>
      </c>
      <c r="AZ186" s="137" t="s">
        <v>4370</v>
      </c>
      <c r="BA186" s="137" t="s">
        <v>4339</v>
      </c>
      <c r="BB186" s="141" t="s">
        <v>4442</v>
      </c>
      <c r="BC186" s="197">
        <f t="shared" si="9"/>
        <v>52</v>
      </c>
      <c r="BD186" s="131" t="str">
        <f t="shared" si="10"/>
        <v>INDENIZAÇÃO</v>
      </c>
      <c r="BE186" s="131" t="str">
        <f t="shared" si="11"/>
        <v>NÃO</v>
      </c>
      <c r="BF186" s="131" t="s">
        <v>4361</v>
      </c>
      <c r="BG186" s="131" t="s">
        <v>4361</v>
      </c>
      <c r="BH186" s="131" t="s">
        <v>4361</v>
      </c>
      <c r="BI186" s="137" t="s">
        <v>4446</v>
      </c>
      <c r="BJ186" s="137"/>
      <c r="BK186" s="255"/>
      <c r="BL186" s="137"/>
      <c r="BM186" s="137"/>
      <c r="BN186" s="182"/>
      <c r="CI186" s="182"/>
      <c r="CN186" s="182"/>
    </row>
    <row r="187" spans="1:92" s="141" customFormat="1" ht="30" hidden="1" customHeight="1">
      <c r="A187" s="131">
        <v>173</v>
      </c>
      <c r="B187" s="131" t="s">
        <v>4432</v>
      </c>
      <c r="C187" s="131">
        <v>1</v>
      </c>
      <c r="D187" s="131" t="s">
        <v>4433</v>
      </c>
      <c r="E187" s="131" t="s">
        <v>4433</v>
      </c>
      <c r="F187" s="210" t="s">
        <v>5032</v>
      </c>
      <c r="G187" s="131" t="s">
        <v>4339</v>
      </c>
      <c r="H187" s="131" t="s">
        <v>4340</v>
      </c>
      <c r="I187" s="131" t="s">
        <v>4624</v>
      </c>
      <c r="J187" s="132" t="s">
        <v>5033</v>
      </c>
      <c r="K187" s="132"/>
      <c r="L187" s="132" t="s">
        <v>5034</v>
      </c>
      <c r="M187" s="131"/>
      <c r="N187" s="131"/>
      <c r="O187" s="199"/>
      <c r="P187" s="136"/>
      <c r="Q187" s="136"/>
      <c r="R187" s="136"/>
      <c r="S187" s="136"/>
      <c r="T187" s="136"/>
      <c r="U187" s="136"/>
      <c r="V187" s="136"/>
      <c r="W187" s="136"/>
      <c r="X187" s="136"/>
      <c r="Y187" s="136"/>
      <c r="Z187" s="136"/>
      <c r="AB187" s="132"/>
      <c r="AC187" s="132"/>
      <c r="AD187" s="132"/>
      <c r="AE187" s="131"/>
      <c r="AG187" s="196"/>
      <c r="AH187" s="196"/>
      <c r="AI187" s="131"/>
      <c r="AJ187" s="131"/>
      <c r="AK187" s="131"/>
      <c r="AP187" s="132"/>
      <c r="AU187" s="136"/>
      <c r="AX187" s="136"/>
      <c r="AY187" s="136"/>
      <c r="AZ187" s="136"/>
      <c r="BC187" s="197" t="str">
        <f t="shared" si="9"/>
        <v/>
      </c>
      <c r="BD187" s="131" t="str">
        <f t="shared" si="10"/>
        <v>INDENIZAÇÃO</v>
      </c>
      <c r="BE187" s="131" t="str">
        <f t="shared" si="11"/>
        <v>NÃO</v>
      </c>
      <c r="BF187" s="131"/>
      <c r="BG187" s="131"/>
      <c r="BH187" s="131"/>
      <c r="BK187" s="136"/>
      <c r="BN187" s="182"/>
      <c r="CI187" s="182"/>
      <c r="CN187" s="182"/>
    </row>
    <row r="188" spans="1:92" s="141" customFormat="1" ht="30" hidden="1" customHeight="1">
      <c r="A188" s="131">
        <v>174</v>
      </c>
      <c r="B188" s="131" t="s">
        <v>4432</v>
      </c>
      <c r="C188" s="131">
        <v>2</v>
      </c>
      <c r="D188" s="131" t="s">
        <v>4433</v>
      </c>
      <c r="E188" s="131" t="s">
        <v>4433</v>
      </c>
      <c r="F188" s="210" t="s">
        <v>5035</v>
      </c>
      <c r="G188" s="131" t="s">
        <v>4339</v>
      </c>
      <c r="H188" s="131" t="s">
        <v>4340</v>
      </c>
      <c r="I188" s="131" t="s">
        <v>4350</v>
      </c>
      <c r="J188" s="132" t="s">
        <v>5036</v>
      </c>
      <c r="K188" s="132" t="s">
        <v>5037</v>
      </c>
      <c r="L188" s="132" t="s">
        <v>5038</v>
      </c>
      <c r="M188" s="131" t="s">
        <v>4342</v>
      </c>
      <c r="N188" s="131" t="s">
        <v>4343</v>
      </c>
      <c r="O188" s="199">
        <v>46142</v>
      </c>
      <c r="P188" s="136" t="s">
        <v>4361</v>
      </c>
      <c r="Q188" s="136" t="s">
        <v>4361</v>
      </c>
      <c r="R188" s="136" t="s">
        <v>4361</v>
      </c>
      <c r="S188" s="136" t="s">
        <v>4361</v>
      </c>
      <c r="T188" s="136" t="s">
        <v>4361</v>
      </c>
      <c r="U188" s="136" t="s">
        <v>4361</v>
      </c>
      <c r="V188" s="136" t="s">
        <v>4361</v>
      </c>
      <c r="W188" s="136" t="s">
        <v>4361</v>
      </c>
      <c r="X188" s="136" t="s">
        <v>4361</v>
      </c>
      <c r="Y188" s="136" t="s">
        <v>4361</v>
      </c>
      <c r="Z188" s="136" t="s">
        <v>4361</v>
      </c>
      <c r="AB188" s="132" t="s">
        <v>5036</v>
      </c>
      <c r="AC188" s="132" t="s">
        <v>5037</v>
      </c>
      <c r="AD188" s="132" t="s">
        <v>5038</v>
      </c>
      <c r="AE188" s="131" t="s">
        <v>4350</v>
      </c>
      <c r="AF188" s="141" t="s">
        <v>4534</v>
      </c>
      <c r="AG188" s="196">
        <v>62750.14</v>
      </c>
      <c r="AH188" s="196">
        <v>62750.14</v>
      </c>
      <c r="AI188" s="131" t="s">
        <v>4344</v>
      </c>
      <c r="AJ188" s="132" t="s">
        <v>4616</v>
      </c>
      <c r="AK188" s="131">
        <v>147146022</v>
      </c>
      <c r="AL188" s="141" t="s">
        <v>4442</v>
      </c>
      <c r="AM188" s="141" t="s">
        <v>4442</v>
      </c>
      <c r="AN188" s="141" t="s">
        <v>4443</v>
      </c>
      <c r="AP188" s="132" t="s">
        <v>5039</v>
      </c>
      <c r="AQ188" s="141" t="s">
        <v>4442</v>
      </c>
      <c r="AR188" s="141" t="s">
        <v>4442</v>
      </c>
      <c r="AS188" s="141" t="s">
        <v>4442</v>
      </c>
      <c r="AT188" s="141" t="s">
        <v>4442</v>
      </c>
      <c r="AU188" s="199">
        <v>46191</v>
      </c>
      <c r="AV188" s="141" t="s">
        <v>4442</v>
      </c>
      <c r="AW188" s="141" t="s">
        <v>4442</v>
      </c>
      <c r="AX188" s="199">
        <v>46198</v>
      </c>
      <c r="AY188" s="220">
        <v>46198</v>
      </c>
      <c r="AZ188" s="137" t="s">
        <v>4370</v>
      </c>
      <c r="BA188" s="137" t="s">
        <v>4339</v>
      </c>
      <c r="BB188" s="141" t="s">
        <v>4442</v>
      </c>
      <c r="BC188" s="197">
        <f t="shared" si="9"/>
        <v>56</v>
      </c>
      <c r="BD188" s="131" t="str">
        <f t="shared" si="10"/>
        <v>INDENIZAÇÃO</v>
      </c>
      <c r="BE188" s="131" t="str">
        <f t="shared" si="11"/>
        <v>NÃO</v>
      </c>
      <c r="BF188" s="131" t="s">
        <v>4361</v>
      </c>
      <c r="BG188" s="131" t="s">
        <v>4361</v>
      </c>
      <c r="BH188" s="131" t="s">
        <v>4361</v>
      </c>
      <c r="BI188" s="137" t="s">
        <v>4446</v>
      </c>
      <c r="BJ188" s="137"/>
      <c r="BK188" s="255"/>
      <c r="BL188" s="137"/>
      <c r="BM188" s="137"/>
      <c r="BN188" s="182"/>
      <c r="CI188" s="182"/>
      <c r="CN188" s="182"/>
    </row>
    <row r="189" spans="1:92" s="141" customFormat="1" ht="30" hidden="1" customHeight="1">
      <c r="A189" s="131">
        <v>175</v>
      </c>
      <c r="B189" s="131" t="s">
        <v>4432</v>
      </c>
      <c r="C189" s="131">
        <v>1</v>
      </c>
      <c r="D189" s="131" t="s">
        <v>4433</v>
      </c>
      <c r="E189" s="131" t="s">
        <v>4433</v>
      </c>
      <c r="F189" s="210" t="s">
        <v>5040</v>
      </c>
      <c r="G189" s="131" t="s">
        <v>4339</v>
      </c>
      <c r="H189" s="131" t="s">
        <v>4340</v>
      </c>
      <c r="I189" s="131" t="s">
        <v>4350</v>
      </c>
      <c r="J189" s="132" t="s">
        <v>5041</v>
      </c>
      <c r="K189" s="132" t="s">
        <v>5042</v>
      </c>
      <c r="L189" s="132" t="s">
        <v>5043</v>
      </c>
      <c r="M189" s="131" t="s">
        <v>4342</v>
      </c>
      <c r="N189" s="131" t="s">
        <v>4343</v>
      </c>
      <c r="O189" s="199">
        <v>46080</v>
      </c>
      <c r="P189" s="136" t="s">
        <v>4361</v>
      </c>
      <c r="Q189" s="136" t="s">
        <v>4361</v>
      </c>
      <c r="R189" s="136" t="s">
        <v>4361</v>
      </c>
      <c r="S189" s="136" t="s">
        <v>4361</v>
      </c>
      <c r="T189" s="136" t="s">
        <v>4361</v>
      </c>
      <c r="U189" s="136" t="s">
        <v>4361</v>
      </c>
      <c r="V189" s="136" t="s">
        <v>4361</v>
      </c>
      <c r="W189" s="136" t="s">
        <v>4361</v>
      </c>
      <c r="X189" s="136" t="s">
        <v>4361</v>
      </c>
      <c r="Y189" s="136" t="s">
        <v>4361</v>
      </c>
      <c r="Z189" s="136" t="s">
        <v>4361</v>
      </c>
      <c r="AB189" s="132" t="s">
        <v>5041</v>
      </c>
      <c r="AC189" s="132" t="s">
        <v>5042</v>
      </c>
      <c r="AD189" s="132" t="s">
        <v>5043</v>
      </c>
      <c r="AE189" s="131" t="s">
        <v>4350</v>
      </c>
      <c r="AF189" s="141" t="s">
        <v>4534</v>
      </c>
      <c r="AG189" s="196">
        <v>34490.18</v>
      </c>
      <c r="AH189" s="196">
        <v>60000</v>
      </c>
      <c r="AI189" s="131" t="s">
        <v>4344</v>
      </c>
      <c r="AJ189" s="132" t="s">
        <v>4616</v>
      </c>
      <c r="AK189" s="131">
        <v>145689584</v>
      </c>
      <c r="AL189" s="141" t="s">
        <v>4442</v>
      </c>
      <c r="AM189" s="141" t="s">
        <v>4442</v>
      </c>
      <c r="AN189" s="141" t="s">
        <v>4443</v>
      </c>
      <c r="AO189" s="201"/>
      <c r="AP189" s="132" t="s">
        <v>5044</v>
      </c>
      <c r="AQ189" s="141" t="s">
        <v>4442</v>
      </c>
      <c r="AR189" s="141" t="s">
        <v>4442</v>
      </c>
      <c r="AS189" s="141" t="s">
        <v>4442</v>
      </c>
      <c r="AT189" s="141" t="s">
        <v>4442</v>
      </c>
      <c r="AU189" s="199">
        <v>46191</v>
      </c>
      <c r="AV189" s="141" t="s">
        <v>4442</v>
      </c>
      <c r="AW189" s="141" t="s">
        <v>4442</v>
      </c>
      <c r="AX189" s="199">
        <v>46199</v>
      </c>
      <c r="AY189" s="220">
        <v>46199</v>
      </c>
      <c r="AZ189" s="137" t="s">
        <v>4370</v>
      </c>
      <c r="BA189" s="137" t="s">
        <v>4339</v>
      </c>
      <c r="BB189" s="141" t="s">
        <v>4442</v>
      </c>
      <c r="BC189" s="197">
        <f t="shared" si="9"/>
        <v>119</v>
      </c>
      <c r="BD189" s="131" t="str">
        <f t="shared" si="10"/>
        <v>INDENIZAÇÃO</v>
      </c>
      <c r="BE189" s="131" t="str">
        <f t="shared" si="11"/>
        <v>NÃO</v>
      </c>
      <c r="BF189" s="131" t="s">
        <v>4361</v>
      </c>
      <c r="BG189" s="131" t="s">
        <v>4361</v>
      </c>
      <c r="BH189" s="131" t="s">
        <v>4361</v>
      </c>
      <c r="BI189" s="137" t="s">
        <v>4446</v>
      </c>
      <c r="BJ189" s="137"/>
      <c r="BK189" s="255"/>
      <c r="BL189" s="137"/>
      <c r="BM189" s="137"/>
      <c r="BN189" s="182"/>
      <c r="CI189" s="182"/>
      <c r="CN189" s="182"/>
    </row>
    <row r="190" spans="1:92" s="141" customFormat="1" ht="30" hidden="1" customHeight="1">
      <c r="A190" s="131">
        <v>176</v>
      </c>
      <c r="B190" s="131" t="s">
        <v>4432</v>
      </c>
      <c r="C190" s="131">
        <v>1</v>
      </c>
      <c r="D190" s="131" t="s">
        <v>4433</v>
      </c>
      <c r="E190" s="131" t="s">
        <v>4433</v>
      </c>
      <c r="F190" s="210" t="s">
        <v>5045</v>
      </c>
      <c r="G190" s="131" t="s">
        <v>4339</v>
      </c>
      <c r="H190" s="131" t="s">
        <v>4340</v>
      </c>
      <c r="I190" s="131" t="s">
        <v>4350</v>
      </c>
      <c r="J190" s="132" t="s">
        <v>5046</v>
      </c>
      <c r="K190" s="132" t="s">
        <v>5047</v>
      </c>
      <c r="L190" s="132" t="s">
        <v>5048</v>
      </c>
      <c r="M190" s="131" t="s">
        <v>4342</v>
      </c>
      <c r="N190" s="131" t="s">
        <v>4343</v>
      </c>
      <c r="O190" s="199">
        <v>46168</v>
      </c>
      <c r="P190" s="136" t="s">
        <v>4361</v>
      </c>
      <c r="Q190" s="136" t="s">
        <v>4361</v>
      </c>
      <c r="R190" s="136" t="s">
        <v>4361</v>
      </c>
      <c r="S190" s="136" t="s">
        <v>4361</v>
      </c>
      <c r="T190" s="136" t="s">
        <v>4361</v>
      </c>
      <c r="U190" s="136" t="s">
        <v>4361</v>
      </c>
      <c r="V190" s="136" t="s">
        <v>4361</v>
      </c>
      <c r="W190" s="136" t="s">
        <v>4361</v>
      </c>
      <c r="X190" s="136" t="s">
        <v>4361</v>
      </c>
      <c r="Y190" s="136" t="s">
        <v>4361</v>
      </c>
      <c r="Z190" s="136" t="s">
        <v>4361</v>
      </c>
      <c r="AB190" s="132" t="s">
        <v>5046</v>
      </c>
      <c r="AC190" s="132" t="s">
        <v>5047</v>
      </c>
      <c r="AD190" s="132" t="s">
        <v>5048</v>
      </c>
      <c r="AE190" s="131" t="s">
        <v>4350</v>
      </c>
      <c r="AF190" s="141" t="s">
        <v>4534</v>
      </c>
      <c r="AG190" s="204">
        <v>48141.45</v>
      </c>
      <c r="AH190" s="204">
        <v>60000</v>
      </c>
      <c r="AI190" s="141" t="s">
        <v>4344</v>
      </c>
      <c r="AJ190" s="132" t="s">
        <v>4616</v>
      </c>
      <c r="AK190" s="141">
        <v>153086025</v>
      </c>
      <c r="AL190" s="141" t="s">
        <v>4442</v>
      </c>
      <c r="AM190" s="141" t="s">
        <v>4442</v>
      </c>
      <c r="AN190" s="141" t="s">
        <v>4442</v>
      </c>
      <c r="AP190" s="132" t="s">
        <v>5049</v>
      </c>
      <c r="AQ190" s="141" t="s">
        <v>4442</v>
      </c>
      <c r="AR190" s="141" t="s">
        <v>4442</v>
      </c>
      <c r="AS190" s="141" t="s">
        <v>4442</v>
      </c>
      <c r="AT190" s="141" t="s">
        <v>4442</v>
      </c>
      <c r="AU190" s="199">
        <v>46254</v>
      </c>
      <c r="AV190" s="137" t="s">
        <v>5050</v>
      </c>
      <c r="AW190" s="137"/>
      <c r="AX190" s="137"/>
      <c r="AY190" s="137"/>
      <c r="AZ190" s="137"/>
      <c r="BA190" s="137" t="s">
        <v>4339</v>
      </c>
      <c r="BC190" s="197" t="str">
        <f t="shared" si="9"/>
        <v/>
      </c>
      <c r="BD190" s="131" t="str">
        <f t="shared" si="10"/>
        <v>INDENIZAÇÃO</v>
      </c>
      <c r="BE190" s="131" t="str">
        <f t="shared" si="11"/>
        <v>NÃO</v>
      </c>
      <c r="BG190" s="199"/>
      <c r="BH190" s="199"/>
      <c r="BN190" s="182"/>
      <c r="CI190" s="182"/>
      <c r="CN190" s="182"/>
    </row>
    <row r="191" spans="1:92" s="141" customFormat="1" ht="30" hidden="1" customHeight="1">
      <c r="A191" s="131">
        <v>177</v>
      </c>
      <c r="B191" s="131" t="s">
        <v>4432</v>
      </c>
      <c r="C191" s="131">
        <v>1</v>
      </c>
      <c r="D191" s="131" t="s">
        <v>4433</v>
      </c>
      <c r="E191" s="131" t="s">
        <v>4433</v>
      </c>
      <c r="F191" s="210" t="s">
        <v>5051</v>
      </c>
      <c r="G191" s="131"/>
      <c r="H191" s="131"/>
      <c r="I191" s="131"/>
      <c r="J191" s="132" t="s">
        <v>5052</v>
      </c>
      <c r="K191" s="132"/>
      <c r="L191" s="132" t="s">
        <v>5053</v>
      </c>
      <c r="M191" s="131"/>
      <c r="N191" s="131"/>
      <c r="O191" s="199"/>
      <c r="P191" s="136"/>
      <c r="Q191" s="131"/>
      <c r="R191" s="136"/>
      <c r="S191" s="136"/>
      <c r="T191" s="136"/>
      <c r="U191" s="136"/>
      <c r="V191" s="136"/>
      <c r="W191" s="136"/>
      <c r="X191" s="136"/>
      <c r="Y191" s="136"/>
      <c r="Z191" s="136"/>
      <c r="AB191" s="144"/>
      <c r="AC191" s="144"/>
      <c r="AD191" s="144"/>
      <c r="AG191" s="204"/>
      <c r="AH191" s="204"/>
      <c r="AP191" s="132"/>
      <c r="BC191" s="197" t="str">
        <f t="shared" si="9"/>
        <v/>
      </c>
      <c r="BD191" s="131" t="str">
        <f t="shared" si="10"/>
        <v>INDENIZAÇÃO</v>
      </c>
      <c r="BE191" s="131" t="str">
        <f t="shared" si="11"/>
        <v>NÃO</v>
      </c>
      <c r="BG191" s="199"/>
      <c r="BH191" s="199"/>
      <c r="BN191" s="182"/>
      <c r="CI191" s="182"/>
      <c r="CN191" s="182"/>
    </row>
    <row r="192" spans="1:92" s="141" customFormat="1" ht="30" hidden="1" customHeight="1">
      <c r="A192" s="131">
        <v>178</v>
      </c>
      <c r="B192" s="131" t="s">
        <v>4432</v>
      </c>
      <c r="C192" s="131">
        <v>1</v>
      </c>
      <c r="D192" s="131" t="s">
        <v>4433</v>
      </c>
      <c r="E192" s="131" t="s">
        <v>4433</v>
      </c>
      <c r="F192" s="210" t="s">
        <v>5054</v>
      </c>
      <c r="G192" s="131" t="s">
        <v>4339</v>
      </c>
      <c r="H192" s="131" t="s">
        <v>4340</v>
      </c>
      <c r="I192" s="131" t="s">
        <v>4624</v>
      </c>
      <c r="J192" s="132" t="s">
        <v>5055</v>
      </c>
      <c r="K192" s="132"/>
      <c r="L192" s="132" t="s">
        <v>5056</v>
      </c>
      <c r="M192" s="131"/>
      <c r="N192" s="131"/>
      <c r="O192" s="199"/>
      <c r="P192" s="136"/>
      <c r="Q192" s="136"/>
      <c r="R192" s="136"/>
      <c r="S192" s="136"/>
      <c r="T192" s="136"/>
      <c r="U192" s="136"/>
      <c r="V192" s="136"/>
      <c r="W192" s="136"/>
      <c r="X192" s="136"/>
      <c r="Y192" s="136"/>
      <c r="Z192" s="136"/>
      <c r="AB192" s="132"/>
      <c r="AC192" s="132"/>
      <c r="AD192" s="132"/>
      <c r="AE192" s="203"/>
      <c r="AG192" s="196"/>
      <c r="AH192" s="196"/>
      <c r="AI192" s="131"/>
      <c r="AJ192" s="131"/>
      <c r="AK192" s="131"/>
      <c r="AP192" s="132"/>
      <c r="AU192" s="199"/>
      <c r="AX192" s="199"/>
      <c r="AY192" s="136"/>
      <c r="AZ192" s="136"/>
      <c r="BC192" s="197" t="str">
        <f t="shared" si="9"/>
        <v/>
      </c>
      <c r="BD192" s="131" t="str">
        <f t="shared" si="10"/>
        <v>INDENIZAÇÃO</v>
      </c>
      <c r="BE192" s="131" t="str">
        <f t="shared" si="11"/>
        <v>NÃO</v>
      </c>
      <c r="BF192" s="131"/>
      <c r="BG192" s="131"/>
      <c r="BH192" s="131"/>
      <c r="BK192" s="199"/>
      <c r="BN192" s="182"/>
      <c r="CI192" s="189"/>
      <c r="CJ192" s="184"/>
      <c r="CK192" s="184"/>
      <c r="CL192" s="184"/>
      <c r="CM192" s="184"/>
    </row>
    <row r="193" spans="1:92" s="141" customFormat="1" ht="30" hidden="1" customHeight="1">
      <c r="A193" s="131">
        <v>179</v>
      </c>
      <c r="B193" s="131" t="s">
        <v>4432</v>
      </c>
      <c r="C193" s="131">
        <v>1</v>
      </c>
      <c r="D193" s="131" t="s">
        <v>4433</v>
      </c>
      <c r="E193" s="131" t="s">
        <v>4433</v>
      </c>
      <c r="F193" s="210" t="s">
        <v>5057</v>
      </c>
      <c r="G193" s="131" t="s">
        <v>4339</v>
      </c>
      <c r="H193" s="131" t="s">
        <v>4340</v>
      </c>
      <c r="I193" s="131" t="s">
        <v>4624</v>
      </c>
      <c r="J193" s="132" t="s">
        <v>5058</v>
      </c>
      <c r="K193" s="132" t="s">
        <v>5059</v>
      </c>
      <c r="L193" s="132" t="s">
        <v>5060</v>
      </c>
      <c r="M193" s="131" t="s">
        <v>4342</v>
      </c>
      <c r="N193" s="131" t="s">
        <v>4</v>
      </c>
      <c r="O193" s="199"/>
      <c r="P193" s="136"/>
      <c r="Q193" s="136"/>
      <c r="R193" s="136"/>
      <c r="S193" s="136"/>
      <c r="T193" s="136"/>
      <c r="U193" s="136"/>
      <c r="V193" s="136"/>
      <c r="W193" s="136"/>
      <c r="X193" s="136"/>
      <c r="Y193" s="136"/>
      <c r="Z193" s="136"/>
      <c r="AB193" s="132" t="s">
        <v>5061</v>
      </c>
      <c r="AC193" s="132" t="s">
        <v>5062</v>
      </c>
      <c r="AD193" s="132" t="s">
        <v>5063</v>
      </c>
      <c r="AE193" s="131" t="s">
        <v>4341</v>
      </c>
      <c r="AF193" s="141" t="s">
        <v>4534</v>
      </c>
      <c r="AG193" s="196">
        <v>65240.68</v>
      </c>
      <c r="AH193" s="196">
        <v>65240.68</v>
      </c>
      <c r="AI193" s="131" t="s">
        <v>4344</v>
      </c>
      <c r="AJ193" s="132" t="s">
        <v>4616</v>
      </c>
      <c r="AK193" s="131">
        <v>146122507</v>
      </c>
      <c r="AL193" s="141" t="s">
        <v>4442</v>
      </c>
      <c r="AM193" s="131" t="s">
        <v>4442</v>
      </c>
      <c r="AN193" s="141" t="s">
        <v>4443</v>
      </c>
      <c r="AP193" s="132" t="s">
        <v>5064</v>
      </c>
      <c r="AQ193" s="141" t="s">
        <v>4442</v>
      </c>
      <c r="AR193" s="141" t="s">
        <v>4442</v>
      </c>
      <c r="AS193" s="141" t="s">
        <v>4442</v>
      </c>
      <c r="AT193" s="141" t="s">
        <v>4442</v>
      </c>
      <c r="AU193" s="199">
        <v>46191</v>
      </c>
      <c r="AV193" s="141" t="s">
        <v>4442</v>
      </c>
      <c r="AW193" s="141" t="s">
        <v>4442</v>
      </c>
      <c r="AX193" s="199">
        <v>46199</v>
      </c>
      <c r="AY193" s="220">
        <v>46199</v>
      </c>
      <c r="AZ193" s="137" t="s">
        <v>4370</v>
      </c>
      <c r="BA193" s="137" t="s">
        <v>4339</v>
      </c>
      <c r="BB193" s="141" t="s">
        <v>4442</v>
      </c>
      <c r="BC193" s="197">
        <f t="shared" si="9"/>
        <v>46199</v>
      </c>
      <c r="BD193" s="131" t="str">
        <f t="shared" si="10"/>
        <v>INDENIZAÇÃO</v>
      </c>
      <c r="BE193" s="131" t="str">
        <f t="shared" si="11"/>
        <v>NÃO</v>
      </c>
      <c r="BF193" s="131" t="s">
        <v>4361</v>
      </c>
      <c r="BG193" s="131" t="s">
        <v>4361</v>
      </c>
      <c r="BH193" s="131" t="s">
        <v>4361</v>
      </c>
      <c r="BI193" s="137" t="s">
        <v>4446</v>
      </c>
      <c r="BJ193" s="137"/>
      <c r="BK193" s="255"/>
      <c r="BL193" s="137"/>
      <c r="BM193" s="137"/>
      <c r="BN193" s="182"/>
      <c r="CI193" s="182"/>
      <c r="CN193" s="182"/>
    </row>
    <row r="194" spans="1:92" s="141" customFormat="1" ht="30" hidden="1" customHeight="1">
      <c r="A194" s="131">
        <v>180</v>
      </c>
      <c r="B194" s="131" t="s">
        <v>4432</v>
      </c>
      <c r="C194" s="131">
        <v>1</v>
      </c>
      <c r="D194" s="131" t="s">
        <v>4433</v>
      </c>
      <c r="E194" s="131" t="s">
        <v>4433</v>
      </c>
      <c r="F194" s="210" t="s">
        <v>5065</v>
      </c>
      <c r="G194" s="131"/>
      <c r="H194" s="131"/>
      <c r="I194" s="131"/>
      <c r="J194" s="132" t="s">
        <v>5066</v>
      </c>
      <c r="K194" s="132"/>
      <c r="L194" s="132" t="s">
        <v>5067</v>
      </c>
      <c r="M194" s="131"/>
      <c r="N194" s="131"/>
      <c r="O194" s="199"/>
      <c r="P194" s="136"/>
      <c r="Q194" s="136"/>
      <c r="R194" s="136"/>
      <c r="S194" s="136"/>
      <c r="T194" s="136"/>
      <c r="U194" s="136"/>
      <c r="V194" s="136"/>
      <c r="W194" s="136"/>
      <c r="X194" s="136"/>
      <c r="Y194" s="136"/>
      <c r="Z194" s="136"/>
      <c r="AB194" s="132"/>
      <c r="AC194" s="132"/>
      <c r="AD194" s="132"/>
      <c r="AE194" s="131"/>
      <c r="AG194" s="196"/>
      <c r="AH194" s="196"/>
      <c r="AI194" s="131"/>
      <c r="AJ194" s="131"/>
      <c r="AK194" s="131"/>
      <c r="AP194" s="132"/>
      <c r="AU194" s="199"/>
      <c r="AX194" s="199"/>
      <c r="AY194" s="136"/>
      <c r="AZ194" s="136"/>
      <c r="BC194" s="197" t="str">
        <f t="shared" si="9"/>
        <v/>
      </c>
      <c r="BD194" s="131" t="str">
        <f t="shared" si="10"/>
        <v>INDENIZAÇÃO</v>
      </c>
      <c r="BE194" s="131" t="str">
        <f t="shared" si="11"/>
        <v>NÃO</v>
      </c>
      <c r="BF194" s="131"/>
      <c r="BG194" s="131"/>
      <c r="BH194" s="131"/>
      <c r="BK194" s="199"/>
      <c r="BN194" s="182"/>
      <c r="CI194" s="182"/>
      <c r="CN194" s="182"/>
    </row>
    <row r="195" spans="1:92" s="141" customFormat="1" ht="30" hidden="1" customHeight="1">
      <c r="A195" s="131">
        <v>181</v>
      </c>
      <c r="B195" s="131" t="s">
        <v>4432</v>
      </c>
      <c r="C195" s="131">
        <v>1</v>
      </c>
      <c r="D195" s="131" t="s">
        <v>4433</v>
      </c>
      <c r="E195" s="131" t="s">
        <v>4433</v>
      </c>
      <c r="F195" s="210" t="s">
        <v>5068</v>
      </c>
      <c r="G195" s="131"/>
      <c r="H195" s="131"/>
      <c r="I195" s="131"/>
      <c r="J195" s="132" t="s">
        <v>5069</v>
      </c>
      <c r="K195" s="132"/>
      <c r="L195" s="132" t="s">
        <v>5070</v>
      </c>
      <c r="M195" s="131"/>
      <c r="N195" s="131"/>
      <c r="O195" s="199"/>
      <c r="P195" s="136"/>
      <c r="Q195" s="136"/>
      <c r="R195" s="136"/>
      <c r="S195" s="136"/>
      <c r="T195" s="136"/>
      <c r="U195" s="136"/>
      <c r="V195" s="136"/>
      <c r="W195" s="136"/>
      <c r="X195" s="136"/>
      <c r="Y195" s="136"/>
      <c r="Z195" s="136"/>
      <c r="AB195" s="132"/>
      <c r="AC195" s="132"/>
      <c r="AD195" s="132"/>
      <c r="AE195" s="131"/>
      <c r="AG195" s="196"/>
      <c r="AH195" s="196"/>
      <c r="AI195" s="131"/>
      <c r="AJ195" s="131"/>
      <c r="AK195" s="131"/>
      <c r="AP195" s="132"/>
      <c r="AU195" s="199"/>
      <c r="BC195" s="197" t="str">
        <f t="shared" si="9"/>
        <v/>
      </c>
      <c r="BD195" s="131" t="str">
        <f t="shared" si="10"/>
        <v>INDENIZAÇÃO</v>
      </c>
      <c r="BE195" s="131" t="str">
        <f t="shared" si="11"/>
        <v>NÃO</v>
      </c>
      <c r="BG195" s="199"/>
      <c r="BH195" s="199"/>
      <c r="BN195" s="182"/>
      <c r="CI195" s="182"/>
      <c r="CN195" s="182"/>
    </row>
    <row r="196" spans="1:92" s="141" customFormat="1" ht="30" hidden="1" customHeight="1">
      <c r="A196" s="131">
        <v>182</v>
      </c>
      <c r="B196" s="131" t="s">
        <v>4432</v>
      </c>
      <c r="C196" s="131">
        <v>1</v>
      </c>
      <c r="D196" s="131" t="s">
        <v>4433</v>
      </c>
      <c r="E196" s="131" t="s">
        <v>4433</v>
      </c>
      <c r="F196" s="210" t="s">
        <v>5071</v>
      </c>
      <c r="G196" s="131"/>
      <c r="H196" s="131"/>
      <c r="I196" s="131"/>
      <c r="J196" s="132" t="s">
        <v>5072</v>
      </c>
      <c r="K196" s="132"/>
      <c r="L196" s="132" t="s">
        <v>5073</v>
      </c>
      <c r="M196" s="131"/>
      <c r="N196" s="131"/>
      <c r="O196" s="199"/>
      <c r="P196" s="136"/>
      <c r="Q196" s="136"/>
      <c r="R196" s="136"/>
      <c r="S196" s="136"/>
      <c r="T196" s="136"/>
      <c r="U196" s="136"/>
      <c r="V196" s="136"/>
      <c r="W196" s="136"/>
      <c r="X196" s="136"/>
      <c r="Y196" s="136"/>
      <c r="Z196" s="136"/>
      <c r="AB196" s="132"/>
      <c r="AC196" s="132"/>
      <c r="AD196" s="132"/>
      <c r="AE196" s="131"/>
      <c r="AG196" s="196"/>
      <c r="AH196" s="196"/>
      <c r="AI196" s="131"/>
      <c r="AJ196" s="131"/>
      <c r="AK196" s="131"/>
      <c r="AP196" s="132"/>
      <c r="BC196" s="197" t="str">
        <f t="shared" si="9"/>
        <v/>
      </c>
      <c r="BD196" s="131" t="str">
        <f t="shared" si="10"/>
        <v>INDENIZAÇÃO</v>
      </c>
      <c r="BE196" s="131" t="str">
        <f t="shared" si="11"/>
        <v>NÃO</v>
      </c>
      <c r="BG196" s="199"/>
      <c r="BH196" s="199"/>
      <c r="BN196" s="182"/>
      <c r="CI196" s="192"/>
      <c r="CJ196" s="158"/>
      <c r="CK196" s="158"/>
      <c r="CL196" s="158"/>
      <c r="CM196" s="158"/>
    </row>
    <row r="197" spans="1:92" s="141" customFormat="1" ht="30" hidden="1" customHeight="1">
      <c r="A197" s="131">
        <v>183</v>
      </c>
      <c r="B197" s="131" t="s">
        <v>4432</v>
      </c>
      <c r="C197" s="131">
        <v>1</v>
      </c>
      <c r="D197" s="131" t="s">
        <v>4433</v>
      </c>
      <c r="E197" s="131" t="s">
        <v>4433</v>
      </c>
      <c r="F197" s="210" t="s">
        <v>5074</v>
      </c>
      <c r="G197" s="131"/>
      <c r="H197" s="131"/>
      <c r="I197" s="198"/>
      <c r="J197" s="132" t="s">
        <v>5075</v>
      </c>
      <c r="K197" s="132"/>
      <c r="L197" s="132" t="s">
        <v>5076</v>
      </c>
      <c r="M197" s="131"/>
      <c r="N197" s="131"/>
      <c r="O197" s="199"/>
      <c r="P197" s="136"/>
      <c r="Q197" s="136"/>
      <c r="R197" s="136"/>
      <c r="S197" s="136"/>
      <c r="T197" s="136"/>
      <c r="U197" s="136"/>
      <c r="V197" s="136"/>
      <c r="W197" s="136"/>
      <c r="X197" s="136"/>
      <c r="Y197" s="136"/>
      <c r="Z197" s="136"/>
      <c r="AB197" s="132"/>
      <c r="AC197" s="132"/>
      <c r="AD197" s="132"/>
      <c r="AE197" s="131"/>
      <c r="AG197" s="196"/>
      <c r="AH197" s="196"/>
      <c r="AI197" s="131"/>
      <c r="AJ197" s="131"/>
      <c r="AK197" s="131"/>
      <c r="AP197" s="132"/>
      <c r="AU197" s="199"/>
      <c r="AX197" s="136"/>
      <c r="AY197" s="136"/>
      <c r="BC197" s="197" t="str">
        <f t="shared" si="9"/>
        <v/>
      </c>
      <c r="BD197" s="131" t="str">
        <f t="shared" si="10"/>
        <v>INDENIZAÇÃO</v>
      </c>
      <c r="BE197" s="131" t="str">
        <f t="shared" si="11"/>
        <v>NÃO</v>
      </c>
      <c r="BF197" s="131"/>
      <c r="BG197" s="131"/>
      <c r="BH197" s="131"/>
      <c r="BN197" s="182"/>
      <c r="CI197" s="182"/>
    </row>
    <row r="198" spans="1:92" s="141" customFormat="1" ht="30" hidden="1" customHeight="1">
      <c r="A198" s="131">
        <v>184</v>
      </c>
      <c r="B198" s="131" t="s">
        <v>4432</v>
      </c>
      <c r="C198" s="131">
        <v>1</v>
      </c>
      <c r="D198" s="131" t="s">
        <v>4433</v>
      </c>
      <c r="E198" s="131" t="s">
        <v>4433</v>
      </c>
      <c r="F198" s="210" t="s">
        <v>5077</v>
      </c>
      <c r="G198" s="131"/>
      <c r="H198" s="131"/>
      <c r="I198" s="131"/>
      <c r="J198" s="132" t="s">
        <v>5078</v>
      </c>
      <c r="K198" s="132"/>
      <c r="L198" s="132" t="s">
        <v>5079</v>
      </c>
      <c r="M198" s="131"/>
      <c r="N198" s="131"/>
      <c r="O198" s="199"/>
      <c r="P198" s="136"/>
      <c r="Q198" s="136"/>
      <c r="R198" s="136"/>
      <c r="S198" s="136"/>
      <c r="T198" s="136"/>
      <c r="U198" s="136"/>
      <c r="V198" s="136"/>
      <c r="W198" s="136"/>
      <c r="X198" s="136"/>
      <c r="Y198" s="136"/>
      <c r="Z198" s="136"/>
      <c r="AB198" s="132"/>
      <c r="AC198" s="132"/>
      <c r="AD198" s="132"/>
      <c r="AE198" s="131"/>
      <c r="AG198" s="196"/>
      <c r="AH198" s="196"/>
      <c r="AI198" s="131"/>
      <c r="AJ198" s="131"/>
      <c r="AK198" s="131"/>
      <c r="AP198" s="132"/>
      <c r="AU198" s="199"/>
      <c r="AX198" s="199"/>
      <c r="AY198" s="136"/>
      <c r="AZ198" s="136"/>
      <c r="BC198" s="197" t="str">
        <f t="shared" si="9"/>
        <v/>
      </c>
      <c r="BD198" s="131" t="str">
        <f t="shared" si="10"/>
        <v>INDENIZAÇÃO</v>
      </c>
      <c r="BE198" s="131" t="str">
        <f t="shared" si="11"/>
        <v>NÃO</v>
      </c>
      <c r="BF198" s="131"/>
      <c r="BG198" s="131"/>
      <c r="BH198" s="131"/>
      <c r="BK198" s="199"/>
      <c r="BN198" s="182"/>
      <c r="CI198" s="190"/>
      <c r="CJ198" s="183"/>
      <c r="CK198" s="183"/>
      <c r="CL198" s="183"/>
      <c r="CM198" s="183"/>
    </row>
    <row r="199" spans="1:92" s="141" customFormat="1" ht="30" hidden="1" customHeight="1">
      <c r="A199" s="131">
        <v>185</v>
      </c>
      <c r="B199" s="131" t="s">
        <v>4432</v>
      </c>
      <c r="C199" s="131">
        <v>1</v>
      </c>
      <c r="D199" s="131" t="s">
        <v>4433</v>
      </c>
      <c r="E199" s="131" t="s">
        <v>4433</v>
      </c>
      <c r="F199" s="210" t="s">
        <v>5080</v>
      </c>
      <c r="G199" s="131"/>
      <c r="H199" s="131"/>
      <c r="I199" s="131"/>
      <c r="J199" s="132" t="s">
        <v>5081</v>
      </c>
      <c r="K199" s="132"/>
      <c r="L199" s="132" t="s">
        <v>5082</v>
      </c>
      <c r="M199" s="131"/>
      <c r="N199" s="131"/>
      <c r="O199" s="199"/>
      <c r="P199" s="136"/>
      <c r="Q199" s="136"/>
      <c r="R199" s="136"/>
      <c r="S199" s="136"/>
      <c r="T199" s="136"/>
      <c r="U199" s="136"/>
      <c r="V199" s="136"/>
      <c r="W199" s="136"/>
      <c r="X199" s="136"/>
      <c r="Y199" s="136"/>
      <c r="Z199" s="136"/>
      <c r="AB199" s="132"/>
      <c r="AC199" s="132"/>
      <c r="AD199" s="132"/>
      <c r="AE199" s="131"/>
      <c r="AG199" s="196"/>
      <c r="AH199" s="196"/>
      <c r="AI199" s="131"/>
      <c r="AJ199" s="131"/>
      <c r="AK199" s="131"/>
      <c r="AP199" s="132"/>
      <c r="AU199" s="199"/>
      <c r="AX199" s="199"/>
      <c r="AY199" s="136"/>
      <c r="AZ199" s="136"/>
      <c r="BC199" s="197" t="str">
        <f t="shared" si="9"/>
        <v/>
      </c>
      <c r="BD199" s="131" t="str">
        <f t="shared" si="10"/>
        <v>INDENIZAÇÃO</v>
      </c>
      <c r="BE199" s="131" t="str">
        <f t="shared" si="11"/>
        <v>NÃO</v>
      </c>
      <c r="BF199" s="131"/>
      <c r="BG199" s="131"/>
      <c r="BH199" s="131"/>
      <c r="BK199" s="199"/>
      <c r="BN199" s="182"/>
      <c r="CI199" s="182"/>
      <c r="CN199" s="182"/>
    </row>
    <row r="200" spans="1:92" s="141" customFormat="1" ht="30" hidden="1" customHeight="1">
      <c r="A200" s="131">
        <v>186</v>
      </c>
      <c r="B200" s="131" t="s">
        <v>4432</v>
      </c>
      <c r="C200" s="131">
        <v>1</v>
      </c>
      <c r="D200" s="131" t="s">
        <v>4433</v>
      </c>
      <c r="E200" s="131" t="s">
        <v>4433</v>
      </c>
      <c r="F200" s="210" t="s">
        <v>5083</v>
      </c>
      <c r="G200" s="131" t="s">
        <v>4339</v>
      </c>
      <c r="H200" s="131" t="s">
        <v>4340</v>
      </c>
      <c r="I200" s="131" t="s">
        <v>4624</v>
      </c>
      <c r="J200" s="132" t="s">
        <v>5084</v>
      </c>
      <c r="K200" s="132"/>
      <c r="L200" s="132" t="s">
        <v>5085</v>
      </c>
      <c r="M200" s="131"/>
      <c r="N200" s="131"/>
      <c r="O200" s="199"/>
      <c r="P200" s="136"/>
      <c r="Q200" s="136"/>
      <c r="R200" s="136"/>
      <c r="S200" s="136"/>
      <c r="T200" s="136"/>
      <c r="U200" s="136"/>
      <c r="V200" s="136"/>
      <c r="W200" s="136"/>
      <c r="X200" s="136"/>
      <c r="Y200" s="136"/>
      <c r="Z200" s="136"/>
      <c r="AB200" s="132"/>
      <c r="AC200" s="132"/>
      <c r="AD200" s="132"/>
      <c r="AE200" s="131"/>
      <c r="AG200" s="196"/>
      <c r="AH200" s="196"/>
      <c r="AI200" s="131"/>
      <c r="AJ200" s="131"/>
      <c r="AK200" s="131"/>
      <c r="AP200" s="132"/>
      <c r="AU200" s="199"/>
      <c r="AX200" s="199"/>
      <c r="AY200" s="136"/>
      <c r="AZ200" s="136"/>
      <c r="BC200" s="197" t="str">
        <f t="shared" si="9"/>
        <v/>
      </c>
      <c r="BD200" s="131" t="str">
        <f t="shared" si="10"/>
        <v>INDENIZAÇÃO</v>
      </c>
      <c r="BE200" s="131" t="str">
        <f t="shared" si="11"/>
        <v>NÃO</v>
      </c>
      <c r="BF200" s="131"/>
      <c r="BG200" s="131"/>
      <c r="BH200" s="131"/>
      <c r="BK200" s="199"/>
      <c r="BN200" s="182"/>
      <c r="CI200" s="182"/>
    </row>
    <row r="201" spans="1:92" s="141" customFormat="1" ht="30" hidden="1" customHeight="1">
      <c r="A201" s="131">
        <v>187</v>
      </c>
      <c r="B201" s="131" t="s">
        <v>4432</v>
      </c>
      <c r="C201" s="131">
        <v>1</v>
      </c>
      <c r="D201" s="131" t="s">
        <v>4433</v>
      </c>
      <c r="E201" s="131" t="s">
        <v>4433</v>
      </c>
      <c r="F201" s="210" t="s">
        <v>5086</v>
      </c>
      <c r="G201" s="131"/>
      <c r="H201" s="131"/>
      <c r="I201" s="131"/>
      <c r="J201" s="132" t="s">
        <v>5087</v>
      </c>
      <c r="K201" s="132"/>
      <c r="L201" s="132" t="s">
        <v>5088</v>
      </c>
      <c r="M201" s="131"/>
      <c r="N201" s="131"/>
      <c r="O201" s="199"/>
      <c r="P201" s="136"/>
      <c r="Q201" s="136"/>
      <c r="R201" s="136"/>
      <c r="S201" s="136"/>
      <c r="T201" s="136"/>
      <c r="U201" s="136"/>
      <c r="V201" s="136"/>
      <c r="W201" s="136"/>
      <c r="X201" s="136"/>
      <c r="Y201" s="136"/>
      <c r="Z201" s="136"/>
      <c r="AB201" s="132"/>
      <c r="AC201" s="132"/>
      <c r="AD201" s="132"/>
      <c r="AE201" s="131"/>
      <c r="AG201" s="196"/>
      <c r="AH201" s="196"/>
      <c r="AI201" s="131"/>
      <c r="AJ201" s="131"/>
      <c r="AK201" s="131"/>
      <c r="AP201" s="132"/>
      <c r="AU201" s="199"/>
      <c r="AX201" s="199"/>
      <c r="AY201" s="136"/>
      <c r="AZ201" s="136"/>
      <c r="BC201" s="197" t="str">
        <f t="shared" si="9"/>
        <v/>
      </c>
      <c r="BD201" s="131" t="str">
        <f t="shared" si="10"/>
        <v>INDENIZAÇÃO</v>
      </c>
      <c r="BE201" s="131" t="str">
        <f t="shared" si="11"/>
        <v>NÃO</v>
      </c>
      <c r="BF201" s="131"/>
      <c r="BG201" s="131"/>
      <c r="BH201" s="131"/>
      <c r="BK201" s="199"/>
      <c r="BN201" s="182"/>
      <c r="CI201" s="190"/>
      <c r="CJ201" s="183"/>
      <c r="CK201" s="183"/>
      <c r="CL201" s="183"/>
      <c r="CM201" s="183"/>
      <c r="CN201" s="182"/>
    </row>
    <row r="202" spans="1:92" s="141" customFormat="1" ht="30" hidden="1" customHeight="1">
      <c r="A202" s="131">
        <v>188</v>
      </c>
      <c r="B202" s="131" t="s">
        <v>4432</v>
      </c>
      <c r="C202" s="131">
        <v>1</v>
      </c>
      <c r="D202" s="131" t="s">
        <v>4433</v>
      </c>
      <c r="E202" s="131" t="s">
        <v>4433</v>
      </c>
      <c r="F202" s="210" t="s">
        <v>5089</v>
      </c>
      <c r="G202" s="131"/>
      <c r="H202" s="131"/>
      <c r="I202" s="131"/>
      <c r="J202" s="132" t="s">
        <v>5090</v>
      </c>
      <c r="K202" s="132"/>
      <c r="L202" s="132" t="s">
        <v>5091</v>
      </c>
      <c r="M202" s="131"/>
      <c r="N202" s="131"/>
      <c r="O202" s="199"/>
      <c r="P202" s="136"/>
      <c r="Q202" s="136"/>
      <c r="R202" s="136"/>
      <c r="S202" s="136"/>
      <c r="T202" s="136"/>
      <c r="U202" s="136"/>
      <c r="V202" s="136"/>
      <c r="W202" s="136"/>
      <c r="X202" s="136"/>
      <c r="Y202" s="136"/>
      <c r="Z202" s="136"/>
      <c r="AB202" s="132"/>
      <c r="AC202" s="132"/>
      <c r="AD202" s="132"/>
      <c r="AE202" s="131"/>
      <c r="AG202" s="196"/>
      <c r="AH202" s="196"/>
      <c r="AI202" s="131"/>
      <c r="AJ202" s="131"/>
      <c r="AK202" s="131"/>
      <c r="AP202" s="132"/>
      <c r="AU202" s="199"/>
      <c r="AX202" s="199"/>
      <c r="AY202" s="136"/>
      <c r="AZ202" s="136"/>
      <c r="BC202" s="197" t="str">
        <f t="shared" si="9"/>
        <v/>
      </c>
      <c r="BD202" s="131" t="str">
        <f t="shared" si="10"/>
        <v>INDENIZAÇÃO</v>
      </c>
      <c r="BE202" s="131" t="str">
        <f t="shared" si="11"/>
        <v>NÃO</v>
      </c>
      <c r="BF202" s="131"/>
      <c r="BG202" s="131"/>
      <c r="BH202" s="131"/>
      <c r="BK202" s="199"/>
      <c r="BN202" s="182"/>
      <c r="CI202" s="189"/>
      <c r="CJ202" s="184"/>
      <c r="CK202" s="184"/>
      <c r="CL202" s="184"/>
      <c r="CM202" s="184"/>
    </row>
    <row r="203" spans="1:92" s="141" customFormat="1" ht="30" hidden="1" customHeight="1">
      <c r="A203" s="131">
        <v>189</v>
      </c>
      <c r="B203" s="131" t="s">
        <v>4432</v>
      </c>
      <c r="C203" s="131">
        <v>1</v>
      </c>
      <c r="D203" s="131" t="s">
        <v>4433</v>
      </c>
      <c r="E203" s="131" t="s">
        <v>4433</v>
      </c>
      <c r="F203" s="210" t="s">
        <v>5092</v>
      </c>
      <c r="G203" s="131"/>
      <c r="H203" s="131"/>
      <c r="I203" s="131"/>
      <c r="J203" s="132" t="s">
        <v>5093</v>
      </c>
      <c r="K203" s="132"/>
      <c r="L203" s="132" t="s">
        <v>5094</v>
      </c>
      <c r="M203" s="131"/>
      <c r="N203" s="131"/>
      <c r="O203" s="199"/>
      <c r="P203" s="136"/>
      <c r="Q203" s="136"/>
      <c r="R203" s="136"/>
      <c r="S203" s="136"/>
      <c r="T203" s="136"/>
      <c r="U203" s="136"/>
      <c r="V203" s="136"/>
      <c r="W203" s="136"/>
      <c r="X203" s="136"/>
      <c r="Y203" s="136"/>
      <c r="Z203" s="136"/>
      <c r="AB203" s="132"/>
      <c r="AC203" s="132"/>
      <c r="AD203" s="132"/>
      <c r="AE203" s="131"/>
      <c r="AG203" s="196"/>
      <c r="AH203" s="196"/>
      <c r="AI203" s="131"/>
      <c r="AJ203" s="131"/>
      <c r="AK203" s="131"/>
      <c r="AP203" s="132"/>
      <c r="AU203" s="199"/>
      <c r="AX203" s="199"/>
      <c r="AY203" s="136"/>
      <c r="AZ203" s="136"/>
      <c r="BC203" s="197" t="str">
        <f t="shared" si="9"/>
        <v/>
      </c>
      <c r="BD203" s="131" t="str">
        <f t="shared" si="10"/>
        <v>INDENIZAÇÃO</v>
      </c>
      <c r="BE203" s="131" t="str">
        <f t="shared" si="11"/>
        <v>NÃO</v>
      </c>
      <c r="BF203" s="131"/>
      <c r="BG203" s="131"/>
      <c r="BH203" s="131"/>
      <c r="BK203" s="199"/>
      <c r="BN203" s="182"/>
      <c r="CI203" s="182"/>
      <c r="CN203" s="182"/>
    </row>
    <row r="204" spans="1:92" s="141" customFormat="1" ht="30" customHeight="1">
      <c r="A204" s="131">
        <v>190</v>
      </c>
      <c r="B204" s="131" t="s">
        <v>4432</v>
      </c>
      <c r="C204" s="131">
        <v>1</v>
      </c>
      <c r="D204" s="131" t="s">
        <v>4433</v>
      </c>
      <c r="E204" s="131" t="s">
        <v>4433</v>
      </c>
      <c r="F204" s="210" t="s">
        <v>5095</v>
      </c>
      <c r="G204" s="131" t="s">
        <v>4339</v>
      </c>
      <c r="H204" s="131" t="s">
        <v>4340</v>
      </c>
      <c r="I204" s="131" t="s">
        <v>4350</v>
      </c>
      <c r="J204" s="132" t="s">
        <v>5096</v>
      </c>
      <c r="K204" s="132" t="s">
        <v>5097</v>
      </c>
      <c r="L204" s="132" t="s">
        <v>5098</v>
      </c>
      <c r="M204" s="131" t="s">
        <v>4342</v>
      </c>
      <c r="N204" s="131" t="s">
        <v>4343</v>
      </c>
      <c r="O204" s="199">
        <v>46239</v>
      </c>
      <c r="P204" s="133" t="s">
        <v>4361</v>
      </c>
      <c r="Q204" s="133" t="s">
        <v>4361</v>
      </c>
      <c r="R204" s="133" t="s">
        <v>4361</v>
      </c>
      <c r="S204" s="133" t="s">
        <v>4361</v>
      </c>
      <c r="T204" s="133" t="s">
        <v>4361</v>
      </c>
      <c r="U204" s="133" t="s">
        <v>4361</v>
      </c>
      <c r="V204" s="133" t="s">
        <v>4361</v>
      </c>
      <c r="W204" s="133" t="s">
        <v>4361</v>
      </c>
      <c r="X204" s="133" t="s">
        <v>4361</v>
      </c>
      <c r="Y204" s="133" t="s">
        <v>4361</v>
      </c>
      <c r="Z204" s="133" t="s">
        <v>4361</v>
      </c>
      <c r="AB204" s="132" t="s">
        <v>5096</v>
      </c>
      <c r="AC204" s="132" t="s">
        <v>5097</v>
      </c>
      <c r="AD204" s="132" t="s">
        <v>5098</v>
      </c>
      <c r="AE204" s="131" t="s">
        <v>4350</v>
      </c>
      <c r="AF204" s="141" t="s">
        <v>4534</v>
      </c>
      <c r="AG204" s="196">
        <v>22430.83</v>
      </c>
      <c r="AH204" s="196">
        <v>52430.83</v>
      </c>
      <c r="AI204" s="131" t="s">
        <v>4344</v>
      </c>
      <c r="AJ204" s="132" t="s">
        <v>4616</v>
      </c>
      <c r="AK204" s="131">
        <v>146122917</v>
      </c>
      <c r="AL204" s="141" t="s">
        <v>5099</v>
      </c>
      <c r="AM204" s="141" t="s">
        <v>4442</v>
      </c>
      <c r="AN204" s="141" t="s">
        <v>5100</v>
      </c>
      <c r="AO204" s="201"/>
      <c r="AP204" s="132"/>
      <c r="AU204" s="199"/>
      <c r="AX204" s="136"/>
      <c r="AY204" s="136"/>
      <c r="BC204" s="197" t="str">
        <f t="shared" si="9"/>
        <v/>
      </c>
      <c r="BD204" s="131" t="str">
        <f t="shared" si="10"/>
        <v>INDENIZAÇÃO</v>
      </c>
      <c r="BE204" s="131" t="str">
        <f t="shared" si="11"/>
        <v>NÃO</v>
      </c>
      <c r="BF204" s="131"/>
      <c r="BG204" s="131"/>
      <c r="BH204" s="131"/>
      <c r="BN204" s="182"/>
      <c r="CI204" s="182"/>
      <c r="CN204" s="182"/>
    </row>
    <row r="205" spans="1:92" s="141" customFormat="1" ht="30" hidden="1" customHeight="1">
      <c r="A205" s="131">
        <v>191</v>
      </c>
      <c r="B205" s="131" t="s">
        <v>4432</v>
      </c>
      <c r="C205" s="131">
        <v>1</v>
      </c>
      <c r="D205" s="131" t="s">
        <v>4433</v>
      </c>
      <c r="E205" s="131" t="s">
        <v>4433</v>
      </c>
      <c r="F205" s="210" t="s">
        <v>5101</v>
      </c>
      <c r="G205" s="131" t="s">
        <v>4339</v>
      </c>
      <c r="H205" s="131" t="s">
        <v>4340</v>
      </c>
      <c r="I205" s="131" t="s">
        <v>4350</v>
      </c>
      <c r="J205" s="132" t="s">
        <v>5102</v>
      </c>
      <c r="K205" s="132" t="s">
        <v>5103</v>
      </c>
      <c r="L205" s="132" t="s">
        <v>5104</v>
      </c>
      <c r="M205" s="131" t="s">
        <v>4534</v>
      </c>
      <c r="N205" s="131" t="s">
        <v>4343</v>
      </c>
      <c r="O205" s="199">
        <v>46076</v>
      </c>
      <c r="P205" s="133" t="s">
        <v>4361</v>
      </c>
      <c r="Q205" s="133" t="s">
        <v>4361</v>
      </c>
      <c r="R205" s="133" t="s">
        <v>4361</v>
      </c>
      <c r="S205" s="133" t="s">
        <v>4361</v>
      </c>
      <c r="T205" s="133" t="s">
        <v>4361</v>
      </c>
      <c r="U205" s="133" t="s">
        <v>4361</v>
      </c>
      <c r="V205" s="133" t="s">
        <v>4361</v>
      </c>
      <c r="W205" s="133" t="s">
        <v>4361</v>
      </c>
      <c r="X205" s="133" t="s">
        <v>4361</v>
      </c>
      <c r="Y205" s="133" t="s">
        <v>4361</v>
      </c>
      <c r="Z205" s="133" t="s">
        <v>4361</v>
      </c>
      <c r="AB205" s="132" t="s">
        <v>5102</v>
      </c>
      <c r="AC205" s="132" t="s">
        <v>5103</v>
      </c>
      <c r="AD205" s="132" t="s">
        <v>5104</v>
      </c>
      <c r="AE205" s="131" t="s">
        <v>4350</v>
      </c>
      <c r="AF205" s="141" t="s">
        <v>4534</v>
      </c>
      <c r="AG205" s="196">
        <v>37216</v>
      </c>
      <c r="AH205" s="196">
        <v>60000</v>
      </c>
      <c r="AI205" s="131" t="s">
        <v>4344</v>
      </c>
      <c r="AJ205" s="132" t="s">
        <v>4616</v>
      </c>
      <c r="AK205" s="131">
        <v>146124407</v>
      </c>
      <c r="AL205" s="141" t="s">
        <v>4442</v>
      </c>
      <c r="AM205" s="131" t="s">
        <v>4442</v>
      </c>
      <c r="AN205" s="141" t="s">
        <v>4443</v>
      </c>
      <c r="AO205" s="201"/>
      <c r="AP205" s="132" t="s">
        <v>5105</v>
      </c>
      <c r="AQ205" s="141" t="s">
        <v>4442</v>
      </c>
      <c r="AR205" s="141" t="s">
        <v>4442</v>
      </c>
      <c r="AS205" s="141" t="s">
        <v>4442</v>
      </c>
      <c r="AT205" s="141" t="s">
        <v>4442</v>
      </c>
      <c r="AU205" s="199">
        <v>46191</v>
      </c>
      <c r="AV205" s="141" t="s">
        <v>4442</v>
      </c>
      <c r="AW205" s="141" t="s">
        <v>4442</v>
      </c>
      <c r="AX205" s="199">
        <v>46199</v>
      </c>
      <c r="AY205" s="220">
        <v>46199</v>
      </c>
      <c r="AZ205" s="137" t="s">
        <v>4370</v>
      </c>
      <c r="BA205" s="137" t="s">
        <v>4339</v>
      </c>
      <c r="BB205" s="141" t="s">
        <v>4442</v>
      </c>
      <c r="BC205" s="197">
        <f t="shared" si="9"/>
        <v>123</v>
      </c>
      <c r="BD205" s="131" t="str">
        <f t="shared" si="10"/>
        <v>INDENIZAÇÃO</v>
      </c>
      <c r="BE205" s="131" t="str">
        <f t="shared" si="11"/>
        <v>NÃO</v>
      </c>
      <c r="BF205" s="131" t="s">
        <v>4361</v>
      </c>
      <c r="BG205" s="131" t="s">
        <v>4361</v>
      </c>
      <c r="BH205" s="131" t="s">
        <v>4361</v>
      </c>
      <c r="BI205" s="137" t="s">
        <v>4446</v>
      </c>
      <c r="BJ205" s="137"/>
      <c r="BK205" s="255"/>
      <c r="BL205" s="137"/>
      <c r="BM205" s="137"/>
      <c r="BN205" s="182"/>
      <c r="CI205" s="182"/>
      <c r="CN205" s="182"/>
    </row>
    <row r="206" spans="1:92" s="141" customFormat="1" ht="30" hidden="1" customHeight="1">
      <c r="A206" s="131">
        <v>192</v>
      </c>
      <c r="B206" s="131" t="s">
        <v>4432</v>
      </c>
      <c r="C206" s="131">
        <v>1</v>
      </c>
      <c r="D206" s="131" t="s">
        <v>4433</v>
      </c>
      <c r="E206" s="131" t="s">
        <v>4433</v>
      </c>
      <c r="F206" s="210" t="s">
        <v>5106</v>
      </c>
      <c r="G206" s="131" t="s">
        <v>4348</v>
      </c>
      <c r="H206" s="131"/>
      <c r="I206" s="131"/>
      <c r="J206" s="132" t="s">
        <v>4628</v>
      </c>
      <c r="K206" s="132"/>
      <c r="L206" s="132" t="s">
        <v>4628</v>
      </c>
      <c r="M206" s="131"/>
      <c r="N206" s="131"/>
      <c r="O206" s="199"/>
      <c r="P206" s="136"/>
      <c r="Q206" s="136"/>
      <c r="R206" s="136"/>
      <c r="S206" s="136"/>
      <c r="T206" s="136"/>
      <c r="U206" s="136"/>
      <c r="V206" s="136"/>
      <c r="W206" s="136"/>
      <c r="X206" s="136"/>
      <c r="Y206" s="136"/>
      <c r="Z206" s="136"/>
      <c r="AB206" s="132"/>
      <c r="AC206" s="132"/>
      <c r="AD206" s="132"/>
      <c r="AE206" s="131"/>
      <c r="AG206" s="196"/>
      <c r="AH206" s="196"/>
      <c r="AI206" s="131"/>
      <c r="AJ206" s="131"/>
      <c r="AK206" s="131"/>
      <c r="AP206" s="132"/>
      <c r="AU206" s="199"/>
      <c r="AX206" s="199"/>
      <c r="AY206" s="136"/>
      <c r="AZ206" s="136"/>
      <c r="BC206" s="197" t="str">
        <f t="shared" si="9"/>
        <v/>
      </c>
      <c r="BD206" s="131" t="str">
        <f t="shared" si="10"/>
        <v>INDENIZAÇÃO</v>
      </c>
      <c r="BE206" s="131" t="str">
        <f t="shared" si="11"/>
        <v>NÃO</v>
      </c>
      <c r="BF206" s="131"/>
      <c r="BG206" s="131"/>
      <c r="BH206" s="131"/>
      <c r="BK206" s="199"/>
      <c r="BN206" s="182"/>
      <c r="CI206" s="182"/>
      <c r="CN206" s="182"/>
    </row>
    <row r="207" spans="1:92" s="141" customFormat="1" ht="30" hidden="1" customHeight="1">
      <c r="A207" s="131">
        <v>193</v>
      </c>
      <c r="B207" s="131" t="s">
        <v>4432</v>
      </c>
      <c r="C207" s="131">
        <v>1</v>
      </c>
      <c r="D207" s="131" t="s">
        <v>4433</v>
      </c>
      <c r="E207" s="131" t="s">
        <v>4433</v>
      </c>
      <c r="F207" s="210" t="s">
        <v>5107</v>
      </c>
      <c r="G207" s="131"/>
      <c r="H207" s="131"/>
      <c r="I207" s="131"/>
      <c r="J207" s="132" t="s">
        <v>5108</v>
      </c>
      <c r="K207" s="132"/>
      <c r="L207" s="132" t="s">
        <v>5109</v>
      </c>
      <c r="M207" s="131"/>
      <c r="N207" s="131"/>
      <c r="O207" s="199"/>
      <c r="P207" s="136"/>
      <c r="Q207" s="136"/>
      <c r="R207" s="136"/>
      <c r="S207" s="136"/>
      <c r="T207" s="136"/>
      <c r="U207" s="136"/>
      <c r="V207" s="136"/>
      <c r="W207" s="136"/>
      <c r="X207" s="136"/>
      <c r="Y207" s="136"/>
      <c r="Z207" s="136"/>
      <c r="AB207" s="132"/>
      <c r="AC207" s="132"/>
      <c r="AD207" s="132"/>
      <c r="AE207" s="131"/>
      <c r="AG207" s="196"/>
      <c r="AH207" s="196"/>
      <c r="AI207" s="131"/>
      <c r="AJ207" s="131"/>
      <c r="AK207" s="131"/>
      <c r="AP207" s="132"/>
      <c r="AU207" s="199"/>
      <c r="AX207" s="199"/>
      <c r="AY207" s="136"/>
      <c r="BC207" s="197" t="str">
        <f t="shared" si="9"/>
        <v/>
      </c>
      <c r="BD207" s="131" t="str">
        <f t="shared" si="10"/>
        <v>INDENIZAÇÃO</v>
      </c>
      <c r="BE207" s="131" t="str">
        <f t="shared" si="11"/>
        <v>NÃO</v>
      </c>
      <c r="BF207" s="131"/>
      <c r="BG207" s="131"/>
      <c r="BH207" s="131"/>
      <c r="BK207" s="199"/>
      <c r="BN207" s="182"/>
      <c r="CI207" s="192"/>
      <c r="CJ207" s="158"/>
      <c r="CK207" s="158"/>
      <c r="CL207" s="158"/>
      <c r="CM207" s="158"/>
    </row>
    <row r="208" spans="1:92" s="141" customFormat="1" ht="30" hidden="1" customHeight="1">
      <c r="A208" s="131">
        <v>194</v>
      </c>
      <c r="B208" s="131" t="s">
        <v>4432</v>
      </c>
      <c r="C208" s="131">
        <v>1</v>
      </c>
      <c r="D208" s="131" t="s">
        <v>4433</v>
      </c>
      <c r="E208" s="131" t="s">
        <v>4433</v>
      </c>
      <c r="F208" s="210" t="s">
        <v>5110</v>
      </c>
      <c r="G208" s="131"/>
      <c r="H208" s="131"/>
      <c r="I208" s="131"/>
      <c r="J208" s="132" t="s">
        <v>5111</v>
      </c>
      <c r="K208" s="132"/>
      <c r="L208" s="132" t="s">
        <v>5112</v>
      </c>
      <c r="M208" s="131"/>
      <c r="N208" s="131"/>
      <c r="O208" s="199"/>
      <c r="P208" s="136"/>
      <c r="Q208" s="136"/>
      <c r="R208" s="136"/>
      <c r="S208" s="136"/>
      <c r="T208" s="136"/>
      <c r="U208" s="136"/>
      <c r="V208" s="136"/>
      <c r="W208" s="136"/>
      <c r="X208" s="136"/>
      <c r="Y208" s="136"/>
      <c r="Z208" s="136"/>
      <c r="AB208" s="132"/>
      <c r="AC208" s="132"/>
      <c r="AD208" s="132"/>
      <c r="AE208" s="131"/>
      <c r="AG208" s="196"/>
      <c r="AH208" s="196"/>
      <c r="AI208" s="131"/>
      <c r="AJ208" s="131"/>
      <c r="AK208" s="131"/>
      <c r="AO208" s="201"/>
      <c r="AP208" s="132"/>
      <c r="BC208" s="197" t="str">
        <f t="shared" si="9"/>
        <v/>
      </c>
      <c r="BD208" s="131" t="str">
        <f t="shared" si="10"/>
        <v>INDENIZAÇÃO</v>
      </c>
      <c r="BE208" s="131" t="str">
        <f t="shared" si="11"/>
        <v>NÃO</v>
      </c>
      <c r="BG208" s="199"/>
      <c r="BH208" s="199"/>
      <c r="BN208" s="182"/>
      <c r="CI208" s="190"/>
      <c r="CJ208" s="183"/>
      <c r="CK208" s="183"/>
      <c r="CL208" s="183"/>
      <c r="CM208" s="183"/>
    </row>
    <row r="209" spans="1:92" s="141" customFormat="1" ht="30" hidden="1" customHeight="1">
      <c r="A209" s="131">
        <v>195</v>
      </c>
      <c r="B209" s="131" t="s">
        <v>4432</v>
      </c>
      <c r="C209" s="131">
        <v>1</v>
      </c>
      <c r="D209" s="131" t="s">
        <v>4433</v>
      </c>
      <c r="E209" s="131" t="s">
        <v>4433</v>
      </c>
      <c r="F209" s="210" t="s">
        <v>5113</v>
      </c>
      <c r="G209" s="131"/>
      <c r="H209" s="131"/>
      <c r="I209" s="131"/>
      <c r="J209" s="132" t="s">
        <v>5114</v>
      </c>
      <c r="K209" s="132"/>
      <c r="L209" s="132" t="s">
        <v>5115</v>
      </c>
      <c r="M209" s="131"/>
      <c r="N209" s="131"/>
      <c r="O209" s="199"/>
      <c r="P209" s="136"/>
      <c r="Q209" s="136"/>
      <c r="R209" s="136"/>
      <c r="S209" s="136"/>
      <c r="T209" s="136"/>
      <c r="U209" s="136"/>
      <c r="V209" s="136"/>
      <c r="W209" s="136"/>
      <c r="X209" s="136"/>
      <c r="Y209" s="136"/>
      <c r="Z209" s="136"/>
      <c r="AB209" s="132"/>
      <c r="AC209" s="132"/>
      <c r="AD209" s="132"/>
      <c r="AE209" s="131"/>
      <c r="AG209" s="196"/>
      <c r="AH209" s="196"/>
      <c r="AI209" s="131"/>
      <c r="AJ209" s="131"/>
      <c r="AK209" s="131"/>
      <c r="AP209" s="132"/>
      <c r="AU209" s="199"/>
      <c r="AX209" s="199"/>
      <c r="AY209" s="136"/>
      <c r="AZ209" s="136"/>
      <c r="BC209" s="197" t="str">
        <f t="shared" si="9"/>
        <v/>
      </c>
      <c r="BD209" s="131" t="str">
        <f t="shared" si="10"/>
        <v>INDENIZAÇÃO</v>
      </c>
      <c r="BE209" s="131" t="str">
        <f t="shared" si="11"/>
        <v>NÃO</v>
      </c>
      <c r="BF209" s="131"/>
      <c r="BG209" s="131"/>
      <c r="BH209" s="131"/>
      <c r="BK209" s="199"/>
      <c r="BN209" s="182"/>
      <c r="CI209" s="192"/>
      <c r="CJ209" s="158"/>
      <c r="CK209" s="158"/>
      <c r="CL209" s="158"/>
      <c r="CM209" s="158"/>
    </row>
    <row r="210" spans="1:92" s="141" customFormat="1" ht="30" hidden="1" customHeight="1">
      <c r="A210" s="131">
        <v>196</v>
      </c>
      <c r="B210" s="131" t="s">
        <v>4432</v>
      </c>
      <c r="C210" s="131">
        <v>1</v>
      </c>
      <c r="D210" s="131" t="s">
        <v>4433</v>
      </c>
      <c r="E210" s="131" t="s">
        <v>4433</v>
      </c>
      <c r="F210" s="210" t="s">
        <v>5116</v>
      </c>
      <c r="G210" s="131" t="s">
        <v>4348</v>
      </c>
      <c r="H210" s="131"/>
      <c r="I210" s="131"/>
      <c r="J210" s="132" t="s">
        <v>4628</v>
      </c>
      <c r="K210" s="132"/>
      <c r="L210" s="132" t="s">
        <v>4628</v>
      </c>
      <c r="M210" s="131"/>
      <c r="N210" s="131"/>
      <c r="O210" s="199"/>
      <c r="P210" s="136"/>
      <c r="Q210" s="136"/>
      <c r="R210" s="136"/>
      <c r="S210" s="136"/>
      <c r="T210" s="136"/>
      <c r="U210" s="136"/>
      <c r="V210" s="136"/>
      <c r="W210" s="136"/>
      <c r="X210" s="136"/>
      <c r="Y210" s="136"/>
      <c r="Z210" s="136"/>
      <c r="AB210" s="132"/>
      <c r="AC210" s="132"/>
      <c r="AD210" s="132"/>
      <c r="AE210" s="131"/>
      <c r="AG210" s="196"/>
      <c r="AH210" s="196"/>
      <c r="AI210" s="131"/>
      <c r="AJ210" s="131"/>
      <c r="AK210" s="131"/>
      <c r="AP210" s="132"/>
      <c r="AU210" s="199"/>
      <c r="AX210" s="199"/>
      <c r="AY210" s="136"/>
      <c r="AZ210" s="136"/>
      <c r="BC210" s="197" t="str">
        <f t="shared" si="9"/>
        <v/>
      </c>
      <c r="BD210" s="131" t="str">
        <f t="shared" si="10"/>
        <v>INDENIZAÇÃO</v>
      </c>
      <c r="BE210" s="131" t="str">
        <f t="shared" si="11"/>
        <v>NÃO</v>
      </c>
      <c r="BF210" s="131"/>
      <c r="BG210" s="131"/>
      <c r="BH210" s="131"/>
      <c r="BK210" s="199"/>
      <c r="BN210" s="182"/>
      <c r="CI210" s="190"/>
      <c r="CJ210" s="183"/>
      <c r="CK210" s="183"/>
      <c r="CL210" s="183"/>
      <c r="CM210" s="183"/>
    </row>
    <row r="211" spans="1:92" s="141" customFormat="1" ht="30" hidden="1" customHeight="1">
      <c r="A211" s="131">
        <v>197</v>
      </c>
      <c r="B211" s="131" t="s">
        <v>4432</v>
      </c>
      <c r="C211" s="131">
        <v>1</v>
      </c>
      <c r="D211" s="131" t="s">
        <v>4433</v>
      </c>
      <c r="E211" s="131" t="s">
        <v>4433</v>
      </c>
      <c r="F211" s="210" t="s">
        <v>5117</v>
      </c>
      <c r="G211" s="131"/>
      <c r="H211" s="131"/>
      <c r="I211" s="131"/>
      <c r="J211" s="132" t="s">
        <v>5118</v>
      </c>
      <c r="K211" s="132"/>
      <c r="L211" s="132" t="s">
        <v>5119</v>
      </c>
      <c r="M211" s="131"/>
      <c r="N211" s="131"/>
      <c r="O211" s="199"/>
      <c r="P211" s="136"/>
      <c r="Q211" s="131"/>
      <c r="R211" s="136"/>
      <c r="S211" s="136"/>
      <c r="T211" s="136"/>
      <c r="U211" s="136"/>
      <c r="V211" s="136"/>
      <c r="W211" s="136"/>
      <c r="X211" s="136"/>
      <c r="Y211" s="136"/>
      <c r="Z211" s="136"/>
      <c r="AB211" s="132"/>
      <c r="AC211" s="132"/>
      <c r="AD211" s="132"/>
      <c r="AE211" s="131"/>
      <c r="AG211" s="196"/>
      <c r="AH211" s="196"/>
      <c r="AI211" s="131"/>
      <c r="AJ211" s="131"/>
      <c r="AK211" s="131"/>
      <c r="AP211" s="132"/>
      <c r="BC211" s="197" t="str">
        <f t="shared" si="9"/>
        <v/>
      </c>
      <c r="BD211" s="131" t="str">
        <f t="shared" si="10"/>
        <v>INDENIZAÇÃO</v>
      </c>
      <c r="BE211" s="131" t="str">
        <f t="shared" si="11"/>
        <v>NÃO</v>
      </c>
      <c r="BG211" s="199"/>
      <c r="BH211" s="199"/>
      <c r="BN211" s="182"/>
      <c r="CI211" s="189"/>
      <c r="CJ211" s="184"/>
      <c r="CK211" s="184"/>
      <c r="CL211" s="184"/>
      <c r="CM211" s="184"/>
    </row>
    <row r="212" spans="1:92" s="141" customFormat="1" ht="30" hidden="1" customHeight="1">
      <c r="A212" s="131">
        <v>198</v>
      </c>
      <c r="B212" s="131" t="s">
        <v>4432</v>
      </c>
      <c r="C212" s="131">
        <v>1</v>
      </c>
      <c r="D212" s="131" t="s">
        <v>4433</v>
      </c>
      <c r="E212" s="131" t="s">
        <v>4433</v>
      </c>
      <c r="F212" s="210" t="s">
        <v>5120</v>
      </c>
      <c r="G212" s="131"/>
      <c r="H212" s="131"/>
      <c r="I212" s="131"/>
      <c r="J212" s="132" t="s">
        <v>5121</v>
      </c>
      <c r="K212" s="132"/>
      <c r="L212" s="132" t="s">
        <v>5122</v>
      </c>
      <c r="M212" s="131"/>
      <c r="N212" s="131"/>
      <c r="O212" s="199"/>
      <c r="P212" s="136"/>
      <c r="Q212" s="136"/>
      <c r="R212" s="136"/>
      <c r="S212" s="136"/>
      <c r="T212" s="136"/>
      <c r="U212" s="136"/>
      <c r="V212" s="136"/>
      <c r="W212" s="136"/>
      <c r="X212" s="136"/>
      <c r="Y212" s="136"/>
      <c r="Z212" s="136"/>
      <c r="AB212" s="132"/>
      <c r="AC212" s="132"/>
      <c r="AD212" s="132"/>
      <c r="AE212" s="131"/>
      <c r="AG212" s="196"/>
      <c r="AH212" s="196"/>
      <c r="AI212" s="131"/>
      <c r="AJ212" s="131"/>
      <c r="AK212" s="131"/>
      <c r="AP212" s="132"/>
      <c r="AU212" s="199"/>
      <c r="AX212" s="199"/>
      <c r="AY212" s="205"/>
      <c r="AZ212" s="205"/>
      <c r="BC212" s="197" t="str">
        <f t="shared" si="9"/>
        <v/>
      </c>
      <c r="BD212" s="131" t="str">
        <f t="shared" si="10"/>
        <v>INDENIZAÇÃO</v>
      </c>
      <c r="BE212" s="131" t="str">
        <f t="shared" si="11"/>
        <v>NÃO</v>
      </c>
      <c r="BF212" s="131"/>
      <c r="BG212" s="131"/>
      <c r="BH212" s="131"/>
      <c r="BK212" s="136"/>
      <c r="BN212" s="182"/>
      <c r="CI212" s="189"/>
      <c r="CJ212" s="184"/>
      <c r="CK212" s="184"/>
      <c r="CL212" s="184"/>
      <c r="CM212" s="184"/>
    </row>
    <row r="213" spans="1:92" s="141" customFormat="1" ht="30" hidden="1" customHeight="1">
      <c r="A213" s="131">
        <v>199</v>
      </c>
      <c r="B213" s="131" t="s">
        <v>4432</v>
      </c>
      <c r="C213" s="131">
        <v>1</v>
      </c>
      <c r="D213" s="131" t="s">
        <v>4433</v>
      </c>
      <c r="E213" s="131" t="s">
        <v>4433</v>
      </c>
      <c r="F213" s="210" t="s">
        <v>5123</v>
      </c>
      <c r="G213" s="131" t="s">
        <v>4339</v>
      </c>
      <c r="H213" s="131" t="s">
        <v>4340</v>
      </c>
      <c r="I213" s="131" t="s">
        <v>4624</v>
      </c>
      <c r="J213" s="132" t="s">
        <v>5124</v>
      </c>
      <c r="K213" s="132"/>
      <c r="L213" s="132" t="s">
        <v>5125</v>
      </c>
      <c r="M213" s="131"/>
      <c r="N213" s="131"/>
      <c r="O213" s="199"/>
      <c r="P213" s="136"/>
      <c r="Q213" s="136"/>
      <c r="R213" s="136"/>
      <c r="S213" s="136"/>
      <c r="T213" s="136"/>
      <c r="U213" s="136"/>
      <c r="V213" s="136"/>
      <c r="W213" s="136"/>
      <c r="X213" s="136"/>
      <c r="Y213" s="136"/>
      <c r="Z213" s="136"/>
      <c r="AB213" s="132"/>
      <c r="AC213" s="132"/>
      <c r="AD213" s="132"/>
      <c r="AE213" s="131"/>
      <c r="AG213" s="196"/>
      <c r="AH213" s="196"/>
      <c r="AI213" s="131"/>
      <c r="AJ213" s="131"/>
      <c r="AK213" s="131"/>
      <c r="AP213" s="132"/>
      <c r="AU213" s="199"/>
      <c r="AX213" s="199"/>
      <c r="AY213" s="136"/>
      <c r="BC213" s="197" t="str">
        <f t="shared" si="9"/>
        <v/>
      </c>
      <c r="BD213" s="131" t="str">
        <f t="shared" si="10"/>
        <v>INDENIZAÇÃO</v>
      </c>
      <c r="BE213" s="131" t="str">
        <f t="shared" si="11"/>
        <v>NÃO</v>
      </c>
      <c r="BF213" s="131"/>
      <c r="BG213" s="131"/>
      <c r="BH213" s="131"/>
      <c r="BK213" s="136"/>
      <c r="BN213" s="182"/>
      <c r="CI213" s="182"/>
      <c r="CN213" s="182"/>
    </row>
    <row r="214" spans="1:92" s="141" customFormat="1" ht="30" hidden="1" customHeight="1">
      <c r="A214" s="131">
        <v>200</v>
      </c>
      <c r="B214" s="131" t="s">
        <v>4432</v>
      </c>
      <c r="C214" s="131">
        <v>1</v>
      </c>
      <c r="D214" s="131" t="s">
        <v>4433</v>
      </c>
      <c r="E214" s="131" t="s">
        <v>4433</v>
      </c>
      <c r="F214" s="210" t="s">
        <v>5126</v>
      </c>
      <c r="G214" s="131" t="s">
        <v>4348</v>
      </c>
      <c r="H214" s="131"/>
      <c r="I214" s="131"/>
      <c r="J214" s="132" t="s">
        <v>4628</v>
      </c>
      <c r="K214" s="132"/>
      <c r="L214" s="132" t="s">
        <v>4628</v>
      </c>
      <c r="M214" s="131"/>
      <c r="N214" s="131"/>
      <c r="O214" s="199"/>
      <c r="P214" s="136"/>
      <c r="Q214" s="136"/>
      <c r="R214" s="136"/>
      <c r="S214" s="136"/>
      <c r="T214" s="136"/>
      <c r="U214" s="136"/>
      <c r="V214" s="136"/>
      <c r="W214" s="136"/>
      <c r="X214" s="136"/>
      <c r="Y214" s="136"/>
      <c r="Z214" s="136"/>
      <c r="AB214" s="132"/>
      <c r="AC214" s="132"/>
      <c r="AD214" s="132"/>
      <c r="AE214" s="131"/>
      <c r="AG214" s="196"/>
      <c r="AH214" s="206"/>
      <c r="AI214" s="131"/>
      <c r="AJ214" s="131"/>
      <c r="AK214" s="131"/>
      <c r="AP214" s="132"/>
      <c r="AU214" s="199"/>
      <c r="AX214" s="199"/>
      <c r="AY214" s="136"/>
      <c r="BC214" s="197" t="str">
        <f t="shared" si="9"/>
        <v/>
      </c>
      <c r="BD214" s="131" t="str">
        <f t="shared" si="10"/>
        <v>INDENIZAÇÃO</v>
      </c>
      <c r="BE214" s="131" t="str">
        <f t="shared" si="11"/>
        <v>NÃO</v>
      </c>
      <c r="BF214" s="131"/>
      <c r="BG214" s="131"/>
      <c r="BH214" s="131"/>
      <c r="BK214" s="136"/>
      <c r="BN214" s="182"/>
      <c r="CI214" s="182"/>
    </row>
    <row r="215" spans="1:92" s="141" customFormat="1" ht="30" hidden="1" customHeight="1">
      <c r="A215" s="131">
        <v>201</v>
      </c>
      <c r="B215" s="131" t="s">
        <v>4432</v>
      </c>
      <c r="C215" s="131">
        <v>1</v>
      </c>
      <c r="D215" s="131" t="s">
        <v>4433</v>
      </c>
      <c r="E215" s="131" t="s">
        <v>4433</v>
      </c>
      <c r="F215" s="210" t="s">
        <v>5127</v>
      </c>
      <c r="G215" s="131"/>
      <c r="H215" s="131"/>
      <c r="I215" s="198"/>
      <c r="J215" s="132" t="s">
        <v>4628</v>
      </c>
      <c r="K215" s="132"/>
      <c r="L215" s="132" t="s">
        <v>4628</v>
      </c>
      <c r="M215" s="131"/>
      <c r="N215" s="131"/>
      <c r="O215" s="199"/>
      <c r="P215" s="136"/>
      <c r="Q215" s="136"/>
      <c r="R215" s="136"/>
      <c r="S215" s="136"/>
      <c r="T215" s="136"/>
      <c r="U215" s="136"/>
      <c r="V215" s="136"/>
      <c r="W215" s="136"/>
      <c r="X215" s="136"/>
      <c r="Y215" s="136"/>
      <c r="Z215" s="136"/>
      <c r="AB215" s="132"/>
      <c r="AC215" s="132"/>
      <c r="AD215" s="132"/>
      <c r="AE215" s="131"/>
      <c r="AG215" s="196"/>
      <c r="AH215" s="196"/>
      <c r="AI215" s="131"/>
      <c r="AJ215" s="131"/>
      <c r="AK215" s="131"/>
      <c r="AP215" s="132"/>
      <c r="AU215" s="199"/>
      <c r="AX215" s="199"/>
      <c r="AY215" s="136"/>
      <c r="BC215" s="197" t="str">
        <f t="shared" si="9"/>
        <v/>
      </c>
      <c r="BD215" s="131" t="str">
        <f t="shared" si="10"/>
        <v>INDENIZAÇÃO</v>
      </c>
      <c r="BE215" s="131" t="str">
        <f t="shared" si="11"/>
        <v>NÃO</v>
      </c>
      <c r="BN215" s="182"/>
      <c r="CI215" s="182"/>
    </row>
    <row r="216" spans="1:92" s="141" customFormat="1" ht="30" hidden="1" customHeight="1">
      <c r="A216" s="131">
        <v>202</v>
      </c>
      <c r="B216" s="131" t="s">
        <v>4432</v>
      </c>
      <c r="C216" s="131">
        <v>1</v>
      </c>
      <c r="D216" s="131" t="s">
        <v>4433</v>
      </c>
      <c r="E216" s="131" t="s">
        <v>4433</v>
      </c>
      <c r="F216" s="210" t="s">
        <v>5128</v>
      </c>
      <c r="G216" s="131"/>
      <c r="H216" s="131"/>
      <c r="I216" s="131"/>
      <c r="J216" s="132" t="s">
        <v>5129</v>
      </c>
      <c r="K216" s="132"/>
      <c r="L216" s="132" t="s">
        <v>5130</v>
      </c>
      <c r="M216" s="131"/>
      <c r="N216" s="131"/>
      <c r="O216" s="199"/>
      <c r="P216" s="136"/>
      <c r="Q216" s="136"/>
      <c r="R216" s="136"/>
      <c r="S216" s="136"/>
      <c r="T216" s="136"/>
      <c r="U216" s="136"/>
      <c r="V216" s="136"/>
      <c r="W216" s="136"/>
      <c r="X216" s="136"/>
      <c r="Y216" s="136"/>
      <c r="Z216" s="136"/>
      <c r="AB216" s="132"/>
      <c r="AC216" s="132"/>
      <c r="AD216" s="132"/>
      <c r="AE216" s="131"/>
      <c r="AG216" s="196"/>
      <c r="AH216" s="196"/>
      <c r="AI216" s="131"/>
      <c r="AJ216" s="131"/>
      <c r="AK216" s="131"/>
      <c r="AP216" s="132"/>
      <c r="AU216" s="199"/>
      <c r="AX216" s="199"/>
      <c r="AY216" s="136"/>
      <c r="BC216" s="197" t="str">
        <f t="shared" si="9"/>
        <v/>
      </c>
      <c r="BD216" s="131" t="str">
        <f t="shared" si="10"/>
        <v>INDENIZAÇÃO</v>
      </c>
      <c r="BE216" s="131" t="str">
        <f t="shared" si="11"/>
        <v>NÃO</v>
      </c>
      <c r="BF216" s="131"/>
      <c r="BG216" s="131"/>
      <c r="BH216" s="131"/>
      <c r="BK216" s="199"/>
      <c r="BN216" s="182"/>
      <c r="CI216" s="182"/>
    </row>
    <row r="217" spans="1:92" s="141" customFormat="1" ht="30" hidden="1" customHeight="1">
      <c r="A217" s="131">
        <v>203</v>
      </c>
      <c r="B217" s="131" t="s">
        <v>4432</v>
      </c>
      <c r="C217" s="131">
        <v>1</v>
      </c>
      <c r="D217" s="131" t="s">
        <v>4433</v>
      </c>
      <c r="E217" s="131" t="s">
        <v>4433</v>
      </c>
      <c r="F217" s="210" t="s">
        <v>5131</v>
      </c>
      <c r="G217" s="131"/>
      <c r="H217" s="131"/>
      <c r="I217" s="131"/>
      <c r="J217" s="132" t="s">
        <v>5132</v>
      </c>
      <c r="K217" s="132"/>
      <c r="L217" s="132" t="s">
        <v>5133</v>
      </c>
      <c r="M217" s="131"/>
      <c r="N217" s="131"/>
      <c r="O217" s="199"/>
      <c r="P217" s="136"/>
      <c r="Q217" s="136"/>
      <c r="R217" s="136"/>
      <c r="S217" s="136"/>
      <c r="T217" s="136"/>
      <c r="U217" s="136"/>
      <c r="V217" s="136"/>
      <c r="W217" s="136"/>
      <c r="X217" s="136"/>
      <c r="Y217" s="136"/>
      <c r="Z217" s="136"/>
      <c r="AB217" s="132"/>
      <c r="AC217" s="132"/>
      <c r="AD217" s="132"/>
      <c r="AE217" s="131"/>
      <c r="AG217" s="196"/>
      <c r="AH217" s="196"/>
      <c r="AI217" s="131"/>
      <c r="AJ217" s="131"/>
      <c r="AK217" s="131"/>
      <c r="AP217" s="132"/>
      <c r="AU217" s="199"/>
      <c r="AX217" s="199"/>
      <c r="AY217" s="136"/>
      <c r="BC217" s="197" t="str">
        <f t="shared" si="9"/>
        <v/>
      </c>
      <c r="BD217" s="131" t="str">
        <f t="shared" si="10"/>
        <v>INDENIZAÇÃO</v>
      </c>
      <c r="BE217" s="131" t="str">
        <f t="shared" si="11"/>
        <v>NÃO</v>
      </c>
      <c r="BF217" s="131"/>
      <c r="BG217" s="131"/>
      <c r="BH217" s="131"/>
      <c r="BK217" s="136"/>
      <c r="BN217" s="182"/>
      <c r="CI217" s="182"/>
    </row>
    <row r="218" spans="1:92" s="141" customFormat="1" ht="30" hidden="1" customHeight="1">
      <c r="A218" s="131">
        <v>72</v>
      </c>
      <c r="B218" s="131" t="s">
        <v>4432</v>
      </c>
      <c r="C218" s="131">
        <v>1</v>
      </c>
      <c r="D218" s="131" t="s">
        <v>4433</v>
      </c>
      <c r="E218" s="131" t="s">
        <v>4433</v>
      </c>
      <c r="F218" s="210" t="s">
        <v>5134</v>
      </c>
      <c r="G218" s="131" t="s">
        <v>4339</v>
      </c>
      <c r="H218" s="131" t="s">
        <v>4340</v>
      </c>
      <c r="I218" s="131" t="s">
        <v>4350</v>
      </c>
      <c r="J218" s="132" t="s">
        <v>5135</v>
      </c>
      <c r="K218" s="132" t="s">
        <v>5136</v>
      </c>
      <c r="L218" s="132" t="s">
        <v>5137</v>
      </c>
      <c r="M218" s="131" t="s">
        <v>4342</v>
      </c>
      <c r="N218" s="131" t="s">
        <v>4343</v>
      </c>
      <c r="O218" s="199">
        <v>46076</v>
      </c>
      <c r="P218" s="133" t="s">
        <v>4361</v>
      </c>
      <c r="Q218" s="133" t="s">
        <v>4361</v>
      </c>
      <c r="R218" s="133" t="s">
        <v>4361</v>
      </c>
      <c r="S218" s="133" t="s">
        <v>4361</v>
      </c>
      <c r="T218" s="133" t="s">
        <v>4361</v>
      </c>
      <c r="U218" s="133" t="s">
        <v>4361</v>
      </c>
      <c r="V218" s="133" t="s">
        <v>4361</v>
      </c>
      <c r="W218" s="133" t="s">
        <v>4361</v>
      </c>
      <c r="X218" s="133" t="s">
        <v>4361</v>
      </c>
      <c r="Y218" s="133" t="s">
        <v>4361</v>
      </c>
      <c r="Z218" s="133" t="s">
        <v>4361</v>
      </c>
      <c r="AB218" s="132" t="s">
        <v>5135</v>
      </c>
      <c r="AC218" s="132" t="s">
        <v>5136</v>
      </c>
      <c r="AD218" s="132" t="s">
        <v>5137</v>
      </c>
      <c r="AE218" s="131" t="s">
        <v>4350</v>
      </c>
      <c r="AF218" s="141" t="s">
        <v>4534</v>
      </c>
      <c r="AG218" s="196">
        <v>25553.85</v>
      </c>
      <c r="AH218" s="196">
        <v>55553.85</v>
      </c>
      <c r="AI218" s="131" t="s">
        <v>4344</v>
      </c>
      <c r="AJ218" s="132" t="s">
        <v>4616</v>
      </c>
      <c r="AK218" s="131">
        <v>145689011</v>
      </c>
      <c r="AL218" s="141" t="s">
        <v>4442</v>
      </c>
      <c r="AM218" s="131" t="s">
        <v>4442</v>
      </c>
      <c r="AN218" s="141" t="s">
        <v>4443</v>
      </c>
      <c r="AP218" s="132" t="s">
        <v>5138</v>
      </c>
      <c r="AQ218" s="141" t="s">
        <v>4442</v>
      </c>
      <c r="AR218" s="141" t="s">
        <v>4442</v>
      </c>
      <c r="AS218" s="141" t="s">
        <v>4442</v>
      </c>
      <c r="AT218" s="141" t="s">
        <v>4442</v>
      </c>
      <c r="AU218" s="199">
        <v>46191</v>
      </c>
      <c r="AV218" s="141" t="s">
        <v>4442</v>
      </c>
      <c r="AW218" s="141" t="s">
        <v>4442</v>
      </c>
      <c r="AX218" s="199">
        <v>46220</v>
      </c>
      <c r="AY218" s="263">
        <v>46220</v>
      </c>
      <c r="AZ218" s="137" t="s">
        <v>4370</v>
      </c>
      <c r="BA218" s="137" t="s">
        <v>4445</v>
      </c>
      <c r="BB218" s="141" t="s">
        <v>4442</v>
      </c>
      <c r="BC218" s="197">
        <f t="shared" si="9"/>
        <v>144</v>
      </c>
      <c r="BD218" s="131" t="str">
        <f t="shared" si="10"/>
        <v>INDENIZAÇÃO</v>
      </c>
      <c r="BE218" s="131" t="str">
        <f t="shared" si="11"/>
        <v>NÃO</v>
      </c>
      <c r="BF218" s="131" t="s">
        <v>4361</v>
      </c>
      <c r="BG218" s="258" t="s">
        <v>4361</v>
      </c>
      <c r="BH218" s="258" t="s">
        <v>4361</v>
      </c>
      <c r="BI218" s="259" t="s">
        <v>4446</v>
      </c>
      <c r="BJ218" s="259"/>
      <c r="BK218" s="259"/>
      <c r="BL218" s="259"/>
      <c r="BM218" s="259"/>
      <c r="BN218" s="182"/>
      <c r="CI218" s="182"/>
    </row>
    <row r="219" spans="1:92" s="141" customFormat="1" ht="30" hidden="1" customHeight="1">
      <c r="A219" s="131">
        <v>205</v>
      </c>
      <c r="B219" s="131" t="s">
        <v>4432</v>
      </c>
      <c r="C219" s="131">
        <v>1</v>
      </c>
      <c r="D219" s="131" t="s">
        <v>4433</v>
      </c>
      <c r="E219" s="131" t="s">
        <v>4433</v>
      </c>
      <c r="F219" s="210" t="s">
        <v>5139</v>
      </c>
      <c r="G219" s="131" t="s">
        <v>4339</v>
      </c>
      <c r="H219" s="131" t="s">
        <v>4340</v>
      </c>
      <c r="I219" s="131" t="s">
        <v>4350</v>
      </c>
      <c r="J219" s="132" t="s">
        <v>5140</v>
      </c>
      <c r="K219" s="132" t="s">
        <v>5141</v>
      </c>
      <c r="L219" s="132" t="s">
        <v>5142</v>
      </c>
      <c r="M219" s="131" t="s">
        <v>4342</v>
      </c>
      <c r="N219" s="131" t="s">
        <v>4343</v>
      </c>
      <c r="O219" s="199">
        <v>46076</v>
      </c>
      <c r="P219" s="133" t="s">
        <v>4361</v>
      </c>
      <c r="Q219" s="133" t="s">
        <v>4361</v>
      </c>
      <c r="R219" s="133" t="s">
        <v>4361</v>
      </c>
      <c r="S219" s="133" t="s">
        <v>4361</v>
      </c>
      <c r="T219" s="133" t="s">
        <v>4361</v>
      </c>
      <c r="U219" s="133" t="s">
        <v>4361</v>
      </c>
      <c r="V219" s="133" t="s">
        <v>4361</v>
      </c>
      <c r="W219" s="133" t="s">
        <v>4361</v>
      </c>
      <c r="X219" s="133" t="s">
        <v>4361</v>
      </c>
      <c r="Y219" s="133" t="s">
        <v>4361</v>
      </c>
      <c r="Z219" s="133" t="s">
        <v>4361</v>
      </c>
      <c r="AB219" s="132" t="s">
        <v>5140</v>
      </c>
      <c r="AC219" s="132" t="s">
        <v>5141</v>
      </c>
      <c r="AD219" s="132" t="s">
        <v>5142</v>
      </c>
      <c r="AE219" s="131" t="s">
        <v>4350</v>
      </c>
      <c r="AF219" s="141" t="s">
        <v>4534</v>
      </c>
      <c r="AG219" s="196">
        <v>38268.15</v>
      </c>
      <c r="AH219" s="196">
        <v>60000</v>
      </c>
      <c r="AI219" s="131" t="s">
        <v>4344</v>
      </c>
      <c r="AJ219" s="132" t="s">
        <v>4616</v>
      </c>
      <c r="AK219" s="131">
        <v>146126027</v>
      </c>
      <c r="AL219" s="141" t="s">
        <v>4442</v>
      </c>
      <c r="AM219" s="131" t="s">
        <v>4442</v>
      </c>
      <c r="AN219" s="141" t="s">
        <v>4443</v>
      </c>
      <c r="AP219" s="132" t="s">
        <v>5143</v>
      </c>
      <c r="AQ219" s="141" t="s">
        <v>4442</v>
      </c>
      <c r="AR219" s="141" t="s">
        <v>4442</v>
      </c>
      <c r="AS219" s="141" t="s">
        <v>4442</v>
      </c>
      <c r="AT219" s="141" t="s">
        <v>4442</v>
      </c>
      <c r="AU219" s="199">
        <v>46191</v>
      </c>
      <c r="AV219" s="141" t="s">
        <v>4442</v>
      </c>
      <c r="AW219" s="141" t="s">
        <v>4442</v>
      </c>
      <c r="AX219" s="199">
        <v>46220</v>
      </c>
      <c r="AY219" s="263">
        <v>46220</v>
      </c>
      <c r="AZ219" s="137" t="s">
        <v>4370</v>
      </c>
      <c r="BA219" s="137" t="s">
        <v>4445</v>
      </c>
      <c r="BB219" s="141" t="s">
        <v>4442</v>
      </c>
      <c r="BC219" s="197">
        <f t="shared" si="9"/>
        <v>144</v>
      </c>
      <c r="BD219" s="131" t="str">
        <f t="shared" si="10"/>
        <v>INDENIZAÇÃO</v>
      </c>
      <c r="BE219" s="131" t="str">
        <f t="shared" si="11"/>
        <v>NÃO</v>
      </c>
      <c r="BF219" s="258" t="s">
        <v>4361</v>
      </c>
      <c r="BG219" s="258" t="s">
        <v>4361</v>
      </c>
      <c r="BH219" s="258" t="s">
        <v>4361</v>
      </c>
      <c r="BI219" s="259" t="s">
        <v>4446</v>
      </c>
      <c r="BJ219" s="259"/>
      <c r="BK219" s="259"/>
      <c r="BL219" s="259"/>
      <c r="BM219" s="259"/>
      <c r="BN219" s="182"/>
      <c r="CI219" s="182"/>
    </row>
    <row r="220" spans="1:92" s="141" customFormat="1" ht="30" hidden="1" customHeight="1">
      <c r="A220" s="131">
        <v>206</v>
      </c>
      <c r="B220" s="131" t="s">
        <v>4432</v>
      </c>
      <c r="C220" s="131">
        <v>1</v>
      </c>
      <c r="D220" s="131" t="s">
        <v>4433</v>
      </c>
      <c r="E220" s="131" t="s">
        <v>4433</v>
      </c>
      <c r="F220" s="210" t="s">
        <v>5144</v>
      </c>
      <c r="G220" s="131"/>
      <c r="H220" s="131"/>
      <c r="I220" s="131"/>
      <c r="J220" s="132" t="s">
        <v>5145</v>
      </c>
      <c r="K220" s="132"/>
      <c r="L220" s="132" t="s">
        <v>5146</v>
      </c>
      <c r="M220" s="131"/>
      <c r="N220" s="131"/>
      <c r="O220" s="199"/>
      <c r="P220" s="136"/>
      <c r="Q220" s="136"/>
      <c r="R220" s="136"/>
      <c r="S220" s="136"/>
      <c r="T220" s="136"/>
      <c r="U220" s="136"/>
      <c r="V220" s="136"/>
      <c r="W220" s="136"/>
      <c r="X220" s="136"/>
      <c r="Y220" s="136"/>
      <c r="Z220" s="136"/>
      <c r="AB220" s="132"/>
      <c r="AC220" s="132"/>
      <c r="AD220" s="132"/>
      <c r="AE220" s="131"/>
      <c r="AG220" s="196"/>
      <c r="AH220" s="196"/>
      <c r="AI220" s="131"/>
      <c r="AJ220" s="131"/>
      <c r="AK220" s="131"/>
      <c r="AP220" s="132"/>
      <c r="BC220" s="197" t="str">
        <f t="shared" si="9"/>
        <v/>
      </c>
      <c r="BD220" s="131" t="str">
        <f t="shared" si="10"/>
        <v>INDENIZAÇÃO</v>
      </c>
      <c r="BE220" s="131" t="str">
        <f t="shared" si="11"/>
        <v>NÃO</v>
      </c>
      <c r="BG220" s="199"/>
      <c r="BH220" s="199"/>
      <c r="BN220" s="182"/>
      <c r="CI220" s="182"/>
    </row>
    <row r="221" spans="1:92" s="141" customFormat="1" ht="30" hidden="1" customHeight="1">
      <c r="A221" s="131">
        <v>207</v>
      </c>
      <c r="B221" s="131" t="s">
        <v>4432</v>
      </c>
      <c r="C221" s="131">
        <v>1</v>
      </c>
      <c r="D221" s="131" t="s">
        <v>4433</v>
      </c>
      <c r="E221" s="131" t="s">
        <v>4433</v>
      </c>
      <c r="F221" s="210" t="s">
        <v>5147</v>
      </c>
      <c r="G221" s="131"/>
      <c r="H221" s="131"/>
      <c r="I221" s="131"/>
      <c r="J221" s="132" t="s">
        <v>5148</v>
      </c>
      <c r="K221" s="132"/>
      <c r="L221" s="132" t="s">
        <v>5149</v>
      </c>
      <c r="M221" s="131"/>
      <c r="N221" s="131"/>
      <c r="O221" s="199"/>
      <c r="P221" s="136"/>
      <c r="Q221" s="136"/>
      <c r="R221" s="136"/>
      <c r="S221" s="136"/>
      <c r="T221" s="136"/>
      <c r="U221" s="136"/>
      <c r="V221" s="136"/>
      <c r="W221" s="136"/>
      <c r="X221" s="136"/>
      <c r="Y221" s="136"/>
      <c r="Z221" s="136"/>
      <c r="AB221" s="132"/>
      <c r="AC221" s="132"/>
      <c r="AD221" s="132"/>
      <c r="AE221" s="131"/>
      <c r="AG221" s="196"/>
      <c r="AH221" s="196"/>
      <c r="AI221" s="131"/>
      <c r="AJ221" s="131"/>
      <c r="AK221" s="131"/>
      <c r="AP221" s="132"/>
      <c r="BC221" s="197" t="str">
        <f t="shared" si="9"/>
        <v/>
      </c>
      <c r="BD221" s="131" t="str">
        <f t="shared" si="10"/>
        <v>INDENIZAÇÃO</v>
      </c>
      <c r="BE221" s="131" t="str">
        <f t="shared" si="11"/>
        <v>NÃO</v>
      </c>
      <c r="BG221" s="199"/>
      <c r="BH221" s="199"/>
      <c r="BN221" s="182"/>
      <c r="CI221" s="182"/>
    </row>
    <row r="222" spans="1:92" s="141" customFormat="1" ht="30" hidden="1" customHeight="1">
      <c r="A222" s="131">
        <v>208</v>
      </c>
      <c r="B222" s="131" t="s">
        <v>4432</v>
      </c>
      <c r="C222" s="131">
        <v>1</v>
      </c>
      <c r="D222" s="131" t="s">
        <v>4433</v>
      </c>
      <c r="E222" s="131" t="s">
        <v>4433</v>
      </c>
      <c r="F222" s="210" t="s">
        <v>5150</v>
      </c>
      <c r="G222" s="131"/>
      <c r="H222" s="131"/>
      <c r="I222" s="131"/>
      <c r="J222" s="132" t="s">
        <v>5151</v>
      </c>
      <c r="K222" s="132"/>
      <c r="L222" s="132" t="s">
        <v>5152</v>
      </c>
      <c r="M222" s="131"/>
      <c r="N222" s="131"/>
      <c r="O222" s="199"/>
      <c r="P222" s="136"/>
      <c r="Q222" s="136"/>
      <c r="R222" s="136"/>
      <c r="S222" s="136"/>
      <c r="T222" s="136"/>
      <c r="U222" s="136"/>
      <c r="V222" s="136"/>
      <c r="W222" s="136"/>
      <c r="X222" s="136"/>
      <c r="Y222" s="136"/>
      <c r="Z222" s="136"/>
      <c r="AB222" s="132"/>
      <c r="AC222" s="132"/>
      <c r="AD222" s="132"/>
      <c r="AE222" s="131"/>
      <c r="AG222" s="196"/>
      <c r="AH222" s="196"/>
      <c r="AI222" s="131"/>
      <c r="AJ222" s="131"/>
      <c r="AK222" s="131"/>
      <c r="AP222" s="132"/>
      <c r="BC222" s="197" t="str">
        <f t="shared" si="9"/>
        <v/>
      </c>
      <c r="BD222" s="131" t="str">
        <f t="shared" si="10"/>
        <v>INDENIZAÇÃO</v>
      </c>
      <c r="BE222" s="131" t="str">
        <f t="shared" si="11"/>
        <v>NÃO</v>
      </c>
      <c r="BG222" s="199"/>
      <c r="BH222" s="199"/>
      <c r="BN222" s="182"/>
      <c r="CI222" s="182"/>
    </row>
    <row r="223" spans="1:92" s="141" customFormat="1" ht="30" hidden="1" customHeight="1">
      <c r="A223" s="131">
        <v>209</v>
      </c>
      <c r="B223" s="131" t="s">
        <v>4432</v>
      </c>
      <c r="C223" s="131">
        <v>1</v>
      </c>
      <c r="D223" s="131" t="s">
        <v>4433</v>
      </c>
      <c r="E223" s="131" t="s">
        <v>4433</v>
      </c>
      <c r="F223" s="210" t="s">
        <v>5153</v>
      </c>
      <c r="G223" s="131"/>
      <c r="H223" s="131"/>
      <c r="I223" s="131"/>
      <c r="J223" s="132" t="s">
        <v>5154</v>
      </c>
      <c r="K223" s="132"/>
      <c r="L223" s="132" t="s">
        <v>5155</v>
      </c>
      <c r="M223" s="131"/>
      <c r="N223" s="131"/>
      <c r="O223" s="199"/>
      <c r="P223" s="136"/>
      <c r="Q223" s="136"/>
      <c r="R223" s="136"/>
      <c r="S223" s="136"/>
      <c r="T223" s="136"/>
      <c r="U223" s="136"/>
      <c r="V223" s="136"/>
      <c r="W223" s="136"/>
      <c r="X223" s="136"/>
      <c r="Y223" s="136"/>
      <c r="Z223" s="136"/>
      <c r="AB223" s="132"/>
      <c r="AC223" s="132"/>
      <c r="AD223" s="132"/>
      <c r="AE223" s="131"/>
      <c r="AG223" s="196"/>
      <c r="AH223" s="196"/>
      <c r="AI223" s="131"/>
      <c r="AJ223" s="131"/>
      <c r="AK223" s="131"/>
      <c r="AP223" s="132"/>
      <c r="BC223" s="197" t="str">
        <f t="shared" ref="BC223:BC283" si="12">IF(AY223-KD223=0,"",AY223-O223)</f>
        <v/>
      </c>
      <c r="BD223" s="131" t="str">
        <f t="shared" ref="BD223:BD283" si="13">IF(AND(AI223&lt;&gt;"SIM",AI223="UH"),"AA","INDENIZAÇÃO")</f>
        <v>INDENIZAÇÃO</v>
      </c>
      <c r="BE223" s="131" t="str">
        <f t="shared" ref="BE223:BE283" si="14">IF(AND(AY223&lt;&gt;"AGUARDANDO",AY223&lt;&gt;"",N223="AUXÍLIO ALUGUEL ATÉ INDENIZAÇÃO"),"SIM","NÃO")</f>
        <v>NÃO</v>
      </c>
      <c r="BG223" s="199"/>
      <c r="BH223" s="199"/>
      <c r="BN223" s="182"/>
      <c r="CI223" s="182"/>
    </row>
    <row r="224" spans="1:92" s="141" customFormat="1" ht="30" hidden="1" customHeight="1">
      <c r="A224" s="131">
        <v>210</v>
      </c>
      <c r="B224" s="131" t="s">
        <v>4432</v>
      </c>
      <c r="C224" s="131">
        <v>1</v>
      </c>
      <c r="D224" s="131" t="s">
        <v>4433</v>
      </c>
      <c r="E224" s="131" t="s">
        <v>4433</v>
      </c>
      <c r="F224" s="210" t="s">
        <v>5156</v>
      </c>
      <c r="G224" s="131"/>
      <c r="H224" s="131"/>
      <c r="I224" s="131"/>
      <c r="J224" s="132" t="s">
        <v>5157</v>
      </c>
      <c r="K224" s="132"/>
      <c r="L224" s="132" t="s">
        <v>5158</v>
      </c>
      <c r="M224" s="131"/>
      <c r="N224" s="131"/>
      <c r="O224" s="199"/>
      <c r="P224" s="136"/>
      <c r="Q224" s="136"/>
      <c r="R224" s="136"/>
      <c r="S224" s="136"/>
      <c r="T224" s="136"/>
      <c r="U224" s="136"/>
      <c r="V224" s="136"/>
      <c r="W224" s="136"/>
      <c r="X224" s="136"/>
      <c r="Y224" s="136"/>
      <c r="Z224" s="136"/>
      <c r="AB224" s="132"/>
      <c r="AC224" s="132"/>
      <c r="AD224" s="132"/>
      <c r="AE224" s="131"/>
      <c r="AG224" s="196"/>
      <c r="AH224" s="196"/>
      <c r="AI224" s="131"/>
      <c r="AJ224" s="131"/>
      <c r="AK224" s="131"/>
      <c r="AP224" s="132"/>
      <c r="BC224" s="197" t="str">
        <f t="shared" si="12"/>
        <v/>
      </c>
      <c r="BD224" s="131" t="str">
        <f t="shared" si="13"/>
        <v>INDENIZAÇÃO</v>
      </c>
      <c r="BE224" s="131" t="str">
        <f t="shared" si="14"/>
        <v>NÃO</v>
      </c>
      <c r="BG224" s="199"/>
      <c r="BH224" s="199"/>
      <c r="BN224" s="182"/>
      <c r="CI224" s="182"/>
    </row>
    <row r="225" spans="1:92" s="141" customFormat="1" ht="30" hidden="1" customHeight="1">
      <c r="A225" s="131">
        <v>211</v>
      </c>
      <c r="B225" s="131" t="s">
        <v>4432</v>
      </c>
      <c r="C225" s="131">
        <v>1</v>
      </c>
      <c r="D225" s="131" t="s">
        <v>4433</v>
      </c>
      <c r="E225" s="131" t="s">
        <v>4433</v>
      </c>
      <c r="F225" s="210" t="s">
        <v>5159</v>
      </c>
      <c r="G225" s="131"/>
      <c r="H225" s="131"/>
      <c r="I225" s="131"/>
      <c r="J225" s="132" t="s">
        <v>5160</v>
      </c>
      <c r="K225" s="132"/>
      <c r="L225" s="132" t="s">
        <v>5161</v>
      </c>
      <c r="M225" s="131"/>
      <c r="N225" s="131"/>
      <c r="O225" s="199"/>
      <c r="P225" s="136"/>
      <c r="Q225" s="136"/>
      <c r="R225" s="136"/>
      <c r="S225" s="136"/>
      <c r="T225" s="136"/>
      <c r="U225" s="136"/>
      <c r="V225" s="136"/>
      <c r="W225" s="136"/>
      <c r="X225" s="136"/>
      <c r="Y225" s="136"/>
      <c r="Z225" s="136"/>
      <c r="AB225" s="132"/>
      <c r="AC225" s="132"/>
      <c r="AD225" s="132"/>
      <c r="AE225" s="131"/>
      <c r="AG225" s="196"/>
      <c r="AH225" s="196"/>
      <c r="AI225" s="131"/>
      <c r="AJ225" s="131"/>
      <c r="AK225" s="131"/>
      <c r="AP225" s="132"/>
      <c r="BC225" s="197" t="str">
        <f t="shared" si="12"/>
        <v/>
      </c>
      <c r="BD225" s="131" t="str">
        <f t="shared" si="13"/>
        <v>INDENIZAÇÃO</v>
      </c>
      <c r="BE225" s="131" t="str">
        <f t="shared" si="14"/>
        <v>NÃO</v>
      </c>
      <c r="BG225" s="199"/>
      <c r="BH225" s="199"/>
      <c r="BN225" s="182"/>
      <c r="CI225" s="182"/>
    </row>
    <row r="226" spans="1:92" s="141" customFormat="1" ht="30" hidden="1" customHeight="1">
      <c r="A226" s="131">
        <v>212</v>
      </c>
      <c r="B226" s="131" t="s">
        <v>4432</v>
      </c>
      <c r="C226" s="131">
        <v>2</v>
      </c>
      <c r="D226" s="131" t="s">
        <v>4433</v>
      </c>
      <c r="E226" s="131" t="s">
        <v>4433</v>
      </c>
      <c r="F226" s="210" t="s">
        <v>5162</v>
      </c>
      <c r="G226" s="131" t="s">
        <v>4339</v>
      </c>
      <c r="H226" s="131" t="s">
        <v>4340</v>
      </c>
      <c r="I226" s="131" t="s">
        <v>4350</v>
      </c>
      <c r="J226" s="132" t="s">
        <v>5163</v>
      </c>
      <c r="K226" s="132" t="s">
        <v>5164</v>
      </c>
      <c r="L226" s="132" t="s">
        <v>5165</v>
      </c>
      <c r="M226" s="131" t="s">
        <v>4342</v>
      </c>
      <c r="N226" s="131" t="s">
        <v>4343</v>
      </c>
      <c r="O226" s="199">
        <v>46191</v>
      </c>
      <c r="P226" s="136" t="s">
        <v>4361</v>
      </c>
      <c r="Q226" s="136" t="s">
        <v>4361</v>
      </c>
      <c r="R226" s="136" t="s">
        <v>4361</v>
      </c>
      <c r="S226" s="136" t="s">
        <v>4361</v>
      </c>
      <c r="T226" s="136" t="s">
        <v>4361</v>
      </c>
      <c r="U226" s="136" t="s">
        <v>4361</v>
      </c>
      <c r="V226" s="136" t="s">
        <v>4361</v>
      </c>
      <c r="W226" s="136" t="s">
        <v>4361</v>
      </c>
      <c r="X226" s="136" t="s">
        <v>4361</v>
      </c>
      <c r="Y226" s="136" t="s">
        <v>4361</v>
      </c>
      <c r="Z226" s="136" t="s">
        <v>4361</v>
      </c>
      <c r="AB226" s="132" t="s">
        <v>5163</v>
      </c>
      <c r="AC226" s="132" t="s">
        <v>5164</v>
      </c>
      <c r="AD226" s="132" t="s">
        <v>5165</v>
      </c>
      <c r="AE226" s="131" t="s">
        <v>4350</v>
      </c>
      <c r="AF226" s="141" t="s">
        <v>4534</v>
      </c>
      <c r="AG226" s="196">
        <v>79089.039999999994</v>
      </c>
      <c r="AH226" s="196">
        <v>79089.039999999994</v>
      </c>
      <c r="AI226" s="131" t="s">
        <v>4344</v>
      </c>
      <c r="AJ226" s="132" t="s">
        <v>4616</v>
      </c>
      <c r="AK226" s="131">
        <v>147146502</v>
      </c>
      <c r="AL226" s="131" t="s">
        <v>4442</v>
      </c>
      <c r="AM226" s="141" t="s">
        <v>4442</v>
      </c>
      <c r="AN226" s="141" t="s">
        <v>4443</v>
      </c>
      <c r="AP226" s="132" t="s">
        <v>5166</v>
      </c>
      <c r="AQ226" s="141" t="s">
        <v>4442</v>
      </c>
      <c r="AR226" s="141" t="s">
        <v>4442</v>
      </c>
      <c r="AS226" s="141" t="s">
        <v>4442</v>
      </c>
      <c r="AT226" s="141" t="s">
        <v>4442</v>
      </c>
      <c r="AU226" s="199">
        <v>46254</v>
      </c>
      <c r="AV226" s="137" t="s">
        <v>5050</v>
      </c>
      <c r="AW226" s="137"/>
      <c r="AX226" s="137"/>
      <c r="AY226" s="137"/>
      <c r="AZ226" s="137"/>
      <c r="BA226" s="137" t="s">
        <v>4339</v>
      </c>
      <c r="BC226" s="197" t="str">
        <f t="shared" si="12"/>
        <v/>
      </c>
      <c r="BD226" s="131" t="str">
        <f t="shared" si="13"/>
        <v>INDENIZAÇÃO</v>
      </c>
      <c r="BE226" s="131" t="str">
        <f t="shared" si="14"/>
        <v>NÃO</v>
      </c>
      <c r="BG226" s="199"/>
      <c r="BH226" s="199"/>
      <c r="BN226" s="182"/>
      <c r="CI226" s="182"/>
    </row>
    <row r="227" spans="1:92" s="141" customFormat="1" ht="30" hidden="1" customHeight="1">
      <c r="A227" s="131">
        <v>213</v>
      </c>
      <c r="B227" s="131" t="s">
        <v>4432</v>
      </c>
      <c r="C227" s="131">
        <v>1</v>
      </c>
      <c r="D227" s="131" t="s">
        <v>4433</v>
      </c>
      <c r="E227" s="131" t="s">
        <v>4433</v>
      </c>
      <c r="F227" s="210" t="s">
        <v>5167</v>
      </c>
      <c r="G227" s="131" t="s">
        <v>4339</v>
      </c>
      <c r="H227" s="131" t="s">
        <v>4340</v>
      </c>
      <c r="I227" s="131" t="s">
        <v>4350</v>
      </c>
      <c r="J227" s="132" t="s">
        <v>5168</v>
      </c>
      <c r="K227" s="132" t="s">
        <v>5169</v>
      </c>
      <c r="L227" s="132" t="s">
        <v>5170</v>
      </c>
      <c r="M227" s="131" t="s">
        <v>4342</v>
      </c>
      <c r="N227" s="131" t="s">
        <v>4343</v>
      </c>
      <c r="O227" s="199">
        <v>46134</v>
      </c>
      <c r="P227" s="136" t="s">
        <v>4361</v>
      </c>
      <c r="Q227" s="136" t="s">
        <v>4361</v>
      </c>
      <c r="R227" s="136" t="s">
        <v>4361</v>
      </c>
      <c r="S227" s="136" t="s">
        <v>4361</v>
      </c>
      <c r="T227" s="136" t="s">
        <v>4361</v>
      </c>
      <c r="U227" s="136" t="s">
        <v>4361</v>
      </c>
      <c r="V227" s="136" t="s">
        <v>4361</v>
      </c>
      <c r="W227" s="136" t="s">
        <v>4361</v>
      </c>
      <c r="X227" s="136" t="s">
        <v>4361</v>
      </c>
      <c r="Y227" s="136" t="s">
        <v>4361</v>
      </c>
      <c r="Z227" s="136" t="s">
        <v>4361</v>
      </c>
      <c r="AB227" s="132" t="s">
        <v>5168</v>
      </c>
      <c r="AC227" s="132" t="s">
        <v>5169</v>
      </c>
      <c r="AD227" s="132" t="s">
        <v>5170</v>
      </c>
      <c r="AE227" s="131" t="s">
        <v>4350</v>
      </c>
      <c r="AF227" s="141" t="s">
        <v>4534</v>
      </c>
      <c r="AG227" s="196">
        <v>93962.79</v>
      </c>
      <c r="AH227" s="196">
        <v>93962.79</v>
      </c>
      <c r="AI227" s="131" t="s">
        <v>4344</v>
      </c>
      <c r="AJ227" s="132" t="s">
        <v>4616</v>
      </c>
      <c r="AK227" s="131">
        <v>153086120</v>
      </c>
      <c r="AL227" s="141" t="s">
        <v>4442</v>
      </c>
      <c r="AM227" s="141" t="s">
        <v>4442</v>
      </c>
      <c r="AN227" s="141" t="s">
        <v>4443</v>
      </c>
      <c r="AP227" s="132" t="s">
        <v>5171</v>
      </c>
      <c r="AQ227" s="141" t="s">
        <v>4442</v>
      </c>
      <c r="AR227" s="141" t="s">
        <v>4442</v>
      </c>
      <c r="AS227" s="141" t="s">
        <v>4442</v>
      </c>
      <c r="AT227" s="141" t="s">
        <v>4442</v>
      </c>
      <c r="AU227" s="199">
        <v>46191</v>
      </c>
      <c r="AV227" s="141" t="s">
        <v>4442</v>
      </c>
      <c r="AW227" s="141" t="s">
        <v>4442</v>
      </c>
      <c r="AX227" s="199">
        <v>46199</v>
      </c>
      <c r="AY227" s="220">
        <v>46199</v>
      </c>
      <c r="AZ227" s="137" t="s">
        <v>4370</v>
      </c>
      <c r="BA227" s="137" t="s">
        <v>4339</v>
      </c>
      <c r="BB227" s="141" t="s">
        <v>4442</v>
      </c>
      <c r="BC227" s="197">
        <f t="shared" si="12"/>
        <v>65</v>
      </c>
      <c r="BD227" s="131" t="str">
        <f t="shared" si="13"/>
        <v>INDENIZAÇÃO</v>
      </c>
      <c r="BE227" s="131" t="str">
        <f t="shared" si="14"/>
        <v>NÃO</v>
      </c>
      <c r="BF227" s="131" t="s">
        <v>4361</v>
      </c>
      <c r="BG227" s="131" t="s">
        <v>4361</v>
      </c>
      <c r="BH227" s="131" t="s">
        <v>4361</v>
      </c>
      <c r="BI227" s="137" t="s">
        <v>4446</v>
      </c>
      <c r="BJ227" s="137"/>
      <c r="BK227" s="255"/>
      <c r="BL227" s="137"/>
      <c r="BM227" s="137"/>
      <c r="BN227" s="182"/>
      <c r="CI227" s="182"/>
    </row>
    <row r="228" spans="1:92" s="141" customFormat="1" ht="30" hidden="1" customHeight="1">
      <c r="A228" s="131">
        <v>214</v>
      </c>
      <c r="B228" s="131" t="s">
        <v>4432</v>
      </c>
      <c r="C228" s="131">
        <v>1</v>
      </c>
      <c r="D228" s="131" t="s">
        <v>4433</v>
      </c>
      <c r="E228" s="131" t="s">
        <v>4433</v>
      </c>
      <c r="F228" s="210" t="s">
        <v>5172</v>
      </c>
      <c r="G228" s="131"/>
      <c r="H228" s="131"/>
      <c r="I228" s="131"/>
      <c r="J228" s="132" t="s">
        <v>5173</v>
      </c>
      <c r="K228" s="132"/>
      <c r="L228" s="132" t="s">
        <v>5174</v>
      </c>
      <c r="M228" s="131"/>
      <c r="N228" s="131"/>
      <c r="O228" s="199"/>
      <c r="P228" s="136"/>
      <c r="Q228" s="136"/>
      <c r="R228" s="136"/>
      <c r="S228" s="136"/>
      <c r="T228" s="136"/>
      <c r="U228" s="136"/>
      <c r="V228" s="136"/>
      <c r="W228" s="136"/>
      <c r="X228" s="136"/>
      <c r="Y228" s="136"/>
      <c r="Z228" s="136"/>
      <c r="AB228" s="132"/>
      <c r="AC228" s="132"/>
      <c r="AD228" s="132"/>
      <c r="AE228" s="131"/>
      <c r="AG228" s="196"/>
      <c r="AH228" s="196"/>
      <c r="AI228" s="131"/>
      <c r="AJ228" s="131"/>
      <c r="AK228" s="131"/>
      <c r="AP228" s="132"/>
      <c r="BC228" s="197" t="str">
        <f t="shared" si="12"/>
        <v/>
      </c>
      <c r="BD228" s="131" t="str">
        <f t="shared" si="13"/>
        <v>INDENIZAÇÃO</v>
      </c>
      <c r="BE228" s="131" t="str">
        <f t="shared" si="14"/>
        <v>NÃO</v>
      </c>
      <c r="BG228" s="199"/>
      <c r="BH228" s="199"/>
      <c r="BN228" s="182"/>
      <c r="CI228" s="182"/>
    </row>
    <row r="229" spans="1:92" s="141" customFormat="1" ht="30" hidden="1" customHeight="1">
      <c r="A229" s="131">
        <v>215</v>
      </c>
      <c r="B229" s="131" t="s">
        <v>4432</v>
      </c>
      <c r="C229" s="131">
        <v>1</v>
      </c>
      <c r="D229" s="131" t="s">
        <v>4433</v>
      </c>
      <c r="E229" s="131" t="s">
        <v>4433</v>
      </c>
      <c r="F229" s="210" t="s">
        <v>5175</v>
      </c>
      <c r="G229" s="131"/>
      <c r="H229" s="131"/>
      <c r="I229" s="131"/>
      <c r="J229" s="132" t="s">
        <v>5176</v>
      </c>
      <c r="K229" s="132"/>
      <c r="L229" s="132" t="s">
        <v>5177</v>
      </c>
      <c r="M229" s="131"/>
      <c r="N229" s="131"/>
      <c r="O229" s="199"/>
      <c r="P229" s="136"/>
      <c r="Q229" s="136"/>
      <c r="R229" s="136"/>
      <c r="S229" s="136"/>
      <c r="T229" s="136"/>
      <c r="U229" s="136"/>
      <c r="V229" s="136"/>
      <c r="W229" s="136"/>
      <c r="X229" s="136"/>
      <c r="Y229" s="136"/>
      <c r="Z229" s="136"/>
      <c r="AB229" s="132"/>
      <c r="AC229" s="132"/>
      <c r="AD229" s="132"/>
      <c r="AE229" s="131"/>
      <c r="AG229" s="196"/>
      <c r="AH229" s="196"/>
      <c r="AI229" s="131"/>
      <c r="AJ229" s="131"/>
      <c r="AK229" s="131"/>
      <c r="AP229" s="132"/>
      <c r="BC229" s="197" t="str">
        <f t="shared" si="12"/>
        <v/>
      </c>
      <c r="BD229" s="131" t="str">
        <f t="shared" si="13"/>
        <v>INDENIZAÇÃO</v>
      </c>
      <c r="BE229" s="131" t="str">
        <f t="shared" si="14"/>
        <v>NÃO</v>
      </c>
      <c r="BG229" s="199"/>
      <c r="BH229" s="199"/>
      <c r="BN229" s="182"/>
      <c r="CI229" s="182"/>
    </row>
    <row r="230" spans="1:92" s="141" customFormat="1" ht="30" hidden="1" customHeight="1">
      <c r="A230" s="131">
        <v>216</v>
      </c>
      <c r="B230" s="131" t="s">
        <v>4432</v>
      </c>
      <c r="C230" s="131">
        <v>1</v>
      </c>
      <c r="D230" s="131" t="s">
        <v>4433</v>
      </c>
      <c r="E230" s="131" t="s">
        <v>4433</v>
      </c>
      <c r="F230" s="210" t="s">
        <v>5178</v>
      </c>
      <c r="G230" s="131"/>
      <c r="H230" s="131"/>
      <c r="I230" s="131"/>
      <c r="J230" s="132" t="s">
        <v>5179</v>
      </c>
      <c r="K230" s="132"/>
      <c r="L230" s="132" t="s">
        <v>5180</v>
      </c>
      <c r="M230" s="131"/>
      <c r="N230" s="131"/>
      <c r="O230" s="199"/>
      <c r="P230" s="136"/>
      <c r="Q230" s="136"/>
      <c r="R230" s="136"/>
      <c r="S230" s="136"/>
      <c r="T230" s="136"/>
      <c r="U230" s="136"/>
      <c r="V230" s="136"/>
      <c r="W230" s="136"/>
      <c r="X230" s="136"/>
      <c r="Y230" s="136"/>
      <c r="Z230" s="136"/>
      <c r="AB230" s="132"/>
      <c r="AC230" s="132"/>
      <c r="AD230" s="132"/>
      <c r="AE230" s="131"/>
      <c r="AG230" s="196"/>
      <c r="AH230" s="196"/>
      <c r="AI230" s="131"/>
      <c r="AJ230" s="131"/>
      <c r="AK230" s="131"/>
      <c r="AP230" s="132"/>
      <c r="BC230" s="197" t="str">
        <f t="shared" si="12"/>
        <v/>
      </c>
      <c r="BD230" s="131" t="str">
        <f t="shared" si="13"/>
        <v>INDENIZAÇÃO</v>
      </c>
      <c r="BE230" s="131" t="str">
        <f t="shared" si="14"/>
        <v>NÃO</v>
      </c>
      <c r="BG230" s="199"/>
      <c r="BH230" s="199"/>
      <c r="BN230" s="182"/>
      <c r="CI230" s="182"/>
    </row>
    <row r="231" spans="1:92" s="141" customFormat="1" ht="30" hidden="1" customHeight="1">
      <c r="A231" s="131">
        <v>217</v>
      </c>
      <c r="B231" s="131" t="s">
        <v>4432</v>
      </c>
      <c r="C231" s="131">
        <v>1</v>
      </c>
      <c r="D231" s="131" t="s">
        <v>4433</v>
      </c>
      <c r="E231" s="131" t="s">
        <v>4433</v>
      </c>
      <c r="F231" s="210" t="s">
        <v>5181</v>
      </c>
      <c r="G231" s="131"/>
      <c r="H231" s="131"/>
      <c r="I231" s="198"/>
      <c r="J231" s="132" t="s">
        <v>5182</v>
      </c>
      <c r="K231" s="132"/>
      <c r="L231" s="132" t="s">
        <v>5183</v>
      </c>
      <c r="M231" s="131"/>
      <c r="N231" s="131"/>
      <c r="O231" s="199"/>
      <c r="P231" s="136"/>
      <c r="Q231" s="136"/>
      <c r="R231" s="136"/>
      <c r="S231" s="136"/>
      <c r="T231" s="136"/>
      <c r="U231" s="136"/>
      <c r="V231" s="136"/>
      <c r="W231" s="136"/>
      <c r="X231" s="136"/>
      <c r="Y231" s="136"/>
      <c r="Z231" s="136"/>
      <c r="AB231" s="132"/>
      <c r="AC231" s="132"/>
      <c r="AD231" s="132"/>
      <c r="AE231" s="131"/>
      <c r="AG231" s="196"/>
      <c r="AH231" s="196"/>
      <c r="AI231" s="131"/>
      <c r="AJ231" s="131"/>
      <c r="AK231" s="131"/>
      <c r="AP231" s="132"/>
      <c r="BC231" s="197" t="str">
        <f t="shared" si="12"/>
        <v/>
      </c>
      <c r="BD231" s="131" t="str">
        <f t="shared" si="13"/>
        <v>INDENIZAÇÃO</v>
      </c>
      <c r="BE231" s="131" t="str">
        <f t="shared" si="14"/>
        <v>NÃO</v>
      </c>
      <c r="BG231" s="199"/>
      <c r="BH231" s="199"/>
      <c r="BN231" s="182"/>
      <c r="CI231" s="182"/>
    </row>
    <row r="232" spans="1:92" s="141" customFormat="1" ht="30" hidden="1" customHeight="1">
      <c r="A232" s="131">
        <v>218</v>
      </c>
      <c r="B232" s="131" t="s">
        <v>4432</v>
      </c>
      <c r="C232" s="131">
        <v>1</v>
      </c>
      <c r="D232" s="131" t="s">
        <v>4433</v>
      </c>
      <c r="E232" s="131" t="s">
        <v>4433</v>
      </c>
      <c r="F232" s="210" t="s">
        <v>5184</v>
      </c>
      <c r="G232" s="131" t="s">
        <v>4339</v>
      </c>
      <c r="H232" s="131" t="s">
        <v>4349</v>
      </c>
      <c r="I232" s="198"/>
      <c r="J232" s="132" t="s">
        <v>5185</v>
      </c>
      <c r="K232" s="132"/>
      <c r="L232" s="132" t="s">
        <v>5186</v>
      </c>
      <c r="M232" s="131"/>
      <c r="N232" s="131"/>
      <c r="O232" s="199"/>
      <c r="P232" s="136"/>
      <c r="Q232" s="136"/>
      <c r="R232" s="136"/>
      <c r="S232" s="136"/>
      <c r="T232" s="136"/>
      <c r="U232" s="136"/>
      <c r="V232" s="136"/>
      <c r="W232" s="136"/>
      <c r="X232" s="136"/>
      <c r="Y232" s="136"/>
      <c r="Z232" s="136"/>
      <c r="AB232" s="132"/>
      <c r="AC232" s="132"/>
      <c r="AD232" s="132"/>
      <c r="AE232" s="198"/>
      <c r="AG232" s="196"/>
      <c r="AH232" s="196"/>
      <c r="AI232" s="131"/>
      <c r="AJ232" s="131"/>
      <c r="AK232" s="131"/>
      <c r="AP232" s="132"/>
      <c r="BC232" s="197" t="str">
        <f t="shared" si="12"/>
        <v/>
      </c>
      <c r="BD232" s="131" t="str">
        <f t="shared" si="13"/>
        <v>INDENIZAÇÃO</v>
      </c>
      <c r="BE232" s="131" t="str">
        <f t="shared" si="14"/>
        <v>NÃO</v>
      </c>
      <c r="BG232" s="199"/>
      <c r="BH232" s="199"/>
      <c r="BN232" s="182"/>
      <c r="CI232" s="182"/>
    </row>
    <row r="233" spans="1:92" s="141" customFormat="1" ht="30" hidden="1" customHeight="1">
      <c r="A233" s="131">
        <v>219</v>
      </c>
      <c r="B233" s="131" t="s">
        <v>4432</v>
      </c>
      <c r="C233" s="131">
        <v>1</v>
      </c>
      <c r="D233" s="131" t="s">
        <v>4433</v>
      </c>
      <c r="E233" s="131" t="s">
        <v>4433</v>
      </c>
      <c r="F233" s="210" t="s">
        <v>5187</v>
      </c>
      <c r="G233" s="131"/>
      <c r="H233" s="131"/>
      <c r="I233" s="198"/>
      <c r="J233" s="132" t="s">
        <v>5188</v>
      </c>
      <c r="K233" s="132"/>
      <c r="L233" s="132" t="s">
        <v>5189</v>
      </c>
      <c r="M233" s="131"/>
      <c r="N233" s="131"/>
      <c r="O233" s="199"/>
      <c r="P233" s="136"/>
      <c r="Q233" s="136"/>
      <c r="R233" s="136"/>
      <c r="S233" s="136"/>
      <c r="T233" s="136"/>
      <c r="U233" s="136"/>
      <c r="V233" s="136"/>
      <c r="W233" s="136"/>
      <c r="X233" s="136"/>
      <c r="Y233" s="136"/>
      <c r="Z233" s="136"/>
      <c r="AB233" s="132"/>
      <c r="AC233" s="132"/>
      <c r="AD233" s="132"/>
      <c r="AE233" s="131"/>
      <c r="AG233" s="196"/>
      <c r="AH233" s="196"/>
      <c r="AI233" s="131"/>
      <c r="AJ233" s="131"/>
      <c r="AK233" s="131"/>
      <c r="AP233" s="132"/>
      <c r="BC233" s="197" t="str">
        <f t="shared" si="12"/>
        <v/>
      </c>
      <c r="BD233" s="131" t="str">
        <f t="shared" si="13"/>
        <v>INDENIZAÇÃO</v>
      </c>
      <c r="BE233" s="131" t="str">
        <f t="shared" si="14"/>
        <v>NÃO</v>
      </c>
      <c r="BG233" s="199"/>
      <c r="BH233" s="199"/>
      <c r="BN233" s="182"/>
      <c r="CI233" s="182"/>
    </row>
    <row r="234" spans="1:92" s="141" customFormat="1" ht="30" hidden="1" customHeight="1">
      <c r="A234" s="131">
        <v>220</v>
      </c>
      <c r="B234" s="131" t="s">
        <v>4432</v>
      </c>
      <c r="C234" s="131">
        <v>1</v>
      </c>
      <c r="D234" s="131" t="s">
        <v>4433</v>
      </c>
      <c r="E234" s="131" t="s">
        <v>4433</v>
      </c>
      <c r="F234" s="210" t="s">
        <v>5190</v>
      </c>
      <c r="G234" s="131"/>
      <c r="H234" s="131"/>
      <c r="I234" s="131"/>
      <c r="J234" s="132" t="s">
        <v>5191</v>
      </c>
      <c r="K234" s="132"/>
      <c r="L234" s="132" t="s">
        <v>5192</v>
      </c>
      <c r="M234" s="131"/>
      <c r="N234" s="131"/>
      <c r="O234" s="199"/>
      <c r="P234" s="136"/>
      <c r="Q234" s="136"/>
      <c r="R234" s="136"/>
      <c r="S234" s="136"/>
      <c r="T234" s="136"/>
      <c r="U234" s="136"/>
      <c r="V234" s="136"/>
      <c r="W234" s="136"/>
      <c r="X234" s="136"/>
      <c r="Y234" s="136"/>
      <c r="Z234" s="136"/>
      <c r="AB234" s="132"/>
      <c r="AC234" s="132"/>
      <c r="AD234" s="132"/>
      <c r="AE234" s="131"/>
      <c r="AG234" s="196"/>
      <c r="AH234" s="196"/>
      <c r="AI234" s="131"/>
      <c r="AJ234" s="131"/>
      <c r="AK234" s="131"/>
      <c r="AP234" s="132"/>
      <c r="BC234" s="197" t="str">
        <f t="shared" si="12"/>
        <v/>
      </c>
      <c r="BD234" s="131" t="str">
        <f t="shared" si="13"/>
        <v>INDENIZAÇÃO</v>
      </c>
      <c r="BE234" s="131" t="str">
        <f t="shared" si="14"/>
        <v>NÃO</v>
      </c>
      <c r="BG234" s="199"/>
      <c r="BH234" s="199"/>
      <c r="BN234" s="182"/>
      <c r="CI234" s="182"/>
    </row>
    <row r="235" spans="1:92" s="141" customFormat="1" ht="30" hidden="1" customHeight="1">
      <c r="A235" s="131">
        <v>221</v>
      </c>
      <c r="B235" s="131" t="s">
        <v>4432</v>
      </c>
      <c r="C235" s="131">
        <v>1</v>
      </c>
      <c r="D235" s="131" t="s">
        <v>4433</v>
      </c>
      <c r="E235" s="131" t="s">
        <v>4433</v>
      </c>
      <c r="F235" s="210" t="s">
        <v>5193</v>
      </c>
      <c r="G235" s="131"/>
      <c r="H235" s="131"/>
      <c r="I235" s="131"/>
      <c r="J235" s="132" t="s">
        <v>5194</v>
      </c>
      <c r="K235" s="132"/>
      <c r="L235" s="132" t="s">
        <v>5195</v>
      </c>
      <c r="M235" s="131"/>
      <c r="N235" s="131"/>
      <c r="O235" s="199"/>
      <c r="P235" s="136"/>
      <c r="Q235" s="136"/>
      <c r="R235" s="136"/>
      <c r="S235" s="136"/>
      <c r="T235" s="136"/>
      <c r="U235" s="136"/>
      <c r="V235" s="136"/>
      <c r="W235" s="136"/>
      <c r="X235" s="136"/>
      <c r="Y235" s="136"/>
      <c r="Z235" s="136"/>
      <c r="AB235" s="132"/>
      <c r="AC235" s="132"/>
      <c r="AD235" s="132"/>
      <c r="AE235" s="131"/>
      <c r="AG235" s="196"/>
      <c r="AH235" s="196"/>
      <c r="AI235" s="131"/>
      <c r="AJ235" s="131"/>
      <c r="AK235" s="131"/>
      <c r="AP235" s="132"/>
      <c r="BC235" s="197" t="str">
        <f t="shared" si="12"/>
        <v/>
      </c>
      <c r="BD235" s="131" t="str">
        <f t="shared" si="13"/>
        <v>INDENIZAÇÃO</v>
      </c>
      <c r="BE235" s="131" t="str">
        <f t="shared" si="14"/>
        <v>NÃO</v>
      </c>
      <c r="BG235" s="199"/>
      <c r="BH235" s="199"/>
      <c r="BN235" s="182"/>
      <c r="CI235" s="182"/>
    </row>
    <row r="236" spans="1:92" s="141" customFormat="1" ht="30" hidden="1" customHeight="1">
      <c r="A236" s="131">
        <v>222</v>
      </c>
      <c r="B236" s="131" t="s">
        <v>4432</v>
      </c>
      <c r="C236" s="131">
        <v>1</v>
      </c>
      <c r="D236" s="131" t="s">
        <v>4433</v>
      </c>
      <c r="E236" s="131" t="s">
        <v>4433</v>
      </c>
      <c r="F236" s="210" t="s">
        <v>5196</v>
      </c>
      <c r="G236" s="131"/>
      <c r="H236" s="131"/>
      <c r="I236" s="131"/>
      <c r="J236" s="132" t="s">
        <v>5197</v>
      </c>
      <c r="K236" s="132"/>
      <c r="L236" s="132" t="s">
        <v>5198</v>
      </c>
      <c r="M236" s="131"/>
      <c r="N236" s="131"/>
      <c r="O236" s="199"/>
      <c r="P236" s="136"/>
      <c r="Q236" s="136"/>
      <c r="R236" s="136"/>
      <c r="S236" s="136"/>
      <c r="T236" s="136"/>
      <c r="U236" s="136"/>
      <c r="V236" s="136"/>
      <c r="W236" s="136"/>
      <c r="X236" s="136"/>
      <c r="Y236" s="136"/>
      <c r="Z236" s="136"/>
      <c r="AB236" s="132"/>
      <c r="AC236" s="132"/>
      <c r="AD236" s="132"/>
      <c r="AE236" s="131"/>
      <c r="AG236" s="196"/>
      <c r="AH236" s="196"/>
      <c r="AI236" s="131"/>
      <c r="AJ236" s="131"/>
      <c r="AK236" s="131"/>
      <c r="AP236" s="132"/>
      <c r="BC236" s="197" t="str">
        <f t="shared" si="12"/>
        <v/>
      </c>
      <c r="BD236" s="131" t="str">
        <f t="shared" si="13"/>
        <v>INDENIZAÇÃO</v>
      </c>
      <c r="BE236" s="131" t="str">
        <f t="shared" si="14"/>
        <v>NÃO</v>
      </c>
      <c r="BG236" s="199"/>
      <c r="BH236" s="199"/>
      <c r="BN236" s="182"/>
      <c r="CI236" s="190"/>
      <c r="CJ236" s="183"/>
      <c r="CK236" s="183"/>
      <c r="CL236" s="183"/>
      <c r="CM236" s="183"/>
    </row>
    <row r="237" spans="1:92" s="141" customFormat="1" ht="30" hidden="1" customHeight="1">
      <c r="A237" s="131">
        <v>223</v>
      </c>
      <c r="B237" s="131" t="s">
        <v>4432</v>
      </c>
      <c r="C237" s="131">
        <v>1</v>
      </c>
      <c r="D237" s="131" t="s">
        <v>4433</v>
      </c>
      <c r="E237" s="131" t="s">
        <v>4433</v>
      </c>
      <c r="F237" s="210" t="s">
        <v>5199</v>
      </c>
      <c r="G237" s="131"/>
      <c r="H237" s="131"/>
      <c r="I237" s="131"/>
      <c r="J237" s="132" t="s">
        <v>5200</v>
      </c>
      <c r="K237" s="132"/>
      <c r="L237" s="132" t="s">
        <v>5201</v>
      </c>
      <c r="M237" s="131"/>
      <c r="N237" s="131"/>
      <c r="O237" s="199"/>
      <c r="P237" s="136"/>
      <c r="Q237" s="136"/>
      <c r="R237" s="136"/>
      <c r="S237" s="136"/>
      <c r="T237" s="136"/>
      <c r="U237" s="136"/>
      <c r="V237" s="136"/>
      <c r="W237" s="136"/>
      <c r="X237" s="136"/>
      <c r="Y237" s="136"/>
      <c r="Z237" s="136"/>
      <c r="AB237" s="132"/>
      <c r="AC237" s="132"/>
      <c r="AD237" s="132"/>
      <c r="AE237" s="131"/>
      <c r="AG237" s="196"/>
      <c r="AH237" s="196"/>
      <c r="AI237" s="131"/>
      <c r="AJ237" s="131"/>
      <c r="AK237" s="131"/>
      <c r="AP237" s="132"/>
      <c r="BC237" s="197" t="str">
        <f t="shared" si="12"/>
        <v/>
      </c>
      <c r="BD237" s="131" t="str">
        <f t="shared" si="13"/>
        <v>INDENIZAÇÃO</v>
      </c>
      <c r="BE237" s="131" t="str">
        <f t="shared" si="14"/>
        <v>NÃO</v>
      </c>
      <c r="BG237" s="199"/>
      <c r="BH237" s="199"/>
      <c r="BN237" s="182"/>
      <c r="CI237" s="182"/>
      <c r="CN237" s="182"/>
    </row>
    <row r="238" spans="1:92" s="141" customFormat="1" ht="30" hidden="1" customHeight="1">
      <c r="A238" s="131">
        <v>224</v>
      </c>
      <c r="B238" s="131" t="s">
        <v>4432</v>
      </c>
      <c r="C238" s="131">
        <v>1</v>
      </c>
      <c r="D238" s="131" t="s">
        <v>4433</v>
      </c>
      <c r="E238" s="131" t="s">
        <v>4433</v>
      </c>
      <c r="F238" s="210" t="s">
        <v>5202</v>
      </c>
      <c r="G238" s="131" t="s">
        <v>4339</v>
      </c>
      <c r="H238" s="131" t="s">
        <v>4349</v>
      </c>
      <c r="I238" s="131"/>
      <c r="J238" s="132" t="s">
        <v>5203</v>
      </c>
      <c r="K238" s="132"/>
      <c r="L238" s="132" t="s">
        <v>5204</v>
      </c>
      <c r="M238" s="131"/>
      <c r="N238" s="131"/>
      <c r="O238" s="199"/>
      <c r="P238" s="136"/>
      <c r="Q238" s="136"/>
      <c r="R238" s="136"/>
      <c r="S238" s="136"/>
      <c r="T238" s="136"/>
      <c r="U238" s="136"/>
      <c r="V238" s="136"/>
      <c r="W238" s="136"/>
      <c r="X238" s="136"/>
      <c r="Y238" s="136"/>
      <c r="Z238" s="136"/>
      <c r="AB238" s="132"/>
      <c r="AC238" s="132"/>
      <c r="AD238" s="132"/>
      <c r="AE238" s="131"/>
      <c r="AG238" s="196"/>
      <c r="AH238" s="196"/>
      <c r="AI238" s="131"/>
      <c r="AJ238" s="131"/>
      <c r="AK238" s="131"/>
      <c r="AP238" s="132"/>
      <c r="BC238" s="197" t="str">
        <f t="shared" si="12"/>
        <v/>
      </c>
      <c r="BD238" s="131" t="str">
        <f t="shared" si="13"/>
        <v>INDENIZAÇÃO</v>
      </c>
      <c r="BE238" s="131" t="str">
        <f t="shared" si="14"/>
        <v>NÃO</v>
      </c>
      <c r="BG238" s="199"/>
      <c r="BH238" s="199"/>
      <c r="BN238" s="182"/>
      <c r="CI238" s="182"/>
      <c r="CN238" s="182"/>
    </row>
    <row r="239" spans="1:92" s="141" customFormat="1" ht="30" hidden="1" customHeight="1">
      <c r="A239" s="131">
        <v>225</v>
      </c>
      <c r="B239" s="131" t="s">
        <v>4432</v>
      </c>
      <c r="C239" s="131">
        <v>1</v>
      </c>
      <c r="D239" s="131" t="s">
        <v>4433</v>
      </c>
      <c r="E239" s="131" t="s">
        <v>4433</v>
      </c>
      <c r="F239" s="210" t="s">
        <v>5205</v>
      </c>
      <c r="G239" s="131"/>
      <c r="H239" s="131"/>
      <c r="I239" s="198"/>
      <c r="J239" s="132" t="s">
        <v>5206</v>
      </c>
      <c r="K239" s="132"/>
      <c r="L239" s="132" t="s">
        <v>5207</v>
      </c>
      <c r="M239" s="131"/>
      <c r="N239" s="131"/>
      <c r="O239" s="199"/>
      <c r="P239" s="136"/>
      <c r="Q239" s="136"/>
      <c r="R239" s="136"/>
      <c r="S239" s="136"/>
      <c r="T239" s="136"/>
      <c r="U239" s="136"/>
      <c r="V239" s="136"/>
      <c r="W239" s="136"/>
      <c r="X239" s="136"/>
      <c r="Y239" s="136"/>
      <c r="Z239" s="136"/>
      <c r="AB239" s="132"/>
      <c r="AC239" s="132"/>
      <c r="AD239" s="132"/>
      <c r="AE239" s="131"/>
      <c r="AG239" s="196"/>
      <c r="AH239" s="196"/>
      <c r="AI239" s="131"/>
      <c r="AJ239" s="131"/>
      <c r="AK239" s="131"/>
      <c r="AP239" s="132"/>
      <c r="BC239" s="197" t="str">
        <f t="shared" si="12"/>
        <v/>
      </c>
      <c r="BD239" s="131" t="str">
        <f t="shared" si="13"/>
        <v>INDENIZAÇÃO</v>
      </c>
      <c r="BE239" s="131" t="str">
        <f t="shared" si="14"/>
        <v>NÃO</v>
      </c>
      <c r="BG239" s="199"/>
      <c r="BH239" s="199"/>
      <c r="BN239" s="182"/>
      <c r="CI239" s="192"/>
      <c r="CJ239" s="158"/>
      <c r="CK239" s="158"/>
      <c r="CL239" s="158"/>
      <c r="CM239" s="158"/>
    </row>
    <row r="240" spans="1:92" s="141" customFormat="1" ht="30" hidden="1" customHeight="1">
      <c r="A240" s="131">
        <v>226</v>
      </c>
      <c r="B240" s="131" t="s">
        <v>4432</v>
      </c>
      <c r="C240" s="131">
        <v>1</v>
      </c>
      <c r="D240" s="131" t="s">
        <v>4433</v>
      </c>
      <c r="E240" s="131" t="s">
        <v>4433</v>
      </c>
      <c r="F240" s="210" t="s">
        <v>5208</v>
      </c>
      <c r="G240" s="131"/>
      <c r="H240" s="131"/>
      <c r="I240" s="198"/>
      <c r="J240" s="132" t="s">
        <v>5209</v>
      </c>
      <c r="K240" s="132"/>
      <c r="L240" s="132" t="s">
        <v>5210</v>
      </c>
      <c r="M240" s="131"/>
      <c r="N240" s="131"/>
      <c r="O240" s="199"/>
      <c r="P240" s="136"/>
      <c r="Q240" s="136"/>
      <c r="R240" s="136"/>
      <c r="S240" s="136"/>
      <c r="T240" s="136"/>
      <c r="U240" s="136"/>
      <c r="V240" s="136"/>
      <c r="W240" s="136"/>
      <c r="X240" s="136"/>
      <c r="Y240" s="136"/>
      <c r="Z240" s="136"/>
      <c r="AB240" s="132"/>
      <c r="AC240" s="132"/>
      <c r="AD240" s="132"/>
      <c r="AE240" s="131"/>
      <c r="AG240" s="196"/>
      <c r="AH240" s="196"/>
      <c r="AI240" s="131"/>
      <c r="AJ240" s="131"/>
      <c r="AK240" s="131"/>
      <c r="AP240" s="132"/>
      <c r="BC240" s="197" t="str">
        <f t="shared" si="12"/>
        <v/>
      </c>
      <c r="BD240" s="131" t="str">
        <f t="shared" si="13"/>
        <v>INDENIZAÇÃO</v>
      </c>
      <c r="BE240" s="131" t="str">
        <f t="shared" si="14"/>
        <v>NÃO</v>
      </c>
      <c r="BG240" s="199"/>
      <c r="BH240" s="199"/>
      <c r="BN240" s="182"/>
      <c r="CI240" s="182"/>
    </row>
    <row r="241" spans="1:91" s="141" customFormat="1" ht="30" hidden="1" customHeight="1">
      <c r="A241" s="131">
        <v>227</v>
      </c>
      <c r="B241" s="131" t="s">
        <v>4432</v>
      </c>
      <c r="C241" s="131">
        <v>1</v>
      </c>
      <c r="D241" s="131" t="s">
        <v>4433</v>
      </c>
      <c r="E241" s="131" t="s">
        <v>4433</v>
      </c>
      <c r="F241" s="210" t="s">
        <v>5211</v>
      </c>
      <c r="G241" s="131"/>
      <c r="H241" s="131"/>
      <c r="I241" s="131"/>
      <c r="J241" s="132" t="s">
        <v>5212</v>
      </c>
      <c r="K241" s="132"/>
      <c r="L241" s="132" t="s">
        <v>5213</v>
      </c>
      <c r="M241" s="131"/>
      <c r="N241" s="131"/>
      <c r="O241" s="199"/>
      <c r="P241" s="136"/>
      <c r="Q241" s="136"/>
      <c r="R241" s="136"/>
      <c r="S241" s="136"/>
      <c r="T241" s="136"/>
      <c r="U241" s="136"/>
      <c r="V241" s="136"/>
      <c r="W241" s="136"/>
      <c r="X241" s="136"/>
      <c r="Y241" s="136"/>
      <c r="Z241" s="136"/>
      <c r="AB241" s="132"/>
      <c r="AC241" s="132"/>
      <c r="AD241" s="132"/>
      <c r="AE241" s="131"/>
      <c r="AG241" s="196"/>
      <c r="AH241" s="196"/>
      <c r="AI241" s="131"/>
      <c r="AJ241" s="131"/>
      <c r="AK241" s="131"/>
      <c r="AP241" s="132"/>
      <c r="BC241" s="197" t="str">
        <f t="shared" si="12"/>
        <v/>
      </c>
      <c r="BD241" s="131" t="str">
        <f t="shared" si="13"/>
        <v>INDENIZAÇÃO</v>
      </c>
      <c r="BE241" s="131" t="str">
        <f t="shared" si="14"/>
        <v>NÃO</v>
      </c>
      <c r="BG241" s="199"/>
      <c r="BH241" s="199"/>
      <c r="BN241" s="182"/>
      <c r="CI241" s="182"/>
    </row>
    <row r="242" spans="1:91" ht="30" hidden="1" customHeight="1">
      <c r="A242" s="131">
        <v>228</v>
      </c>
      <c r="B242" s="131" t="s">
        <v>4432</v>
      </c>
      <c r="C242" s="131">
        <v>1</v>
      </c>
      <c r="D242" s="131" t="s">
        <v>4433</v>
      </c>
      <c r="E242" s="131" t="s">
        <v>4433</v>
      </c>
      <c r="F242" s="210" t="s">
        <v>5214</v>
      </c>
      <c r="G242" s="131"/>
      <c r="H242" s="131"/>
      <c r="I242" s="131"/>
      <c r="J242" s="132" t="s">
        <v>5215</v>
      </c>
      <c r="K242" s="132"/>
      <c r="L242" s="132" t="s">
        <v>5216</v>
      </c>
      <c r="M242" s="131"/>
      <c r="N242" s="131"/>
      <c r="O242" s="199"/>
      <c r="P242" s="136"/>
      <c r="Q242" s="136"/>
      <c r="R242" s="136"/>
      <c r="S242" s="136"/>
      <c r="T242" s="136"/>
      <c r="U242" s="136"/>
      <c r="V242" s="136"/>
      <c r="W242" s="136"/>
      <c r="X242" s="136"/>
      <c r="Y242" s="136"/>
      <c r="Z242" s="136"/>
      <c r="AA242" s="141"/>
      <c r="AB242" s="132"/>
      <c r="AC242" s="132"/>
      <c r="AD242" s="132"/>
      <c r="AE242" s="131"/>
      <c r="AF242" s="141"/>
      <c r="AG242" s="196"/>
      <c r="AH242" s="196"/>
      <c r="AI242" s="131"/>
      <c r="AJ242" s="131"/>
      <c r="AK242" s="131"/>
      <c r="AL242" s="141"/>
      <c r="AM242" s="141"/>
      <c r="AN242" s="141"/>
      <c r="AO242" s="141"/>
      <c r="AP242" s="132"/>
      <c r="AQ242" s="141"/>
      <c r="AR242" s="141"/>
      <c r="AS242" s="141"/>
      <c r="AT242" s="141"/>
      <c r="AU242" s="141"/>
      <c r="AV242" s="141"/>
      <c r="AW242" s="141"/>
      <c r="AX242" s="141"/>
      <c r="AY242" s="141"/>
      <c r="AZ242" s="141"/>
      <c r="BA242" s="141"/>
      <c r="BB242" s="141"/>
      <c r="BC242" s="197" t="str">
        <f t="shared" si="12"/>
        <v/>
      </c>
      <c r="BD242" s="131" t="str">
        <f t="shared" si="13"/>
        <v>INDENIZAÇÃO</v>
      </c>
      <c r="BE242" s="131" t="str">
        <f t="shared" si="14"/>
        <v>NÃO</v>
      </c>
      <c r="BF242" s="141"/>
      <c r="BG242" s="199"/>
      <c r="BH242" s="199"/>
      <c r="BI242" s="141"/>
      <c r="BJ242" s="141"/>
      <c r="BK242" s="141"/>
      <c r="BL242" s="141"/>
      <c r="BM242" s="141"/>
      <c r="BN242" s="182"/>
      <c r="BO242" s="141"/>
      <c r="BP242" s="141"/>
      <c r="BQ242" s="141"/>
      <c r="BR242" s="141"/>
      <c r="BS242" s="141"/>
      <c r="BT242" s="141"/>
      <c r="BU242" s="141"/>
      <c r="BV242" s="141"/>
      <c r="BW242" s="141"/>
      <c r="BX242" s="141"/>
      <c r="BY242" s="141"/>
      <c r="BZ242" s="141"/>
      <c r="CA242" s="141"/>
      <c r="CB242" s="141"/>
      <c r="CC242" s="141"/>
      <c r="CD242" s="141"/>
      <c r="CE242" s="141"/>
      <c r="CF242" s="141"/>
      <c r="CG242" s="141"/>
      <c r="CH242" s="141"/>
    </row>
    <row r="243" spans="1:91" ht="30" hidden="1" customHeight="1">
      <c r="A243" s="131">
        <v>229</v>
      </c>
      <c r="B243" s="131" t="s">
        <v>4432</v>
      </c>
      <c r="C243" s="131">
        <v>1</v>
      </c>
      <c r="D243" s="131" t="s">
        <v>4433</v>
      </c>
      <c r="E243" s="131" t="s">
        <v>4433</v>
      </c>
      <c r="F243" s="210" t="s">
        <v>5217</v>
      </c>
      <c r="G243" s="131"/>
      <c r="H243" s="131"/>
      <c r="I243" s="131"/>
      <c r="J243" s="132" t="s">
        <v>5218</v>
      </c>
      <c r="K243" s="132"/>
      <c r="L243" s="132" t="s">
        <v>5219</v>
      </c>
      <c r="M243" s="131"/>
      <c r="N243" s="131"/>
      <c r="O243" s="199"/>
      <c r="P243" s="136"/>
      <c r="Q243" s="136"/>
      <c r="R243" s="136"/>
      <c r="S243" s="136"/>
      <c r="T243" s="136"/>
      <c r="U243" s="136"/>
      <c r="V243" s="136"/>
      <c r="W243" s="136"/>
      <c r="X243" s="136"/>
      <c r="Y243" s="136"/>
      <c r="Z243" s="136"/>
      <c r="AA243" s="141"/>
      <c r="AB243" s="132"/>
      <c r="AC243" s="132"/>
      <c r="AD243" s="132"/>
      <c r="AE243" s="131"/>
      <c r="AF243" s="141"/>
      <c r="AG243" s="196"/>
      <c r="AH243" s="196"/>
      <c r="AI243" s="131"/>
      <c r="AJ243" s="131"/>
      <c r="AK243" s="131"/>
      <c r="AL243" s="141"/>
      <c r="AM243" s="141"/>
      <c r="AN243" s="141"/>
      <c r="AO243" s="141"/>
      <c r="AP243" s="132"/>
      <c r="AQ243" s="141"/>
      <c r="AR243" s="141"/>
      <c r="AS243" s="141"/>
      <c r="AT243" s="141"/>
      <c r="AU243" s="199"/>
      <c r="AV243" s="141"/>
      <c r="AW243" s="141"/>
      <c r="AX243" s="199"/>
      <c r="AY243" s="136"/>
      <c r="AZ243" s="136"/>
      <c r="BA243" s="141"/>
      <c r="BB243" s="141"/>
      <c r="BC243" s="197" t="str">
        <f t="shared" si="12"/>
        <v/>
      </c>
      <c r="BD243" s="131" t="str">
        <f t="shared" si="13"/>
        <v>INDENIZAÇÃO</v>
      </c>
      <c r="BE243" s="131" t="str">
        <f t="shared" si="14"/>
        <v>NÃO</v>
      </c>
      <c r="BF243" s="131"/>
      <c r="BG243" s="131"/>
      <c r="BH243" s="131"/>
      <c r="BI243" s="141"/>
      <c r="BJ243" s="141"/>
      <c r="BK243" s="199"/>
      <c r="BL243" s="141"/>
      <c r="BM243" s="141"/>
      <c r="BN243" s="182"/>
      <c r="BO243" s="141"/>
      <c r="BP243" s="141"/>
      <c r="BQ243" s="141"/>
      <c r="BR243" s="141"/>
      <c r="BS243" s="141"/>
      <c r="BT243" s="141"/>
      <c r="BU243" s="141"/>
      <c r="BV243" s="141"/>
      <c r="BW243" s="141"/>
      <c r="BX243" s="141"/>
      <c r="BY243" s="141"/>
      <c r="BZ243" s="141"/>
      <c r="CA243" s="141"/>
      <c r="CB243" s="141"/>
      <c r="CC243" s="141"/>
      <c r="CD243" s="141"/>
      <c r="CE243" s="141"/>
      <c r="CF243" s="141"/>
      <c r="CG243" s="141"/>
      <c r="CH243" s="141"/>
    </row>
    <row r="244" spans="1:91" ht="30" hidden="1" customHeight="1">
      <c r="A244" s="131">
        <v>230</v>
      </c>
      <c r="B244" s="131" t="s">
        <v>4432</v>
      </c>
      <c r="C244" s="131">
        <v>1</v>
      </c>
      <c r="D244" s="131" t="s">
        <v>4433</v>
      </c>
      <c r="E244" s="131" t="s">
        <v>4433</v>
      </c>
      <c r="F244" s="210" t="s">
        <v>5220</v>
      </c>
      <c r="G244" s="131" t="s">
        <v>4339</v>
      </c>
      <c r="H244" s="131" t="s">
        <v>4349</v>
      </c>
      <c r="I244" s="131"/>
      <c r="J244" s="132" t="s">
        <v>5221</v>
      </c>
      <c r="K244" s="132"/>
      <c r="L244" s="132" t="s">
        <v>5222</v>
      </c>
      <c r="M244" s="131"/>
      <c r="N244" s="131"/>
      <c r="O244" s="199"/>
      <c r="P244" s="136"/>
      <c r="Q244" s="136"/>
      <c r="R244" s="136"/>
      <c r="S244" s="136"/>
      <c r="T244" s="136"/>
      <c r="U244" s="136"/>
      <c r="V244" s="136"/>
      <c r="W244" s="136"/>
      <c r="X244" s="136"/>
      <c r="Y244" s="136"/>
      <c r="Z244" s="136"/>
      <c r="AA244" s="141"/>
      <c r="AB244" s="132"/>
      <c r="AC244" s="132"/>
      <c r="AD244" s="132"/>
      <c r="AE244" s="131"/>
      <c r="AF244" s="141"/>
      <c r="AG244" s="196"/>
      <c r="AH244" s="196"/>
      <c r="AI244" s="131"/>
      <c r="AJ244" s="131"/>
      <c r="AK244" s="131"/>
      <c r="AL244" s="141"/>
      <c r="AM244" s="141"/>
      <c r="AN244" s="141"/>
      <c r="AO244" s="141"/>
      <c r="AP244" s="132"/>
      <c r="AQ244" s="141"/>
      <c r="AR244" s="141"/>
      <c r="AS244" s="141"/>
      <c r="AT244" s="141"/>
      <c r="AU244" s="199"/>
      <c r="AV244" s="141"/>
      <c r="AW244" s="141"/>
      <c r="AX244" s="199"/>
      <c r="AY244" s="136"/>
      <c r="AZ244" s="136"/>
      <c r="BA244" s="141"/>
      <c r="BB244" s="141"/>
      <c r="BC244" s="197" t="str">
        <f t="shared" si="12"/>
        <v/>
      </c>
      <c r="BD244" s="131" t="str">
        <f t="shared" si="13"/>
        <v>INDENIZAÇÃO</v>
      </c>
      <c r="BE244" s="131" t="str">
        <f t="shared" si="14"/>
        <v>NÃO</v>
      </c>
      <c r="BF244" s="131"/>
      <c r="BG244" s="131"/>
      <c r="BH244" s="131"/>
      <c r="BI244" s="141"/>
      <c r="BJ244" s="141"/>
      <c r="BK244" s="141"/>
      <c r="BL244" s="141"/>
      <c r="BM244" s="141"/>
      <c r="BN244" s="182"/>
      <c r="BO244" s="141"/>
      <c r="BP244" s="141"/>
      <c r="BQ244" s="141"/>
      <c r="BR244" s="141"/>
      <c r="BS244" s="141"/>
      <c r="BT244" s="141"/>
      <c r="BU244" s="141"/>
      <c r="BV244" s="141"/>
      <c r="BW244" s="141"/>
      <c r="BX244" s="141"/>
      <c r="BY244" s="141"/>
      <c r="BZ244" s="141"/>
      <c r="CA244" s="141"/>
      <c r="CB244" s="141"/>
      <c r="CC244" s="141"/>
      <c r="CD244" s="141"/>
      <c r="CE244" s="141"/>
      <c r="CF244" s="141"/>
      <c r="CG244" s="141"/>
      <c r="CH244" s="141"/>
    </row>
    <row r="245" spans="1:91" ht="30" hidden="1" customHeight="1">
      <c r="A245" s="131">
        <v>231</v>
      </c>
      <c r="B245" s="131" t="s">
        <v>4432</v>
      </c>
      <c r="C245" s="131">
        <v>1</v>
      </c>
      <c r="D245" s="131" t="s">
        <v>4433</v>
      </c>
      <c r="E245" s="131" t="s">
        <v>4433</v>
      </c>
      <c r="F245" s="210" t="s">
        <v>5223</v>
      </c>
      <c r="G245" s="131"/>
      <c r="H245" s="131"/>
      <c r="I245" s="131"/>
      <c r="J245" s="132" t="s">
        <v>5224</v>
      </c>
      <c r="K245" s="132"/>
      <c r="L245" s="132" t="s">
        <v>5225</v>
      </c>
      <c r="M245" s="131"/>
      <c r="N245" s="131"/>
      <c r="O245" s="199"/>
      <c r="P245" s="136"/>
      <c r="Q245" s="136"/>
      <c r="R245" s="136"/>
      <c r="S245" s="136"/>
      <c r="T245" s="136"/>
      <c r="U245" s="136"/>
      <c r="V245" s="136"/>
      <c r="W245" s="136"/>
      <c r="X245" s="136"/>
      <c r="Y245" s="136"/>
      <c r="Z245" s="136"/>
      <c r="AA245" s="141"/>
      <c r="AB245" s="132"/>
      <c r="AC245" s="132"/>
      <c r="AD245" s="132"/>
      <c r="AE245" s="131"/>
      <c r="AF245" s="141"/>
      <c r="AG245" s="196"/>
      <c r="AH245" s="196"/>
      <c r="AI245" s="131"/>
      <c r="AJ245" s="131"/>
      <c r="AK245" s="131"/>
      <c r="AL245" s="141"/>
      <c r="AM245" s="141"/>
      <c r="AN245" s="141"/>
      <c r="AO245" s="141"/>
      <c r="AP245" s="132"/>
      <c r="AQ245" s="141"/>
      <c r="AR245" s="141"/>
      <c r="AS245" s="141"/>
      <c r="AT245" s="141"/>
      <c r="AU245" s="199"/>
      <c r="AV245" s="141"/>
      <c r="AW245" s="141"/>
      <c r="AX245" s="199"/>
      <c r="AY245" s="136"/>
      <c r="AZ245" s="136"/>
      <c r="BA245" s="141"/>
      <c r="BB245" s="141"/>
      <c r="BC245" s="197" t="str">
        <f t="shared" si="12"/>
        <v/>
      </c>
      <c r="BD245" s="131" t="str">
        <f t="shared" si="13"/>
        <v>INDENIZAÇÃO</v>
      </c>
      <c r="BE245" s="131" t="str">
        <f t="shared" si="14"/>
        <v>NÃO</v>
      </c>
      <c r="BF245" s="131"/>
      <c r="BG245" s="131"/>
      <c r="BH245" s="131"/>
      <c r="BI245" s="141"/>
      <c r="BJ245" s="141"/>
      <c r="BK245" s="199"/>
      <c r="BL245" s="141"/>
      <c r="BM245" s="141"/>
      <c r="BN245" s="182"/>
      <c r="BO245" s="141"/>
      <c r="BP245" s="141"/>
      <c r="BQ245" s="141"/>
      <c r="BR245" s="141"/>
      <c r="BS245" s="141"/>
      <c r="BT245" s="141"/>
      <c r="BU245" s="141"/>
      <c r="BV245" s="141"/>
      <c r="BW245" s="141"/>
      <c r="BX245" s="141"/>
      <c r="BY245" s="141"/>
      <c r="BZ245" s="141"/>
      <c r="CA245" s="141"/>
      <c r="CB245" s="141"/>
      <c r="CC245" s="141"/>
      <c r="CD245" s="141"/>
      <c r="CE245" s="141"/>
      <c r="CF245" s="141"/>
      <c r="CG245" s="141"/>
      <c r="CH245" s="141"/>
    </row>
    <row r="246" spans="1:91" ht="30" hidden="1" customHeight="1">
      <c r="A246" s="131">
        <v>232</v>
      </c>
      <c r="B246" s="131" t="s">
        <v>4432</v>
      </c>
      <c r="C246" s="131">
        <v>1</v>
      </c>
      <c r="D246" s="131" t="s">
        <v>4433</v>
      </c>
      <c r="E246" s="131" t="s">
        <v>4433</v>
      </c>
      <c r="F246" s="210" t="s">
        <v>5226</v>
      </c>
      <c r="G246" s="131"/>
      <c r="H246" s="131"/>
      <c r="I246" s="131"/>
      <c r="J246" s="132" t="s">
        <v>5227</v>
      </c>
      <c r="K246" s="132"/>
      <c r="L246" s="132" t="s">
        <v>5228</v>
      </c>
      <c r="M246" s="131"/>
      <c r="N246" s="131"/>
      <c r="O246" s="199"/>
      <c r="P246" s="136"/>
      <c r="Q246" s="136"/>
      <c r="R246" s="136"/>
      <c r="S246" s="136"/>
      <c r="T246" s="136"/>
      <c r="U246" s="136"/>
      <c r="V246" s="136"/>
      <c r="W246" s="136"/>
      <c r="X246" s="136"/>
      <c r="Y246" s="136"/>
      <c r="Z246" s="136"/>
      <c r="AA246" s="141"/>
      <c r="AB246" s="132"/>
      <c r="AC246" s="132"/>
      <c r="AD246" s="132"/>
      <c r="AE246" s="131"/>
      <c r="AF246" s="141"/>
      <c r="AG246" s="196"/>
      <c r="AH246" s="196"/>
      <c r="AI246" s="131"/>
      <c r="AJ246" s="131"/>
      <c r="AK246" s="131"/>
      <c r="AL246" s="141"/>
      <c r="AM246" s="141"/>
      <c r="AN246" s="141"/>
      <c r="AO246" s="141"/>
      <c r="AP246" s="132"/>
      <c r="AQ246" s="141"/>
      <c r="AR246" s="141"/>
      <c r="AS246" s="141"/>
      <c r="AT246" s="141"/>
      <c r="AU246" s="199"/>
      <c r="AV246" s="141"/>
      <c r="AW246" s="141"/>
      <c r="AX246" s="199"/>
      <c r="AY246" s="136"/>
      <c r="AZ246" s="136"/>
      <c r="BA246" s="141"/>
      <c r="BB246" s="141"/>
      <c r="BC246" s="197" t="str">
        <f t="shared" si="12"/>
        <v/>
      </c>
      <c r="BD246" s="131" t="str">
        <f t="shared" si="13"/>
        <v>INDENIZAÇÃO</v>
      </c>
      <c r="BE246" s="131" t="str">
        <f t="shared" si="14"/>
        <v>NÃO</v>
      </c>
      <c r="BF246" s="131"/>
      <c r="BG246" s="131"/>
      <c r="BH246" s="131"/>
      <c r="BI246" s="141"/>
      <c r="BJ246" s="141"/>
      <c r="BK246" s="141"/>
      <c r="BL246" s="141"/>
      <c r="BM246" s="141"/>
      <c r="BN246" s="182"/>
      <c r="BO246" s="141"/>
      <c r="BP246" s="141"/>
      <c r="BQ246" s="141"/>
      <c r="BR246" s="141"/>
      <c r="BS246" s="141"/>
      <c r="BT246" s="141"/>
      <c r="BU246" s="141"/>
      <c r="BV246" s="141"/>
      <c r="BW246" s="141"/>
      <c r="BX246" s="141"/>
      <c r="BY246" s="141"/>
      <c r="BZ246" s="141"/>
      <c r="CA246" s="141"/>
      <c r="CB246" s="141"/>
      <c r="CC246" s="141"/>
      <c r="CD246" s="141"/>
      <c r="CE246" s="141"/>
      <c r="CF246" s="141"/>
      <c r="CG246" s="141"/>
      <c r="CH246" s="141"/>
    </row>
    <row r="247" spans="1:91" ht="30" hidden="1" customHeight="1">
      <c r="A247" s="131">
        <v>233</v>
      </c>
      <c r="B247" s="131" t="s">
        <v>4432</v>
      </c>
      <c r="C247" s="131">
        <v>1</v>
      </c>
      <c r="D247" s="131" t="s">
        <v>4433</v>
      </c>
      <c r="E247" s="131" t="s">
        <v>4433</v>
      </c>
      <c r="F247" s="210" t="s">
        <v>5229</v>
      </c>
      <c r="G247" s="131"/>
      <c r="H247" s="131"/>
      <c r="I247" s="131"/>
      <c r="J247" s="132" t="s">
        <v>5230</v>
      </c>
      <c r="K247" s="132"/>
      <c r="L247" s="132" t="s">
        <v>5231</v>
      </c>
      <c r="M247" s="131"/>
      <c r="N247" s="131"/>
      <c r="O247" s="199"/>
      <c r="P247" s="136"/>
      <c r="Q247" s="136"/>
      <c r="R247" s="136"/>
      <c r="S247" s="136"/>
      <c r="T247" s="136"/>
      <c r="U247" s="136"/>
      <c r="V247" s="136"/>
      <c r="W247" s="136"/>
      <c r="X247" s="136"/>
      <c r="Y247" s="136"/>
      <c r="Z247" s="136"/>
      <c r="AA247" s="141"/>
      <c r="AB247" s="132"/>
      <c r="AC247" s="132"/>
      <c r="AD247" s="132"/>
      <c r="AE247" s="131"/>
      <c r="AF247" s="141"/>
      <c r="AG247" s="196"/>
      <c r="AH247" s="196"/>
      <c r="AI247" s="131"/>
      <c r="AJ247" s="131"/>
      <c r="AK247" s="131"/>
      <c r="AL247" s="141"/>
      <c r="AM247" s="141"/>
      <c r="AN247" s="141"/>
      <c r="AO247" s="141"/>
      <c r="AP247" s="132"/>
      <c r="AQ247" s="141"/>
      <c r="AR247" s="141"/>
      <c r="AS247" s="141"/>
      <c r="AT247" s="141"/>
      <c r="AU247" s="199"/>
      <c r="AV247" s="141"/>
      <c r="AW247" s="141"/>
      <c r="AX247" s="141"/>
      <c r="AY247" s="141"/>
      <c r="AZ247" s="141"/>
      <c r="BA247" s="141"/>
      <c r="BB247" s="141"/>
      <c r="BC247" s="197" t="str">
        <f t="shared" si="12"/>
        <v/>
      </c>
      <c r="BD247" s="131" t="str">
        <f t="shared" si="13"/>
        <v>INDENIZAÇÃO</v>
      </c>
      <c r="BE247" s="131" t="str">
        <f t="shared" si="14"/>
        <v>NÃO</v>
      </c>
      <c r="BF247" s="131"/>
      <c r="BG247" s="131"/>
      <c r="BH247" s="131"/>
      <c r="BI247" s="141"/>
      <c r="BJ247" s="141"/>
      <c r="BK247" s="141"/>
      <c r="BL247" s="141"/>
      <c r="BM247" s="141"/>
      <c r="BN247" s="182"/>
      <c r="BO247" s="141"/>
      <c r="BP247" s="141"/>
      <c r="BQ247" s="141"/>
      <c r="BR247" s="141"/>
      <c r="BS247" s="141"/>
      <c r="BT247" s="141"/>
      <c r="BU247" s="141"/>
      <c r="BV247" s="141"/>
      <c r="BW247" s="141"/>
      <c r="BX247" s="141"/>
      <c r="BY247" s="141"/>
      <c r="BZ247" s="141"/>
      <c r="CA247" s="141"/>
      <c r="CB247" s="141"/>
      <c r="CC247" s="141"/>
      <c r="CD247" s="141"/>
      <c r="CE247" s="141"/>
      <c r="CF247" s="141"/>
      <c r="CG247" s="141"/>
      <c r="CH247" s="141"/>
    </row>
    <row r="248" spans="1:91" ht="30" hidden="1" customHeight="1">
      <c r="A248" s="131">
        <v>234</v>
      </c>
      <c r="B248" s="131" t="s">
        <v>4432</v>
      </c>
      <c r="C248" s="131">
        <v>1</v>
      </c>
      <c r="D248" s="131" t="s">
        <v>4433</v>
      </c>
      <c r="E248" s="131" t="s">
        <v>4433</v>
      </c>
      <c r="F248" s="210" t="s">
        <v>5232</v>
      </c>
      <c r="G248" s="131" t="s">
        <v>4339</v>
      </c>
      <c r="H248" s="131" t="s">
        <v>4349</v>
      </c>
      <c r="I248" s="131"/>
      <c r="J248" s="132" t="s">
        <v>5233</v>
      </c>
      <c r="K248" s="132"/>
      <c r="L248" s="132" t="s">
        <v>5234</v>
      </c>
      <c r="M248" s="131"/>
      <c r="N248" s="131"/>
      <c r="O248" s="199"/>
      <c r="P248" s="136"/>
      <c r="Q248" s="136"/>
      <c r="R248" s="136"/>
      <c r="S248" s="136"/>
      <c r="T248" s="136"/>
      <c r="U248" s="136"/>
      <c r="V248" s="136"/>
      <c r="W248" s="136"/>
      <c r="X248" s="136"/>
      <c r="Y248" s="136"/>
      <c r="Z248" s="136"/>
      <c r="AA248" s="141"/>
      <c r="AB248" s="132"/>
      <c r="AC248" s="132"/>
      <c r="AD248" s="132"/>
      <c r="AE248" s="131"/>
      <c r="AF248" s="141"/>
      <c r="AG248" s="196"/>
      <c r="AH248" s="196"/>
      <c r="AI248" s="131"/>
      <c r="AJ248" s="131"/>
      <c r="AK248" s="131"/>
      <c r="AL248" s="141"/>
      <c r="AM248" s="141"/>
      <c r="AN248" s="141"/>
      <c r="AO248" s="141"/>
      <c r="AP248" s="132"/>
      <c r="AQ248" s="141"/>
      <c r="AR248" s="141"/>
      <c r="AS248" s="141"/>
      <c r="AT248" s="141"/>
      <c r="AU248" s="141"/>
      <c r="AV248" s="141"/>
      <c r="AW248" s="141"/>
      <c r="AX248" s="141"/>
      <c r="AY248" s="141"/>
      <c r="AZ248" s="141"/>
      <c r="BA248" s="141"/>
      <c r="BB248" s="141"/>
      <c r="BC248" s="197" t="str">
        <f t="shared" si="12"/>
        <v/>
      </c>
      <c r="BD248" s="131" t="str">
        <f t="shared" si="13"/>
        <v>INDENIZAÇÃO</v>
      </c>
      <c r="BE248" s="131" t="str">
        <f t="shared" si="14"/>
        <v>NÃO</v>
      </c>
      <c r="BF248" s="141"/>
      <c r="BG248" s="199"/>
      <c r="BH248" s="199"/>
      <c r="BI248" s="141"/>
      <c r="BJ248" s="141"/>
      <c r="BK248" s="141"/>
      <c r="BL248" s="141"/>
      <c r="BM248" s="141"/>
      <c r="BN248" s="182"/>
      <c r="BO248" s="141"/>
      <c r="BP248" s="141"/>
      <c r="BQ248" s="141"/>
      <c r="BR248" s="141"/>
      <c r="BS248" s="141"/>
      <c r="BT248" s="141"/>
      <c r="BU248" s="141"/>
      <c r="BV248" s="141"/>
      <c r="BW248" s="141"/>
      <c r="BX248" s="141"/>
      <c r="BY248" s="141"/>
      <c r="BZ248" s="141"/>
      <c r="CA248" s="141"/>
      <c r="CB248" s="141"/>
      <c r="CC248" s="141"/>
      <c r="CD248" s="141"/>
      <c r="CE248" s="141"/>
      <c r="CF248" s="141"/>
      <c r="CG248" s="141"/>
      <c r="CH248" s="141"/>
    </row>
    <row r="249" spans="1:91" ht="30" hidden="1" customHeight="1">
      <c r="A249" s="131">
        <v>235</v>
      </c>
      <c r="B249" s="131" t="s">
        <v>4432</v>
      </c>
      <c r="C249" s="131">
        <v>1</v>
      </c>
      <c r="D249" s="131" t="s">
        <v>4433</v>
      </c>
      <c r="E249" s="131" t="s">
        <v>4433</v>
      </c>
      <c r="F249" s="210" t="s">
        <v>5235</v>
      </c>
      <c r="G249" s="131"/>
      <c r="H249" s="131"/>
      <c r="I249" s="198"/>
      <c r="J249" s="132" t="s">
        <v>5236</v>
      </c>
      <c r="K249" s="132"/>
      <c r="L249" s="132" t="s">
        <v>5237</v>
      </c>
      <c r="M249" s="131"/>
      <c r="N249" s="131"/>
      <c r="O249" s="199"/>
      <c r="P249" s="136"/>
      <c r="Q249" s="136"/>
      <c r="R249" s="136"/>
      <c r="S249" s="136"/>
      <c r="T249" s="136"/>
      <c r="U249" s="136"/>
      <c r="V249" s="136"/>
      <c r="W249" s="136"/>
      <c r="X249" s="136"/>
      <c r="Y249" s="136"/>
      <c r="Z249" s="136"/>
      <c r="AA249" s="141"/>
      <c r="AB249" s="132"/>
      <c r="AC249" s="132"/>
      <c r="AD249" s="132"/>
      <c r="AE249" s="131"/>
      <c r="AF249" s="141"/>
      <c r="AG249" s="196"/>
      <c r="AH249" s="196"/>
      <c r="AI249" s="131"/>
      <c r="AJ249" s="131"/>
      <c r="AK249" s="131"/>
      <c r="AL249" s="141"/>
      <c r="AM249" s="141"/>
      <c r="AN249" s="141"/>
      <c r="AO249" s="141"/>
      <c r="AP249" s="132"/>
      <c r="AQ249" s="141"/>
      <c r="AR249" s="141"/>
      <c r="AS249" s="141"/>
      <c r="AT249" s="141"/>
      <c r="AU249" s="141"/>
      <c r="AV249" s="141"/>
      <c r="AW249" s="141"/>
      <c r="AX249" s="141"/>
      <c r="AY249" s="141"/>
      <c r="AZ249" s="141"/>
      <c r="BA249" s="141"/>
      <c r="BB249" s="141"/>
      <c r="BC249" s="197" t="str">
        <f t="shared" si="12"/>
        <v/>
      </c>
      <c r="BD249" s="131" t="str">
        <f t="shared" si="13"/>
        <v>INDENIZAÇÃO</v>
      </c>
      <c r="BE249" s="131" t="str">
        <f t="shared" si="14"/>
        <v>NÃO</v>
      </c>
      <c r="BF249" s="141"/>
      <c r="BG249" s="199"/>
      <c r="BH249" s="199"/>
      <c r="BI249" s="141"/>
      <c r="BJ249" s="141"/>
      <c r="BK249" s="141"/>
      <c r="BL249" s="141"/>
      <c r="BM249" s="141"/>
      <c r="BN249" s="182"/>
      <c r="BO249" s="141"/>
      <c r="BP249" s="141"/>
      <c r="BQ249" s="141"/>
      <c r="BR249" s="141"/>
      <c r="BS249" s="141"/>
      <c r="BT249" s="141"/>
      <c r="BU249" s="141"/>
      <c r="BV249" s="141"/>
      <c r="BW249" s="141"/>
      <c r="BX249" s="141"/>
      <c r="BY249" s="141"/>
      <c r="BZ249" s="141"/>
      <c r="CA249" s="141"/>
      <c r="CB249" s="141"/>
      <c r="CC249" s="141"/>
      <c r="CD249" s="141"/>
      <c r="CE249" s="141"/>
      <c r="CF249" s="141"/>
      <c r="CG249" s="141"/>
      <c r="CH249" s="141"/>
      <c r="CI249" s="182"/>
      <c r="CJ249" s="141"/>
      <c r="CK249" s="141"/>
      <c r="CL249" s="141"/>
      <c r="CM249" s="141"/>
    </row>
    <row r="250" spans="1:91" ht="30" hidden="1" customHeight="1">
      <c r="A250" s="131">
        <v>236</v>
      </c>
      <c r="B250" s="131" t="s">
        <v>4432</v>
      </c>
      <c r="C250" s="131">
        <v>1</v>
      </c>
      <c r="D250" s="131" t="s">
        <v>4433</v>
      </c>
      <c r="E250" s="131" t="s">
        <v>4433</v>
      </c>
      <c r="F250" s="210" t="s">
        <v>5238</v>
      </c>
      <c r="G250" s="131"/>
      <c r="H250" s="131"/>
      <c r="I250" s="198"/>
      <c r="J250" s="132" t="s">
        <v>5239</v>
      </c>
      <c r="K250" s="132"/>
      <c r="L250" s="132" t="s">
        <v>5240</v>
      </c>
      <c r="M250" s="131"/>
      <c r="N250" s="131"/>
      <c r="O250" s="199"/>
      <c r="P250" s="136"/>
      <c r="Q250" s="136"/>
      <c r="R250" s="136"/>
      <c r="S250" s="136"/>
      <c r="T250" s="136"/>
      <c r="U250" s="136"/>
      <c r="V250" s="136"/>
      <c r="W250" s="136"/>
      <c r="X250" s="136"/>
      <c r="Y250" s="136"/>
      <c r="Z250" s="136"/>
      <c r="AA250" s="141"/>
      <c r="AB250" s="132"/>
      <c r="AC250" s="132"/>
      <c r="AD250" s="132"/>
      <c r="AE250" s="198"/>
      <c r="AF250" s="141"/>
      <c r="AG250" s="196"/>
      <c r="AH250" s="196"/>
      <c r="AI250" s="131"/>
      <c r="AJ250" s="131"/>
      <c r="AK250" s="131"/>
      <c r="AL250" s="141"/>
      <c r="AM250" s="141"/>
      <c r="AN250" s="141"/>
      <c r="AO250" s="141"/>
      <c r="AP250" s="132"/>
      <c r="AQ250" s="141"/>
      <c r="AR250" s="141"/>
      <c r="AS250" s="141"/>
      <c r="AT250" s="141"/>
      <c r="AU250" s="141"/>
      <c r="AV250" s="141"/>
      <c r="AW250" s="141"/>
      <c r="AX250" s="141"/>
      <c r="AY250" s="141"/>
      <c r="AZ250" s="141"/>
      <c r="BA250" s="141"/>
      <c r="BB250" s="141"/>
      <c r="BC250" s="197" t="str">
        <f t="shared" si="12"/>
        <v/>
      </c>
      <c r="BD250" s="131" t="str">
        <f t="shared" si="13"/>
        <v>INDENIZAÇÃO</v>
      </c>
      <c r="BE250" s="131" t="str">
        <f t="shared" si="14"/>
        <v>NÃO</v>
      </c>
      <c r="BF250" s="141"/>
      <c r="BG250" s="199"/>
      <c r="BH250" s="199"/>
      <c r="BI250" s="141"/>
      <c r="BJ250" s="141"/>
      <c r="BK250" s="141"/>
      <c r="BL250" s="141"/>
      <c r="BM250" s="141"/>
      <c r="BN250" s="182"/>
      <c r="BO250" s="141"/>
      <c r="BP250" s="141"/>
      <c r="BQ250" s="141"/>
      <c r="BR250" s="141"/>
      <c r="BS250" s="141"/>
      <c r="BT250" s="141"/>
      <c r="BU250" s="141"/>
      <c r="BV250" s="141"/>
      <c r="BW250" s="141"/>
      <c r="BX250" s="141"/>
      <c r="BY250" s="141"/>
      <c r="BZ250" s="141"/>
      <c r="CA250" s="141"/>
      <c r="CB250" s="141"/>
      <c r="CC250" s="141"/>
      <c r="CD250" s="141"/>
      <c r="CE250" s="141"/>
      <c r="CF250" s="141"/>
      <c r="CG250" s="141"/>
      <c r="CH250" s="141"/>
    </row>
    <row r="251" spans="1:91" ht="30" hidden="1" customHeight="1">
      <c r="A251" s="131">
        <v>237</v>
      </c>
      <c r="B251" s="131" t="s">
        <v>4432</v>
      </c>
      <c r="C251" s="131">
        <v>1</v>
      </c>
      <c r="D251" s="131" t="s">
        <v>4433</v>
      </c>
      <c r="E251" s="131" t="s">
        <v>4433</v>
      </c>
      <c r="F251" s="210" t="s">
        <v>5241</v>
      </c>
      <c r="G251" s="131"/>
      <c r="H251" s="131"/>
      <c r="I251" s="131"/>
      <c r="J251" s="132" t="s">
        <v>5242</v>
      </c>
      <c r="K251" s="132"/>
      <c r="L251" s="132" t="s">
        <v>5243</v>
      </c>
      <c r="M251" s="131"/>
      <c r="N251" s="131"/>
      <c r="O251" s="199"/>
      <c r="P251" s="136"/>
      <c r="Q251" s="136"/>
      <c r="R251" s="136"/>
      <c r="S251" s="136"/>
      <c r="T251" s="136"/>
      <c r="U251" s="136"/>
      <c r="V251" s="136"/>
      <c r="W251" s="136"/>
      <c r="X251" s="136"/>
      <c r="Y251" s="136"/>
      <c r="Z251" s="136"/>
      <c r="AA251" s="141"/>
      <c r="AB251" s="132"/>
      <c r="AC251" s="132"/>
      <c r="AD251" s="132"/>
      <c r="AE251" s="131"/>
      <c r="AF251" s="141"/>
      <c r="AG251" s="196"/>
      <c r="AH251" s="196"/>
      <c r="AI251" s="131"/>
      <c r="AJ251" s="131"/>
      <c r="AK251" s="131"/>
      <c r="AL251" s="141"/>
      <c r="AM251" s="141"/>
      <c r="AN251" s="141"/>
      <c r="AO251" s="141"/>
      <c r="AP251" s="132"/>
      <c r="AQ251" s="141"/>
      <c r="AR251" s="141"/>
      <c r="AS251" s="141"/>
      <c r="AT251" s="141"/>
      <c r="AU251" s="141"/>
      <c r="AV251" s="141"/>
      <c r="AW251" s="141"/>
      <c r="AX251" s="141"/>
      <c r="AY251" s="141"/>
      <c r="AZ251" s="141"/>
      <c r="BA251" s="141"/>
      <c r="BB251" s="141"/>
      <c r="BC251" s="197" t="str">
        <f t="shared" si="12"/>
        <v/>
      </c>
      <c r="BD251" s="131" t="str">
        <f t="shared" si="13"/>
        <v>INDENIZAÇÃO</v>
      </c>
      <c r="BE251" s="131" t="str">
        <f t="shared" si="14"/>
        <v>NÃO</v>
      </c>
      <c r="BF251" s="141"/>
      <c r="BG251" s="199"/>
      <c r="BH251" s="199"/>
      <c r="BI251" s="141"/>
      <c r="BJ251" s="141"/>
      <c r="BK251" s="141"/>
      <c r="BL251" s="141"/>
      <c r="BM251" s="141"/>
      <c r="BN251" s="182"/>
      <c r="BO251" s="141"/>
      <c r="BP251" s="141"/>
      <c r="BQ251" s="141"/>
      <c r="BR251" s="141"/>
      <c r="BS251" s="141"/>
      <c r="BT251" s="141"/>
      <c r="BU251" s="141"/>
      <c r="BV251" s="141"/>
      <c r="BW251" s="141"/>
      <c r="BX251" s="141"/>
      <c r="BY251" s="141"/>
      <c r="BZ251" s="141"/>
      <c r="CA251" s="141"/>
      <c r="CB251" s="141"/>
      <c r="CC251" s="141"/>
      <c r="CD251" s="141"/>
      <c r="CE251" s="141"/>
      <c r="CF251" s="141"/>
      <c r="CG251" s="141"/>
      <c r="CH251" s="141"/>
    </row>
    <row r="252" spans="1:91" ht="30" hidden="1" customHeight="1">
      <c r="A252" s="131">
        <v>238</v>
      </c>
      <c r="B252" s="131" t="s">
        <v>4432</v>
      </c>
      <c r="C252" s="131">
        <v>1</v>
      </c>
      <c r="D252" s="131" t="s">
        <v>4433</v>
      </c>
      <c r="E252" s="131" t="s">
        <v>4433</v>
      </c>
      <c r="F252" s="210" t="s">
        <v>5244</v>
      </c>
      <c r="G252" s="131"/>
      <c r="H252" s="131"/>
      <c r="I252" s="198"/>
      <c r="J252" s="132" t="s">
        <v>5245</v>
      </c>
      <c r="K252" s="132"/>
      <c r="L252" s="132" t="s">
        <v>5246</v>
      </c>
      <c r="M252" s="131"/>
      <c r="N252" s="131"/>
      <c r="O252" s="199"/>
      <c r="P252" s="136"/>
      <c r="Q252" s="136"/>
      <c r="R252" s="136"/>
      <c r="S252" s="136"/>
      <c r="T252" s="136"/>
      <c r="U252" s="136"/>
      <c r="V252" s="136"/>
      <c r="W252" s="136"/>
      <c r="X252" s="136"/>
      <c r="Y252" s="136"/>
      <c r="Z252" s="136"/>
      <c r="AA252" s="141"/>
      <c r="AB252" s="132"/>
      <c r="AC252" s="132"/>
      <c r="AD252" s="132"/>
      <c r="AE252" s="131"/>
      <c r="AF252" s="141"/>
      <c r="AG252" s="196"/>
      <c r="AH252" s="196"/>
      <c r="AI252" s="131"/>
      <c r="AJ252" s="131"/>
      <c r="AK252" s="131"/>
      <c r="AL252" s="141"/>
      <c r="AM252" s="141"/>
      <c r="AN252" s="141"/>
      <c r="AO252" s="141"/>
      <c r="AP252" s="132"/>
      <c r="AQ252" s="141"/>
      <c r="AR252" s="141"/>
      <c r="AS252" s="141"/>
      <c r="AT252" s="141"/>
      <c r="AU252" s="141"/>
      <c r="AV252" s="141"/>
      <c r="AW252" s="141"/>
      <c r="AX252" s="141"/>
      <c r="AY252" s="141"/>
      <c r="AZ252" s="141"/>
      <c r="BA252" s="141"/>
      <c r="BB252" s="141"/>
      <c r="BC252" s="197" t="str">
        <f t="shared" si="12"/>
        <v/>
      </c>
      <c r="BD252" s="131" t="str">
        <f t="shared" si="13"/>
        <v>INDENIZAÇÃO</v>
      </c>
      <c r="BE252" s="131" t="str">
        <f t="shared" si="14"/>
        <v>NÃO</v>
      </c>
      <c r="BF252" s="141"/>
      <c r="BG252" s="199"/>
      <c r="BH252" s="199"/>
      <c r="BI252" s="141"/>
      <c r="BJ252" s="141"/>
      <c r="BK252" s="141"/>
      <c r="BL252" s="141"/>
      <c r="BM252" s="141"/>
      <c r="BN252" s="182"/>
      <c r="BO252" s="141"/>
      <c r="BP252" s="141"/>
      <c r="BQ252" s="141"/>
      <c r="BR252" s="141"/>
      <c r="BS252" s="141"/>
      <c r="BT252" s="141"/>
      <c r="BU252" s="141"/>
      <c r="BV252" s="141"/>
      <c r="BW252" s="141"/>
      <c r="BX252" s="141"/>
      <c r="BY252" s="141"/>
      <c r="BZ252" s="141"/>
      <c r="CA252" s="141"/>
      <c r="CB252" s="141"/>
      <c r="CC252" s="141"/>
      <c r="CD252" s="141"/>
      <c r="CE252" s="141"/>
      <c r="CF252" s="141"/>
      <c r="CG252" s="141"/>
      <c r="CH252" s="141"/>
    </row>
    <row r="253" spans="1:91" ht="30" hidden="1" customHeight="1">
      <c r="A253" s="131">
        <v>239</v>
      </c>
      <c r="B253" s="131" t="s">
        <v>4432</v>
      </c>
      <c r="C253" s="131">
        <v>1</v>
      </c>
      <c r="D253" s="131" t="s">
        <v>4433</v>
      </c>
      <c r="E253" s="131" t="s">
        <v>4433</v>
      </c>
      <c r="F253" s="210" t="s">
        <v>5247</v>
      </c>
      <c r="G253" s="131"/>
      <c r="H253" s="131"/>
      <c r="I253" s="198"/>
      <c r="J253" s="132" t="s">
        <v>5248</v>
      </c>
      <c r="K253" s="132"/>
      <c r="L253" s="132" t="s">
        <v>5249</v>
      </c>
      <c r="M253" s="131"/>
      <c r="N253" s="131"/>
      <c r="O253" s="199"/>
      <c r="P253" s="136"/>
      <c r="Q253" s="131"/>
      <c r="R253" s="136"/>
      <c r="S253" s="136"/>
      <c r="T253" s="136"/>
      <c r="U253" s="136"/>
      <c r="V253" s="136"/>
      <c r="W253" s="136"/>
      <c r="X253" s="136"/>
      <c r="Y253" s="136"/>
      <c r="Z253" s="136"/>
      <c r="AA253" s="141"/>
      <c r="AB253" s="132"/>
      <c r="AC253" s="132"/>
      <c r="AD253" s="132"/>
      <c r="AE253" s="131"/>
      <c r="AF253" s="141"/>
      <c r="AG253" s="196"/>
      <c r="AH253" s="196"/>
      <c r="AI253" s="131"/>
      <c r="AJ253" s="131"/>
      <c r="AK253" s="131"/>
      <c r="AL253" s="141"/>
      <c r="AM253" s="141"/>
      <c r="AN253" s="141"/>
      <c r="AO253" s="141"/>
      <c r="AP253" s="132"/>
      <c r="AQ253" s="141"/>
      <c r="AR253" s="141"/>
      <c r="AS253" s="141"/>
      <c r="AT253" s="141"/>
      <c r="AU253" s="199"/>
      <c r="AV253" s="141"/>
      <c r="AW253" s="141"/>
      <c r="AX253" s="199"/>
      <c r="AY253" s="136"/>
      <c r="AZ253" s="141"/>
      <c r="BA253" s="141"/>
      <c r="BB253" s="141"/>
      <c r="BC253" s="197" t="str">
        <f t="shared" si="12"/>
        <v/>
      </c>
      <c r="BD253" s="131" t="str">
        <f t="shared" si="13"/>
        <v>INDENIZAÇÃO</v>
      </c>
      <c r="BE253" s="131" t="str">
        <f t="shared" si="14"/>
        <v>NÃO</v>
      </c>
      <c r="BF253" s="141"/>
      <c r="BG253" s="141"/>
      <c r="BH253" s="141"/>
      <c r="BI253" s="141"/>
      <c r="BJ253" s="141"/>
      <c r="BK253" s="141"/>
      <c r="BL253" s="141"/>
      <c r="BM253" s="141"/>
      <c r="BN253" s="182"/>
      <c r="BO253" s="141"/>
      <c r="BP253" s="141"/>
      <c r="BQ253" s="141"/>
      <c r="BR253" s="141"/>
      <c r="BS253" s="141"/>
      <c r="BT253" s="141"/>
      <c r="BU253" s="141"/>
      <c r="BV253" s="141"/>
      <c r="BW253" s="141"/>
      <c r="BX253" s="141"/>
      <c r="BY253" s="141"/>
      <c r="BZ253" s="141"/>
      <c r="CA253" s="141"/>
      <c r="CB253" s="141"/>
      <c r="CC253" s="141"/>
      <c r="CD253" s="141"/>
      <c r="CE253" s="141"/>
      <c r="CF253" s="141"/>
      <c r="CG253" s="141"/>
      <c r="CH253" s="141"/>
      <c r="CI253" s="182"/>
      <c r="CJ253" s="141"/>
      <c r="CK253" s="141"/>
      <c r="CL253" s="141"/>
      <c r="CM253" s="141"/>
    </row>
    <row r="254" spans="1:91" ht="30" hidden="1" customHeight="1">
      <c r="A254" s="131">
        <v>240</v>
      </c>
      <c r="B254" s="131" t="s">
        <v>4432</v>
      </c>
      <c r="C254" s="131">
        <v>1</v>
      </c>
      <c r="D254" s="131" t="s">
        <v>4433</v>
      </c>
      <c r="E254" s="131" t="s">
        <v>4433</v>
      </c>
      <c r="F254" s="210" t="s">
        <v>5250</v>
      </c>
      <c r="G254" s="131" t="s">
        <v>4339</v>
      </c>
      <c r="H254" s="131" t="s">
        <v>4340</v>
      </c>
      <c r="I254" s="198" t="s">
        <v>4624</v>
      </c>
      <c r="J254" s="132" t="s">
        <v>5251</v>
      </c>
      <c r="K254" s="132" t="s">
        <v>5252</v>
      </c>
      <c r="L254" s="132" t="s">
        <v>5253</v>
      </c>
      <c r="M254" s="131" t="s">
        <v>4342</v>
      </c>
      <c r="N254" s="131" t="s">
        <v>4</v>
      </c>
      <c r="O254" s="199">
        <v>46160</v>
      </c>
      <c r="P254" s="136"/>
      <c r="Q254" s="131"/>
      <c r="R254" s="136"/>
      <c r="S254" s="136"/>
      <c r="T254" s="136"/>
      <c r="U254" s="136"/>
      <c r="V254" s="136"/>
      <c r="W254" s="136"/>
      <c r="X254" s="136"/>
      <c r="Y254" s="136"/>
      <c r="Z254" s="136"/>
      <c r="AA254" s="141"/>
      <c r="AB254" s="132" t="s">
        <v>5254</v>
      </c>
      <c r="AC254" s="132" t="s">
        <v>5255</v>
      </c>
      <c r="AD254" s="132" t="s">
        <v>5256</v>
      </c>
      <c r="AE254" s="131" t="s">
        <v>4341</v>
      </c>
      <c r="AF254" s="141" t="s">
        <v>4534</v>
      </c>
      <c r="AG254" s="196">
        <v>34583.550000000003</v>
      </c>
      <c r="AH254" s="196">
        <v>34583.550000000003</v>
      </c>
      <c r="AI254" s="131" t="s">
        <v>4344</v>
      </c>
      <c r="AJ254" s="132" t="s">
        <v>4616</v>
      </c>
      <c r="AK254" s="131">
        <v>157080825</v>
      </c>
      <c r="AL254" s="141" t="s">
        <v>4442</v>
      </c>
      <c r="AM254" s="141" t="s">
        <v>4442</v>
      </c>
      <c r="AN254" s="141" t="s">
        <v>4442</v>
      </c>
      <c r="AO254" s="201"/>
      <c r="AP254" s="132" t="s">
        <v>5257</v>
      </c>
      <c r="AQ254" s="141" t="s">
        <v>4442</v>
      </c>
      <c r="AR254" s="141" t="s">
        <v>4442</v>
      </c>
      <c r="AS254" s="141" t="s">
        <v>4442</v>
      </c>
      <c r="AT254" s="141" t="s">
        <v>4442</v>
      </c>
      <c r="AU254" s="199">
        <v>46254</v>
      </c>
      <c r="AV254" s="137" t="s">
        <v>5050</v>
      </c>
      <c r="AW254" s="137"/>
      <c r="AX254" s="137"/>
      <c r="AY254" s="137"/>
      <c r="AZ254" s="137"/>
      <c r="BA254" s="137" t="s">
        <v>4339</v>
      </c>
      <c r="BB254" s="141"/>
      <c r="BC254" s="197" t="str">
        <f t="shared" si="12"/>
        <v/>
      </c>
      <c r="BD254" s="131" t="str">
        <f t="shared" si="13"/>
        <v>INDENIZAÇÃO</v>
      </c>
      <c r="BE254" s="131" t="str">
        <f t="shared" si="14"/>
        <v>NÃO</v>
      </c>
      <c r="BF254" s="141"/>
      <c r="BG254" s="199"/>
      <c r="BH254" s="199"/>
      <c r="BI254" s="141"/>
      <c r="BJ254" s="141"/>
      <c r="BK254" s="141"/>
      <c r="BL254" s="141"/>
      <c r="BM254" s="141"/>
      <c r="BN254" s="182"/>
      <c r="BO254" s="141"/>
      <c r="BP254" s="141"/>
      <c r="BQ254" s="141"/>
      <c r="BR254" s="141"/>
      <c r="BS254" s="141"/>
      <c r="BT254" s="141"/>
      <c r="BU254" s="141"/>
      <c r="BV254" s="141"/>
      <c r="BW254" s="141"/>
      <c r="BX254" s="141"/>
      <c r="BY254" s="141"/>
      <c r="BZ254" s="141"/>
      <c r="CA254" s="141"/>
      <c r="CB254" s="141"/>
      <c r="CC254" s="141"/>
      <c r="CD254" s="141"/>
      <c r="CE254" s="141"/>
      <c r="CF254" s="141"/>
      <c r="CG254" s="141"/>
      <c r="CH254" s="141"/>
      <c r="CI254" s="182"/>
      <c r="CJ254" s="141"/>
      <c r="CK254" s="141"/>
      <c r="CL254" s="141"/>
      <c r="CM254" s="141"/>
    </row>
    <row r="255" spans="1:91" ht="30" hidden="1" customHeight="1">
      <c r="A255" s="131">
        <v>241</v>
      </c>
      <c r="B255" s="131" t="s">
        <v>4432</v>
      </c>
      <c r="C255" s="131">
        <v>1</v>
      </c>
      <c r="D255" s="131" t="s">
        <v>4433</v>
      </c>
      <c r="E255" s="131" t="s">
        <v>4433</v>
      </c>
      <c r="F255" s="210" t="s">
        <v>5258</v>
      </c>
      <c r="G255" s="131" t="s">
        <v>4339</v>
      </c>
      <c r="H255" s="131" t="s">
        <v>4340</v>
      </c>
      <c r="I255" s="198" t="s">
        <v>4624</v>
      </c>
      <c r="J255" s="132" t="s">
        <v>5259</v>
      </c>
      <c r="K255" s="132"/>
      <c r="L255" s="132" t="s">
        <v>5260</v>
      </c>
      <c r="M255" s="131"/>
      <c r="N255" s="131"/>
      <c r="O255" s="199"/>
      <c r="P255" s="136"/>
      <c r="Q255" s="136"/>
      <c r="R255" s="136"/>
      <c r="S255" s="136"/>
      <c r="T255" s="136"/>
      <c r="U255" s="136"/>
      <c r="V255" s="136"/>
      <c r="W255" s="136"/>
      <c r="X255" s="136"/>
      <c r="Y255" s="136"/>
      <c r="Z255" s="136"/>
      <c r="AA255" s="141"/>
      <c r="AB255" s="132"/>
      <c r="AC255" s="132"/>
      <c r="AD255" s="132"/>
      <c r="AE255" s="198"/>
      <c r="AF255" s="141"/>
      <c r="AG255" s="196"/>
      <c r="AH255" s="196"/>
      <c r="AI255" s="131"/>
      <c r="AJ255" s="131"/>
      <c r="AK255" s="131"/>
      <c r="AL255" s="141"/>
      <c r="AM255" s="141"/>
      <c r="AN255" s="141"/>
      <c r="AO255" s="141"/>
      <c r="AP255" s="132"/>
      <c r="AQ255" s="141"/>
      <c r="AR255" s="141"/>
      <c r="AS255" s="141"/>
      <c r="AT255" s="141"/>
      <c r="AU255" s="199"/>
      <c r="AV255" s="141"/>
      <c r="AW255" s="141"/>
      <c r="AX255" s="136"/>
      <c r="AY255" s="136"/>
      <c r="AZ255" s="141"/>
      <c r="BA255" s="141"/>
      <c r="BB255" s="141"/>
      <c r="BC255" s="197" t="str">
        <f t="shared" si="12"/>
        <v/>
      </c>
      <c r="BD255" s="131" t="str">
        <f t="shared" si="13"/>
        <v>INDENIZAÇÃO</v>
      </c>
      <c r="BE255" s="131" t="str">
        <f t="shared" si="14"/>
        <v>NÃO</v>
      </c>
      <c r="BF255" s="131"/>
      <c r="BG255" s="131"/>
      <c r="BH255" s="131"/>
      <c r="BI255" s="141"/>
      <c r="BJ255" s="141"/>
      <c r="BK255" s="141"/>
      <c r="BL255" s="141"/>
      <c r="BM255" s="141"/>
      <c r="BN255" s="182"/>
      <c r="BO255" s="141"/>
      <c r="BP255" s="141"/>
      <c r="BQ255" s="141"/>
      <c r="BR255" s="141"/>
      <c r="BS255" s="141"/>
      <c r="BT255" s="141"/>
      <c r="BU255" s="141"/>
      <c r="BV255" s="141"/>
      <c r="BW255" s="141"/>
      <c r="BX255" s="141"/>
      <c r="BY255" s="141"/>
      <c r="BZ255" s="141"/>
      <c r="CA255" s="141"/>
      <c r="CB255" s="141"/>
      <c r="CC255" s="141"/>
      <c r="CD255" s="141"/>
      <c r="CE255" s="141"/>
      <c r="CF255" s="141"/>
      <c r="CG255" s="141"/>
      <c r="CH255" s="141"/>
      <c r="CI255" s="182"/>
      <c r="CJ255" s="141"/>
      <c r="CK255" s="141"/>
      <c r="CL255" s="141"/>
      <c r="CM255" s="141"/>
    </row>
    <row r="256" spans="1:91" ht="30" hidden="1" customHeight="1">
      <c r="A256" s="131">
        <v>242</v>
      </c>
      <c r="B256" s="131" t="s">
        <v>4432</v>
      </c>
      <c r="C256" s="131">
        <v>1</v>
      </c>
      <c r="D256" s="131" t="s">
        <v>4433</v>
      </c>
      <c r="E256" s="131" t="s">
        <v>4433</v>
      </c>
      <c r="F256" s="210" t="s">
        <v>5261</v>
      </c>
      <c r="G256" s="131"/>
      <c r="H256" s="131"/>
      <c r="I256" s="198"/>
      <c r="J256" s="132" t="s">
        <v>5262</v>
      </c>
      <c r="K256" s="132"/>
      <c r="L256" s="132" t="s">
        <v>5263</v>
      </c>
      <c r="M256" s="131"/>
      <c r="N256" s="131"/>
      <c r="O256" s="199"/>
      <c r="P256" s="136"/>
      <c r="Q256" s="136"/>
      <c r="R256" s="136"/>
      <c r="S256" s="136"/>
      <c r="T256" s="136"/>
      <c r="U256" s="136"/>
      <c r="V256" s="136"/>
      <c r="W256" s="136"/>
      <c r="X256" s="136"/>
      <c r="Y256" s="136"/>
      <c r="Z256" s="136"/>
      <c r="AA256" s="141"/>
      <c r="AB256" s="132"/>
      <c r="AC256" s="132"/>
      <c r="AD256" s="132"/>
      <c r="AE256" s="198"/>
      <c r="AF256" s="141"/>
      <c r="AG256" s="196"/>
      <c r="AH256" s="196"/>
      <c r="AI256" s="131"/>
      <c r="AJ256" s="131"/>
      <c r="AK256" s="131"/>
      <c r="AL256" s="141"/>
      <c r="AM256" s="141"/>
      <c r="AN256" s="141"/>
      <c r="AO256" s="141"/>
      <c r="AP256" s="132"/>
      <c r="AQ256" s="141"/>
      <c r="AR256" s="141"/>
      <c r="AS256" s="141"/>
      <c r="AT256" s="141"/>
      <c r="AU256" s="141"/>
      <c r="AV256" s="141"/>
      <c r="AW256" s="141"/>
      <c r="AX256" s="141"/>
      <c r="AY256" s="141"/>
      <c r="AZ256" s="141"/>
      <c r="BA256" s="141"/>
      <c r="BB256" s="141"/>
      <c r="BC256" s="197" t="str">
        <f t="shared" si="12"/>
        <v/>
      </c>
      <c r="BD256" s="131" t="str">
        <f t="shared" si="13"/>
        <v>INDENIZAÇÃO</v>
      </c>
      <c r="BE256" s="131" t="str">
        <f t="shared" si="14"/>
        <v>NÃO</v>
      </c>
      <c r="BF256" s="141"/>
      <c r="BG256" s="199"/>
      <c r="BH256" s="199"/>
      <c r="BI256" s="141"/>
      <c r="BJ256" s="141"/>
      <c r="BK256" s="141"/>
      <c r="BL256" s="141"/>
      <c r="BM256" s="141"/>
      <c r="BN256" s="182"/>
      <c r="BO256" s="141"/>
      <c r="BP256" s="141"/>
      <c r="BQ256" s="141"/>
      <c r="BR256" s="141"/>
      <c r="BS256" s="141"/>
      <c r="BT256" s="141"/>
      <c r="BU256" s="141"/>
      <c r="BV256" s="141"/>
      <c r="BW256" s="141"/>
      <c r="BX256" s="141"/>
      <c r="BY256" s="141"/>
      <c r="BZ256" s="141"/>
      <c r="CA256" s="141"/>
      <c r="CB256" s="141"/>
      <c r="CC256" s="141"/>
      <c r="CD256" s="141"/>
      <c r="CE256" s="141"/>
      <c r="CF256" s="141"/>
      <c r="CG256" s="141"/>
      <c r="CH256" s="141"/>
      <c r="CI256" s="182"/>
      <c r="CJ256" s="141"/>
      <c r="CK256" s="141"/>
      <c r="CL256" s="141"/>
      <c r="CM256" s="141"/>
    </row>
    <row r="257" spans="1:91" ht="30" hidden="1" customHeight="1">
      <c r="A257" s="131">
        <v>243</v>
      </c>
      <c r="B257" s="131" t="s">
        <v>4432</v>
      </c>
      <c r="C257" s="131">
        <v>1</v>
      </c>
      <c r="D257" s="131" t="s">
        <v>4433</v>
      </c>
      <c r="E257" s="131" t="s">
        <v>4433</v>
      </c>
      <c r="F257" s="210" t="s">
        <v>5264</v>
      </c>
      <c r="G257" s="131"/>
      <c r="H257" s="131"/>
      <c r="I257" s="131"/>
      <c r="J257" s="132" t="s">
        <v>5265</v>
      </c>
      <c r="K257" s="132"/>
      <c r="L257" s="132" t="s">
        <v>5266</v>
      </c>
      <c r="M257" s="131"/>
      <c r="N257" s="131"/>
      <c r="O257" s="199"/>
      <c r="P257" s="136"/>
      <c r="Q257" s="136"/>
      <c r="R257" s="136"/>
      <c r="S257" s="136"/>
      <c r="T257" s="136"/>
      <c r="U257" s="136"/>
      <c r="V257" s="136"/>
      <c r="W257" s="136"/>
      <c r="X257" s="136"/>
      <c r="Y257" s="136"/>
      <c r="Z257" s="136"/>
      <c r="AA257" s="141"/>
      <c r="AB257" s="132"/>
      <c r="AC257" s="132"/>
      <c r="AD257" s="132"/>
      <c r="AE257" s="131"/>
      <c r="AF257" s="141"/>
      <c r="AG257" s="196"/>
      <c r="AH257" s="196"/>
      <c r="AI257" s="131"/>
      <c r="AJ257" s="131"/>
      <c r="AK257" s="131"/>
      <c r="AL257" s="141"/>
      <c r="AM257" s="141"/>
      <c r="AN257" s="141"/>
      <c r="AO257" s="141"/>
      <c r="AP257" s="132"/>
      <c r="AQ257" s="141"/>
      <c r="AR257" s="141"/>
      <c r="AS257" s="141"/>
      <c r="AT257" s="141"/>
      <c r="AU257" s="199"/>
      <c r="AV257" s="141"/>
      <c r="AW257" s="141"/>
      <c r="AX257" s="199"/>
      <c r="AY257" s="136"/>
      <c r="AZ257" s="141"/>
      <c r="BA257" s="141"/>
      <c r="BB257" s="141"/>
      <c r="BC257" s="197" t="str">
        <f t="shared" si="12"/>
        <v/>
      </c>
      <c r="BD257" s="131" t="str">
        <f t="shared" si="13"/>
        <v>INDENIZAÇÃO</v>
      </c>
      <c r="BE257" s="131" t="str">
        <f t="shared" si="14"/>
        <v>NÃO</v>
      </c>
      <c r="BF257" s="131"/>
      <c r="BG257" s="131"/>
      <c r="BH257" s="131"/>
      <c r="BI257" s="141"/>
      <c r="BJ257" s="141"/>
      <c r="BK257" s="136"/>
      <c r="BL257" s="141"/>
      <c r="BM257" s="141"/>
      <c r="BN257" s="182"/>
      <c r="BO257" s="141"/>
      <c r="BP257" s="141"/>
      <c r="BQ257" s="141"/>
      <c r="BR257" s="141"/>
      <c r="BS257" s="141"/>
      <c r="BT257" s="141"/>
      <c r="BU257" s="141"/>
      <c r="BV257" s="141"/>
      <c r="BW257" s="141"/>
      <c r="BX257" s="141"/>
      <c r="BY257" s="141"/>
      <c r="BZ257" s="141"/>
      <c r="CA257" s="141"/>
      <c r="CB257" s="141"/>
      <c r="CC257" s="141"/>
      <c r="CD257" s="141"/>
      <c r="CE257" s="141"/>
      <c r="CF257" s="141"/>
      <c r="CG257" s="141"/>
      <c r="CH257" s="141"/>
      <c r="CI257" s="182"/>
      <c r="CJ257" s="141"/>
      <c r="CK257" s="141"/>
      <c r="CL257" s="141"/>
      <c r="CM257" s="141"/>
    </row>
    <row r="258" spans="1:91" ht="30" hidden="1" customHeight="1">
      <c r="A258" s="131">
        <v>244</v>
      </c>
      <c r="B258" s="131" t="s">
        <v>4432</v>
      </c>
      <c r="C258" s="131">
        <v>1</v>
      </c>
      <c r="D258" s="131" t="s">
        <v>4433</v>
      </c>
      <c r="E258" s="131" t="s">
        <v>4433</v>
      </c>
      <c r="F258" s="210" t="s">
        <v>5267</v>
      </c>
      <c r="G258" s="131"/>
      <c r="H258" s="131"/>
      <c r="I258" s="198"/>
      <c r="J258" s="132" t="s">
        <v>5268</v>
      </c>
      <c r="K258" s="132"/>
      <c r="L258" s="132" t="s">
        <v>5269</v>
      </c>
      <c r="M258" s="131"/>
      <c r="N258" s="131"/>
      <c r="O258" s="199"/>
      <c r="P258" s="136"/>
      <c r="Q258" s="136"/>
      <c r="R258" s="136"/>
      <c r="S258" s="136"/>
      <c r="T258" s="136"/>
      <c r="U258" s="136"/>
      <c r="V258" s="136"/>
      <c r="W258" s="136"/>
      <c r="X258" s="136"/>
      <c r="Y258" s="136"/>
      <c r="Z258" s="136"/>
      <c r="AA258" s="141"/>
      <c r="AB258" s="132"/>
      <c r="AC258" s="132"/>
      <c r="AD258" s="132"/>
      <c r="AE258" s="131"/>
      <c r="AF258" s="141"/>
      <c r="AG258" s="196"/>
      <c r="AH258" s="196"/>
      <c r="AI258" s="131"/>
      <c r="AJ258" s="131"/>
      <c r="AK258" s="131"/>
      <c r="AL258" s="141"/>
      <c r="AM258" s="141"/>
      <c r="AN258" s="141"/>
      <c r="AO258" s="141"/>
      <c r="AP258" s="132"/>
      <c r="AQ258" s="141"/>
      <c r="AR258" s="141"/>
      <c r="AS258" s="141"/>
      <c r="AT258" s="141"/>
      <c r="AU258" s="141"/>
      <c r="AV258" s="141"/>
      <c r="AW258" s="141"/>
      <c r="AX258" s="141"/>
      <c r="AY258" s="141"/>
      <c r="AZ258" s="141"/>
      <c r="BA258" s="141"/>
      <c r="BB258" s="141"/>
      <c r="BC258" s="197" t="str">
        <f t="shared" si="12"/>
        <v/>
      </c>
      <c r="BD258" s="131" t="str">
        <f t="shared" si="13"/>
        <v>INDENIZAÇÃO</v>
      </c>
      <c r="BE258" s="131" t="str">
        <f t="shared" si="14"/>
        <v>NÃO</v>
      </c>
      <c r="BF258" s="141"/>
      <c r="BG258" s="199"/>
      <c r="BH258" s="199"/>
      <c r="BI258" s="141"/>
      <c r="BJ258" s="141"/>
      <c r="BK258" s="141"/>
      <c r="BL258" s="141"/>
      <c r="BM258" s="141"/>
      <c r="BN258" s="182"/>
      <c r="BO258" s="141"/>
      <c r="BP258" s="141"/>
      <c r="BQ258" s="141"/>
      <c r="BR258" s="141"/>
      <c r="BS258" s="141"/>
      <c r="BT258" s="141"/>
      <c r="BU258" s="141"/>
      <c r="BV258" s="141"/>
      <c r="BW258" s="141"/>
      <c r="BX258" s="141"/>
      <c r="BY258" s="141"/>
      <c r="BZ258" s="141"/>
      <c r="CA258" s="141"/>
      <c r="CB258" s="141"/>
      <c r="CC258" s="141"/>
      <c r="CD258" s="141"/>
      <c r="CE258" s="141"/>
      <c r="CF258" s="141"/>
      <c r="CG258" s="141"/>
      <c r="CH258" s="141"/>
      <c r="CI258" s="182"/>
      <c r="CJ258" s="141"/>
      <c r="CK258" s="141"/>
      <c r="CL258" s="141"/>
      <c r="CM258" s="141"/>
    </row>
    <row r="259" spans="1:91" ht="30" hidden="1" customHeight="1">
      <c r="A259" s="131">
        <v>245</v>
      </c>
      <c r="B259" s="131" t="s">
        <v>4432</v>
      </c>
      <c r="C259" s="131">
        <v>1</v>
      </c>
      <c r="D259" s="131" t="s">
        <v>4433</v>
      </c>
      <c r="E259" s="131" t="s">
        <v>4433</v>
      </c>
      <c r="F259" s="210" t="s">
        <v>5270</v>
      </c>
      <c r="G259" s="131"/>
      <c r="H259" s="131"/>
      <c r="I259" s="198"/>
      <c r="J259" s="132" t="s">
        <v>5271</v>
      </c>
      <c r="K259" s="132"/>
      <c r="L259" s="132" t="s">
        <v>5272</v>
      </c>
      <c r="M259" s="131"/>
      <c r="N259" s="131"/>
      <c r="O259" s="199"/>
      <c r="P259" s="136"/>
      <c r="Q259" s="136"/>
      <c r="R259" s="136"/>
      <c r="S259" s="136"/>
      <c r="T259" s="136"/>
      <c r="U259" s="136"/>
      <c r="V259" s="136"/>
      <c r="W259" s="136"/>
      <c r="X259" s="136"/>
      <c r="Y259" s="136"/>
      <c r="Z259" s="136"/>
      <c r="AA259" s="141"/>
      <c r="AB259" s="132"/>
      <c r="AC259" s="132"/>
      <c r="AD259" s="132"/>
      <c r="AE259" s="131"/>
      <c r="AF259" s="141"/>
      <c r="AG259" s="196"/>
      <c r="AH259" s="196"/>
      <c r="AI259" s="131"/>
      <c r="AJ259" s="131"/>
      <c r="AK259" s="131"/>
      <c r="AL259" s="141"/>
      <c r="AM259" s="141"/>
      <c r="AN259" s="141"/>
      <c r="AO259" s="141"/>
      <c r="AP259" s="132"/>
      <c r="AQ259" s="141"/>
      <c r="AR259" s="141"/>
      <c r="AS259" s="141"/>
      <c r="AT259" s="141"/>
      <c r="AU259" s="199"/>
      <c r="AV259" s="141"/>
      <c r="AW259" s="141"/>
      <c r="AX259" s="136"/>
      <c r="AY259" s="136"/>
      <c r="AZ259" s="141"/>
      <c r="BA259" s="141"/>
      <c r="BB259" s="141"/>
      <c r="BC259" s="197" t="str">
        <f t="shared" si="12"/>
        <v/>
      </c>
      <c r="BD259" s="131" t="str">
        <f t="shared" si="13"/>
        <v>INDENIZAÇÃO</v>
      </c>
      <c r="BE259" s="131" t="str">
        <f t="shared" si="14"/>
        <v>NÃO</v>
      </c>
      <c r="BF259" s="131"/>
      <c r="BG259" s="131"/>
      <c r="BH259" s="131"/>
      <c r="BI259" s="141"/>
      <c r="BJ259" s="141"/>
      <c r="BK259" s="141"/>
      <c r="BL259" s="141"/>
      <c r="BM259" s="141"/>
      <c r="BN259" s="182"/>
      <c r="BO259" s="141"/>
      <c r="BP259" s="141"/>
      <c r="BQ259" s="141"/>
      <c r="BR259" s="141"/>
      <c r="BS259" s="141"/>
      <c r="BT259" s="141"/>
      <c r="BU259" s="141"/>
      <c r="BV259" s="141"/>
      <c r="BW259" s="141"/>
      <c r="BX259" s="141"/>
      <c r="BY259" s="141"/>
      <c r="BZ259" s="141"/>
      <c r="CA259" s="141"/>
      <c r="CB259" s="141"/>
      <c r="CC259" s="141"/>
      <c r="CD259" s="141"/>
      <c r="CE259" s="141"/>
      <c r="CF259" s="141"/>
      <c r="CG259" s="141"/>
      <c r="CH259" s="141"/>
      <c r="CI259" s="182"/>
      <c r="CJ259" s="141"/>
      <c r="CK259" s="141"/>
      <c r="CL259" s="141"/>
      <c r="CM259" s="141"/>
    </row>
    <row r="260" spans="1:91" ht="30" hidden="1" customHeight="1">
      <c r="A260" s="131">
        <v>246</v>
      </c>
      <c r="B260" s="131" t="s">
        <v>4432</v>
      </c>
      <c r="C260" s="131">
        <v>1</v>
      </c>
      <c r="D260" s="131" t="s">
        <v>4433</v>
      </c>
      <c r="E260" s="131" t="s">
        <v>4433</v>
      </c>
      <c r="F260" s="211" t="s">
        <v>5273</v>
      </c>
      <c r="G260" s="131" t="s">
        <v>4339</v>
      </c>
      <c r="H260" s="131" t="s">
        <v>4340</v>
      </c>
      <c r="I260" s="198" t="s">
        <v>4624</v>
      </c>
      <c r="J260" s="132" t="s">
        <v>5274</v>
      </c>
      <c r="K260" s="132"/>
      <c r="L260" s="132" t="s">
        <v>5275</v>
      </c>
      <c r="M260" s="131"/>
      <c r="N260" s="131"/>
      <c r="O260" s="199"/>
      <c r="P260" s="136"/>
      <c r="Q260" s="136"/>
      <c r="R260" s="136"/>
      <c r="S260" s="136"/>
      <c r="T260" s="136"/>
      <c r="U260" s="136"/>
      <c r="V260" s="136"/>
      <c r="W260" s="136"/>
      <c r="X260" s="136"/>
      <c r="Y260" s="136"/>
      <c r="Z260" s="136"/>
      <c r="AA260" s="141"/>
      <c r="AB260" s="132"/>
      <c r="AC260" s="132"/>
      <c r="AD260" s="132"/>
      <c r="AE260" s="198"/>
      <c r="AF260" s="141"/>
      <c r="AG260" s="196"/>
      <c r="AH260" s="196"/>
      <c r="AI260" s="131"/>
      <c r="AJ260" s="131"/>
      <c r="AK260" s="131"/>
      <c r="AL260" s="141"/>
      <c r="AM260" s="141"/>
      <c r="AN260" s="141"/>
      <c r="AO260" s="141"/>
      <c r="AP260" s="132"/>
      <c r="AQ260" s="141"/>
      <c r="AR260" s="141"/>
      <c r="AS260" s="141"/>
      <c r="AT260" s="141"/>
      <c r="AU260" s="141"/>
      <c r="AV260" s="141"/>
      <c r="AW260" s="141"/>
      <c r="AX260" s="141"/>
      <c r="AY260" s="141"/>
      <c r="AZ260" s="141"/>
      <c r="BA260" s="141"/>
      <c r="BB260" s="141"/>
      <c r="BC260" s="197" t="str">
        <f t="shared" si="12"/>
        <v/>
      </c>
      <c r="BD260" s="131" t="str">
        <f t="shared" si="13"/>
        <v>INDENIZAÇÃO</v>
      </c>
      <c r="BE260" s="131" t="str">
        <f t="shared" si="14"/>
        <v>NÃO</v>
      </c>
      <c r="BF260" s="141"/>
      <c r="BG260" s="199"/>
      <c r="BH260" s="199"/>
      <c r="BI260" s="141"/>
      <c r="BJ260" s="141"/>
      <c r="BK260" s="141"/>
      <c r="BL260" s="141"/>
      <c r="BM260" s="141"/>
      <c r="BN260" s="182"/>
      <c r="BO260" s="141"/>
      <c r="BP260" s="141"/>
      <c r="BQ260" s="141"/>
      <c r="BR260" s="141"/>
      <c r="BS260" s="141"/>
      <c r="BT260" s="141"/>
      <c r="BU260" s="141"/>
      <c r="BV260" s="141"/>
      <c r="BW260" s="141"/>
      <c r="BX260" s="141"/>
      <c r="BY260" s="141"/>
      <c r="BZ260" s="141"/>
      <c r="CA260" s="141"/>
      <c r="CB260" s="141"/>
      <c r="CC260" s="141"/>
      <c r="CD260" s="141"/>
      <c r="CE260" s="141"/>
      <c r="CF260" s="141"/>
      <c r="CG260" s="141"/>
      <c r="CH260" s="141"/>
      <c r="CI260" s="182"/>
      <c r="CJ260" s="141"/>
      <c r="CK260" s="141"/>
      <c r="CL260" s="141"/>
      <c r="CM260" s="141"/>
    </row>
    <row r="261" spans="1:91" ht="30" hidden="1" customHeight="1">
      <c r="A261" s="131">
        <v>247</v>
      </c>
      <c r="B261" s="131" t="s">
        <v>4432</v>
      </c>
      <c r="C261" s="131">
        <v>1</v>
      </c>
      <c r="D261" s="131" t="s">
        <v>4433</v>
      </c>
      <c r="E261" s="131" t="s">
        <v>4433</v>
      </c>
      <c r="F261" s="210" t="s">
        <v>5276</v>
      </c>
      <c r="G261" s="131"/>
      <c r="H261" s="131"/>
      <c r="I261" s="131"/>
      <c r="J261" s="132" t="s">
        <v>5277</v>
      </c>
      <c r="K261" s="132"/>
      <c r="L261" s="132" t="s">
        <v>5278</v>
      </c>
      <c r="M261" s="131"/>
      <c r="N261" s="131"/>
      <c r="O261" s="199"/>
      <c r="P261" s="136"/>
      <c r="Q261" s="136"/>
      <c r="R261" s="136"/>
      <c r="S261" s="136"/>
      <c r="T261" s="136"/>
      <c r="U261" s="136"/>
      <c r="V261" s="136"/>
      <c r="W261" s="136"/>
      <c r="X261" s="136"/>
      <c r="Y261" s="136"/>
      <c r="Z261" s="136"/>
      <c r="AA261" s="141"/>
      <c r="AB261" s="132"/>
      <c r="AC261" s="132"/>
      <c r="AD261" s="132"/>
      <c r="AE261" s="131"/>
      <c r="AF261" s="141"/>
      <c r="AG261" s="196"/>
      <c r="AH261" s="196"/>
      <c r="AI261" s="131"/>
      <c r="AJ261" s="131"/>
      <c r="AK261" s="131"/>
      <c r="AL261" s="141"/>
      <c r="AM261" s="141"/>
      <c r="AN261" s="141"/>
      <c r="AO261" s="141"/>
      <c r="AP261" s="132"/>
      <c r="AQ261" s="141"/>
      <c r="AR261" s="141"/>
      <c r="AS261" s="141"/>
      <c r="AT261" s="141"/>
      <c r="AU261" s="199"/>
      <c r="AV261" s="141"/>
      <c r="AW261" s="141"/>
      <c r="AX261" s="199"/>
      <c r="AY261" s="136"/>
      <c r="AZ261" s="136"/>
      <c r="BA261" s="141"/>
      <c r="BB261" s="141"/>
      <c r="BC261" s="197" t="str">
        <f t="shared" si="12"/>
        <v/>
      </c>
      <c r="BD261" s="131" t="str">
        <f t="shared" si="13"/>
        <v>INDENIZAÇÃO</v>
      </c>
      <c r="BE261" s="131" t="str">
        <f t="shared" si="14"/>
        <v>NÃO</v>
      </c>
      <c r="BF261" s="131"/>
      <c r="BG261" s="131"/>
      <c r="BH261" s="131"/>
      <c r="BI261" s="141"/>
      <c r="BJ261" s="141"/>
      <c r="BK261" s="136"/>
      <c r="BL261" s="141"/>
      <c r="BM261" s="141"/>
      <c r="BN261" s="182"/>
      <c r="BO261" s="141"/>
      <c r="BP261" s="141"/>
      <c r="BQ261" s="141"/>
      <c r="BR261" s="141"/>
      <c r="BS261" s="141"/>
      <c r="BT261" s="141"/>
      <c r="BU261" s="141"/>
      <c r="BV261" s="141"/>
      <c r="BW261" s="141"/>
      <c r="BX261" s="141"/>
      <c r="BY261" s="141"/>
      <c r="BZ261" s="141"/>
      <c r="CA261" s="141"/>
      <c r="CB261" s="141"/>
      <c r="CC261" s="141"/>
      <c r="CD261" s="141"/>
      <c r="CE261" s="141"/>
      <c r="CF261" s="141"/>
      <c r="CG261" s="141"/>
      <c r="CH261" s="141"/>
    </row>
    <row r="262" spans="1:91" ht="30" hidden="1" customHeight="1">
      <c r="A262" s="131">
        <v>248</v>
      </c>
      <c r="B262" s="131" t="s">
        <v>4432</v>
      </c>
      <c r="C262" s="131">
        <v>1</v>
      </c>
      <c r="D262" s="131" t="s">
        <v>4433</v>
      </c>
      <c r="E262" s="131" t="s">
        <v>4433</v>
      </c>
      <c r="F262" s="210" t="s">
        <v>5279</v>
      </c>
      <c r="G262" s="131"/>
      <c r="H262" s="131"/>
      <c r="I262" s="131"/>
      <c r="J262" s="132" t="s">
        <v>5280</v>
      </c>
      <c r="K262" s="132"/>
      <c r="L262" s="132" t="s">
        <v>5281</v>
      </c>
      <c r="M262" s="131"/>
      <c r="N262" s="131"/>
      <c r="O262" s="199"/>
      <c r="P262" s="136"/>
      <c r="Q262" s="136"/>
      <c r="R262" s="136"/>
      <c r="S262" s="136"/>
      <c r="T262" s="136"/>
      <c r="U262" s="136"/>
      <c r="V262" s="136"/>
      <c r="W262" s="136"/>
      <c r="X262" s="136"/>
      <c r="Y262" s="136"/>
      <c r="Z262" s="136"/>
      <c r="AA262" s="141"/>
      <c r="AB262" s="132"/>
      <c r="AC262" s="132"/>
      <c r="AD262" s="132"/>
      <c r="AE262" s="131"/>
      <c r="AF262" s="141"/>
      <c r="AG262" s="196"/>
      <c r="AH262" s="196"/>
      <c r="AI262" s="131"/>
      <c r="AJ262" s="131"/>
      <c r="AK262" s="131"/>
      <c r="AL262" s="141"/>
      <c r="AM262" s="141"/>
      <c r="AN262" s="141"/>
      <c r="AO262" s="141"/>
      <c r="AP262" s="132"/>
      <c r="AQ262" s="141"/>
      <c r="AR262" s="141"/>
      <c r="AS262" s="141"/>
      <c r="AT262" s="141"/>
      <c r="AU262" s="199"/>
      <c r="AV262" s="141"/>
      <c r="AW262" s="141"/>
      <c r="AX262" s="199"/>
      <c r="AY262" s="136"/>
      <c r="AZ262" s="136"/>
      <c r="BA262" s="141"/>
      <c r="BB262" s="141"/>
      <c r="BC262" s="197" t="str">
        <f t="shared" si="12"/>
        <v/>
      </c>
      <c r="BD262" s="131" t="str">
        <f t="shared" si="13"/>
        <v>INDENIZAÇÃO</v>
      </c>
      <c r="BE262" s="131" t="str">
        <f t="shared" si="14"/>
        <v>NÃO</v>
      </c>
      <c r="BF262" s="131"/>
      <c r="BG262" s="131"/>
      <c r="BH262" s="131"/>
      <c r="BI262" s="141"/>
      <c r="BJ262" s="141"/>
      <c r="BK262" s="199"/>
      <c r="BL262" s="141"/>
      <c r="BM262" s="141"/>
      <c r="BN262" s="182"/>
      <c r="BO262" s="141"/>
      <c r="BP262" s="141"/>
      <c r="BQ262" s="141"/>
      <c r="BR262" s="141"/>
      <c r="BS262" s="141"/>
      <c r="BT262" s="141"/>
      <c r="BU262" s="141"/>
      <c r="BV262" s="141"/>
      <c r="BW262" s="141"/>
      <c r="BX262" s="141"/>
      <c r="BY262" s="141"/>
      <c r="BZ262" s="141"/>
      <c r="CA262" s="141"/>
      <c r="CB262" s="141"/>
      <c r="CC262" s="141"/>
      <c r="CD262" s="141"/>
      <c r="CE262" s="141"/>
      <c r="CF262" s="141"/>
      <c r="CG262" s="141"/>
      <c r="CH262" s="141"/>
    </row>
    <row r="263" spans="1:91" ht="30" hidden="1" customHeight="1">
      <c r="A263" s="131">
        <v>249</v>
      </c>
      <c r="B263" s="131" t="s">
        <v>4432</v>
      </c>
      <c r="C263" s="131">
        <v>1</v>
      </c>
      <c r="D263" s="131" t="s">
        <v>4433</v>
      </c>
      <c r="E263" s="131" t="s">
        <v>4433</v>
      </c>
      <c r="F263" s="210" t="s">
        <v>5282</v>
      </c>
      <c r="G263" s="131"/>
      <c r="H263" s="131"/>
      <c r="I263" s="131"/>
      <c r="J263" s="132" t="s">
        <v>5283</v>
      </c>
      <c r="K263" s="132"/>
      <c r="L263" s="132" t="s">
        <v>5284</v>
      </c>
      <c r="M263" s="131"/>
      <c r="N263" s="131"/>
      <c r="O263" s="199"/>
      <c r="P263" s="136"/>
      <c r="Q263" s="136"/>
      <c r="R263" s="136"/>
      <c r="S263" s="136"/>
      <c r="T263" s="136"/>
      <c r="U263" s="136"/>
      <c r="V263" s="136"/>
      <c r="W263" s="136"/>
      <c r="X263" s="136"/>
      <c r="Y263" s="136"/>
      <c r="Z263" s="136"/>
      <c r="AA263" s="141"/>
      <c r="AB263" s="132"/>
      <c r="AC263" s="132"/>
      <c r="AD263" s="132"/>
      <c r="AE263" s="131"/>
      <c r="AF263" s="141"/>
      <c r="AG263" s="196"/>
      <c r="AH263" s="196"/>
      <c r="AI263" s="131"/>
      <c r="AJ263" s="131"/>
      <c r="AK263" s="131"/>
      <c r="AL263" s="141"/>
      <c r="AM263" s="141"/>
      <c r="AN263" s="141"/>
      <c r="AO263" s="141"/>
      <c r="AP263" s="132"/>
      <c r="AQ263" s="141"/>
      <c r="AR263" s="141"/>
      <c r="AS263" s="141"/>
      <c r="AT263" s="141"/>
      <c r="AU263" s="199"/>
      <c r="AV263" s="141"/>
      <c r="AW263" s="141"/>
      <c r="AX263" s="199"/>
      <c r="AY263" s="136"/>
      <c r="AZ263" s="136"/>
      <c r="BA263" s="141"/>
      <c r="BB263" s="141"/>
      <c r="BC263" s="197" t="str">
        <f t="shared" si="12"/>
        <v/>
      </c>
      <c r="BD263" s="131" t="str">
        <f t="shared" si="13"/>
        <v>INDENIZAÇÃO</v>
      </c>
      <c r="BE263" s="131" t="str">
        <f t="shared" si="14"/>
        <v>NÃO</v>
      </c>
      <c r="BF263" s="131"/>
      <c r="BG263" s="131"/>
      <c r="BH263" s="131"/>
      <c r="BI263" s="141"/>
      <c r="BJ263" s="141"/>
      <c r="BK263" s="141"/>
      <c r="BL263" s="141"/>
      <c r="BM263" s="141"/>
      <c r="BN263" s="182"/>
      <c r="BO263" s="141"/>
      <c r="BP263" s="141"/>
      <c r="BQ263" s="141"/>
      <c r="BR263" s="141"/>
      <c r="BS263" s="141"/>
      <c r="BT263" s="141"/>
      <c r="BU263" s="141"/>
      <c r="BV263" s="141"/>
      <c r="BW263" s="141"/>
      <c r="BX263" s="141"/>
      <c r="BY263" s="141"/>
      <c r="BZ263" s="141"/>
      <c r="CA263" s="141"/>
      <c r="CB263" s="141"/>
      <c r="CC263" s="141"/>
      <c r="CD263" s="141"/>
      <c r="CE263" s="141"/>
      <c r="CF263" s="141"/>
      <c r="CG263" s="141"/>
      <c r="CH263" s="141"/>
      <c r="CI263" s="182"/>
      <c r="CJ263" s="141"/>
      <c r="CK263" s="141"/>
      <c r="CL263" s="141"/>
      <c r="CM263" s="141"/>
    </row>
    <row r="264" spans="1:91" ht="30" hidden="1" customHeight="1">
      <c r="A264" s="131">
        <v>250</v>
      </c>
      <c r="B264" s="131" t="s">
        <v>4432</v>
      </c>
      <c r="C264" s="131">
        <v>1</v>
      </c>
      <c r="D264" s="131" t="s">
        <v>4433</v>
      </c>
      <c r="E264" s="131" t="s">
        <v>4433</v>
      </c>
      <c r="F264" s="210" t="s">
        <v>5285</v>
      </c>
      <c r="G264" s="131"/>
      <c r="H264" s="131"/>
      <c r="I264" s="131"/>
      <c r="J264" s="132" t="s">
        <v>5286</v>
      </c>
      <c r="K264" s="132"/>
      <c r="L264" s="132" t="s">
        <v>5287</v>
      </c>
      <c r="M264" s="131"/>
      <c r="N264" s="131"/>
      <c r="O264" s="199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  <c r="AA264" s="141"/>
      <c r="AB264" s="132"/>
      <c r="AC264" s="132"/>
      <c r="AD264" s="132"/>
      <c r="AE264" s="131"/>
      <c r="AF264" s="141"/>
      <c r="AG264" s="196"/>
      <c r="AH264" s="196"/>
      <c r="AI264" s="131"/>
      <c r="AJ264" s="131"/>
      <c r="AK264" s="131"/>
      <c r="AL264" s="141"/>
      <c r="AM264" s="141"/>
      <c r="AN264" s="141"/>
      <c r="AO264" s="141"/>
      <c r="AP264" s="132"/>
      <c r="AQ264" s="141"/>
      <c r="AR264" s="141"/>
      <c r="AS264" s="141"/>
      <c r="AT264" s="141"/>
      <c r="AU264" s="199"/>
      <c r="AV264" s="141"/>
      <c r="AW264" s="141"/>
      <c r="AX264" s="199"/>
      <c r="AY264" s="136"/>
      <c r="AZ264" s="136"/>
      <c r="BA264" s="141"/>
      <c r="BB264" s="141"/>
      <c r="BC264" s="197" t="str">
        <f t="shared" si="12"/>
        <v/>
      </c>
      <c r="BD264" s="131" t="str">
        <f t="shared" si="13"/>
        <v>INDENIZAÇÃO</v>
      </c>
      <c r="BE264" s="131" t="str">
        <f t="shared" si="14"/>
        <v>NÃO</v>
      </c>
      <c r="BF264" s="131"/>
      <c r="BG264" s="131"/>
      <c r="BH264" s="131"/>
      <c r="BI264" s="141"/>
      <c r="BJ264" s="141"/>
      <c r="BK264" s="199"/>
      <c r="BL264" s="141"/>
      <c r="BM264" s="141"/>
      <c r="BN264" s="182"/>
      <c r="BO264" s="141"/>
      <c r="BP264" s="141"/>
      <c r="BQ264" s="141"/>
      <c r="BR264" s="141"/>
      <c r="BS264" s="141"/>
      <c r="BT264" s="141"/>
      <c r="BU264" s="141"/>
      <c r="BV264" s="141"/>
      <c r="BW264" s="141"/>
      <c r="BX264" s="141"/>
      <c r="BY264" s="141"/>
      <c r="BZ264" s="141"/>
      <c r="CA264" s="141"/>
      <c r="CB264" s="141"/>
      <c r="CC264" s="141"/>
      <c r="CD264" s="141"/>
      <c r="CE264" s="141"/>
      <c r="CF264" s="141"/>
      <c r="CG264" s="141"/>
      <c r="CH264" s="141"/>
    </row>
    <row r="265" spans="1:91" ht="30" hidden="1" customHeight="1">
      <c r="A265" s="131">
        <v>251</v>
      </c>
      <c r="B265" s="131" t="s">
        <v>4432</v>
      </c>
      <c r="C265" s="131">
        <v>1</v>
      </c>
      <c r="D265" s="131" t="s">
        <v>4433</v>
      </c>
      <c r="E265" s="131" t="s">
        <v>4433</v>
      </c>
      <c r="F265" s="210" t="s">
        <v>5288</v>
      </c>
      <c r="G265" s="131" t="s">
        <v>4348</v>
      </c>
      <c r="H265" s="131" t="s">
        <v>4349</v>
      </c>
      <c r="I265" s="131"/>
      <c r="J265" s="132" t="s">
        <v>5289</v>
      </c>
      <c r="K265" s="132"/>
      <c r="L265" s="132" t="s">
        <v>5290</v>
      </c>
      <c r="M265" s="131"/>
      <c r="N265" s="131"/>
      <c r="O265" s="199"/>
      <c r="P265" s="136"/>
      <c r="Q265" s="136"/>
      <c r="R265" s="136"/>
      <c r="S265" s="136"/>
      <c r="T265" s="136"/>
      <c r="U265" s="136"/>
      <c r="V265" s="136"/>
      <c r="W265" s="136"/>
      <c r="X265" s="136"/>
      <c r="Y265" s="136"/>
      <c r="Z265" s="136"/>
      <c r="AA265" s="141"/>
      <c r="AB265" s="132"/>
      <c r="AC265" s="132"/>
      <c r="AD265" s="132"/>
      <c r="AE265" s="131"/>
      <c r="AF265" s="141"/>
      <c r="AG265" s="196"/>
      <c r="AH265" s="196"/>
      <c r="AI265" s="131"/>
      <c r="AJ265" s="131"/>
      <c r="AK265" s="131"/>
      <c r="AL265" s="141"/>
      <c r="AM265" s="141"/>
      <c r="AN265" s="141"/>
      <c r="AO265" s="141"/>
      <c r="AP265" s="132"/>
      <c r="AQ265" s="141"/>
      <c r="AR265" s="141"/>
      <c r="AS265" s="141"/>
      <c r="AT265" s="141"/>
      <c r="AU265" s="199"/>
      <c r="AV265" s="141"/>
      <c r="AW265" s="141"/>
      <c r="AX265" s="199"/>
      <c r="AY265" s="136"/>
      <c r="AZ265" s="136"/>
      <c r="BA265" s="141"/>
      <c r="BB265" s="141"/>
      <c r="BC265" s="197" t="str">
        <f t="shared" si="12"/>
        <v/>
      </c>
      <c r="BD265" s="131" t="str">
        <f t="shared" si="13"/>
        <v>INDENIZAÇÃO</v>
      </c>
      <c r="BE265" s="131" t="str">
        <f t="shared" si="14"/>
        <v>NÃO</v>
      </c>
      <c r="BF265" s="131"/>
      <c r="BG265" s="131"/>
      <c r="BH265" s="131"/>
      <c r="BI265" s="141"/>
      <c r="BJ265" s="141"/>
      <c r="BK265" s="141"/>
      <c r="BL265" s="141"/>
      <c r="BM265" s="141"/>
      <c r="BN265" s="182"/>
      <c r="BO265" s="141"/>
      <c r="BP265" s="141"/>
      <c r="BQ265" s="141"/>
      <c r="BR265" s="141"/>
      <c r="BS265" s="141"/>
      <c r="BT265" s="141"/>
      <c r="BU265" s="141"/>
      <c r="BV265" s="141"/>
      <c r="BW265" s="141"/>
      <c r="BX265" s="141"/>
      <c r="BY265" s="141"/>
      <c r="BZ265" s="141"/>
      <c r="CA265" s="141"/>
      <c r="CB265" s="141"/>
      <c r="CC265" s="141"/>
      <c r="CD265" s="141"/>
      <c r="CE265" s="141"/>
      <c r="CF265" s="141"/>
      <c r="CG265" s="141"/>
      <c r="CH265" s="141"/>
    </row>
    <row r="266" spans="1:91" ht="30" hidden="1" customHeight="1">
      <c r="A266" s="131">
        <v>252</v>
      </c>
      <c r="B266" s="131" t="s">
        <v>4432</v>
      </c>
      <c r="C266" s="131">
        <v>1</v>
      </c>
      <c r="D266" s="131" t="s">
        <v>4433</v>
      </c>
      <c r="E266" s="131" t="s">
        <v>4433</v>
      </c>
      <c r="F266" s="210" t="s">
        <v>5291</v>
      </c>
      <c r="G266" s="131" t="s">
        <v>4339</v>
      </c>
      <c r="H266" s="131" t="s">
        <v>4357</v>
      </c>
      <c r="I266" s="131" t="s">
        <v>4350</v>
      </c>
      <c r="J266" s="132" t="s">
        <v>5292</v>
      </c>
      <c r="K266" s="132" t="s">
        <v>5293</v>
      </c>
      <c r="L266" s="132" t="s">
        <v>5294</v>
      </c>
      <c r="M266" s="131" t="s">
        <v>4342</v>
      </c>
      <c r="N266" s="131" t="s">
        <v>4343</v>
      </c>
      <c r="O266" s="199">
        <v>46076</v>
      </c>
      <c r="P266" s="133" t="s">
        <v>4361</v>
      </c>
      <c r="Q266" s="133" t="s">
        <v>4361</v>
      </c>
      <c r="R266" s="133" t="s">
        <v>4361</v>
      </c>
      <c r="S266" s="133" t="s">
        <v>4361</v>
      </c>
      <c r="T266" s="133" t="s">
        <v>4361</v>
      </c>
      <c r="U266" s="133" t="s">
        <v>4361</v>
      </c>
      <c r="V266" s="133" t="s">
        <v>4361</v>
      </c>
      <c r="W266" s="133" t="s">
        <v>4361</v>
      </c>
      <c r="X266" s="133" t="s">
        <v>4361</v>
      </c>
      <c r="Y266" s="133" t="s">
        <v>4361</v>
      </c>
      <c r="Z266" s="133" t="s">
        <v>4361</v>
      </c>
      <c r="AA266" s="141"/>
      <c r="AB266" s="132" t="s">
        <v>5292</v>
      </c>
      <c r="AC266" s="132" t="s">
        <v>5293</v>
      </c>
      <c r="AD266" s="132" t="s">
        <v>5294</v>
      </c>
      <c r="AE266" s="131" t="s">
        <v>4350</v>
      </c>
      <c r="AF266" s="141" t="s">
        <v>4534</v>
      </c>
      <c r="AG266" s="196">
        <v>36003.18</v>
      </c>
      <c r="AH266" s="196">
        <v>60000</v>
      </c>
      <c r="AI266" s="131" t="s">
        <v>4344</v>
      </c>
      <c r="AJ266" s="132" t="s">
        <v>4616</v>
      </c>
      <c r="AK266" s="131">
        <v>146292613</v>
      </c>
      <c r="AL266" s="141" t="s">
        <v>4442</v>
      </c>
      <c r="AM266" s="131" t="s">
        <v>4442</v>
      </c>
      <c r="AN266" s="141" t="s">
        <v>4443</v>
      </c>
      <c r="AO266" s="141"/>
      <c r="AP266" s="132" t="s">
        <v>5295</v>
      </c>
      <c r="AQ266" s="141" t="s">
        <v>4442</v>
      </c>
      <c r="AR266" s="141" t="s">
        <v>4442</v>
      </c>
      <c r="AS266" s="141" t="s">
        <v>4442</v>
      </c>
      <c r="AT266" s="141" t="s">
        <v>4442</v>
      </c>
      <c r="AU266" s="199">
        <v>46191</v>
      </c>
      <c r="AV266" s="141" t="s">
        <v>4442</v>
      </c>
      <c r="AW266" s="141" t="s">
        <v>4442</v>
      </c>
      <c r="AX266" s="199">
        <v>46198</v>
      </c>
      <c r="AY266" s="263">
        <v>46198</v>
      </c>
      <c r="AZ266" s="137" t="s">
        <v>4370</v>
      </c>
      <c r="BA266" s="137" t="s">
        <v>4339</v>
      </c>
      <c r="BB266" s="141" t="s">
        <v>4442</v>
      </c>
      <c r="BC266" s="197">
        <f t="shared" si="12"/>
        <v>122</v>
      </c>
      <c r="BD266" s="131" t="str">
        <f t="shared" si="13"/>
        <v>INDENIZAÇÃO</v>
      </c>
      <c r="BE266" s="131" t="str">
        <f t="shared" si="14"/>
        <v>NÃO</v>
      </c>
      <c r="BF266" s="131" t="s">
        <v>4361</v>
      </c>
      <c r="BG266" s="131" t="s">
        <v>4361</v>
      </c>
      <c r="BH266" s="131" t="s">
        <v>4361</v>
      </c>
      <c r="BI266" s="137" t="s">
        <v>4446</v>
      </c>
      <c r="BJ266" s="137"/>
      <c r="BK266" s="255"/>
      <c r="BL266" s="137"/>
      <c r="BM266" s="137"/>
      <c r="BN266" s="182"/>
      <c r="BO266" s="141"/>
      <c r="BP266" s="141"/>
      <c r="BQ266" s="141"/>
      <c r="BR266" s="141"/>
      <c r="BS266" s="141"/>
      <c r="BT266" s="141"/>
      <c r="BU266" s="141"/>
      <c r="BV266" s="141"/>
      <c r="BW266" s="141"/>
      <c r="BX266" s="141"/>
      <c r="BY266" s="141"/>
      <c r="BZ266" s="141"/>
      <c r="CA266" s="141"/>
      <c r="CB266" s="141"/>
      <c r="CC266" s="141"/>
      <c r="CD266" s="141"/>
      <c r="CE266" s="141"/>
      <c r="CF266" s="141"/>
      <c r="CG266" s="141"/>
      <c r="CH266" s="141"/>
    </row>
    <row r="267" spans="1:91" ht="30" hidden="1" customHeight="1">
      <c r="A267" s="131">
        <v>253</v>
      </c>
      <c r="B267" s="131" t="s">
        <v>4432</v>
      </c>
      <c r="C267" s="131">
        <v>1</v>
      </c>
      <c r="D267" s="131" t="s">
        <v>4433</v>
      </c>
      <c r="E267" s="131" t="s">
        <v>4433</v>
      </c>
      <c r="F267" s="210" t="s">
        <v>5296</v>
      </c>
      <c r="G267" s="131" t="s">
        <v>4339</v>
      </c>
      <c r="H267" s="131" t="s">
        <v>4340</v>
      </c>
      <c r="I267" s="131" t="s">
        <v>4624</v>
      </c>
      <c r="J267" s="132" t="s">
        <v>5297</v>
      </c>
      <c r="K267" s="132"/>
      <c r="L267" s="132" t="s">
        <v>5298</v>
      </c>
      <c r="M267" s="131"/>
      <c r="N267" s="131"/>
      <c r="O267" s="199"/>
      <c r="P267" s="136"/>
      <c r="Q267" s="136"/>
      <c r="R267" s="136"/>
      <c r="S267" s="136"/>
      <c r="T267" s="136"/>
      <c r="U267" s="136"/>
      <c r="V267" s="136"/>
      <c r="W267" s="136"/>
      <c r="X267" s="136"/>
      <c r="Y267" s="136"/>
      <c r="Z267" s="136"/>
      <c r="AA267" s="141"/>
      <c r="AB267" s="132"/>
      <c r="AC267" s="132"/>
      <c r="AD267" s="132"/>
      <c r="AE267" s="131"/>
      <c r="AF267" s="141"/>
      <c r="AG267" s="196"/>
      <c r="AH267" s="196"/>
      <c r="AI267" s="131"/>
      <c r="AJ267" s="131"/>
      <c r="AK267" s="131"/>
      <c r="AL267" s="141"/>
      <c r="AM267" s="141"/>
      <c r="AN267" s="141"/>
      <c r="AO267" s="201"/>
      <c r="AP267" s="132"/>
      <c r="AQ267" s="141"/>
      <c r="AR267" s="141"/>
      <c r="AS267" s="141"/>
      <c r="AT267" s="141"/>
      <c r="AU267" s="199"/>
      <c r="AV267" s="141"/>
      <c r="AW267" s="141"/>
      <c r="AX267" s="199"/>
      <c r="AY267" s="136"/>
      <c r="AZ267" s="141"/>
      <c r="BA267" s="141"/>
      <c r="BB267" s="141"/>
      <c r="BC267" s="197" t="str">
        <f t="shared" si="12"/>
        <v/>
      </c>
      <c r="BD267" s="131" t="str">
        <f t="shared" si="13"/>
        <v>INDENIZAÇÃO</v>
      </c>
      <c r="BE267" s="131" t="str">
        <f t="shared" si="14"/>
        <v>NÃO</v>
      </c>
      <c r="BF267" s="131"/>
      <c r="BG267" s="131"/>
      <c r="BH267" s="131"/>
      <c r="BI267" s="141"/>
      <c r="BJ267" s="141"/>
      <c r="BK267" s="199"/>
      <c r="BL267" s="141"/>
      <c r="BM267" s="141"/>
      <c r="BN267" s="182"/>
      <c r="BO267" s="141"/>
      <c r="BP267" s="141"/>
      <c r="BQ267" s="141"/>
      <c r="BR267" s="141"/>
      <c r="BS267" s="141"/>
      <c r="BT267" s="141"/>
      <c r="BU267" s="141"/>
      <c r="BV267" s="141"/>
      <c r="BW267" s="141"/>
      <c r="BX267" s="141"/>
      <c r="BY267" s="141"/>
      <c r="BZ267" s="141"/>
      <c r="CA267" s="141"/>
      <c r="CB267" s="141"/>
      <c r="CC267" s="141"/>
      <c r="CD267" s="141"/>
      <c r="CE267" s="141"/>
      <c r="CF267" s="141"/>
      <c r="CG267" s="141"/>
      <c r="CH267" s="141"/>
    </row>
    <row r="268" spans="1:91" ht="30" hidden="1" customHeight="1">
      <c r="A268" s="131">
        <v>254</v>
      </c>
      <c r="B268" s="131" t="s">
        <v>4432</v>
      </c>
      <c r="C268" s="131">
        <v>1</v>
      </c>
      <c r="D268" s="131" t="s">
        <v>4433</v>
      </c>
      <c r="E268" s="131" t="s">
        <v>4433</v>
      </c>
      <c r="F268" s="210" t="s">
        <v>5299</v>
      </c>
      <c r="G268" s="131"/>
      <c r="H268" s="131"/>
      <c r="I268" s="131"/>
      <c r="J268" s="132" t="s">
        <v>5300</v>
      </c>
      <c r="K268" s="132"/>
      <c r="L268" s="132" t="s">
        <v>5301</v>
      </c>
      <c r="M268" s="131"/>
      <c r="N268" s="131"/>
      <c r="O268" s="199"/>
      <c r="P268" s="136"/>
      <c r="Q268" s="136"/>
      <c r="R268" s="136"/>
      <c r="S268" s="136"/>
      <c r="T268" s="136"/>
      <c r="U268" s="136"/>
      <c r="V268" s="136"/>
      <c r="W268" s="136"/>
      <c r="X268" s="136"/>
      <c r="Y268" s="136"/>
      <c r="Z268" s="136"/>
      <c r="AA268" s="141"/>
      <c r="AB268" s="132"/>
      <c r="AC268" s="132"/>
      <c r="AD268" s="132"/>
      <c r="AE268" s="131"/>
      <c r="AF268" s="141"/>
      <c r="AG268" s="196"/>
      <c r="AH268" s="196"/>
      <c r="AI268" s="131"/>
      <c r="AJ268" s="131"/>
      <c r="AK268" s="131"/>
      <c r="AL268" s="141"/>
      <c r="AM268" s="141"/>
      <c r="AN268" s="141"/>
      <c r="AO268" s="141"/>
      <c r="AP268" s="132"/>
      <c r="AQ268" s="141"/>
      <c r="AR268" s="141"/>
      <c r="AS268" s="141"/>
      <c r="AT268" s="141"/>
      <c r="AU268" s="199"/>
      <c r="AV268" s="141"/>
      <c r="AW268" s="141"/>
      <c r="AX268" s="199"/>
      <c r="AY268" s="136"/>
      <c r="AZ268" s="136"/>
      <c r="BA268" s="141"/>
      <c r="BB268" s="141"/>
      <c r="BC268" s="197" t="str">
        <f t="shared" si="12"/>
        <v/>
      </c>
      <c r="BD268" s="131" t="str">
        <f t="shared" si="13"/>
        <v>INDENIZAÇÃO</v>
      </c>
      <c r="BE268" s="131" t="str">
        <f t="shared" si="14"/>
        <v>NÃO</v>
      </c>
      <c r="BF268" s="131"/>
      <c r="BG268" s="131"/>
      <c r="BH268" s="131"/>
      <c r="BI268" s="141"/>
      <c r="BJ268" s="141"/>
      <c r="BK268" s="199"/>
      <c r="BL268" s="141"/>
      <c r="BM268" s="141"/>
      <c r="BN268" s="182"/>
      <c r="BO268" s="141"/>
      <c r="BP268" s="141"/>
      <c r="BQ268" s="141"/>
      <c r="BR268" s="141"/>
      <c r="BS268" s="141"/>
      <c r="BT268" s="141"/>
      <c r="BU268" s="141"/>
      <c r="BV268" s="141"/>
      <c r="BW268" s="141"/>
      <c r="BX268" s="141"/>
      <c r="BY268" s="141"/>
      <c r="BZ268" s="141"/>
      <c r="CA268" s="141"/>
      <c r="CB268" s="141"/>
      <c r="CC268" s="141"/>
      <c r="CD268" s="141"/>
      <c r="CE268" s="141"/>
      <c r="CF268" s="141"/>
      <c r="CG268" s="141"/>
      <c r="CH268" s="141"/>
    </row>
    <row r="269" spans="1:91" ht="30" hidden="1" customHeight="1">
      <c r="A269" s="131">
        <v>255</v>
      </c>
      <c r="B269" s="131" t="s">
        <v>4432</v>
      </c>
      <c r="C269" s="131">
        <v>1</v>
      </c>
      <c r="D269" s="131" t="s">
        <v>4433</v>
      </c>
      <c r="E269" s="131" t="s">
        <v>4433</v>
      </c>
      <c r="F269" s="210" t="s">
        <v>5302</v>
      </c>
      <c r="G269" s="131"/>
      <c r="H269" s="131"/>
      <c r="I269" s="131"/>
      <c r="J269" s="132" t="s">
        <v>5303</v>
      </c>
      <c r="K269" s="132"/>
      <c r="L269" s="132" t="s">
        <v>5304</v>
      </c>
      <c r="M269" s="131"/>
      <c r="N269" s="131"/>
      <c r="O269" s="199"/>
      <c r="P269" s="136"/>
      <c r="Q269" s="131"/>
      <c r="R269" s="136"/>
      <c r="S269" s="136"/>
      <c r="T269" s="136"/>
      <c r="U269" s="136"/>
      <c r="V269" s="136"/>
      <c r="W269" s="136"/>
      <c r="X269" s="136"/>
      <c r="Y269" s="136"/>
      <c r="Z269" s="136"/>
      <c r="AA269" s="141"/>
      <c r="AB269" s="132"/>
      <c r="AC269" s="132"/>
      <c r="AD269" s="132"/>
      <c r="AE269" s="131"/>
      <c r="AF269" s="141"/>
      <c r="AG269" s="196"/>
      <c r="AH269" s="196"/>
      <c r="AI269" s="131"/>
      <c r="AJ269" s="131"/>
      <c r="AK269" s="131"/>
      <c r="AL269" s="141"/>
      <c r="AM269" s="141"/>
      <c r="AN269" s="141"/>
      <c r="AO269" s="141"/>
      <c r="AP269" s="132"/>
      <c r="AQ269" s="141"/>
      <c r="AR269" s="141"/>
      <c r="AS269" s="141"/>
      <c r="AT269" s="141"/>
      <c r="AU269" s="141"/>
      <c r="AV269" s="141"/>
      <c r="AW269" s="141"/>
      <c r="AX269" s="141"/>
      <c r="AY269" s="141"/>
      <c r="AZ269" s="141"/>
      <c r="BA269" s="141"/>
      <c r="BB269" s="141"/>
      <c r="BC269" s="197" t="str">
        <f t="shared" si="12"/>
        <v/>
      </c>
      <c r="BD269" s="131" t="str">
        <f t="shared" si="13"/>
        <v>INDENIZAÇÃO</v>
      </c>
      <c r="BE269" s="131" t="str">
        <f t="shared" si="14"/>
        <v>NÃO</v>
      </c>
      <c r="BF269" s="141"/>
      <c r="BG269" s="199"/>
      <c r="BH269" s="199"/>
      <c r="BI269" s="141"/>
      <c r="BJ269" s="141"/>
      <c r="BK269" s="141"/>
      <c r="BL269" s="141"/>
      <c r="BM269" s="141"/>
      <c r="BN269" s="182"/>
      <c r="BO269" s="141"/>
      <c r="BP269" s="141"/>
      <c r="BQ269" s="141"/>
      <c r="BR269" s="141"/>
      <c r="BS269" s="141"/>
      <c r="BT269" s="141"/>
      <c r="BU269" s="141"/>
      <c r="BV269" s="141"/>
      <c r="BW269" s="141"/>
      <c r="BX269" s="141"/>
      <c r="BY269" s="141"/>
      <c r="BZ269" s="141"/>
      <c r="CA269" s="141"/>
      <c r="CB269" s="141"/>
      <c r="CC269" s="141"/>
      <c r="CD269" s="141"/>
      <c r="CE269" s="141"/>
      <c r="CF269" s="141"/>
      <c r="CG269" s="141"/>
      <c r="CH269" s="141"/>
      <c r="CI269" s="182"/>
      <c r="CJ269" s="141"/>
      <c r="CK269" s="141"/>
      <c r="CL269" s="141"/>
      <c r="CM269" s="141"/>
    </row>
    <row r="270" spans="1:91" ht="30" hidden="1" customHeight="1">
      <c r="A270" s="131">
        <v>256</v>
      </c>
      <c r="B270" s="131" t="s">
        <v>4432</v>
      </c>
      <c r="C270" s="131">
        <v>1</v>
      </c>
      <c r="D270" s="131" t="s">
        <v>4433</v>
      </c>
      <c r="E270" s="131" t="s">
        <v>4433</v>
      </c>
      <c r="F270" s="210" t="s">
        <v>5305</v>
      </c>
      <c r="G270" s="131"/>
      <c r="H270" s="131"/>
      <c r="I270" s="131"/>
      <c r="J270" s="132" t="s">
        <v>5306</v>
      </c>
      <c r="K270" s="132"/>
      <c r="L270" s="132" t="s">
        <v>5307</v>
      </c>
      <c r="M270" s="131"/>
      <c r="N270" s="131"/>
      <c r="O270" s="199"/>
      <c r="P270" s="136"/>
      <c r="Q270" s="207"/>
      <c r="R270" s="136"/>
      <c r="S270" s="136"/>
      <c r="T270" s="136"/>
      <c r="U270" s="136"/>
      <c r="V270" s="136"/>
      <c r="W270" s="136"/>
      <c r="X270" s="136"/>
      <c r="Y270" s="136"/>
      <c r="Z270" s="136"/>
      <c r="AA270" s="141"/>
      <c r="AB270" s="132"/>
      <c r="AC270" s="132"/>
      <c r="AD270" s="132"/>
      <c r="AE270" s="131"/>
      <c r="AF270" s="141"/>
      <c r="AG270" s="196"/>
      <c r="AH270" s="196"/>
      <c r="AI270" s="131"/>
      <c r="AJ270" s="131"/>
      <c r="AK270" s="131"/>
      <c r="AL270" s="141"/>
      <c r="AM270" s="141"/>
      <c r="AN270" s="141"/>
      <c r="AO270" s="141"/>
      <c r="AP270" s="132"/>
      <c r="AQ270" s="141"/>
      <c r="AR270" s="141"/>
      <c r="AS270" s="141"/>
      <c r="AT270" s="141"/>
      <c r="AU270" s="141"/>
      <c r="AV270" s="141"/>
      <c r="AW270" s="141"/>
      <c r="AX270" s="141"/>
      <c r="AY270" s="141"/>
      <c r="AZ270" s="141"/>
      <c r="BA270" s="141"/>
      <c r="BB270" s="141"/>
      <c r="BC270" s="197" t="str">
        <f t="shared" si="12"/>
        <v/>
      </c>
      <c r="BD270" s="131" t="str">
        <f t="shared" si="13"/>
        <v>INDENIZAÇÃO</v>
      </c>
      <c r="BE270" s="131" t="str">
        <f t="shared" si="14"/>
        <v>NÃO</v>
      </c>
      <c r="BF270" s="141"/>
      <c r="BG270" s="199"/>
      <c r="BH270" s="199"/>
      <c r="BI270" s="141"/>
      <c r="BJ270" s="141"/>
      <c r="BK270" s="141"/>
      <c r="BL270" s="141"/>
      <c r="BM270" s="141"/>
      <c r="BN270" s="182"/>
      <c r="BO270" s="141"/>
      <c r="BP270" s="141"/>
      <c r="BQ270" s="141"/>
      <c r="BR270" s="141"/>
      <c r="BS270" s="141"/>
      <c r="BT270" s="141"/>
      <c r="BU270" s="141"/>
      <c r="BV270" s="141"/>
      <c r="BW270" s="141"/>
      <c r="BX270" s="141"/>
      <c r="BY270" s="141"/>
      <c r="BZ270" s="141"/>
      <c r="CA270" s="141"/>
      <c r="CB270" s="141"/>
      <c r="CC270" s="141"/>
      <c r="CD270" s="141"/>
      <c r="CE270" s="141"/>
      <c r="CF270" s="141"/>
      <c r="CG270" s="141"/>
      <c r="CH270" s="141"/>
    </row>
    <row r="271" spans="1:91" ht="30" hidden="1" customHeight="1">
      <c r="A271" s="131">
        <v>257</v>
      </c>
      <c r="B271" s="131" t="s">
        <v>4432</v>
      </c>
      <c r="C271" s="131">
        <v>1</v>
      </c>
      <c r="D271" s="131" t="s">
        <v>4433</v>
      </c>
      <c r="E271" s="131" t="s">
        <v>4433</v>
      </c>
      <c r="F271" s="210" t="s">
        <v>5308</v>
      </c>
      <c r="G271" s="131" t="s">
        <v>4339</v>
      </c>
      <c r="H271" s="131" t="s">
        <v>4340</v>
      </c>
      <c r="I271" s="131" t="s">
        <v>4350</v>
      </c>
      <c r="J271" s="132" t="s">
        <v>5309</v>
      </c>
      <c r="K271" s="132" t="s">
        <v>5310</v>
      </c>
      <c r="L271" s="132" t="s">
        <v>5311</v>
      </c>
      <c r="M271" s="131" t="s">
        <v>4342</v>
      </c>
      <c r="N271" s="131" t="s">
        <v>4343</v>
      </c>
      <c r="O271" s="199">
        <v>46181</v>
      </c>
      <c r="P271" s="133" t="s">
        <v>4361</v>
      </c>
      <c r="Q271" s="133" t="s">
        <v>4361</v>
      </c>
      <c r="R271" s="133" t="s">
        <v>4361</v>
      </c>
      <c r="S271" s="133" t="s">
        <v>4361</v>
      </c>
      <c r="T271" s="133" t="s">
        <v>4361</v>
      </c>
      <c r="U271" s="133" t="s">
        <v>4361</v>
      </c>
      <c r="V271" s="133" t="s">
        <v>4361</v>
      </c>
      <c r="W271" s="133" t="s">
        <v>4361</v>
      </c>
      <c r="X271" s="133" t="s">
        <v>4361</v>
      </c>
      <c r="Y271" s="133" t="s">
        <v>4361</v>
      </c>
      <c r="Z271" s="133" t="s">
        <v>4361</v>
      </c>
      <c r="AA271" s="141"/>
      <c r="AB271" s="132" t="s">
        <v>5309</v>
      </c>
      <c r="AC271" s="132" t="s">
        <v>5310</v>
      </c>
      <c r="AD271" s="132" t="s">
        <v>5311</v>
      </c>
      <c r="AE271" s="131" t="s">
        <v>4350</v>
      </c>
      <c r="AF271" s="141" t="s">
        <v>4342</v>
      </c>
      <c r="AG271" s="196">
        <v>40422.89</v>
      </c>
      <c r="AH271" s="196">
        <v>60000</v>
      </c>
      <c r="AI271" s="131" t="s">
        <v>4344</v>
      </c>
      <c r="AJ271" s="132" t="s">
        <v>4616</v>
      </c>
      <c r="AK271" s="131">
        <v>146312316</v>
      </c>
      <c r="AL271" s="141" t="s">
        <v>4442</v>
      </c>
      <c r="AM271" s="141" t="s">
        <v>4442</v>
      </c>
      <c r="AN271" s="141" t="s">
        <v>4442</v>
      </c>
      <c r="AO271" s="256" t="s">
        <v>5312</v>
      </c>
      <c r="AP271" s="132" t="s">
        <v>5313</v>
      </c>
      <c r="AQ271" s="141" t="s">
        <v>4442</v>
      </c>
      <c r="AR271" s="141" t="s">
        <v>4442</v>
      </c>
      <c r="AS271" s="141" t="s">
        <v>4442</v>
      </c>
      <c r="AT271" s="141" t="s">
        <v>4442</v>
      </c>
      <c r="AU271" s="199">
        <v>46254</v>
      </c>
      <c r="AV271" s="137" t="s">
        <v>5050</v>
      </c>
      <c r="AW271" s="137"/>
      <c r="AX271" s="137"/>
      <c r="AY271" s="137"/>
      <c r="AZ271" s="137"/>
      <c r="BA271" s="137" t="s">
        <v>4339</v>
      </c>
      <c r="BB271" s="141"/>
      <c r="BC271" s="197" t="str">
        <f t="shared" si="12"/>
        <v/>
      </c>
      <c r="BD271" s="131" t="str">
        <f t="shared" si="13"/>
        <v>INDENIZAÇÃO</v>
      </c>
      <c r="BE271" s="131" t="str">
        <f t="shared" si="14"/>
        <v>NÃO</v>
      </c>
      <c r="BF271" s="131"/>
      <c r="BG271" s="131"/>
      <c r="BH271" s="131"/>
      <c r="BI271" s="141"/>
      <c r="BJ271" s="141"/>
      <c r="BK271" s="199"/>
      <c r="BL271" s="141"/>
      <c r="BM271" s="141"/>
      <c r="BN271" s="182"/>
      <c r="BO271" s="141"/>
      <c r="BP271" s="141"/>
      <c r="BQ271" s="141"/>
      <c r="BR271" s="141"/>
      <c r="BS271" s="141"/>
      <c r="BT271" s="141"/>
      <c r="BU271" s="141"/>
      <c r="BV271" s="141"/>
      <c r="BW271" s="141"/>
      <c r="BX271" s="141"/>
      <c r="BY271" s="141"/>
      <c r="BZ271" s="141"/>
      <c r="CA271" s="141"/>
      <c r="CB271" s="141"/>
      <c r="CC271" s="141"/>
      <c r="CD271" s="141"/>
      <c r="CE271" s="141"/>
      <c r="CF271" s="141"/>
      <c r="CG271" s="141"/>
      <c r="CH271" s="141"/>
    </row>
    <row r="272" spans="1:91" ht="30" hidden="1" customHeight="1">
      <c r="A272" s="131">
        <v>258</v>
      </c>
      <c r="B272" s="131" t="s">
        <v>4432</v>
      </c>
      <c r="C272" s="131">
        <v>1</v>
      </c>
      <c r="D272" s="131" t="s">
        <v>4433</v>
      </c>
      <c r="E272" s="131" t="s">
        <v>4433</v>
      </c>
      <c r="F272" s="210" t="s">
        <v>5314</v>
      </c>
      <c r="G272" s="131" t="s">
        <v>4339</v>
      </c>
      <c r="H272" s="131" t="s">
        <v>4349</v>
      </c>
      <c r="I272" s="131"/>
      <c r="J272" s="132" t="s">
        <v>5315</v>
      </c>
      <c r="K272" s="132"/>
      <c r="L272" s="132" t="s">
        <v>5316</v>
      </c>
      <c r="M272" s="131"/>
      <c r="N272" s="131"/>
      <c r="O272" s="199"/>
      <c r="P272" s="136"/>
      <c r="Q272" s="131"/>
      <c r="R272" s="136"/>
      <c r="S272" s="136"/>
      <c r="T272" s="136"/>
      <c r="U272" s="136"/>
      <c r="V272" s="136"/>
      <c r="W272" s="136"/>
      <c r="X272" s="136"/>
      <c r="Y272" s="136"/>
      <c r="Z272" s="136"/>
      <c r="AA272" s="141"/>
      <c r="AB272" s="132"/>
      <c r="AC272" s="132"/>
      <c r="AD272" s="132"/>
      <c r="AE272" s="131"/>
      <c r="AF272" s="141"/>
      <c r="AG272" s="196"/>
      <c r="AH272" s="196"/>
      <c r="AI272" s="131"/>
      <c r="AJ272" s="131"/>
      <c r="AK272" s="131"/>
      <c r="AL272" s="141"/>
      <c r="AM272" s="141"/>
      <c r="AN272" s="141"/>
      <c r="AO272" s="141"/>
      <c r="AP272" s="132"/>
      <c r="AQ272" s="141"/>
      <c r="AR272" s="141"/>
      <c r="AS272" s="141"/>
      <c r="AT272" s="141"/>
      <c r="AU272" s="141"/>
      <c r="AV272" s="141"/>
      <c r="AW272" s="141"/>
      <c r="AX272" s="141"/>
      <c r="AY272" s="141"/>
      <c r="AZ272" s="141"/>
      <c r="BA272" s="141"/>
      <c r="BB272" s="141"/>
      <c r="BC272" s="197" t="str">
        <f t="shared" si="12"/>
        <v/>
      </c>
      <c r="BD272" s="131" t="str">
        <f t="shared" si="13"/>
        <v>INDENIZAÇÃO</v>
      </c>
      <c r="BE272" s="131" t="str">
        <f t="shared" si="14"/>
        <v>NÃO</v>
      </c>
      <c r="BF272" s="141"/>
      <c r="BG272" s="199"/>
      <c r="BH272" s="199"/>
      <c r="BI272" s="141"/>
      <c r="BJ272" s="141"/>
      <c r="BK272" s="141"/>
      <c r="BL272" s="141"/>
      <c r="BM272" s="141"/>
      <c r="BN272" s="182"/>
      <c r="BO272" s="141"/>
      <c r="BP272" s="141"/>
      <c r="BQ272" s="141"/>
      <c r="BR272" s="141"/>
      <c r="BS272" s="141"/>
      <c r="BT272" s="141"/>
      <c r="BU272" s="141"/>
      <c r="BV272" s="141"/>
      <c r="BW272" s="141"/>
      <c r="BX272" s="141"/>
      <c r="BY272" s="141"/>
      <c r="BZ272" s="141"/>
      <c r="CA272" s="141"/>
      <c r="CB272" s="141"/>
      <c r="CC272" s="141"/>
      <c r="CD272" s="141"/>
      <c r="CE272" s="141"/>
      <c r="CF272" s="141"/>
      <c r="CG272" s="141"/>
      <c r="CH272" s="141"/>
      <c r="CI272" s="182"/>
      <c r="CJ272" s="141"/>
      <c r="CK272" s="141"/>
      <c r="CL272" s="141"/>
      <c r="CM272" s="141"/>
    </row>
    <row r="273" spans="1:91" ht="30" hidden="1" customHeight="1">
      <c r="A273" s="131">
        <v>259</v>
      </c>
      <c r="B273" s="131" t="s">
        <v>4432</v>
      </c>
      <c r="C273" s="131">
        <v>1</v>
      </c>
      <c r="D273" s="131" t="s">
        <v>4433</v>
      </c>
      <c r="E273" s="131" t="s">
        <v>4433</v>
      </c>
      <c r="F273" s="210" t="s">
        <v>5317</v>
      </c>
      <c r="G273" s="131"/>
      <c r="H273" s="131"/>
      <c r="I273" s="131"/>
      <c r="J273" s="132" t="s">
        <v>5318</v>
      </c>
      <c r="K273" s="132"/>
      <c r="L273" s="132" t="s">
        <v>5319</v>
      </c>
      <c r="M273" s="131"/>
      <c r="N273" s="131"/>
      <c r="O273" s="199"/>
      <c r="P273" s="136"/>
      <c r="Q273" s="136"/>
      <c r="R273" s="136"/>
      <c r="S273" s="136"/>
      <c r="T273" s="136"/>
      <c r="U273" s="136"/>
      <c r="V273" s="136"/>
      <c r="W273" s="136"/>
      <c r="X273" s="136"/>
      <c r="Y273" s="136"/>
      <c r="Z273" s="136"/>
      <c r="AA273" s="141"/>
      <c r="AB273" s="132"/>
      <c r="AC273" s="132"/>
      <c r="AD273" s="132"/>
      <c r="AE273" s="131"/>
      <c r="AF273" s="141"/>
      <c r="AG273" s="196"/>
      <c r="AH273" s="196"/>
      <c r="AI273" s="131"/>
      <c r="AJ273" s="131"/>
      <c r="AK273" s="131"/>
      <c r="AL273" s="141"/>
      <c r="AM273" s="141"/>
      <c r="AN273" s="141"/>
      <c r="AO273" s="141"/>
      <c r="AP273" s="132"/>
      <c r="AQ273" s="141"/>
      <c r="AR273" s="141"/>
      <c r="AS273" s="141"/>
      <c r="AT273" s="141"/>
      <c r="AU273" s="141"/>
      <c r="AV273" s="141"/>
      <c r="AW273" s="141"/>
      <c r="AX273" s="141"/>
      <c r="AY273" s="141"/>
      <c r="AZ273" s="141"/>
      <c r="BA273" s="141"/>
      <c r="BB273" s="141"/>
      <c r="BC273" s="197" t="str">
        <f t="shared" si="12"/>
        <v/>
      </c>
      <c r="BD273" s="131" t="str">
        <f t="shared" si="13"/>
        <v>INDENIZAÇÃO</v>
      </c>
      <c r="BE273" s="131" t="str">
        <f t="shared" si="14"/>
        <v>NÃO</v>
      </c>
      <c r="BF273" s="141"/>
      <c r="BG273" s="199"/>
      <c r="BH273" s="199"/>
      <c r="BI273" s="141"/>
      <c r="BJ273" s="141"/>
      <c r="BK273" s="141"/>
      <c r="BL273" s="141"/>
      <c r="BM273" s="141"/>
      <c r="BN273" s="182"/>
      <c r="BO273" s="141"/>
      <c r="BP273" s="141"/>
      <c r="BQ273" s="141"/>
      <c r="BR273" s="141"/>
      <c r="BS273" s="141"/>
      <c r="BT273" s="141"/>
      <c r="BU273" s="141"/>
      <c r="BV273" s="141"/>
      <c r="BW273" s="141"/>
      <c r="BX273" s="141"/>
      <c r="BY273" s="141"/>
      <c r="BZ273" s="141"/>
      <c r="CA273" s="141"/>
      <c r="CB273" s="141"/>
      <c r="CC273" s="141"/>
      <c r="CD273" s="141"/>
      <c r="CE273" s="141"/>
      <c r="CF273" s="141"/>
      <c r="CG273" s="141"/>
      <c r="CH273" s="141"/>
      <c r="CI273" s="182"/>
      <c r="CJ273" s="141"/>
      <c r="CK273" s="141"/>
      <c r="CL273" s="141"/>
      <c r="CM273" s="141"/>
    </row>
    <row r="274" spans="1:91" ht="30" hidden="1" customHeight="1">
      <c r="A274" s="131">
        <v>260</v>
      </c>
      <c r="B274" s="131" t="s">
        <v>4432</v>
      </c>
      <c r="C274" s="131">
        <v>1</v>
      </c>
      <c r="D274" s="131" t="s">
        <v>4433</v>
      </c>
      <c r="E274" s="131" t="s">
        <v>4433</v>
      </c>
      <c r="F274" s="210" t="s">
        <v>5320</v>
      </c>
      <c r="G274" s="131"/>
      <c r="H274" s="131"/>
      <c r="I274" s="131"/>
      <c r="J274" s="132" t="s">
        <v>5321</v>
      </c>
      <c r="K274" s="132"/>
      <c r="L274" s="132" t="s">
        <v>5204</v>
      </c>
      <c r="M274" s="131"/>
      <c r="N274" s="131"/>
      <c r="O274" s="199"/>
      <c r="P274" s="136"/>
      <c r="Q274" s="136"/>
      <c r="R274" s="136"/>
      <c r="S274" s="136"/>
      <c r="T274" s="136"/>
      <c r="U274" s="136"/>
      <c r="V274" s="136"/>
      <c r="W274" s="136"/>
      <c r="X274" s="136"/>
      <c r="Y274" s="136"/>
      <c r="Z274" s="136"/>
      <c r="AA274" s="141"/>
      <c r="AB274" s="132"/>
      <c r="AC274" s="132"/>
      <c r="AD274" s="132"/>
      <c r="AE274" s="131"/>
      <c r="AF274" s="141"/>
      <c r="AG274" s="196"/>
      <c r="AH274" s="196"/>
      <c r="AI274" s="131"/>
      <c r="AJ274" s="131"/>
      <c r="AK274" s="131"/>
      <c r="AL274" s="141"/>
      <c r="AM274" s="141"/>
      <c r="AN274" s="141"/>
      <c r="AO274" s="141"/>
      <c r="AP274" s="132"/>
      <c r="AQ274" s="141"/>
      <c r="AR274" s="141"/>
      <c r="AS274" s="141"/>
      <c r="AT274" s="141"/>
      <c r="AU274" s="141"/>
      <c r="AV274" s="141"/>
      <c r="AW274" s="141"/>
      <c r="AX274" s="141"/>
      <c r="AY274" s="141"/>
      <c r="AZ274" s="141"/>
      <c r="BA274" s="141"/>
      <c r="BB274" s="141"/>
      <c r="BC274" s="197" t="str">
        <f t="shared" si="12"/>
        <v/>
      </c>
      <c r="BD274" s="131" t="str">
        <f t="shared" si="13"/>
        <v>INDENIZAÇÃO</v>
      </c>
      <c r="BE274" s="131" t="str">
        <f t="shared" si="14"/>
        <v>NÃO</v>
      </c>
      <c r="BF274" s="141"/>
      <c r="BG274" s="199"/>
      <c r="BH274" s="199"/>
      <c r="BI274" s="141"/>
      <c r="BJ274" s="141"/>
      <c r="BK274" s="141"/>
      <c r="BL274" s="141"/>
      <c r="BM274" s="141"/>
      <c r="BN274" s="182"/>
      <c r="BO274" s="141"/>
      <c r="BP274" s="141"/>
      <c r="BQ274" s="141"/>
      <c r="BR274" s="141"/>
      <c r="BS274" s="141"/>
      <c r="BT274" s="141"/>
      <c r="BU274" s="141"/>
      <c r="BV274" s="141"/>
      <c r="BW274" s="141"/>
      <c r="BX274" s="141"/>
      <c r="BY274" s="141"/>
      <c r="BZ274" s="141"/>
      <c r="CA274" s="141"/>
      <c r="CB274" s="141"/>
      <c r="CC274" s="141"/>
      <c r="CD274" s="141"/>
      <c r="CE274" s="141"/>
      <c r="CF274" s="141"/>
      <c r="CG274" s="141"/>
      <c r="CH274" s="141"/>
      <c r="CI274" s="182"/>
      <c r="CJ274" s="141"/>
      <c r="CK274" s="141"/>
      <c r="CL274" s="141"/>
      <c r="CM274" s="141"/>
    </row>
    <row r="275" spans="1:91" ht="30" hidden="1" customHeight="1">
      <c r="A275" s="131">
        <v>261</v>
      </c>
      <c r="B275" s="131" t="s">
        <v>4432</v>
      </c>
      <c r="C275" s="131">
        <v>1</v>
      </c>
      <c r="D275" s="131" t="s">
        <v>4433</v>
      </c>
      <c r="E275" s="131" t="s">
        <v>4433</v>
      </c>
      <c r="F275" s="210" t="s">
        <v>5322</v>
      </c>
      <c r="G275" s="131" t="s">
        <v>4339</v>
      </c>
      <c r="H275" s="131" t="s">
        <v>4340</v>
      </c>
      <c r="I275" s="131"/>
      <c r="J275" s="132" t="s">
        <v>5323</v>
      </c>
      <c r="K275" s="132"/>
      <c r="L275" s="132" t="s">
        <v>5324</v>
      </c>
      <c r="M275" s="131"/>
      <c r="N275" s="131"/>
      <c r="O275" s="199"/>
      <c r="P275" s="136"/>
      <c r="Q275" s="136"/>
      <c r="R275" s="136"/>
      <c r="S275" s="136"/>
      <c r="T275" s="136"/>
      <c r="U275" s="136"/>
      <c r="V275" s="136"/>
      <c r="W275" s="136"/>
      <c r="X275" s="136"/>
      <c r="Y275" s="136"/>
      <c r="Z275" s="136"/>
      <c r="AA275" s="141"/>
      <c r="AB275" s="132"/>
      <c r="AC275" s="132"/>
      <c r="AD275" s="132"/>
      <c r="AE275" s="131"/>
      <c r="AF275" s="141"/>
      <c r="AG275" s="196"/>
      <c r="AH275" s="196"/>
      <c r="AI275" s="131"/>
      <c r="AJ275" s="131"/>
      <c r="AK275" s="131"/>
      <c r="AL275" s="141"/>
      <c r="AM275" s="141"/>
      <c r="AN275" s="141"/>
      <c r="AO275" s="141"/>
      <c r="AP275" s="132"/>
      <c r="AQ275" s="141"/>
      <c r="AR275" s="141"/>
      <c r="AS275" s="141"/>
      <c r="AT275" s="141"/>
      <c r="AU275" s="199"/>
      <c r="AV275" s="141"/>
      <c r="AW275" s="141"/>
      <c r="AX275" s="199"/>
      <c r="AY275" s="136"/>
      <c r="AZ275" s="136"/>
      <c r="BA275" s="141"/>
      <c r="BB275" s="141"/>
      <c r="BC275" s="197" t="str">
        <f t="shared" si="12"/>
        <v/>
      </c>
      <c r="BD275" s="131" t="str">
        <f t="shared" si="13"/>
        <v>INDENIZAÇÃO</v>
      </c>
      <c r="BE275" s="131" t="str">
        <f t="shared" si="14"/>
        <v>NÃO</v>
      </c>
      <c r="BF275" s="131"/>
      <c r="BG275" s="131"/>
      <c r="BH275" s="131"/>
      <c r="BI275" s="141"/>
      <c r="BJ275" s="141"/>
      <c r="BK275" s="199"/>
      <c r="BL275" s="141"/>
      <c r="BM275" s="141"/>
      <c r="BN275" s="182"/>
      <c r="BO275" s="141"/>
      <c r="BP275" s="141"/>
      <c r="BQ275" s="141"/>
      <c r="BR275" s="141"/>
      <c r="BS275" s="141"/>
      <c r="BT275" s="141"/>
      <c r="BU275" s="141"/>
      <c r="BV275" s="141"/>
      <c r="BW275" s="141"/>
      <c r="BX275" s="141"/>
      <c r="BY275" s="141"/>
      <c r="BZ275" s="141"/>
      <c r="CA275" s="141"/>
      <c r="CB275" s="141"/>
      <c r="CC275" s="141"/>
      <c r="CD275" s="141"/>
      <c r="CE275" s="141"/>
      <c r="CF275" s="141"/>
      <c r="CG275" s="141"/>
      <c r="CH275" s="141"/>
      <c r="CI275" s="182"/>
      <c r="CJ275" s="141"/>
      <c r="CK275" s="141"/>
      <c r="CL275" s="141"/>
      <c r="CM275" s="141"/>
    </row>
    <row r="276" spans="1:91" ht="30" hidden="1" customHeight="1">
      <c r="A276" s="131">
        <v>262</v>
      </c>
      <c r="B276" s="131" t="s">
        <v>4432</v>
      </c>
      <c r="C276" s="131">
        <v>1</v>
      </c>
      <c r="D276" s="131" t="s">
        <v>4433</v>
      </c>
      <c r="E276" s="131" t="s">
        <v>4433</v>
      </c>
      <c r="F276" s="210" t="s">
        <v>5325</v>
      </c>
      <c r="G276" s="131"/>
      <c r="H276" s="131"/>
      <c r="I276" s="198"/>
      <c r="J276" s="132" t="s">
        <v>5326</v>
      </c>
      <c r="K276" s="132"/>
      <c r="L276" s="132" t="s">
        <v>5327</v>
      </c>
      <c r="M276" s="131"/>
      <c r="N276" s="131"/>
      <c r="O276" s="199"/>
      <c r="P276" s="136"/>
      <c r="Q276" s="136"/>
      <c r="R276" s="136"/>
      <c r="S276" s="136"/>
      <c r="T276" s="136"/>
      <c r="U276" s="136"/>
      <c r="V276" s="136"/>
      <c r="W276" s="136"/>
      <c r="X276" s="136"/>
      <c r="Y276" s="136"/>
      <c r="Z276" s="136"/>
      <c r="AA276" s="141"/>
      <c r="AB276" s="132"/>
      <c r="AC276" s="132"/>
      <c r="AD276" s="132"/>
      <c r="AE276" s="131"/>
      <c r="AF276" s="141"/>
      <c r="AG276" s="196"/>
      <c r="AH276" s="196"/>
      <c r="AI276" s="131"/>
      <c r="AJ276" s="131"/>
      <c r="AK276" s="131"/>
      <c r="AL276" s="141"/>
      <c r="AM276" s="141"/>
      <c r="AN276" s="141"/>
      <c r="AO276" s="141"/>
      <c r="AP276" s="132"/>
      <c r="AQ276" s="141"/>
      <c r="AR276" s="141"/>
      <c r="AS276" s="141"/>
      <c r="AT276" s="141"/>
      <c r="AU276" s="141"/>
      <c r="AV276" s="141"/>
      <c r="AW276" s="141"/>
      <c r="AX276" s="141"/>
      <c r="AY276" s="141"/>
      <c r="AZ276" s="141"/>
      <c r="BA276" s="141"/>
      <c r="BB276" s="141"/>
      <c r="BC276" s="197" t="str">
        <f t="shared" si="12"/>
        <v/>
      </c>
      <c r="BD276" s="131" t="str">
        <f t="shared" si="13"/>
        <v>INDENIZAÇÃO</v>
      </c>
      <c r="BE276" s="131" t="str">
        <f t="shared" si="14"/>
        <v>NÃO</v>
      </c>
      <c r="BF276" s="141"/>
      <c r="BG276" s="199"/>
      <c r="BH276" s="199"/>
      <c r="BI276" s="141"/>
      <c r="BJ276" s="141"/>
      <c r="BK276" s="141"/>
      <c r="BL276" s="141"/>
      <c r="BM276" s="141"/>
      <c r="BN276" s="182"/>
      <c r="BO276" s="141"/>
      <c r="BP276" s="141"/>
      <c r="BQ276" s="141"/>
      <c r="BR276" s="141"/>
      <c r="BS276" s="141"/>
      <c r="BT276" s="141"/>
      <c r="BU276" s="141"/>
      <c r="BV276" s="141"/>
      <c r="BW276" s="141"/>
      <c r="BX276" s="141"/>
      <c r="BY276" s="141"/>
      <c r="BZ276" s="141"/>
      <c r="CA276" s="141"/>
      <c r="CB276" s="141"/>
      <c r="CC276" s="141"/>
      <c r="CD276" s="141"/>
      <c r="CE276" s="141"/>
      <c r="CF276" s="141"/>
      <c r="CG276" s="141"/>
      <c r="CH276" s="141"/>
      <c r="CI276" s="182"/>
      <c r="CJ276" s="141"/>
      <c r="CK276" s="141"/>
      <c r="CL276" s="141"/>
      <c r="CM276" s="141"/>
    </row>
    <row r="277" spans="1:91" ht="30" hidden="1" customHeight="1">
      <c r="A277" s="131">
        <v>263</v>
      </c>
      <c r="B277" s="131" t="s">
        <v>4432</v>
      </c>
      <c r="C277" s="131">
        <v>1</v>
      </c>
      <c r="D277" s="131" t="s">
        <v>4433</v>
      </c>
      <c r="E277" s="131" t="s">
        <v>4433</v>
      </c>
      <c r="F277" s="210" t="s">
        <v>5328</v>
      </c>
      <c r="G277" s="131"/>
      <c r="H277" s="131"/>
      <c r="I277" s="198"/>
      <c r="J277" s="132" t="s">
        <v>5329</v>
      </c>
      <c r="K277" s="132"/>
      <c r="L277" s="132" t="s">
        <v>5330</v>
      </c>
      <c r="M277" s="131"/>
      <c r="N277" s="131"/>
      <c r="O277" s="199"/>
      <c r="P277" s="136"/>
      <c r="Q277" s="136"/>
      <c r="R277" s="136"/>
      <c r="S277" s="136"/>
      <c r="T277" s="136"/>
      <c r="U277" s="136"/>
      <c r="V277" s="136"/>
      <c r="W277" s="136"/>
      <c r="X277" s="136"/>
      <c r="Y277" s="136"/>
      <c r="Z277" s="136"/>
      <c r="AA277" s="141"/>
      <c r="AB277" s="132"/>
      <c r="AC277" s="132"/>
      <c r="AD277" s="132"/>
      <c r="AE277" s="131"/>
      <c r="AF277" s="141"/>
      <c r="AG277" s="196"/>
      <c r="AH277" s="196"/>
      <c r="AI277" s="131"/>
      <c r="AJ277" s="131"/>
      <c r="AK277" s="131"/>
      <c r="AL277" s="141"/>
      <c r="AM277" s="141"/>
      <c r="AN277" s="141"/>
      <c r="AO277" s="141"/>
      <c r="AP277" s="132"/>
      <c r="AQ277" s="141"/>
      <c r="AR277" s="141"/>
      <c r="AS277" s="141"/>
      <c r="AT277" s="141"/>
      <c r="AU277" s="141"/>
      <c r="AV277" s="141"/>
      <c r="AW277" s="141"/>
      <c r="AX277" s="141"/>
      <c r="AY277" s="141"/>
      <c r="AZ277" s="141"/>
      <c r="BA277" s="141"/>
      <c r="BB277" s="141"/>
      <c r="BC277" s="197" t="str">
        <f t="shared" si="12"/>
        <v/>
      </c>
      <c r="BD277" s="131" t="str">
        <f t="shared" si="13"/>
        <v>INDENIZAÇÃO</v>
      </c>
      <c r="BE277" s="131" t="str">
        <f t="shared" si="14"/>
        <v>NÃO</v>
      </c>
      <c r="BF277" s="141"/>
      <c r="BG277" s="199"/>
      <c r="BH277" s="199"/>
      <c r="BI277" s="141"/>
      <c r="BJ277" s="141"/>
      <c r="BK277" s="141"/>
      <c r="BL277" s="141"/>
      <c r="BM277" s="141"/>
      <c r="BN277" s="182"/>
      <c r="BO277" s="141"/>
      <c r="BP277" s="141"/>
      <c r="BQ277" s="141"/>
      <c r="BR277" s="141"/>
      <c r="BS277" s="141"/>
      <c r="BT277" s="141"/>
      <c r="BU277" s="141"/>
      <c r="BV277" s="141"/>
      <c r="BW277" s="141"/>
      <c r="BX277" s="141"/>
      <c r="BY277" s="141"/>
      <c r="BZ277" s="141"/>
      <c r="CA277" s="141"/>
      <c r="CB277" s="141"/>
      <c r="CC277" s="141"/>
      <c r="CD277" s="141"/>
      <c r="CE277" s="141"/>
      <c r="CF277" s="141"/>
      <c r="CG277" s="141"/>
      <c r="CH277" s="141"/>
      <c r="CI277" s="182"/>
      <c r="CJ277" s="141"/>
      <c r="CK277" s="141"/>
      <c r="CL277" s="141"/>
      <c r="CM277" s="141"/>
    </row>
    <row r="278" spans="1:91" ht="30" hidden="1" customHeight="1">
      <c r="A278" s="131">
        <v>264</v>
      </c>
      <c r="B278" s="131" t="s">
        <v>4432</v>
      </c>
      <c r="C278" s="131">
        <v>1</v>
      </c>
      <c r="D278" s="131" t="s">
        <v>4433</v>
      </c>
      <c r="E278" s="131" t="s">
        <v>4433</v>
      </c>
      <c r="F278" s="212" t="s">
        <v>5331</v>
      </c>
      <c r="G278" s="141" t="s">
        <v>4348</v>
      </c>
      <c r="H278" s="141" t="s">
        <v>4340</v>
      </c>
      <c r="I278" s="141" t="s">
        <v>4341</v>
      </c>
      <c r="J278" s="144" t="s">
        <v>5332</v>
      </c>
      <c r="K278" s="144" t="s">
        <v>5333</v>
      </c>
      <c r="L278" s="144" t="s">
        <v>5334</v>
      </c>
      <c r="M278" s="131" t="s">
        <v>4342</v>
      </c>
      <c r="N278" s="141" t="s">
        <v>4343</v>
      </c>
      <c r="O278" s="199">
        <v>46142</v>
      </c>
      <c r="P278" s="133" t="s">
        <v>4361</v>
      </c>
      <c r="Q278" s="133" t="s">
        <v>4361</v>
      </c>
      <c r="R278" s="133" t="s">
        <v>4361</v>
      </c>
      <c r="S278" s="133" t="s">
        <v>4361</v>
      </c>
      <c r="T278" s="133" t="s">
        <v>4361</v>
      </c>
      <c r="U278" s="133" t="s">
        <v>4361</v>
      </c>
      <c r="V278" s="133" t="s">
        <v>4361</v>
      </c>
      <c r="W278" s="133" t="s">
        <v>4361</v>
      </c>
      <c r="X278" s="133" t="s">
        <v>4361</v>
      </c>
      <c r="Y278" s="133" t="s">
        <v>4361</v>
      </c>
      <c r="Z278" s="133" t="s">
        <v>4361</v>
      </c>
      <c r="AA278" s="141"/>
      <c r="AB278" s="144" t="s">
        <v>5332</v>
      </c>
      <c r="AC278" s="144" t="s">
        <v>5333</v>
      </c>
      <c r="AD278" s="144" t="s">
        <v>5334</v>
      </c>
      <c r="AE278" s="141" t="s">
        <v>4341</v>
      </c>
      <c r="AF278" s="141" t="s">
        <v>4534</v>
      </c>
      <c r="AG278" s="204">
        <v>22230.31</v>
      </c>
      <c r="AH278" s="204">
        <v>52230.31</v>
      </c>
      <c r="AI278" s="141" t="s">
        <v>4344</v>
      </c>
      <c r="AJ278" s="144" t="s">
        <v>4616</v>
      </c>
      <c r="AK278" s="141">
        <v>147146909</v>
      </c>
      <c r="AL278" s="141" t="s">
        <v>4442</v>
      </c>
      <c r="AM278" s="141" t="s">
        <v>4442</v>
      </c>
      <c r="AN278" s="141" t="s">
        <v>4443</v>
      </c>
      <c r="AO278" s="141"/>
      <c r="AP278" s="132" t="s">
        <v>5335</v>
      </c>
      <c r="AQ278" s="141" t="s">
        <v>4442</v>
      </c>
      <c r="AR278" s="141" t="s">
        <v>4442</v>
      </c>
      <c r="AS278" s="141" t="s">
        <v>4442</v>
      </c>
      <c r="AT278" s="141" t="s">
        <v>4442</v>
      </c>
      <c r="AU278" s="199">
        <v>46191</v>
      </c>
      <c r="AV278" s="141" t="s">
        <v>4442</v>
      </c>
      <c r="AW278" s="141" t="s">
        <v>4442</v>
      </c>
      <c r="AX278" s="199">
        <v>46199</v>
      </c>
      <c r="AY278" s="220">
        <v>46199</v>
      </c>
      <c r="AZ278" s="137" t="s">
        <v>4370</v>
      </c>
      <c r="BA278" s="137" t="s">
        <v>4339</v>
      </c>
      <c r="BB278" s="141" t="s">
        <v>4442</v>
      </c>
      <c r="BC278" s="197">
        <f t="shared" si="12"/>
        <v>57</v>
      </c>
      <c r="BD278" s="131" t="str">
        <f t="shared" si="13"/>
        <v>INDENIZAÇÃO</v>
      </c>
      <c r="BE278" s="131" t="str">
        <f t="shared" si="14"/>
        <v>NÃO</v>
      </c>
      <c r="BF278" s="131" t="s">
        <v>4361</v>
      </c>
      <c r="BG278" s="131" t="s">
        <v>4361</v>
      </c>
      <c r="BH278" s="131" t="s">
        <v>4361</v>
      </c>
      <c r="BI278" s="137" t="s">
        <v>4446</v>
      </c>
      <c r="BJ278" s="137"/>
      <c r="BK278" s="255"/>
      <c r="BL278" s="137"/>
      <c r="BM278" s="137"/>
      <c r="BN278" s="182"/>
      <c r="BO278" s="141"/>
      <c r="BP278" s="141"/>
      <c r="BQ278" s="141"/>
      <c r="BR278" s="141"/>
      <c r="BS278" s="141"/>
      <c r="BT278" s="141"/>
      <c r="BU278" s="141"/>
      <c r="BV278" s="141"/>
      <c r="BW278" s="141"/>
      <c r="BX278" s="141"/>
      <c r="BY278" s="141"/>
      <c r="BZ278" s="141"/>
      <c r="CA278" s="141"/>
      <c r="CB278" s="141"/>
      <c r="CC278" s="141"/>
      <c r="CD278" s="141"/>
      <c r="CE278" s="141"/>
      <c r="CF278" s="141"/>
      <c r="CG278" s="141"/>
      <c r="CH278" s="141"/>
      <c r="CI278" s="182"/>
      <c r="CJ278" s="141"/>
      <c r="CK278" s="141"/>
      <c r="CL278" s="141"/>
      <c r="CM278" s="141"/>
    </row>
    <row r="279" spans="1:91" ht="30" hidden="1" customHeight="1">
      <c r="A279" s="131">
        <v>265</v>
      </c>
      <c r="B279" s="131" t="s">
        <v>4432</v>
      </c>
      <c r="C279" s="131">
        <v>1</v>
      </c>
      <c r="D279" s="131" t="s">
        <v>4433</v>
      </c>
      <c r="E279" s="131" t="s">
        <v>4433</v>
      </c>
      <c r="F279" s="212" t="s">
        <v>5336</v>
      </c>
      <c r="G279" s="141"/>
      <c r="H279" s="141"/>
      <c r="I279" s="141"/>
      <c r="J279" s="144" t="s">
        <v>4628</v>
      </c>
      <c r="K279" s="144"/>
      <c r="L279" s="144" t="s">
        <v>4628</v>
      </c>
      <c r="M279" s="141"/>
      <c r="N279" s="141"/>
      <c r="O279" s="199"/>
      <c r="P279" s="136"/>
      <c r="Q279" s="136"/>
      <c r="R279" s="136"/>
      <c r="S279" s="136"/>
      <c r="T279" s="136"/>
      <c r="U279" s="136"/>
      <c r="V279" s="136"/>
      <c r="W279" s="136"/>
      <c r="X279" s="136"/>
      <c r="Y279" s="136"/>
      <c r="Z279" s="136"/>
      <c r="AA279" s="141"/>
      <c r="AB279" s="144"/>
      <c r="AC279" s="144"/>
      <c r="AD279" s="144"/>
      <c r="AE279" s="141"/>
      <c r="AF279" s="141"/>
      <c r="AG279" s="204"/>
      <c r="AH279" s="204"/>
      <c r="AI279" s="141"/>
      <c r="AJ279" s="141"/>
      <c r="AK279" s="141"/>
      <c r="AL279" s="141"/>
      <c r="AM279" s="141"/>
      <c r="AN279" s="141"/>
      <c r="AO279" s="141"/>
      <c r="AP279" s="132"/>
      <c r="AQ279" s="141"/>
      <c r="AR279" s="141"/>
      <c r="AS279" s="141"/>
      <c r="AT279" s="141"/>
      <c r="AU279" s="136"/>
      <c r="AV279" s="141"/>
      <c r="AW279" s="141"/>
      <c r="AX279" s="141"/>
      <c r="AY279" s="136"/>
      <c r="AZ279" s="141"/>
      <c r="BA279" s="141"/>
      <c r="BB279" s="141"/>
      <c r="BC279" s="197" t="str">
        <f t="shared" si="12"/>
        <v/>
      </c>
      <c r="BD279" s="131" t="str">
        <f t="shared" si="13"/>
        <v>INDENIZAÇÃO</v>
      </c>
      <c r="BE279" s="131" t="str">
        <f t="shared" si="14"/>
        <v>NÃO</v>
      </c>
      <c r="BF279" s="141"/>
      <c r="BG279" s="199"/>
      <c r="BH279" s="199"/>
      <c r="BI279" s="141"/>
      <c r="BJ279" s="141"/>
      <c r="BK279" s="141"/>
      <c r="BL279" s="141"/>
      <c r="BM279" s="141"/>
      <c r="BN279" s="182"/>
      <c r="BO279" s="141"/>
      <c r="BP279" s="141"/>
      <c r="BQ279" s="141"/>
      <c r="BR279" s="141"/>
      <c r="BS279" s="141"/>
      <c r="BT279" s="141"/>
      <c r="BU279" s="141"/>
      <c r="BV279" s="141"/>
      <c r="BW279" s="141"/>
      <c r="BX279" s="141"/>
      <c r="BY279" s="141"/>
      <c r="BZ279" s="141"/>
      <c r="CA279" s="141"/>
      <c r="CB279" s="141"/>
      <c r="CC279" s="141"/>
      <c r="CD279" s="141"/>
      <c r="CE279" s="141"/>
      <c r="CF279" s="141"/>
      <c r="CG279" s="141"/>
      <c r="CH279" s="141"/>
      <c r="CI279" s="182"/>
      <c r="CJ279" s="141"/>
      <c r="CK279" s="141"/>
      <c r="CL279" s="141"/>
      <c r="CM279" s="141"/>
    </row>
    <row r="280" spans="1:91" ht="30" hidden="1" customHeight="1">
      <c r="A280" s="131">
        <v>266</v>
      </c>
      <c r="B280" s="131" t="s">
        <v>4432</v>
      </c>
      <c r="C280" s="131">
        <v>1</v>
      </c>
      <c r="D280" s="131" t="s">
        <v>4433</v>
      </c>
      <c r="E280" s="131" t="s">
        <v>4433</v>
      </c>
      <c r="F280" s="212" t="s">
        <v>5337</v>
      </c>
      <c r="G280" s="141"/>
      <c r="H280" s="141"/>
      <c r="I280" s="141"/>
      <c r="J280" s="144" t="s">
        <v>5338</v>
      </c>
      <c r="K280" s="144"/>
      <c r="L280" s="144" t="s">
        <v>5339</v>
      </c>
      <c r="M280" s="141"/>
      <c r="N280" s="141"/>
      <c r="O280" s="199"/>
      <c r="P280" s="136"/>
      <c r="Q280" s="136"/>
      <c r="R280" s="136"/>
      <c r="S280" s="136"/>
      <c r="T280" s="136"/>
      <c r="U280" s="136"/>
      <c r="V280" s="136"/>
      <c r="W280" s="136"/>
      <c r="X280" s="136"/>
      <c r="Y280" s="136"/>
      <c r="Z280" s="136"/>
      <c r="AA280" s="141"/>
      <c r="AB280" s="144"/>
      <c r="AC280" s="144"/>
      <c r="AD280" s="144"/>
      <c r="AE280" s="141"/>
      <c r="AF280" s="141"/>
      <c r="AG280" s="204"/>
      <c r="AH280" s="204"/>
      <c r="AI280" s="141"/>
      <c r="AJ280" s="141"/>
      <c r="AK280" s="141"/>
      <c r="AL280" s="141"/>
      <c r="AM280" s="141"/>
      <c r="AN280" s="141"/>
      <c r="AO280" s="141"/>
      <c r="AP280" s="132"/>
      <c r="AQ280" s="141"/>
      <c r="AR280" s="141"/>
      <c r="AS280" s="141"/>
      <c r="AT280" s="141"/>
      <c r="AU280" s="136"/>
      <c r="AV280" s="141"/>
      <c r="AW280" s="141"/>
      <c r="AX280" s="141"/>
      <c r="AY280" s="136"/>
      <c r="AZ280" s="141"/>
      <c r="BA280" s="141"/>
      <c r="BB280" s="141"/>
      <c r="BC280" s="197" t="str">
        <f t="shared" si="12"/>
        <v/>
      </c>
      <c r="BD280" s="131" t="str">
        <f t="shared" si="13"/>
        <v>INDENIZAÇÃO</v>
      </c>
      <c r="BE280" s="131" t="str">
        <f t="shared" si="14"/>
        <v>NÃO</v>
      </c>
      <c r="BF280" s="141"/>
      <c r="BG280" s="199"/>
      <c r="BH280" s="199"/>
      <c r="BI280" s="141"/>
      <c r="BJ280" s="141"/>
      <c r="BK280" s="141"/>
      <c r="BL280" s="141"/>
      <c r="BM280" s="141"/>
      <c r="BN280" s="182"/>
      <c r="BO280" s="141"/>
      <c r="BP280" s="141"/>
      <c r="BQ280" s="141"/>
      <c r="BR280" s="141"/>
      <c r="BS280" s="141"/>
      <c r="BT280" s="141"/>
      <c r="BU280" s="141"/>
      <c r="BV280" s="141"/>
      <c r="BW280" s="141"/>
      <c r="BX280" s="141"/>
      <c r="BY280" s="141"/>
      <c r="BZ280" s="141"/>
      <c r="CA280" s="141"/>
      <c r="CB280" s="141"/>
      <c r="CC280" s="141"/>
      <c r="CD280" s="141"/>
      <c r="CE280" s="141"/>
      <c r="CF280" s="141"/>
      <c r="CG280" s="141"/>
      <c r="CH280" s="141"/>
      <c r="CI280" s="182"/>
      <c r="CJ280" s="141"/>
      <c r="CK280" s="141"/>
      <c r="CL280" s="141"/>
      <c r="CM280" s="141"/>
    </row>
    <row r="281" spans="1:91" ht="30" hidden="1" customHeight="1">
      <c r="A281" s="131">
        <v>267</v>
      </c>
      <c r="B281" s="131" t="s">
        <v>4432</v>
      </c>
      <c r="C281" s="131">
        <v>1</v>
      </c>
      <c r="D281" s="131" t="s">
        <v>4433</v>
      </c>
      <c r="E281" s="131" t="s">
        <v>4433</v>
      </c>
      <c r="F281" s="212" t="s">
        <v>5340</v>
      </c>
      <c r="G281" s="141"/>
      <c r="H281" s="141"/>
      <c r="I281" s="141"/>
      <c r="J281" s="144" t="s">
        <v>5341</v>
      </c>
      <c r="K281" s="144"/>
      <c r="L281" s="144" t="s">
        <v>5342</v>
      </c>
      <c r="M281" s="141"/>
      <c r="N281" s="141"/>
      <c r="O281" s="199"/>
      <c r="P281" s="136"/>
      <c r="Q281" s="136"/>
      <c r="R281" s="136"/>
      <c r="S281" s="136"/>
      <c r="T281" s="136"/>
      <c r="U281" s="136"/>
      <c r="V281" s="136"/>
      <c r="W281" s="136"/>
      <c r="X281" s="136"/>
      <c r="Y281" s="136"/>
      <c r="Z281" s="136"/>
      <c r="AA281" s="141"/>
      <c r="AB281" s="144"/>
      <c r="AC281" s="144"/>
      <c r="AD281" s="144"/>
      <c r="AE281" s="141"/>
      <c r="AF281" s="141"/>
      <c r="AG281" s="204"/>
      <c r="AH281" s="204"/>
      <c r="AI281" s="141"/>
      <c r="AJ281" s="141"/>
      <c r="AK281" s="141"/>
      <c r="AL281" s="141"/>
      <c r="AM281" s="141"/>
      <c r="AN281" s="141"/>
      <c r="AO281" s="141"/>
      <c r="AP281" s="132"/>
      <c r="AQ281" s="141"/>
      <c r="AR281" s="141"/>
      <c r="AS281" s="141"/>
      <c r="AT281" s="141"/>
      <c r="AU281" s="136"/>
      <c r="AV281" s="141"/>
      <c r="AW281" s="141"/>
      <c r="AX281" s="141"/>
      <c r="AY281" s="136"/>
      <c r="AZ281" s="141"/>
      <c r="BA281" s="141"/>
      <c r="BB281" s="141"/>
      <c r="BC281" s="197" t="str">
        <f t="shared" si="12"/>
        <v/>
      </c>
      <c r="BD281" s="131" t="str">
        <f t="shared" si="13"/>
        <v>INDENIZAÇÃO</v>
      </c>
      <c r="BE281" s="131" t="str">
        <f t="shared" si="14"/>
        <v>NÃO</v>
      </c>
      <c r="BF281" s="141"/>
      <c r="BG281" s="199"/>
      <c r="BH281" s="199"/>
      <c r="BI281" s="141"/>
      <c r="BJ281" s="141"/>
      <c r="BK281" s="141"/>
      <c r="BL281" s="141"/>
      <c r="BM281" s="141"/>
      <c r="BN281" s="182"/>
      <c r="BO281" s="141"/>
      <c r="BP281" s="141"/>
      <c r="BQ281" s="141"/>
      <c r="BR281" s="141"/>
      <c r="BS281" s="141"/>
      <c r="BT281" s="141"/>
      <c r="BU281" s="141"/>
      <c r="BV281" s="141"/>
      <c r="BW281" s="141"/>
      <c r="BX281" s="141"/>
      <c r="BY281" s="141"/>
      <c r="BZ281" s="141"/>
      <c r="CA281" s="141"/>
      <c r="CB281" s="141"/>
      <c r="CC281" s="141"/>
      <c r="CD281" s="141"/>
      <c r="CE281" s="141"/>
      <c r="CF281" s="141"/>
      <c r="CG281" s="141"/>
      <c r="CH281" s="141"/>
      <c r="CI281" s="182"/>
      <c r="CJ281" s="141"/>
      <c r="CK281" s="141"/>
      <c r="CL281" s="141"/>
      <c r="CM281" s="141"/>
    </row>
    <row r="282" spans="1:91" ht="30" hidden="1" customHeight="1">
      <c r="A282" s="131">
        <v>268</v>
      </c>
      <c r="B282" s="131" t="s">
        <v>4432</v>
      </c>
      <c r="C282" s="131">
        <v>1</v>
      </c>
      <c r="D282" s="131" t="s">
        <v>4433</v>
      </c>
      <c r="E282" s="131" t="s">
        <v>4433</v>
      </c>
      <c r="F282" s="212" t="s">
        <v>5343</v>
      </c>
      <c r="G282" s="141"/>
      <c r="H282" s="141"/>
      <c r="I282" s="141"/>
      <c r="J282" s="144" t="s">
        <v>5344</v>
      </c>
      <c r="K282" s="144"/>
      <c r="L282" s="144" t="s">
        <v>5345</v>
      </c>
      <c r="M282" s="141"/>
      <c r="N282" s="141"/>
      <c r="O282" s="199"/>
      <c r="P282" s="136"/>
      <c r="Q282" s="136"/>
      <c r="R282" s="136"/>
      <c r="S282" s="136"/>
      <c r="T282" s="136"/>
      <c r="U282" s="136"/>
      <c r="V282" s="136"/>
      <c r="W282" s="136"/>
      <c r="X282" s="136"/>
      <c r="Y282" s="136"/>
      <c r="Z282" s="136"/>
      <c r="AA282" s="141"/>
      <c r="AB282" s="144"/>
      <c r="AC282" s="144"/>
      <c r="AD282" s="144"/>
      <c r="AE282" s="141"/>
      <c r="AF282" s="141"/>
      <c r="AG282" s="204"/>
      <c r="AH282" s="204"/>
      <c r="AI282" s="141"/>
      <c r="AJ282" s="141"/>
      <c r="AK282" s="141"/>
      <c r="AL282" s="141"/>
      <c r="AM282" s="141"/>
      <c r="AN282" s="141"/>
      <c r="AO282" s="141"/>
      <c r="AP282" s="132"/>
      <c r="AQ282" s="141"/>
      <c r="AR282" s="141"/>
      <c r="AS282" s="141"/>
      <c r="AT282" s="141"/>
      <c r="AU282" s="136"/>
      <c r="AV282" s="141"/>
      <c r="AW282" s="141"/>
      <c r="AX282" s="141"/>
      <c r="AY282" s="136"/>
      <c r="AZ282" s="141"/>
      <c r="BA282" s="141"/>
      <c r="BB282" s="141"/>
      <c r="BC282" s="197" t="str">
        <f t="shared" si="12"/>
        <v/>
      </c>
      <c r="BD282" s="131" t="str">
        <f t="shared" si="13"/>
        <v>INDENIZAÇÃO</v>
      </c>
      <c r="BE282" s="131" t="str">
        <f t="shared" si="14"/>
        <v>NÃO</v>
      </c>
      <c r="BF282" s="141"/>
      <c r="BG282" s="199"/>
      <c r="BH282" s="199"/>
      <c r="BI282" s="141"/>
      <c r="BJ282" s="141"/>
      <c r="BK282" s="141"/>
      <c r="BL282" s="141"/>
      <c r="BM282" s="141"/>
      <c r="BN282" s="182"/>
      <c r="BO282" s="141"/>
      <c r="BP282" s="141"/>
      <c r="BQ282" s="141"/>
      <c r="BR282" s="141"/>
      <c r="BS282" s="141"/>
      <c r="BT282" s="141"/>
      <c r="BU282" s="141"/>
      <c r="BV282" s="141"/>
      <c r="BW282" s="141"/>
      <c r="BX282" s="141"/>
      <c r="BY282" s="141"/>
      <c r="BZ282" s="141"/>
      <c r="CA282" s="141"/>
      <c r="CB282" s="141"/>
      <c r="CC282" s="141"/>
      <c r="CD282" s="141"/>
      <c r="CE282" s="141"/>
      <c r="CF282" s="141"/>
      <c r="CG282" s="141"/>
      <c r="CH282" s="141"/>
      <c r="CI282" s="182"/>
      <c r="CJ282" s="141"/>
      <c r="CK282" s="141"/>
      <c r="CL282" s="141"/>
      <c r="CM282" s="141"/>
    </row>
    <row r="283" spans="1:91" ht="30" hidden="1" customHeight="1">
      <c r="A283" s="131">
        <v>269</v>
      </c>
      <c r="B283" s="131" t="s">
        <v>4432</v>
      </c>
      <c r="C283" s="131">
        <v>1</v>
      </c>
      <c r="D283" s="131" t="s">
        <v>4433</v>
      </c>
      <c r="E283" s="131" t="s">
        <v>4433</v>
      </c>
      <c r="F283" s="212" t="s">
        <v>5346</v>
      </c>
      <c r="G283" s="141" t="s">
        <v>4339</v>
      </c>
      <c r="H283" s="141" t="s">
        <v>4340</v>
      </c>
      <c r="I283" s="141" t="s">
        <v>5347</v>
      </c>
      <c r="J283" s="144" t="s">
        <v>5348</v>
      </c>
      <c r="K283" s="144" t="s">
        <v>5349</v>
      </c>
      <c r="L283" s="144" t="s">
        <v>5350</v>
      </c>
      <c r="M283" s="141" t="s">
        <v>4342</v>
      </c>
      <c r="N283" s="141" t="s">
        <v>4343</v>
      </c>
      <c r="O283" s="199">
        <v>46142</v>
      </c>
      <c r="P283" s="133" t="s">
        <v>4361</v>
      </c>
      <c r="Q283" s="133" t="s">
        <v>4361</v>
      </c>
      <c r="R283" s="133" t="s">
        <v>4361</v>
      </c>
      <c r="S283" s="133" t="s">
        <v>4361</v>
      </c>
      <c r="T283" s="133" t="s">
        <v>4361</v>
      </c>
      <c r="U283" s="133" t="s">
        <v>4361</v>
      </c>
      <c r="V283" s="133" t="s">
        <v>4361</v>
      </c>
      <c r="W283" s="133" t="s">
        <v>4361</v>
      </c>
      <c r="X283" s="133" t="s">
        <v>4361</v>
      </c>
      <c r="Y283" s="133" t="s">
        <v>4361</v>
      </c>
      <c r="Z283" s="133" t="s">
        <v>4361</v>
      </c>
      <c r="AA283" s="141"/>
      <c r="AB283" s="144" t="s">
        <v>5348</v>
      </c>
      <c r="AC283" s="144" t="s">
        <v>5349</v>
      </c>
      <c r="AD283" s="144" t="s">
        <v>5350</v>
      </c>
      <c r="AE283" s="141" t="s">
        <v>5347</v>
      </c>
      <c r="AF283" s="141" t="s">
        <v>4534</v>
      </c>
      <c r="AG283" s="204">
        <v>36680.83</v>
      </c>
      <c r="AH283" s="204">
        <v>60000</v>
      </c>
      <c r="AI283" s="141" t="s">
        <v>4344</v>
      </c>
      <c r="AJ283" s="144" t="s">
        <v>4616</v>
      </c>
      <c r="AK283" s="141">
        <v>146392797</v>
      </c>
      <c r="AL283" s="141" t="s">
        <v>4442</v>
      </c>
      <c r="AM283" s="141" t="s">
        <v>4442</v>
      </c>
      <c r="AN283" s="141" t="s">
        <v>4443</v>
      </c>
      <c r="AO283" s="141"/>
      <c r="AP283" s="132" t="s">
        <v>5351</v>
      </c>
      <c r="AQ283" s="141" t="s">
        <v>4442</v>
      </c>
      <c r="AR283" s="141" t="s">
        <v>4442</v>
      </c>
      <c r="AS283" s="141" t="s">
        <v>4442</v>
      </c>
      <c r="AT283" s="141" t="s">
        <v>4442</v>
      </c>
      <c r="AU283" s="199">
        <v>46191</v>
      </c>
      <c r="AV283" s="141" t="s">
        <v>4442</v>
      </c>
      <c r="AW283" s="141" t="s">
        <v>4442</v>
      </c>
      <c r="AX283" s="199">
        <v>46220</v>
      </c>
      <c r="AY283" s="263">
        <v>46220</v>
      </c>
      <c r="AZ283" s="137" t="s">
        <v>4370</v>
      </c>
      <c r="BA283" s="137" t="s">
        <v>4445</v>
      </c>
      <c r="BB283" s="141" t="s">
        <v>4442</v>
      </c>
      <c r="BC283" s="197">
        <f t="shared" si="12"/>
        <v>78</v>
      </c>
      <c r="BD283" s="131" t="str">
        <f t="shared" si="13"/>
        <v>INDENIZAÇÃO</v>
      </c>
      <c r="BE283" s="131" t="str">
        <f t="shared" si="14"/>
        <v>NÃO</v>
      </c>
      <c r="BF283" s="258" t="s">
        <v>4361</v>
      </c>
      <c r="BG283" s="258" t="s">
        <v>4361</v>
      </c>
      <c r="BH283" s="258" t="s">
        <v>4361</v>
      </c>
      <c r="BI283" s="259" t="s">
        <v>4446</v>
      </c>
      <c r="BJ283" s="259"/>
      <c r="BK283" s="259"/>
      <c r="BL283" s="259"/>
      <c r="BM283" s="259"/>
      <c r="BN283" s="182"/>
      <c r="BO283" s="141"/>
      <c r="BP283" s="141"/>
      <c r="BQ283" s="141"/>
      <c r="BR283" s="141"/>
      <c r="BS283" s="141"/>
      <c r="BT283" s="141"/>
      <c r="BU283" s="141"/>
      <c r="BV283" s="141"/>
      <c r="BW283" s="141"/>
      <c r="BX283" s="141"/>
      <c r="BY283" s="141"/>
      <c r="BZ283" s="141"/>
      <c r="CA283" s="141"/>
      <c r="CB283" s="141"/>
      <c r="CC283" s="141"/>
      <c r="CD283" s="141"/>
      <c r="CE283" s="141"/>
      <c r="CF283" s="141"/>
      <c r="CG283" s="141"/>
      <c r="CH283" s="141"/>
      <c r="CI283" s="182"/>
      <c r="CJ283" s="141"/>
      <c r="CK283" s="141"/>
      <c r="CL283" s="141"/>
      <c r="CM283" s="141"/>
    </row>
    <row r="284" spans="1:91" ht="30" hidden="1" customHeight="1">
      <c r="A284" s="131">
        <v>270</v>
      </c>
      <c r="B284" s="131" t="s">
        <v>4432</v>
      </c>
      <c r="C284" s="131">
        <v>1</v>
      </c>
      <c r="D284" s="131" t="s">
        <v>4433</v>
      </c>
      <c r="E284" s="131" t="s">
        <v>4433</v>
      </c>
      <c r="F284" s="212" t="s">
        <v>5352</v>
      </c>
      <c r="G284" s="141" t="s">
        <v>4339</v>
      </c>
      <c r="H284" s="141" t="s">
        <v>4340</v>
      </c>
      <c r="I284" s="141" t="s">
        <v>4350</v>
      </c>
      <c r="J284" s="144" t="s">
        <v>5353</v>
      </c>
      <c r="K284" s="144" t="s">
        <v>5354</v>
      </c>
      <c r="L284" s="144" t="s">
        <v>5355</v>
      </c>
      <c r="M284" s="141" t="s">
        <v>4342</v>
      </c>
      <c r="N284" s="141" t="s">
        <v>4343</v>
      </c>
      <c r="O284" s="199">
        <v>46142</v>
      </c>
      <c r="P284" s="133" t="s">
        <v>4361</v>
      </c>
      <c r="Q284" s="133" t="s">
        <v>4361</v>
      </c>
      <c r="R284" s="133" t="s">
        <v>4361</v>
      </c>
      <c r="S284" s="133" t="s">
        <v>4361</v>
      </c>
      <c r="T284" s="133" t="s">
        <v>4361</v>
      </c>
      <c r="U284" s="133" t="s">
        <v>4361</v>
      </c>
      <c r="V284" s="133" t="s">
        <v>4361</v>
      </c>
      <c r="W284" s="133" t="s">
        <v>4361</v>
      </c>
      <c r="X284" s="133" t="s">
        <v>4361</v>
      </c>
      <c r="Y284" s="133" t="s">
        <v>4361</v>
      </c>
      <c r="Z284" s="133" t="s">
        <v>4361</v>
      </c>
      <c r="AA284" s="141"/>
      <c r="AB284" s="144" t="s">
        <v>5353</v>
      </c>
      <c r="AC284" s="144" t="s">
        <v>5354</v>
      </c>
      <c r="AD284" s="144" t="s">
        <v>5355</v>
      </c>
      <c r="AE284" s="141" t="s">
        <v>4350</v>
      </c>
      <c r="AF284" s="141" t="s">
        <v>4534</v>
      </c>
      <c r="AG284" s="204">
        <v>66565.91</v>
      </c>
      <c r="AH284" s="204">
        <v>66565.91</v>
      </c>
      <c r="AI284" s="141" t="s">
        <v>4344</v>
      </c>
      <c r="AJ284" s="144" t="s">
        <v>4616</v>
      </c>
      <c r="AK284" s="141">
        <v>152882057</v>
      </c>
      <c r="AL284" s="141" t="s">
        <v>4442</v>
      </c>
      <c r="AM284" s="141" t="s">
        <v>4442</v>
      </c>
      <c r="AN284" s="141" t="s">
        <v>4443</v>
      </c>
      <c r="AO284" s="141"/>
      <c r="AP284" s="132" t="s">
        <v>5356</v>
      </c>
      <c r="AQ284" s="141" t="s">
        <v>4442</v>
      </c>
      <c r="AR284" s="141" t="s">
        <v>4442</v>
      </c>
      <c r="AS284" s="141" t="s">
        <v>4442</v>
      </c>
      <c r="AT284" s="141" t="s">
        <v>4442</v>
      </c>
      <c r="AU284" s="199">
        <v>46191</v>
      </c>
      <c r="AV284" s="141" t="s">
        <v>4442</v>
      </c>
      <c r="AW284" s="141" t="s">
        <v>4442</v>
      </c>
      <c r="AX284" s="199">
        <v>46210</v>
      </c>
      <c r="AY284" s="220">
        <v>46210</v>
      </c>
      <c r="AZ284" s="220" t="s">
        <v>4370</v>
      </c>
      <c r="BA284" s="137" t="s">
        <v>4445</v>
      </c>
      <c r="BB284" s="141" t="s">
        <v>4442</v>
      </c>
      <c r="BC284" s="197">
        <f t="shared" ref="BC284:BC316" si="15">IF(AY284-KD284=0,"",AY284-O284)</f>
        <v>68</v>
      </c>
      <c r="BD284" s="131" t="str">
        <f t="shared" ref="BD284:BD316" si="16">IF(AND(AI284&lt;&gt;"SIM",AI284="UH"),"AA","INDENIZAÇÃO")</f>
        <v>INDENIZAÇÃO</v>
      </c>
      <c r="BE284" s="131" t="str">
        <f t="shared" ref="BE284:BE316" si="17">IF(AND(AY284&lt;&gt;"AGUARDANDO",AY284&lt;&gt;"",N284="AUXÍLIO ALUGUEL ATÉ INDENIZAÇÃO"),"SIM","NÃO")</f>
        <v>NÃO</v>
      </c>
      <c r="BF284" s="141" t="s">
        <v>4361</v>
      </c>
      <c r="BG284" s="141" t="s">
        <v>4361</v>
      </c>
      <c r="BH284" s="141" t="s">
        <v>4361</v>
      </c>
      <c r="BI284" s="137" t="s">
        <v>4446</v>
      </c>
      <c r="BJ284" s="137"/>
      <c r="BK284" s="137"/>
      <c r="BL284" s="137"/>
      <c r="BM284" s="137"/>
      <c r="BN284" s="182"/>
      <c r="BO284" s="141"/>
      <c r="BP284" s="141"/>
      <c r="BQ284" s="141"/>
      <c r="BR284" s="141"/>
      <c r="BS284" s="141"/>
      <c r="BT284" s="141"/>
      <c r="BU284" s="141"/>
      <c r="BV284" s="141"/>
      <c r="BW284" s="141"/>
      <c r="BX284" s="141"/>
      <c r="BY284" s="141"/>
      <c r="BZ284" s="141"/>
      <c r="CA284" s="141"/>
      <c r="CB284" s="141"/>
      <c r="CC284" s="141"/>
      <c r="CD284" s="141"/>
      <c r="CE284" s="141"/>
      <c r="CF284" s="141"/>
      <c r="CG284" s="141"/>
      <c r="CH284" s="141"/>
      <c r="CI284" s="182"/>
      <c r="CJ284" s="141"/>
      <c r="CK284" s="141"/>
      <c r="CL284" s="141"/>
      <c r="CM284" s="141"/>
    </row>
    <row r="285" spans="1:91" ht="30" hidden="1" customHeight="1">
      <c r="A285" s="131">
        <v>271</v>
      </c>
      <c r="B285" s="131" t="s">
        <v>4432</v>
      </c>
      <c r="C285" s="131">
        <v>1</v>
      </c>
      <c r="D285" s="131" t="s">
        <v>4433</v>
      </c>
      <c r="E285" s="131" t="s">
        <v>4433</v>
      </c>
      <c r="F285" s="212" t="s">
        <v>5357</v>
      </c>
      <c r="G285" s="141" t="s">
        <v>4348</v>
      </c>
      <c r="H285" s="141"/>
      <c r="I285" s="141"/>
      <c r="J285" s="144" t="s">
        <v>4628</v>
      </c>
      <c r="K285" s="144"/>
      <c r="L285" s="144" t="s">
        <v>4628</v>
      </c>
      <c r="M285" s="141"/>
      <c r="N285" s="141"/>
      <c r="O285" s="199"/>
      <c r="P285" s="136"/>
      <c r="Q285" s="136"/>
      <c r="R285" s="136"/>
      <c r="S285" s="136"/>
      <c r="T285" s="136"/>
      <c r="U285" s="136"/>
      <c r="V285" s="136"/>
      <c r="W285" s="136"/>
      <c r="X285" s="136"/>
      <c r="Y285" s="136"/>
      <c r="Z285" s="136"/>
      <c r="AA285" s="141"/>
      <c r="AB285" s="144"/>
      <c r="AC285" s="144"/>
      <c r="AD285" s="144"/>
      <c r="AE285" s="141"/>
      <c r="AF285" s="141"/>
      <c r="AG285" s="204"/>
      <c r="AH285" s="204"/>
      <c r="AI285" s="141"/>
      <c r="AJ285" s="141"/>
      <c r="AK285" s="141"/>
      <c r="AL285" s="141"/>
      <c r="AM285" s="141"/>
      <c r="AN285" s="141"/>
      <c r="AO285" s="141"/>
      <c r="AP285" s="132"/>
      <c r="AQ285" s="141"/>
      <c r="AR285" s="141"/>
      <c r="AS285" s="141"/>
      <c r="AT285" s="141"/>
      <c r="AU285" s="136"/>
      <c r="AV285" s="141"/>
      <c r="AW285" s="141"/>
      <c r="AX285" s="141"/>
      <c r="AY285" s="136"/>
      <c r="AZ285" s="141"/>
      <c r="BA285" s="141"/>
      <c r="BB285" s="141"/>
      <c r="BC285" s="197" t="str">
        <f t="shared" si="15"/>
        <v/>
      </c>
      <c r="BD285" s="131" t="str">
        <f t="shared" si="16"/>
        <v>INDENIZAÇÃO</v>
      </c>
      <c r="BE285" s="131" t="str">
        <f t="shared" si="17"/>
        <v>NÃO</v>
      </c>
      <c r="BF285" s="141"/>
      <c r="BG285" s="199"/>
      <c r="BH285" s="199"/>
      <c r="BI285" s="141"/>
      <c r="BJ285" s="141"/>
      <c r="BK285" s="141"/>
      <c r="BL285" s="141"/>
      <c r="BM285" s="141"/>
      <c r="BN285" s="182"/>
      <c r="BO285" s="141"/>
      <c r="BP285" s="141"/>
      <c r="BQ285" s="141"/>
      <c r="BR285" s="141"/>
      <c r="BS285" s="141"/>
      <c r="BT285" s="141"/>
      <c r="BU285" s="141"/>
      <c r="BV285" s="141"/>
      <c r="BW285" s="141"/>
      <c r="BX285" s="141"/>
      <c r="BY285" s="141"/>
      <c r="BZ285" s="141"/>
      <c r="CA285" s="141"/>
      <c r="CB285" s="141"/>
      <c r="CC285" s="141"/>
      <c r="CD285" s="141"/>
      <c r="CE285" s="141"/>
      <c r="CF285" s="141"/>
      <c r="CG285" s="141"/>
      <c r="CH285" s="141"/>
      <c r="CI285" s="182"/>
      <c r="CJ285" s="141"/>
      <c r="CK285" s="141"/>
      <c r="CL285" s="141"/>
      <c r="CM285" s="141"/>
    </row>
    <row r="286" spans="1:91" ht="30" hidden="1" customHeight="1">
      <c r="A286" s="131">
        <v>272</v>
      </c>
      <c r="B286" s="131" t="s">
        <v>4432</v>
      </c>
      <c r="C286" s="131">
        <v>1</v>
      </c>
      <c r="D286" s="131" t="s">
        <v>4433</v>
      </c>
      <c r="E286" s="131" t="s">
        <v>4433</v>
      </c>
      <c r="F286" s="212" t="s">
        <v>5358</v>
      </c>
      <c r="G286" s="141" t="s">
        <v>4339</v>
      </c>
      <c r="H286" s="141" t="s">
        <v>4340</v>
      </c>
      <c r="I286" s="141" t="s">
        <v>4624</v>
      </c>
      <c r="J286" s="144" t="s">
        <v>5359</v>
      </c>
      <c r="K286" s="144"/>
      <c r="L286" s="144" t="s">
        <v>5360</v>
      </c>
      <c r="M286" s="141"/>
      <c r="N286" s="141"/>
      <c r="O286" s="199"/>
      <c r="P286" s="136"/>
      <c r="Q286" s="136"/>
      <c r="R286" s="136"/>
      <c r="S286" s="136"/>
      <c r="T286" s="136"/>
      <c r="U286" s="136"/>
      <c r="V286" s="136"/>
      <c r="W286" s="136"/>
      <c r="X286" s="136"/>
      <c r="Y286" s="136"/>
      <c r="Z286" s="136"/>
      <c r="AA286" s="141"/>
      <c r="AB286" s="144"/>
      <c r="AC286" s="144"/>
      <c r="AD286" s="144"/>
      <c r="AE286" s="141"/>
      <c r="AF286" s="141"/>
      <c r="AG286" s="204"/>
      <c r="AH286" s="204"/>
      <c r="AI286" s="141"/>
      <c r="AJ286" s="141"/>
      <c r="AK286" s="141"/>
      <c r="AL286" s="141"/>
      <c r="AM286" s="141"/>
      <c r="AN286" s="141"/>
      <c r="AO286" s="141"/>
      <c r="AP286" s="132"/>
      <c r="AQ286" s="141"/>
      <c r="AR286" s="141"/>
      <c r="AS286" s="141"/>
      <c r="AT286" s="141"/>
      <c r="AU286" s="136"/>
      <c r="AV286" s="141"/>
      <c r="AW286" s="141"/>
      <c r="AX286" s="141"/>
      <c r="AY286" s="136"/>
      <c r="AZ286" s="141"/>
      <c r="BA286" s="141"/>
      <c r="BB286" s="141"/>
      <c r="BC286" s="197" t="str">
        <f t="shared" si="15"/>
        <v/>
      </c>
      <c r="BD286" s="131" t="str">
        <f t="shared" si="16"/>
        <v>INDENIZAÇÃO</v>
      </c>
      <c r="BE286" s="131" t="str">
        <f t="shared" si="17"/>
        <v>NÃO</v>
      </c>
      <c r="BF286" s="141"/>
      <c r="BG286" s="199"/>
      <c r="BH286" s="199"/>
      <c r="BI286" s="141"/>
      <c r="BJ286" s="141"/>
      <c r="BK286" s="141"/>
      <c r="BL286" s="141"/>
      <c r="BM286" s="141"/>
      <c r="BN286" s="182"/>
      <c r="BO286" s="141"/>
      <c r="BP286" s="141"/>
      <c r="BQ286" s="141"/>
      <c r="BR286" s="141"/>
      <c r="BS286" s="141"/>
      <c r="BT286" s="141"/>
      <c r="BU286" s="141"/>
      <c r="BV286" s="141"/>
      <c r="BW286" s="141"/>
      <c r="BX286" s="141"/>
      <c r="BY286" s="141"/>
      <c r="BZ286" s="141"/>
      <c r="CA286" s="141"/>
      <c r="CB286" s="141"/>
      <c r="CC286" s="141"/>
      <c r="CD286" s="141"/>
      <c r="CE286" s="141"/>
      <c r="CF286" s="141"/>
      <c r="CG286" s="141"/>
      <c r="CH286" s="141"/>
      <c r="CI286" s="182"/>
      <c r="CJ286" s="141"/>
      <c r="CK286" s="141"/>
      <c r="CL286" s="141"/>
      <c r="CM286" s="141"/>
    </row>
    <row r="287" spans="1:91" ht="30" hidden="1" customHeight="1">
      <c r="A287" s="131">
        <v>273</v>
      </c>
      <c r="B287" s="131" t="s">
        <v>4432</v>
      </c>
      <c r="C287" s="131">
        <v>1</v>
      </c>
      <c r="D287" s="131" t="s">
        <v>4433</v>
      </c>
      <c r="E287" s="131" t="s">
        <v>4433</v>
      </c>
      <c r="F287" s="212" t="s">
        <v>5361</v>
      </c>
      <c r="G287" s="141" t="s">
        <v>4348</v>
      </c>
      <c r="H287" s="141"/>
      <c r="I287" s="141"/>
      <c r="J287" s="144" t="s">
        <v>4628</v>
      </c>
      <c r="K287" s="144"/>
      <c r="L287" s="144" t="s">
        <v>4628</v>
      </c>
      <c r="M287" s="141"/>
      <c r="N287" s="141"/>
      <c r="O287" s="199"/>
      <c r="P287" s="136"/>
      <c r="Q287" s="136"/>
      <c r="R287" s="136"/>
      <c r="S287" s="136"/>
      <c r="T287" s="136"/>
      <c r="U287" s="136"/>
      <c r="V287" s="136"/>
      <c r="W287" s="136"/>
      <c r="X287" s="136"/>
      <c r="Y287" s="136"/>
      <c r="Z287" s="136"/>
      <c r="AA287" s="141"/>
      <c r="AB287" s="144"/>
      <c r="AC287" s="144"/>
      <c r="AD287" s="144"/>
      <c r="AE287" s="141"/>
      <c r="AF287" s="141"/>
      <c r="AG287" s="204"/>
      <c r="AH287" s="204"/>
      <c r="AI287" s="141"/>
      <c r="AJ287" s="141"/>
      <c r="AK287" s="141"/>
      <c r="AL287" s="141"/>
      <c r="AM287" s="141"/>
      <c r="AN287" s="141"/>
      <c r="AO287" s="141"/>
      <c r="AP287" s="132"/>
      <c r="AQ287" s="141"/>
      <c r="AR287" s="141"/>
      <c r="AS287" s="141"/>
      <c r="AT287" s="141"/>
      <c r="AU287" s="136"/>
      <c r="AV287" s="141"/>
      <c r="AW287" s="141"/>
      <c r="AX287" s="141"/>
      <c r="AY287" s="136"/>
      <c r="AZ287" s="141"/>
      <c r="BA287" s="141"/>
      <c r="BB287" s="141"/>
      <c r="BC287" s="197" t="str">
        <f t="shared" si="15"/>
        <v/>
      </c>
      <c r="BD287" s="131" t="str">
        <f t="shared" si="16"/>
        <v>INDENIZAÇÃO</v>
      </c>
      <c r="BE287" s="131" t="str">
        <f t="shared" si="17"/>
        <v>NÃO</v>
      </c>
      <c r="BF287" s="141"/>
      <c r="BG287" s="199"/>
      <c r="BH287" s="199"/>
      <c r="BI287" s="141"/>
      <c r="BJ287" s="141"/>
      <c r="BK287" s="141"/>
      <c r="BL287" s="141"/>
      <c r="BM287" s="141"/>
      <c r="BN287" s="182"/>
      <c r="BO287" s="141"/>
      <c r="BP287" s="141"/>
      <c r="BQ287" s="141"/>
      <c r="BR287" s="141"/>
      <c r="BS287" s="141"/>
      <c r="BT287" s="141"/>
      <c r="BU287" s="141"/>
      <c r="BV287" s="141"/>
      <c r="BW287" s="141"/>
      <c r="BX287" s="141"/>
      <c r="BY287" s="141"/>
      <c r="BZ287" s="141"/>
      <c r="CA287" s="141"/>
      <c r="CB287" s="141"/>
      <c r="CC287" s="141"/>
      <c r="CD287" s="141"/>
      <c r="CE287" s="141"/>
      <c r="CF287" s="141"/>
      <c r="CG287" s="141"/>
      <c r="CH287" s="141"/>
      <c r="CI287" s="182"/>
      <c r="CJ287" s="141"/>
      <c r="CK287" s="141"/>
      <c r="CL287" s="141"/>
      <c r="CM287" s="141"/>
    </row>
    <row r="288" spans="1:91" ht="30" hidden="1" customHeight="1">
      <c r="A288" s="131">
        <v>274</v>
      </c>
      <c r="B288" s="131" t="s">
        <v>4432</v>
      </c>
      <c r="C288" s="131">
        <v>1</v>
      </c>
      <c r="D288" s="131" t="s">
        <v>4433</v>
      </c>
      <c r="E288" s="131" t="s">
        <v>4433</v>
      </c>
      <c r="F288" s="212" t="s">
        <v>5362</v>
      </c>
      <c r="G288" s="141"/>
      <c r="H288" s="141"/>
      <c r="I288" s="141"/>
      <c r="J288" s="144" t="s">
        <v>4628</v>
      </c>
      <c r="K288" s="144"/>
      <c r="L288" s="144" t="s">
        <v>4628</v>
      </c>
      <c r="M288" s="141"/>
      <c r="N288" s="141"/>
      <c r="O288" s="199"/>
      <c r="P288" s="136"/>
      <c r="Q288" s="136"/>
      <c r="R288" s="136"/>
      <c r="S288" s="136"/>
      <c r="T288" s="136"/>
      <c r="U288" s="136"/>
      <c r="V288" s="136"/>
      <c r="W288" s="136"/>
      <c r="X288" s="136"/>
      <c r="Y288" s="136"/>
      <c r="Z288" s="136"/>
      <c r="AA288" s="141"/>
      <c r="AB288" s="144"/>
      <c r="AC288" s="144"/>
      <c r="AD288" s="144"/>
      <c r="AE288" s="141"/>
      <c r="AF288" s="141"/>
      <c r="AG288" s="204"/>
      <c r="AH288" s="204"/>
      <c r="AI288" s="141"/>
      <c r="AJ288" s="141"/>
      <c r="AK288" s="141"/>
      <c r="AL288" s="141"/>
      <c r="AM288" s="141"/>
      <c r="AN288" s="141"/>
      <c r="AO288" s="141"/>
      <c r="AP288" s="132"/>
      <c r="AQ288" s="141"/>
      <c r="AR288" s="141"/>
      <c r="AS288" s="141"/>
      <c r="AT288" s="141"/>
      <c r="AU288" s="136"/>
      <c r="AV288" s="141"/>
      <c r="AW288" s="141"/>
      <c r="AX288" s="141"/>
      <c r="AY288" s="136"/>
      <c r="AZ288" s="141"/>
      <c r="BA288" s="141"/>
      <c r="BB288" s="141"/>
      <c r="BC288" s="197" t="str">
        <f t="shared" si="15"/>
        <v/>
      </c>
      <c r="BD288" s="131" t="str">
        <f t="shared" si="16"/>
        <v>INDENIZAÇÃO</v>
      </c>
      <c r="BE288" s="131" t="str">
        <f t="shared" si="17"/>
        <v>NÃO</v>
      </c>
      <c r="BF288" s="141"/>
      <c r="BG288" s="199"/>
      <c r="BH288" s="199"/>
      <c r="BI288" s="141"/>
      <c r="BJ288" s="141"/>
      <c r="BK288" s="141"/>
      <c r="BL288" s="141"/>
      <c r="BM288" s="141"/>
      <c r="BN288" s="182"/>
      <c r="BO288" s="141"/>
      <c r="BP288" s="141"/>
      <c r="BQ288" s="141"/>
      <c r="BR288" s="141"/>
      <c r="BS288" s="141"/>
      <c r="BT288" s="141"/>
      <c r="BU288" s="141"/>
      <c r="BV288" s="141"/>
      <c r="BW288" s="141"/>
      <c r="BX288" s="141"/>
      <c r="BY288" s="141"/>
      <c r="BZ288" s="141"/>
      <c r="CA288" s="141"/>
      <c r="CB288" s="141"/>
      <c r="CC288" s="141"/>
      <c r="CD288" s="141"/>
      <c r="CE288" s="141"/>
      <c r="CF288" s="141"/>
      <c r="CG288" s="141"/>
      <c r="CH288" s="141"/>
      <c r="CI288" s="182"/>
      <c r="CJ288" s="141"/>
      <c r="CK288" s="141"/>
      <c r="CL288" s="141"/>
      <c r="CM288" s="141"/>
    </row>
    <row r="289" spans="1:91" ht="30" hidden="1" customHeight="1">
      <c r="A289" s="131">
        <v>275</v>
      </c>
      <c r="B289" s="131" t="s">
        <v>4432</v>
      </c>
      <c r="C289" s="131">
        <v>1</v>
      </c>
      <c r="D289" s="131" t="s">
        <v>4433</v>
      </c>
      <c r="E289" s="131" t="s">
        <v>4433</v>
      </c>
      <c r="F289" s="212" t="s">
        <v>5363</v>
      </c>
      <c r="G289" s="141" t="s">
        <v>4339</v>
      </c>
      <c r="H289" s="141" t="s">
        <v>4340</v>
      </c>
      <c r="I289" s="141" t="s">
        <v>4624</v>
      </c>
      <c r="J289" s="144" t="s">
        <v>5364</v>
      </c>
      <c r="K289" s="144"/>
      <c r="L289" s="144" t="s">
        <v>5365</v>
      </c>
      <c r="M289" s="141"/>
      <c r="N289" s="141"/>
      <c r="O289" s="199"/>
      <c r="P289" s="136"/>
      <c r="Q289" s="136"/>
      <c r="R289" s="136"/>
      <c r="S289" s="136"/>
      <c r="T289" s="136"/>
      <c r="U289" s="136"/>
      <c r="V289" s="136"/>
      <c r="W289" s="136"/>
      <c r="X289" s="136"/>
      <c r="Y289" s="136"/>
      <c r="Z289" s="136"/>
      <c r="AA289" s="141"/>
      <c r="AB289" s="144"/>
      <c r="AC289" s="144"/>
      <c r="AD289" s="144"/>
      <c r="AE289" s="141"/>
      <c r="AF289" s="141"/>
      <c r="AG289" s="204"/>
      <c r="AH289" s="204"/>
      <c r="AI289" s="141"/>
      <c r="AJ289" s="141"/>
      <c r="AK289" s="141"/>
      <c r="AL289" s="141"/>
      <c r="AM289" s="141"/>
      <c r="AN289" s="141"/>
      <c r="AO289" s="141"/>
      <c r="AP289" s="132"/>
      <c r="AQ289" s="141"/>
      <c r="AR289" s="141"/>
      <c r="AS289" s="141"/>
      <c r="AT289" s="141"/>
      <c r="AU289" s="136"/>
      <c r="AV289" s="141"/>
      <c r="AW289" s="141"/>
      <c r="AX289" s="141"/>
      <c r="AY289" s="136"/>
      <c r="AZ289" s="141"/>
      <c r="BA289" s="141"/>
      <c r="BB289" s="141"/>
      <c r="BC289" s="197" t="str">
        <f t="shared" si="15"/>
        <v/>
      </c>
      <c r="BD289" s="131" t="str">
        <f t="shared" si="16"/>
        <v>INDENIZAÇÃO</v>
      </c>
      <c r="BE289" s="131" t="str">
        <f t="shared" si="17"/>
        <v>NÃO</v>
      </c>
      <c r="BF289" s="141"/>
      <c r="BG289" s="199"/>
      <c r="BH289" s="199"/>
      <c r="BI289" s="141"/>
      <c r="BJ289" s="141"/>
      <c r="BK289" s="141"/>
      <c r="BL289" s="141"/>
      <c r="BM289" s="141"/>
      <c r="BN289" s="182"/>
      <c r="BO289" s="141"/>
      <c r="BP289" s="141"/>
      <c r="BQ289" s="141"/>
      <c r="BR289" s="141"/>
      <c r="BS289" s="141"/>
      <c r="BT289" s="141"/>
      <c r="BU289" s="141"/>
      <c r="BV289" s="141"/>
      <c r="BW289" s="141"/>
      <c r="BX289" s="141"/>
      <c r="BY289" s="141"/>
      <c r="BZ289" s="141"/>
      <c r="CA289" s="141"/>
      <c r="CB289" s="141"/>
      <c r="CC289" s="141"/>
      <c r="CD289" s="141"/>
      <c r="CE289" s="141"/>
      <c r="CF289" s="141"/>
      <c r="CG289" s="141"/>
      <c r="CH289" s="141"/>
      <c r="CI289" s="182"/>
      <c r="CJ289" s="141"/>
      <c r="CK289" s="141"/>
      <c r="CL289" s="141"/>
      <c r="CM289" s="141"/>
    </row>
    <row r="290" spans="1:91" ht="30" hidden="1" customHeight="1">
      <c r="A290" s="131">
        <v>276</v>
      </c>
      <c r="B290" s="131" t="s">
        <v>4432</v>
      </c>
      <c r="C290" s="131">
        <v>1</v>
      </c>
      <c r="D290" s="131" t="s">
        <v>4433</v>
      </c>
      <c r="E290" s="131" t="s">
        <v>4433</v>
      </c>
      <c r="F290" s="212" t="s">
        <v>5366</v>
      </c>
      <c r="G290" s="141"/>
      <c r="H290" s="141"/>
      <c r="I290" s="141"/>
      <c r="J290" s="144" t="s">
        <v>4628</v>
      </c>
      <c r="K290" s="144"/>
      <c r="L290" s="144" t="s">
        <v>4628</v>
      </c>
      <c r="M290" s="141"/>
      <c r="N290" s="141"/>
      <c r="O290" s="199"/>
      <c r="P290" s="136"/>
      <c r="Q290" s="136"/>
      <c r="R290" s="136"/>
      <c r="S290" s="136"/>
      <c r="T290" s="136"/>
      <c r="U290" s="136"/>
      <c r="V290" s="136"/>
      <c r="W290" s="136"/>
      <c r="X290" s="136"/>
      <c r="Y290" s="136"/>
      <c r="Z290" s="136"/>
      <c r="AA290" s="141"/>
      <c r="AB290" s="144"/>
      <c r="AC290" s="144"/>
      <c r="AD290" s="144"/>
      <c r="AE290" s="141"/>
      <c r="AF290" s="141"/>
      <c r="AG290" s="204"/>
      <c r="AH290" s="204"/>
      <c r="AI290" s="141"/>
      <c r="AJ290" s="141"/>
      <c r="AK290" s="141"/>
      <c r="AL290" s="141"/>
      <c r="AM290" s="141"/>
      <c r="AN290" s="141"/>
      <c r="AO290" s="141"/>
      <c r="AP290" s="132"/>
      <c r="AQ290" s="141"/>
      <c r="AR290" s="141"/>
      <c r="AS290" s="141"/>
      <c r="AT290" s="141"/>
      <c r="AU290" s="136"/>
      <c r="AV290" s="141"/>
      <c r="AW290" s="141"/>
      <c r="AX290" s="141"/>
      <c r="AY290" s="136"/>
      <c r="AZ290" s="141"/>
      <c r="BA290" s="141"/>
      <c r="BB290" s="141"/>
      <c r="BC290" s="197" t="str">
        <f t="shared" si="15"/>
        <v/>
      </c>
      <c r="BD290" s="131" t="str">
        <f t="shared" si="16"/>
        <v>INDENIZAÇÃO</v>
      </c>
      <c r="BE290" s="131" t="str">
        <f t="shared" si="17"/>
        <v>NÃO</v>
      </c>
      <c r="BF290" s="141"/>
      <c r="BG290" s="199"/>
      <c r="BH290" s="199"/>
      <c r="BI290" s="141"/>
      <c r="BJ290" s="141"/>
      <c r="BK290" s="141"/>
      <c r="BL290" s="141"/>
      <c r="BM290" s="141"/>
      <c r="BN290" s="182"/>
      <c r="BO290" s="141"/>
      <c r="BP290" s="141"/>
      <c r="BQ290" s="141"/>
      <c r="BR290" s="141"/>
      <c r="BS290" s="141"/>
      <c r="BT290" s="141"/>
      <c r="BU290" s="141"/>
      <c r="BV290" s="141"/>
      <c r="BW290" s="141"/>
      <c r="BX290" s="141"/>
      <c r="BY290" s="141"/>
      <c r="BZ290" s="141"/>
      <c r="CA290" s="141"/>
      <c r="CB290" s="141"/>
      <c r="CC290" s="141"/>
      <c r="CD290" s="141"/>
      <c r="CE290" s="141"/>
      <c r="CF290" s="141"/>
      <c r="CG290" s="141"/>
      <c r="CH290" s="141"/>
      <c r="CI290" s="182"/>
      <c r="CJ290" s="141"/>
      <c r="CK290" s="141"/>
      <c r="CL290" s="141"/>
      <c r="CM290" s="141"/>
    </row>
    <row r="291" spans="1:91" ht="30" hidden="1" customHeight="1">
      <c r="A291" s="131">
        <v>277</v>
      </c>
      <c r="B291" s="131" t="s">
        <v>4432</v>
      </c>
      <c r="C291" s="131">
        <v>1</v>
      </c>
      <c r="D291" s="131" t="s">
        <v>4433</v>
      </c>
      <c r="E291" s="131" t="s">
        <v>4433</v>
      </c>
      <c r="F291" s="212" t="s">
        <v>5367</v>
      </c>
      <c r="G291" s="141" t="s">
        <v>4339</v>
      </c>
      <c r="H291" s="141" t="s">
        <v>4340</v>
      </c>
      <c r="I291" s="141" t="s">
        <v>4350</v>
      </c>
      <c r="J291" s="144" t="s">
        <v>5368</v>
      </c>
      <c r="K291" s="144" t="s">
        <v>5369</v>
      </c>
      <c r="L291" s="144" t="s">
        <v>5370</v>
      </c>
      <c r="M291" s="141" t="s">
        <v>4342</v>
      </c>
      <c r="N291" s="141" t="s">
        <v>4343</v>
      </c>
      <c r="O291" s="199">
        <v>46142</v>
      </c>
      <c r="P291" s="133" t="s">
        <v>4361</v>
      </c>
      <c r="Q291" s="133" t="s">
        <v>4361</v>
      </c>
      <c r="R291" s="133" t="s">
        <v>4361</v>
      </c>
      <c r="S291" s="133" t="s">
        <v>4361</v>
      </c>
      <c r="T291" s="133" t="s">
        <v>4361</v>
      </c>
      <c r="U291" s="133" t="s">
        <v>4361</v>
      </c>
      <c r="V291" s="133" t="s">
        <v>4361</v>
      </c>
      <c r="W291" s="133" t="s">
        <v>4361</v>
      </c>
      <c r="X291" s="133" t="s">
        <v>4361</v>
      </c>
      <c r="Y291" s="133" t="s">
        <v>4361</v>
      </c>
      <c r="Z291" s="133" t="s">
        <v>4361</v>
      </c>
      <c r="AA291" s="141"/>
      <c r="AB291" s="144" t="s">
        <v>5368</v>
      </c>
      <c r="AC291" s="144" t="s">
        <v>5369</v>
      </c>
      <c r="AD291" s="144" t="s">
        <v>5370</v>
      </c>
      <c r="AE291" s="141" t="s">
        <v>4350</v>
      </c>
      <c r="AF291" s="141" t="s">
        <v>4534</v>
      </c>
      <c r="AG291" s="204">
        <v>18156.88</v>
      </c>
      <c r="AH291" s="204">
        <v>48156.88</v>
      </c>
      <c r="AI291" s="141" t="s">
        <v>4344</v>
      </c>
      <c r="AJ291" s="144" t="s">
        <v>4616</v>
      </c>
      <c r="AK291" s="141">
        <v>147147087</v>
      </c>
      <c r="AL291" s="141" t="s">
        <v>4442</v>
      </c>
      <c r="AM291" s="141" t="s">
        <v>4442</v>
      </c>
      <c r="AN291" s="141" t="s">
        <v>4443</v>
      </c>
      <c r="AO291" s="141"/>
      <c r="AP291" s="132" t="s">
        <v>5371</v>
      </c>
      <c r="AQ291" s="141" t="s">
        <v>4442</v>
      </c>
      <c r="AR291" s="141" t="s">
        <v>4442</v>
      </c>
      <c r="AS291" s="141" t="s">
        <v>4442</v>
      </c>
      <c r="AT291" s="141" t="s">
        <v>4442</v>
      </c>
      <c r="AU291" s="199">
        <v>46191</v>
      </c>
      <c r="AV291" s="141" t="s">
        <v>4442</v>
      </c>
      <c r="AW291" s="141" t="s">
        <v>4442</v>
      </c>
      <c r="AX291" s="199">
        <v>46198</v>
      </c>
      <c r="AY291" s="263">
        <v>46198</v>
      </c>
      <c r="AZ291" s="137" t="s">
        <v>4370</v>
      </c>
      <c r="BA291" s="137" t="s">
        <v>4339</v>
      </c>
      <c r="BB291" s="141" t="s">
        <v>4442</v>
      </c>
      <c r="BC291" s="197">
        <f t="shared" si="15"/>
        <v>56</v>
      </c>
      <c r="BD291" s="131" t="str">
        <f t="shared" si="16"/>
        <v>INDENIZAÇÃO</v>
      </c>
      <c r="BE291" s="131" t="str">
        <f t="shared" si="17"/>
        <v>NÃO</v>
      </c>
      <c r="BF291" s="131" t="s">
        <v>4361</v>
      </c>
      <c r="BG291" s="131" t="s">
        <v>4361</v>
      </c>
      <c r="BH291" s="131" t="s">
        <v>4361</v>
      </c>
      <c r="BI291" s="137" t="s">
        <v>4446</v>
      </c>
      <c r="BJ291" s="137"/>
      <c r="BK291" s="255"/>
      <c r="BL291" s="137"/>
      <c r="BM291" s="137"/>
      <c r="BN291" s="182"/>
      <c r="BO291" s="141"/>
      <c r="BP291" s="141"/>
      <c r="BQ291" s="141"/>
      <c r="BR291" s="141"/>
      <c r="BS291" s="141"/>
      <c r="BT291" s="141"/>
      <c r="BU291" s="141"/>
      <c r="BV291" s="141"/>
      <c r="BW291" s="141"/>
      <c r="BX291" s="141"/>
      <c r="BY291" s="141"/>
      <c r="BZ291" s="141"/>
      <c r="CA291" s="141"/>
      <c r="CB291" s="141"/>
      <c r="CC291" s="141"/>
      <c r="CD291" s="141"/>
      <c r="CE291" s="141"/>
      <c r="CF291" s="141"/>
      <c r="CG291" s="141"/>
      <c r="CH291" s="141"/>
      <c r="CI291" s="182"/>
      <c r="CJ291" s="141"/>
      <c r="CK291" s="141"/>
      <c r="CL291" s="141"/>
      <c r="CM291" s="141"/>
    </row>
    <row r="292" spans="1:91" ht="30" hidden="1" customHeight="1">
      <c r="A292" s="131">
        <v>278</v>
      </c>
      <c r="B292" s="131" t="s">
        <v>4432</v>
      </c>
      <c r="C292" s="131">
        <v>1</v>
      </c>
      <c r="D292" s="131" t="s">
        <v>4433</v>
      </c>
      <c r="E292" s="131" t="s">
        <v>4433</v>
      </c>
      <c r="F292" s="212" t="s">
        <v>5372</v>
      </c>
      <c r="G292" s="141"/>
      <c r="H292" s="141"/>
      <c r="I292" s="141"/>
      <c r="J292" s="144" t="s">
        <v>5373</v>
      </c>
      <c r="K292" s="144"/>
      <c r="L292" s="144" t="s">
        <v>5374</v>
      </c>
      <c r="M292" s="141"/>
      <c r="N292" s="141"/>
      <c r="O292" s="199"/>
      <c r="P292" s="136"/>
      <c r="Q292" s="136"/>
      <c r="R292" s="136"/>
      <c r="S292" s="136"/>
      <c r="T292" s="136"/>
      <c r="U292" s="136"/>
      <c r="V292" s="136"/>
      <c r="W292" s="136"/>
      <c r="X292" s="136"/>
      <c r="Y292" s="136"/>
      <c r="Z292" s="136"/>
      <c r="AA292" s="141"/>
      <c r="AB292" s="144"/>
      <c r="AC292" s="144"/>
      <c r="AD292" s="144"/>
      <c r="AE292" s="141"/>
      <c r="AF292" s="141"/>
      <c r="AG292" s="204"/>
      <c r="AH292" s="204"/>
      <c r="AI292" s="141"/>
      <c r="AJ292" s="141"/>
      <c r="AK292" s="141"/>
      <c r="AL292" s="141"/>
      <c r="AM292" s="141"/>
      <c r="AN292" s="141"/>
      <c r="AO292" s="141"/>
      <c r="AP292" s="132"/>
      <c r="AQ292" s="141"/>
      <c r="AR292" s="141"/>
      <c r="AS292" s="141"/>
      <c r="AT292" s="141"/>
      <c r="AU292" s="136"/>
      <c r="AV292" s="141"/>
      <c r="AW292" s="141"/>
      <c r="AX292" s="141"/>
      <c r="AY292" s="136"/>
      <c r="AZ292" s="141"/>
      <c r="BA292" s="141"/>
      <c r="BB292" s="141"/>
      <c r="BC292" s="197" t="str">
        <f t="shared" si="15"/>
        <v/>
      </c>
      <c r="BD292" s="131" t="str">
        <f t="shared" si="16"/>
        <v>INDENIZAÇÃO</v>
      </c>
      <c r="BE292" s="131" t="str">
        <f t="shared" si="17"/>
        <v>NÃO</v>
      </c>
      <c r="BF292" s="141"/>
      <c r="BG292" s="199"/>
      <c r="BH292" s="199"/>
      <c r="BI292" s="141"/>
      <c r="BJ292" s="141"/>
      <c r="BK292" s="141"/>
      <c r="BL292" s="141"/>
      <c r="BM292" s="141"/>
      <c r="BN292" s="182"/>
      <c r="BO292" s="141"/>
      <c r="BP292" s="141"/>
      <c r="BQ292" s="141"/>
      <c r="BR292" s="141"/>
      <c r="BS292" s="141"/>
      <c r="BT292" s="141"/>
      <c r="BU292" s="141"/>
      <c r="BV292" s="141"/>
      <c r="BW292" s="141"/>
      <c r="BX292" s="141"/>
      <c r="BY292" s="141"/>
      <c r="BZ292" s="141"/>
      <c r="CA292" s="141"/>
      <c r="CB292" s="141"/>
      <c r="CC292" s="141"/>
      <c r="CD292" s="141"/>
      <c r="CE292" s="141"/>
      <c r="CF292" s="141"/>
      <c r="CG292" s="141"/>
      <c r="CH292" s="141"/>
      <c r="CI292" s="182"/>
      <c r="CJ292" s="141"/>
      <c r="CK292" s="141"/>
      <c r="CL292" s="141"/>
      <c r="CM292" s="141"/>
    </row>
    <row r="293" spans="1:91" ht="30" hidden="1" customHeight="1">
      <c r="A293" s="131">
        <v>279</v>
      </c>
      <c r="B293" s="131" t="s">
        <v>4432</v>
      </c>
      <c r="C293" s="131">
        <v>1</v>
      </c>
      <c r="D293" s="131" t="s">
        <v>4433</v>
      </c>
      <c r="E293" s="131" t="s">
        <v>4433</v>
      </c>
      <c r="F293" s="212" t="s">
        <v>5375</v>
      </c>
      <c r="G293" s="141" t="s">
        <v>4339</v>
      </c>
      <c r="H293" s="141" t="s">
        <v>4340</v>
      </c>
      <c r="I293" s="141" t="s">
        <v>4350</v>
      </c>
      <c r="J293" s="144" t="s">
        <v>5376</v>
      </c>
      <c r="K293" s="144" t="s">
        <v>5377</v>
      </c>
      <c r="L293" s="144" t="s">
        <v>5378</v>
      </c>
      <c r="M293" s="141" t="s">
        <v>4342</v>
      </c>
      <c r="N293" s="141" t="s">
        <v>4343</v>
      </c>
      <c r="O293" s="199">
        <v>46181</v>
      </c>
      <c r="P293" s="133" t="s">
        <v>4361</v>
      </c>
      <c r="Q293" s="133" t="s">
        <v>4361</v>
      </c>
      <c r="R293" s="133" t="s">
        <v>4361</v>
      </c>
      <c r="S293" s="133" t="s">
        <v>4361</v>
      </c>
      <c r="T293" s="133" t="s">
        <v>4361</v>
      </c>
      <c r="U293" s="133" t="s">
        <v>4361</v>
      </c>
      <c r="V293" s="133" t="s">
        <v>4361</v>
      </c>
      <c r="W293" s="133" t="s">
        <v>4361</v>
      </c>
      <c r="X293" s="133" t="s">
        <v>4361</v>
      </c>
      <c r="Y293" s="133" t="s">
        <v>4361</v>
      </c>
      <c r="Z293" s="133" t="s">
        <v>4361</v>
      </c>
      <c r="AA293" s="141"/>
      <c r="AB293" s="144" t="s">
        <v>5379</v>
      </c>
      <c r="AC293" s="144" t="s">
        <v>5377</v>
      </c>
      <c r="AD293" s="144" t="s">
        <v>5378</v>
      </c>
      <c r="AE293" s="141" t="s">
        <v>4350</v>
      </c>
      <c r="AF293" s="141" t="s">
        <v>4534</v>
      </c>
      <c r="AG293" s="204">
        <v>9248.81</v>
      </c>
      <c r="AH293" s="204">
        <v>39248.81</v>
      </c>
      <c r="AI293" s="141" t="s">
        <v>4344</v>
      </c>
      <c r="AJ293" s="144" t="s">
        <v>4616</v>
      </c>
      <c r="AK293" s="141">
        <v>152886573</v>
      </c>
      <c r="AL293" s="141" t="s">
        <v>4442</v>
      </c>
      <c r="AM293" s="141" t="s">
        <v>4442</v>
      </c>
      <c r="AN293" s="141" t="s">
        <v>4442</v>
      </c>
      <c r="AO293" s="141"/>
      <c r="AP293" s="132" t="s">
        <v>5380</v>
      </c>
      <c r="AQ293" s="141" t="s">
        <v>4442</v>
      </c>
      <c r="AR293" s="141" t="s">
        <v>4442</v>
      </c>
      <c r="AS293" s="141" t="s">
        <v>4442</v>
      </c>
      <c r="AT293" s="141" t="s">
        <v>4442</v>
      </c>
      <c r="AU293" s="199">
        <v>46254</v>
      </c>
      <c r="AV293" s="137" t="s">
        <v>5050</v>
      </c>
      <c r="AW293" s="137"/>
      <c r="AX293" s="137"/>
      <c r="AY293" s="137"/>
      <c r="AZ293" s="137"/>
      <c r="BA293" s="137" t="s">
        <v>4339</v>
      </c>
      <c r="BB293" s="141"/>
      <c r="BC293" s="197" t="str">
        <f t="shared" si="15"/>
        <v/>
      </c>
      <c r="BD293" s="131" t="str">
        <f t="shared" si="16"/>
        <v>INDENIZAÇÃO</v>
      </c>
      <c r="BE293" s="131" t="str">
        <f t="shared" si="17"/>
        <v>NÃO</v>
      </c>
      <c r="BF293" s="141"/>
      <c r="BG293" s="199"/>
      <c r="BH293" s="199"/>
      <c r="BI293" s="141"/>
      <c r="BJ293" s="141"/>
      <c r="BK293" s="141"/>
      <c r="BL293" s="141"/>
      <c r="BM293" s="141"/>
      <c r="BN293" s="182"/>
      <c r="BO293" s="141"/>
      <c r="BP293" s="141"/>
      <c r="BQ293" s="141"/>
      <c r="BR293" s="141"/>
      <c r="BS293" s="141"/>
      <c r="BT293" s="141"/>
      <c r="BU293" s="141"/>
      <c r="BV293" s="141"/>
      <c r="BW293" s="141"/>
      <c r="BX293" s="141"/>
      <c r="BY293" s="141"/>
      <c r="BZ293" s="141"/>
      <c r="CA293" s="141"/>
      <c r="CB293" s="141"/>
      <c r="CC293" s="141"/>
      <c r="CD293" s="141"/>
      <c r="CE293" s="141"/>
      <c r="CF293" s="141"/>
      <c r="CG293" s="141"/>
      <c r="CH293" s="141"/>
      <c r="CI293" s="182"/>
      <c r="CJ293" s="141"/>
      <c r="CK293" s="141"/>
      <c r="CL293" s="141"/>
      <c r="CM293" s="141"/>
    </row>
    <row r="294" spans="1:91" ht="30" hidden="1" customHeight="1">
      <c r="A294" s="131">
        <v>280</v>
      </c>
      <c r="B294" s="131" t="s">
        <v>4432</v>
      </c>
      <c r="C294" s="131">
        <v>1</v>
      </c>
      <c r="D294" s="131" t="s">
        <v>4433</v>
      </c>
      <c r="E294" s="131" t="s">
        <v>4433</v>
      </c>
      <c r="F294" s="212" t="s">
        <v>5381</v>
      </c>
      <c r="G294" s="141"/>
      <c r="H294" s="141"/>
      <c r="I294" s="141"/>
      <c r="J294" s="144" t="s">
        <v>5382</v>
      </c>
      <c r="K294" s="144"/>
      <c r="L294" s="144" t="s">
        <v>5383</v>
      </c>
      <c r="M294" s="141"/>
      <c r="N294" s="141"/>
      <c r="O294" s="199"/>
      <c r="P294" s="136"/>
      <c r="Q294" s="136"/>
      <c r="R294" s="136"/>
      <c r="S294" s="136"/>
      <c r="T294" s="136"/>
      <c r="U294" s="136"/>
      <c r="V294" s="136"/>
      <c r="W294" s="136"/>
      <c r="X294" s="136"/>
      <c r="Y294" s="136"/>
      <c r="Z294" s="136"/>
      <c r="AA294" s="141"/>
      <c r="AB294" s="144"/>
      <c r="AC294" s="144"/>
      <c r="AD294" s="144"/>
      <c r="AE294" s="141"/>
      <c r="AF294" s="141"/>
      <c r="AG294" s="204"/>
      <c r="AH294" s="204"/>
      <c r="AI294" s="141"/>
      <c r="AJ294" s="141"/>
      <c r="AK294" s="141"/>
      <c r="AL294" s="141"/>
      <c r="AM294" s="141"/>
      <c r="AN294" s="141"/>
      <c r="AO294" s="141"/>
      <c r="AP294" s="132"/>
      <c r="AQ294" s="141"/>
      <c r="AR294" s="141"/>
      <c r="AS294" s="141"/>
      <c r="AT294" s="141"/>
      <c r="AU294" s="136"/>
      <c r="AV294" s="141"/>
      <c r="AW294" s="141"/>
      <c r="AX294" s="141"/>
      <c r="AY294" s="136"/>
      <c r="AZ294" s="141"/>
      <c r="BA294" s="141"/>
      <c r="BB294" s="141"/>
      <c r="BC294" s="197" t="str">
        <f t="shared" si="15"/>
        <v/>
      </c>
      <c r="BD294" s="131" t="str">
        <f t="shared" si="16"/>
        <v>INDENIZAÇÃO</v>
      </c>
      <c r="BE294" s="131" t="str">
        <f t="shared" si="17"/>
        <v>NÃO</v>
      </c>
      <c r="BF294" s="141"/>
      <c r="BG294" s="199"/>
      <c r="BH294" s="199"/>
      <c r="BI294" s="141"/>
      <c r="BJ294" s="141"/>
      <c r="BK294" s="141"/>
      <c r="BL294" s="141"/>
      <c r="BM294" s="141"/>
      <c r="BN294" s="182"/>
      <c r="BO294" s="141"/>
      <c r="BP294" s="141"/>
      <c r="BQ294" s="141"/>
      <c r="BR294" s="141"/>
      <c r="BS294" s="141"/>
      <c r="BT294" s="141"/>
      <c r="BU294" s="141"/>
      <c r="BV294" s="141"/>
      <c r="BW294" s="141"/>
      <c r="BX294" s="141"/>
      <c r="BY294" s="141"/>
      <c r="BZ294" s="141"/>
      <c r="CA294" s="141"/>
      <c r="CB294" s="141"/>
      <c r="CC294" s="141"/>
      <c r="CD294" s="141"/>
      <c r="CE294" s="141"/>
      <c r="CF294" s="141"/>
      <c r="CG294" s="141"/>
      <c r="CH294" s="141"/>
      <c r="CI294" s="182"/>
      <c r="CJ294" s="141"/>
      <c r="CK294" s="141"/>
      <c r="CL294" s="141"/>
      <c r="CM294" s="141"/>
    </row>
    <row r="295" spans="1:91" ht="30" hidden="1" customHeight="1">
      <c r="A295" s="131">
        <v>281</v>
      </c>
      <c r="B295" s="131" t="s">
        <v>4432</v>
      </c>
      <c r="C295" s="131">
        <v>1</v>
      </c>
      <c r="D295" s="131" t="s">
        <v>4433</v>
      </c>
      <c r="E295" s="131" t="s">
        <v>4433</v>
      </c>
      <c r="F295" s="212" t="s">
        <v>5384</v>
      </c>
      <c r="G295" s="141" t="s">
        <v>4339</v>
      </c>
      <c r="H295" s="141" t="s">
        <v>4340</v>
      </c>
      <c r="I295" s="141" t="s">
        <v>4350</v>
      </c>
      <c r="J295" s="144" t="s">
        <v>5385</v>
      </c>
      <c r="K295" s="144" t="s">
        <v>5386</v>
      </c>
      <c r="L295" s="144" t="s">
        <v>5387</v>
      </c>
      <c r="M295" s="141" t="s">
        <v>4342</v>
      </c>
      <c r="N295" s="141" t="s">
        <v>4343</v>
      </c>
      <c r="O295" s="199">
        <v>46155</v>
      </c>
      <c r="P295" s="133" t="s">
        <v>4361</v>
      </c>
      <c r="Q295" s="133" t="s">
        <v>4361</v>
      </c>
      <c r="R295" s="133" t="s">
        <v>4361</v>
      </c>
      <c r="S295" s="133" t="s">
        <v>4361</v>
      </c>
      <c r="T295" s="133" t="s">
        <v>4361</v>
      </c>
      <c r="U295" s="133" t="s">
        <v>4361</v>
      </c>
      <c r="V295" s="133" t="s">
        <v>4361</v>
      </c>
      <c r="W295" s="133" t="s">
        <v>4361</v>
      </c>
      <c r="X295" s="133" t="s">
        <v>4361</v>
      </c>
      <c r="Y295" s="133" t="s">
        <v>4361</v>
      </c>
      <c r="Z295" s="133" t="s">
        <v>4361</v>
      </c>
      <c r="AA295" s="141"/>
      <c r="AB295" s="144" t="s">
        <v>5385</v>
      </c>
      <c r="AC295" s="144" t="s">
        <v>5386</v>
      </c>
      <c r="AD295" s="144" t="s">
        <v>5387</v>
      </c>
      <c r="AE295" s="141" t="s">
        <v>4350</v>
      </c>
      <c r="AF295" s="141" t="s">
        <v>4534</v>
      </c>
      <c r="AG295" s="204">
        <v>14985</v>
      </c>
      <c r="AH295" s="204">
        <v>44985</v>
      </c>
      <c r="AI295" s="141" t="s">
        <v>4344</v>
      </c>
      <c r="AJ295" s="144" t="s">
        <v>4616</v>
      </c>
      <c r="AK295" s="141">
        <v>152891307</v>
      </c>
      <c r="AL295" s="141" t="s">
        <v>4442</v>
      </c>
      <c r="AM295" s="141" t="s">
        <v>4442</v>
      </c>
      <c r="AN295" s="141" t="s">
        <v>4442</v>
      </c>
      <c r="AO295" s="141"/>
      <c r="AP295" s="132" t="s">
        <v>5388</v>
      </c>
      <c r="AQ295" s="141" t="s">
        <v>4442</v>
      </c>
      <c r="AR295" s="141" t="s">
        <v>4442</v>
      </c>
      <c r="AS295" s="141" t="s">
        <v>4442</v>
      </c>
      <c r="AT295" s="141" t="s">
        <v>4442</v>
      </c>
      <c r="AU295" s="199">
        <v>46254</v>
      </c>
      <c r="AV295" s="137" t="s">
        <v>5050</v>
      </c>
      <c r="AW295" s="137"/>
      <c r="AX295" s="137"/>
      <c r="AY295" s="137"/>
      <c r="AZ295" s="137"/>
      <c r="BA295" s="137" t="s">
        <v>4339</v>
      </c>
      <c r="BB295" s="141"/>
      <c r="BC295" s="197" t="str">
        <f t="shared" si="15"/>
        <v/>
      </c>
      <c r="BD295" s="131" t="str">
        <f t="shared" si="16"/>
        <v>INDENIZAÇÃO</v>
      </c>
      <c r="BE295" s="131" t="str">
        <f t="shared" si="17"/>
        <v>NÃO</v>
      </c>
      <c r="BF295" s="141"/>
      <c r="BG295" s="199"/>
      <c r="BH295" s="199"/>
      <c r="BI295" s="141"/>
      <c r="BJ295" s="141"/>
      <c r="BK295" s="141"/>
      <c r="BL295" s="141"/>
      <c r="BM295" s="141"/>
      <c r="BN295" s="182"/>
      <c r="BO295" s="141"/>
      <c r="BP295" s="141"/>
      <c r="BQ295" s="141"/>
      <c r="BR295" s="141"/>
      <c r="BS295" s="141"/>
      <c r="BT295" s="141"/>
      <c r="BU295" s="141"/>
      <c r="BV295" s="141"/>
      <c r="BW295" s="141"/>
      <c r="BX295" s="141"/>
      <c r="BY295" s="141"/>
      <c r="BZ295" s="141"/>
      <c r="CA295" s="141"/>
      <c r="CB295" s="141"/>
      <c r="CC295" s="141"/>
      <c r="CD295" s="141"/>
      <c r="CE295" s="141"/>
      <c r="CF295" s="141"/>
      <c r="CG295" s="141"/>
      <c r="CH295" s="141"/>
      <c r="CI295" s="182"/>
      <c r="CJ295" s="141"/>
      <c r="CK295" s="141"/>
      <c r="CL295" s="141"/>
      <c r="CM295" s="141"/>
    </row>
    <row r="296" spans="1:91" ht="30" hidden="1" customHeight="1">
      <c r="A296" s="131">
        <v>282</v>
      </c>
      <c r="B296" s="131" t="s">
        <v>4432</v>
      </c>
      <c r="C296" s="131">
        <v>1</v>
      </c>
      <c r="D296" s="131" t="s">
        <v>4433</v>
      </c>
      <c r="E296" s="131" t="s">
        <v>4433</v>
      </c>
      <c r="F296" s="212" t="s">
        <v>5389</v>
      </c>
      <c r="G296" s="141"/>
      <c r="H296" s="141"/>
      <c r="I296" s="141"/>
      <c r="J296" s="144" t="s">
        <v>5390</v>
      </c>
      <c r="K296" s="144"/>
      <c r="L296" s="144" t="s">
        <v>5391</v>
      </c>
      <c r="M296" s="141"/>
      <c r="N296" s="141"/>
      <c r="O296" s="199"/>
      <c r="P296" s="136"/>
      <c r="Q296" s="136"/>
      <c r="R296" s="136"/>
      <c r="S296" s="136"/>
      <c r="T296" s="136"/>
      <c r="U296" s="136"/>
      <c r="V296" s="136"/>
      <c r="W296" s="136"/>
      <c r="X296" s="136"/>
      <c r="Y296" s="136"/>
      <c r="Z296" s="136"/>
      <c r="AA296" s="141"/>
      <c r="AB296" s="144"/>
      <c r="AC296" s="144"/>
      <c r="AD296" s="144"/>
      <c r="AE296" s="141"/>
      <c r="AF296" s="141"/>
      <c r="AG296" s="204"/>
      <c r="AH296" s="204"/>
      <c r="AI296" s="141"/>
      <c r="AJ296" s="141"/>
      <c r="AK296" s="141"/>
      <c r="AL296" s="141"/>
      <c r="AM296" s="141"/>
      <c r="AN296" s="141"/>
      <c r="AO296" s="141"/>
      <c r="AP296" s="132"/>
      <c r="AQ296" s="141"/>
      <c r="AR296" s="141"/>
      <c r="AS296" s="141"/>
      <c r="AT296" s="141"/>
      <c r="AU296" s="136"/>
      <c r="AV296" s="141"/>
      <c r="AW296" s="141"/>
      <c r="AX296" s="141"/>
      <c r="AY296" s="136"/>
      <c r="AZ296" s="141"/>
      <c r="BA296" s="141"/>
      <c r="BB296" s="141"/>
      <c r="BC296" s="197" t="str">
        <f t="shared" si="15"/>
        <v/>
      </c>
      <c r="BD296" s="131" t="str">
        <f t="shared" si="16"/>
        <v>INDENIZAÇÃO</v>
      </c>
      <c r="BE296" s="131" t="str">
        <f t="shared" si="17"/>
        <v>NÃO</v>
      </c>
      <c r="BF296" s="141"/>
      <c r="BG296" s="199"/>
      <c r="BH296" s="199"/>
      <c r="BI296" s="141"/>
      <c r="BJ296" s="141"/>
      <c r="BK296" s="141"/>
      <c r="BL296" s="141"/>
      <c r="BM296" s="141"/>
      <c r="BN296" s="182"/>
      <c r="BO296" s="141"/>
      <c r="BP296" s="141"/>
      <c r="BQ296" s="141"/>
      <c r="BR296" s="141"/>
      <c r="BS296" s="141"/>
      <c r="BT296" s="141"/>
      <c r="BU296" s="141"/>
      <c r="BV296" s="141"/>
      <c r="BW296" s="141"/>
      <c r="BX296" s="141"/>
      <c r="BY296" s="141"/>
      <c r="BZ296" s="141"/>
      <c r="CA296" s="141"/>
      <c r="CB296" s="141"/>
      <c r="CC296" s="141"/>
      <c r="CD296" s="141"/>
      <c r="CE296" s="141"/>
      <c r="CF296" s="141"/>
      <c r="CG296" s="141"/>
      <c r="CH296" s="141"/>
      <c r="CI296" s="182"/>
      <c r="CJ296" s="141"/>
      <c r="CK296" s="141"/>
      <c r="CL296" s="141"/>
      <c r="CM296" s="141"/>
    </row>
    <row r="297" spans="1:91" ht="30" hidden="1" customHeight="1">
      <c r="A297" s="131">
        <v>283</v>
      </c>
      <c r="B297" s="131" t="s">
        <v>4432</v>
      </c>
      <c r="C297" s="131">
        <v>1</v>
      </c>
      <c r="D297" s="131" t="s">
        <v>4433</v>
      </c>
      <c r="E297" s="131" t="s">
        <v>4433</v>
      </c>
      <c r="F297" s="212" t="s">
        <v>5392</v>
      </c>
      <c r="G297" s="141"/>
      <c r="H297" s="141"/>
      <c r="I297" s="141"/>
      <c r="J297" s="144" t="s">
        <v>5393</v>
      </c>
      <c r="K297" s="144"/>
      <c r="L297" s="144" t="s">
        <v>5394</v>
      </c>
      <c r="M297" s="141"/>
      <c r="N297" s="141"/>
      <c r="O297" s="199"/>
      <c r="P297" s="136"/>
      <c r="Q297" s="136"/>
      <c r="R297" s="136"/>
      <c r="S297" s="136"/>
      <c r="T297" s="136"/>
      <c r="U297" s="136"/>
      <c r="V297" s="136"/>
      <c r="W297" s="136"/>
      <c r="X297" s="136"/>
      <c r="Y297" s="136"/>
      <c r="Z297" s="136"/>
      <c r="AA297" s="141"/>
      <c r="AB297" s="144"/>
      <c r="AC297" s="144"/>
      <c r="AD297" s="144"/>
      <c r="AE297" s="141"/>
      <c r="AF297" s="141"/>
      <c r="AG297" s="204"/>
      <c r="AH297" s="204"/>
      <c r="AI297" s="141"/>
      <c r="AJ297" s="141"/>
      <c r="AK297" s="141"/>
      <c r="AL297" s="141"/>
      <c r="AM297" s="141"/>
      <c r="AN297" s="141"/>
      <c r="AO297" s="141"/>
      <c r="AP297" s="132"/>
      <c r="AQ297" s="141"/>
      <c r="AR297" s="141"/>
      <c r="AS297" s="141"/>
      <c r="AT297" s="141"/>
      <c r="AU297" s="136"/>
      <c r="AV297" s="141"/>
      <c r="AW297" s="141"/>
      <c r="AX297" s="141"/>
      <c r="AY297" s="136"/>
      <c r="AZ297" s="141"/>
      <c r="BA297" s="141"/>
      <c r="BB297" s="141"/>
      <c r="BC297" s="197" t="str">
        <f t="shared" si="15"/>
        <v/>
      </c>
      <c r="BD297" s="131" t="str">
        <f t="shared" si="16"/>
        <v>INDENIZAÇÃO</v>
      </c>
      <c r="BE297" s="131" t="str">
        <f t="shared" si="17"/>
        <v>NÃO</v>
      </c>
      <c r="BF297" s="141"/>
      <c r="BG297" s="199"/>
      <c r="BH297" s="199"/>
      <c r="BI297" s="141"/>
      <c r="BJ297" s="141"/>
      <c r="BK297" s="141"/>
      <c r="BL297" s="141"/>
      <c r="BM297" s="141"/>
      <c r="BN297" s="182"/>
      <c r="BO297" s="141"/>
      <c r="BP297" s="141"/>
      <c r="BQ297" s="141"/>
      <c r="BR297" s="141"/>
      <c r="BS297" s="141"/>
      <c r="BT297" s="141"/>
      <c r="BU297" s="141"/>
      <c r="BV297" s="141"/>
      <c r="BW297" s="141"/>
      <c r="BX297" s="141"/>
      <c r="BY297" s="141"/>
      <c r="BZ297" s="141"/>
      <c r="CA297" s="141"/>
      <c r="CB297" s="141"/>
      <c r="CC297" s="141"/>
      <c r="CD297" s="141"/>
      <c r="CE297" s="141"/>
      <c r="CF297" s="141"/>
      <c r="CG297" s="141"/>
      <c r="CH297" s="141"/>
      <c r="CI297" s="182"/>
      <c r="CJ297" s="141"/>
      <c r="CK297" s="141"/>
      <c r="CL297" s="141"/>
      <c r="CM297" s="141"/>
    </row>
    <row r="298" spans="1:91" ht="30" hidden="1" customHeight="1">
      <c r="A298" s="131">
        <v>284</v>
      </c>
      <c r="B298" s="131" t="s">
        <v>4432</v>
      </c>
      <c r="C298" s="131">
        <v>1</v>
      </c>
      <c r="D298" s="131" t="s">
        <v>4433</v>
      </c>
      <c r="E298" s="131" t="s">
        <v>4433</v>
      </c>
      <c r="F298" s="212" t="s">
        <v>5395</v>
      </c>
      <c r="G298" s="141" t="s">
        <v>4348</v>
      </c>
      <c r="H298" s="141" t="s">
        <v>4340</v>
      </c>
      <c r="I298" s="141" t="s">
        <v>4341</v>
      </c>
      <c r="J298" s="144" t="s">
        <v>5396</v>
      </c>
      <c r="K298" s="144" t="s">
        <v>5397</v>
      </c>
      <c r="L298" s="144" t="s">
        <v>5398</v>
      </c>
      <c r="M298" s="141" t="s">
        <v>4342</v>
      </c>
      <c r="N298" s="141" t="s">
        <v>4343</v>
      </c>
      <c r="O298" s="199">
        <v>46160</v>
      </c>
      <c r="P298" s="133" t="s">
        <v>4361</v>
      </c>
      <c r="Q298" s="133" t="s">
        <v>4361</v>
      </c>
      <c r="R298" s="133" t="s">
        <v>4361</v>
      </c>
      <c r="S298" s="133" t="s">
        <v>4361</v>
      </c>
      <c r="T298" s="133" t="s">
        <v>4361</v>
      </c>
      <c r="U298" s="133" t="s">
        <v>4361</v>
      </c>
      <c r="V298" s="133" t="s">
        <v>4361</v>
      </c>
      <c r="W298" s="133" t="s">
        <v>4361</v>
      </c>
      <c r="X298" s="133" t="s">
        <v>4361</v>
      </c>
      <c r="Y298" s="133" t="s">
        <v>4361</v>
      </c>
      <c r="Z298" s="133" t="s">
        <v>4361</v>
      </c>
      <c r="AA298" s="141"/>
      <c r="AB298" s="144" t="s">
        <v>5396</v>
      </c>
      <c r="AC298" s="144" t="s">
        <v>5397</v>
      </c>
      <c r="AD298" s="144" t="s">
        <v>5398</v>
      </c>
      <c r="AE298" s="141" t="s">
        <v>4341</v>
      </c>
      <c r="AF298" s="141" t="s">
        <v>4534</v>
      </c>
      <c r="AG298" s="204">
        <v>38497.99</v>
      </c>
      <c r="AH298" s="204">
        <v>60000</v>
      </c>
      <c r="AI298" s="141" t="s">
        <v>4344</v>
      </c>
      <c r="AJ298" s="144" t="s">
        <v>4616</v>
      </c>
      <c r="AK298" s="141">
        <v>146392994</v>
      </c>
      <c r="AL298" s="141" t="s">
        <v>4442</v>
      </c>
      <c r="AM298" s="141" t="s">
        <v>4442</v>
      </c>
      <c r="AN298" s="141" t="s">
        <v>4442</v>
      </c>
      <c r="AO298" s="141"/>
      <c r="AP298" s="132" t="s">
        <v>5399</v>
      </c>
      <c r="AQ298" s="141" t="s">
        <v>4442</v>
      </c>
      <c r="AR298" s="141" t="s">
        <v>4442</v>
      </c>
      <c r="AS298" s="141" t="s">
        <v>4442</v>
      </c>
      <c r="AT298" s="141" t="s">
        <v>4442</v>
      </c>
      <c r="AU298" s="199">
        <v>46254</v>
      </c>
      <c r="AV298" s="137" t="s">
        <v>5050</v>
      </c>
      <c r="AW298" s="137"/>
      <c r="AX298" s="137"/>
      <c r="AY298" s="137"/>
      <c r="AZ298" s="137"/>
      <c r="BA298" s="137" t="s">
        <v>4339</v>
      </c>
      <c r="BB298" s="141"/>
      <c r="BC298" s="197" t="str">
        <f t="shared" si="15"/>
        <v/>
      </c>
      <c r="BD298" s="131" t="str">
        <f t="shared" si="16"/>
        <v>INDENIZAÇÃO</v>
      </c>
      <c r="BE298" s="131" t="str">
        <f t="shared" si="17"/>
        <v>NÃO</v>
      </c>
      <c r="BF298" s="141"/>
      <c r="BG298" s="199"/>
      <c r="BH298" s="199"/>
      <c r="BI298" s="141"/>
      <c r="BJ298" s="141"/>
      <c r="BK298" s="141"/>
      <c r="BL298" s="141"/>
      <c r="BM298" s="141"/>
      <c r="BN298" s="182"/>
      <c r="BO298" s="141"/>
      <c r="BP298" s="141"/>
      <c r="BQ298" s="141"/>
      <c r="BR298" s="141"/>
      <c r="BS298" s="141"/>
      <c r="BT298" s="141"/>
      <c r="BU298" s="141"/>
      <c r="BV298" s="141"/>
      <c r="BW298" s="141"/>
      <c r="BX298" s="141"/>
      <c r="BY298" s="141"/>
      <c r="BZ298" s="141"/>
      <c r="CA298" s="141"/>
      <c r="CB298" s="141"/>
      <c r="CC298" s="141"/>
      <c r="CD298" s="141"/>
      <c r="CE298" s="141"/>
      <c r="CF298" s="141"/>
      <c r="CG298" s="141"/>
      <c r="CH298" s="141"/>
      <c r="CI298" s="182"/>
      <c r="CJ298" s="141"/>
      <c r="CK298" s="141"/>
      <c r="CL298" s="141"/>
      <c r="CM298" s="141"/>
    </row>
    <row r="299" spans="1:91" ht="30" hidden="1" customHeight="1">
      <c r="A299" s="131">
        <v>285</v>
      </c>
      <c r="B299" s="131" t="s">
        <v>4432</v>
      </c>
      <c r="C299" s="131">
        <v>1</v>
      </c>
      <c r="D299" s="131" t="s">
        <v>4433</v>
      </c>
      <c r="E299" s="131" t="s">
        <v>4433</v>
      </c>
      <c r="F299" s="212" t="s">
        <v>5400</v>
      </c>
      <c r="G299" s="141"/>
      <c r="H299" s="141"/>
      <c r="I299" s="141"/>
      <c r="J299" s="144" t="s">
        <v>5401</v>
      </c>
      <c r="K299" s="144"/>
      <c r="L299" s="144" t="s">
        <v>5402</v>
      </c>
      <c r="M299" s="141"/>
      <c r="N299" s="141"/>
      <c r="O299" s="199"/>
      <c r="P299" s="136"/>
      <c r="Q299" s="136"/>
      <c r="R299" s="136"/>
      <c r="S299" s="136"/>
      <c r="T299" s="136"/>
      <c r="U299" s="136"/>
      <c r="V299" s="136"/>
      <c r="W299" s="136"/>
      <c r="X299" s="136"/>
      <c r="Y299" s="136"/>
      <c r="Z299" s="136"/>
      <c r="AA299" s="141"/>
      <c r="AB299" s="144"/>
      <c r="AC299" s="144"/>
      <c r="AD299" s="144"/>
      <c r="AE299" s="141"/>
      <c r="AF299" s="141"/>
      <c r="AH299" s="204"/>
      <c r="AI299" s="141"/>
      <c r="AJ299" s="141"/>
      <c r="AK299" s="141"/>
      <c r="AL299" s="141"/>
      <c r="AM299" s="141"/>
      <c r="AN299" s="141"/>
      <c r="AO299" s="141"/>
      <c r="AP299" s="132"/>
      <c r="AQ299" s="141"/>
      <c r="AR299" s="141"/>
      <c r="AS299" s="141"/>
      <c r="AT299" s="141"/>
      <c r="AU299" s="136"/>
      <c r="AV299" s="141"/>
      <c r="AW299" s="141"/>
      <c r="AX299" s="141"/>
      <c r="AY299" s="136"/>
      <c r="AZ299" s="141"/>
      <c r="BA299" s="141"/>
      <c r="BB299" s="141"/>
      <c r="BC299" s="197" t="str">
        <f t="shared" si="15"/>
        <v/>
      </c>
      <c r="BD299" s="131" t="str">
        <f t="shared" si="16"/>
        <v>INDENIZAÇÃO</v>
      </c>
      <c r="BE299" s="131" t="str">
        <f t="shared" si="17"/>
        <v>NÃO</v>
      </c>
      <c r="BF299" s="141"/>
      <c r="BG299" s="199"/>
      <c r="BH299" s="199"/>
      <c r="BI299" s="141"/>
      <c r="BJ299" s="141"/>
      <c r="BK299" s="141"/>
      <c r="BL299" s="141"/>
      <c r="BM299" s="141"/>
      <c r="BN299" s="182"/>
      <c r="BO299" s="141"/>
      <c r="BP299" s="141"/>
      <c r="BQ299" s="141"/>
      <c r="BR299" s="141"/>
      <c r="BS299" s="141"/>
      <c r="BT299" s="141"/>
      <c r="BU299" s="141"/>
      <c r="BV299" s="141"/>
      <c r="BW299" s="141"/>
      <c r="BX299" s="141"/>
      <c r="BY299" s="141"/>
      <c r="BZ299" s="141"/>
      <c r="CA299" s="141"/>
      <c r="CB299" s="141"/>
      <c r="CC299" s="141"/>
      <c r="CD299" s="141"/>
      <c r="CE299" s="141"/>
      <c r="CF299" s="141"/>
      <c r="CG299" s="141"/>
      <c r="CH299" s="141"/>
      <c r="CI299" s="182"/>
      <c r="CJ299" s="141"/>
      <c r="CK299" s="141"/>
      <c r="CL299" s="141"/>
      <c r="CM299" s="141"/>
    </row>
    <row r="300" spans="1:91" ht="30" hidden="1" customHeight="1">
      <c r="A300" s="131">
        <v>286</v>
      </c>
      <c r="B300" s="131" t="s">
        <v>4432</v>
      </c>
      <c r="C300" s="131">
        <v>1</v>
      </c>
      <c r="D300" s="131" t="s">
        <v>4433</v>
      </c>
      <c r="E300" s="131" t="s">
        <v>4433</v>
      </c>
      <c r="F300" s="212" t="s">
        <v>5403</v>
      </c>
      <c r="G300" s="141" t="s">
        <v>4339</v>
      </c>
      <c r="H300" s="141" t="s">
        <v>4340</v>
      </c>
      <c r="I300" s="141" t="s">
        <v>4350</v>
      </c>
      <c r="J300" s="144" t="s">
        <v>5404</v>
      </c>
      <c r="K300" s="144" t="s">
        <v>5405</v>
      </c>
      <c r="L300" s="144" t="s">
        <v>5406</v>
      </c>
      <c r="M300" s="141" t="s">
        <v>4342</v>
      </c>
      <c r="N300" s="141" t="s">
        <v>4343</v>
      </c>
      <c r="O300" s="199"/>
      <c r="P300" s="136"/>
      <c r="Q300" s="136"/>
      <c r="R300" s="136"/>
      <c r="S300" s="136"/>
      <c r="T300" s="136"/>
      <c r="U300" s="136"/>
      <c r="V300" s="136"/>
      <c r="W300" s="136"/>
      <c r="X300" s="136"/>
      <c r="Y300" s="136"/>
      <c r="Z300" s="136"/>
      <c r="AA300" s="141"/>
      <c r="AB300" s="144" t="s">
        <v>5404</v>
      </c>
      <c r="AC300" s="144" t="s">
        <v>5405</v>
      </c>
      <c r="AD300" s="144" t="s">
        <v>5406</v>
      </c>
      <c r="AE300" s="141" t="s">
        <v>5407</v>
      </c>
      <c r="AF300" s="141" t="s">
        <v>4534</v>
      </c>
      <c r="AG300" s="204">
        <v>36857.74</v>
      </c>
      <c r="AH300" s="204">
        <v>60000</v>
      </c>
      <c r="AI300" s="141" t="s">
        <v>4344</v>
      </c>
      <c r="AJ300" s="141"/>
      <c r="AK300" s="141"/>
      <c r="AL300" s="141"/>
      <c r="AM300" s="141"/>
      <c r="AN300" s="141"/>
      <c r="AO300" s="141"/>
      <c r="AP300" s="132"/>
      <c r="AQ300" s="141"/>
      <c r="AR300" s="141"/>
      <c r="AS300" s="141"/>
      <c r="AT300" s="141"/>
      <c r="AU300" s="136"/>
      <c r="AV300" s="141"/>
      <c r="AW300" s="141"/>
      <c r="AX300" s="141"/>
      <c r="AY300" s="136"/>
      <c r="AZ300" s="141"/>
      <c r="BA300" s="141"/>
      <c r="BB300" s="141"/>
      <c r="BC300" s="197" t="str">
        <f t="shared" si="15"/>
        <v/>
      </c>
      <c r="BD300" s="131" t="str">
        <f t="shared" si="16"/>
        <v>INDENIZAÇÃO</v>
      </c>
      <c r="BE300" s="131" t="str">
        <f t="shared" si="17"/>
        <v>NÃO</v>
      </c>
      <c r="BF300" s="141"/>
      <c r="BG300" s="199"/>
      <c r="BH300" s="199"/>
      <c r="BI300" s="141"/>
      <c r="BJ300" s="141"/>
      <c r="BK300" s="141"/>
      <c r="BL300" s="141"/>
      <c r="BM300" s="141"/>
      <c r="BN300" s="182"/>
      <c r="BO300" s="141"/>
      <c r="BP300" s="141"/>
      <c r="BQ300" s="141"/>
      <c r="BR300" s="141"/>
      <c r="BS300" s="141"/>
      <c r="BT300" s="141"/>
      <c r="BU300" s="141"/>
      <c r="BV300" s="141"/>
      <c r="BW300" s="141"/>
      <c r="BX300" s="141"/>
      <c r="BY300" s="141"/>
      <c r="BZ300" s="141"/>
      <c r="CA300" s="141"/>
      <c r="CB300" s="141"/>
      <c r="CC300" s="141"/>
      <c r="CD300" s="141"/>
      <c r="CE300" s="141"/>
      <c r="CF300" s="141"/>
      <c r="CG300" s="141"/>
      <c r="CH300" s="141"/>
      <c r="CI300" s="182"/>
      <c r="CJ300" s="141"/>
      <c r="CK300" s="141"/>
      <c r="CL300" s="141"/>
      <c r="CM300" s="141"/>
    </row>
    <row r="301" spans="1:91" ht="30" hidden="1" customHeight="1">
      <c r="A301" s="131">
        <v>287</v>
      </c>
      <c r="B301" s="131" t="s">
        <v>4432</v>
      </c>
      <c r="C301" s="131">
        <v>1</v>
      </c>
      <c r="D301" s="131" t="s">
        <v>4433</v>
      </c>
      <c r="E301" s="131" t="s">
        <v>4433</v>
      </c>
      <c r="F301" s="212" t="s">
        <v>5408</v>
      </c>
      <c r="G301" s="141" t="s">
        <v>4348</v>
      </c>
      <c r="H301" s="141"/>
      <c r="I301" s="141"/>
      <c r="J301" s="144" t="s">
        <v>4628</v>
      </c>
      <c r="K301" s="144"/>
      <c r="L301" s="144" t="s">
        <v>4628</v>
      </c>
      <c r="M301" s="141"/>
      <c r="N301" s="141"/>
      <c r="O301" s="199"/>
      <c r="P301" s="136"/>
      <c r="Q301" s="136"/>
      <c r="R301" s="136"/>
      <c r="S301" s="136"/>
      <c r="T301" s="136"/>
      <c r="U301" s="136"/>
      <c r="V301" s="136"/>
      <c r="W301" s="136"/>
      <c r="X301" s="136"/>
      <c r="Y301" s="136"/>
      <c r="Z301" s="136"/>
      <c r="AA301" s="141"/>
      <c r="AB301" s="144"/>
      <c r="AC301" s="144"/>
      <c r="AD301" s="144"/>
      <c r="AE301" s="141"/>
      <c r="AF301" s="141"/>
      <c r="AG301" s="204"/>
      <c r="AH301" s="204"/>
      <c r="AI301" s="141"/>
      <c r="AJ301" s="141"/>
      <c r="AK301" s="141"/>
      <c r="AL301" s="141"/>
      <c r="AM301" s="141"/>
      <c r="AN301" s="141"/>
      <c r="AO301" s="141"/>
      <c r="AP301" s="132"/>
      <c r="AQ301" s="141"/>
      <c r="AR301" s="141"/>
      <c r="AS301" s="141"/>
      <c r="AT301" s="141"/>
      <c r="AU301" s="136"/>
      <c r="AV301" s="141"/>
      <c r="AW301" s="141"/>
      <c r="AX301" s="141"/>
      <c r="AY301" s="136"/>
      <c r="AZ301" s="141"/>
      <c r="BA301" s="141"/>
      <c r="BB301" s="141"/>
      <c r="BC301" s="197" t="str">
        <f t="shared" si="15"/>
        <v/>
      </c>
      <c r="BD301" s="131" t="str">
        <f t="shared" si="16"/>
        <v>INDENIZAÇÃO</v>
      </c>
      <c r="BE301" s="131" t="str">
        <f t="shared" si="17"/>
        <v>NÃO</v>
      </c>
      <c r="BF301" s="141"/>
      <c r="BG301" s="199"/>
      <c r="BH301" s="199"/>
      <c r="BI301" s="141"/>
      <c r="BJ301" s="141"/>
      <c r="BK301" s="141"/>
      <c r="BL301" s="141"/>
      <c r="BM301" s="141"/>
      <c r="BN301" s="182"/>
      <c r="BO301" s="141"/>
      <c r="BP301" s="141"/>
      <c r="BQ301" s="141"/>
      <c r="BR301" s="141"/>
      <c r="BS301" s="141"/>
      <c r="BT301" s="141"/>
      <c r="BU301" s="141"/>
      <c r="BV301" s="141"/>
      <c r="BW301" s="141"/>
      <c r="BX301" s="141"/>
      <c r="BY301" s="141"/>
      <c r="BZ301" s="141"/>
      <c r="CA301" s="141"/>
      <c r="CB301" s="141"/>
      <c r="CC301" s="141"/>
      <c r="CD301" s="141"/>
      <c r="CE301" s="141"/>
      <c r="CF301" s="141"/>
      <c r="CG301" s="141"/>
      <c r="CH301" s="141"/>
      <c r="CI301" s="182"/>
      <c r="CJ301" s="141"/>
      <c r="CK301" s="141"/>
      <c r="CL301" s="141"/>
      <c r="CM301" s="141"/>
    </row>
    <row r="302" spans="1:91" ht="30" hidden="1" customHeight="1">
      <c r="A302" s="131">
        <v>288</v>
      </c>
      <c r="B302" s="131" t="s">
        <v>4432</v>
      </c>
      <c r="C302" s="131">
        <v>1</v>
      </c>
      <c r="D302" s="131" t="s">
        <v>4433</v>
      </c>
      <c r="E302" s="131" t="s">
        <v>4433</v>
      </c>
      <c r="F302" s="212" t="s">
        <v>5409</v>
      </c>
      <c r="G302" s="141" t="s">
        <v>4339</v>
      </c>
      <c r="H302" s="141" t="s">
        <v>4340</v>
      </c>
      <c r="I302" s="141" t="s">
        <v>4350</v>
      </c>
      <c r="J302" s="144" t="s">
        <v>5410</v>
      </c>
      <c r="K302" s="144" t="s">
        <v>5411</v>
      </c>
      <c r="L302" s="144" t="s">
        <v>5412</v>
      </c>
      <c r="M302" s="141" t="s">
        <v>4342</v>
      </c>
      <c r="N302" s="141" t="s">
        <v>4343</v>
      </c>
      <c r="O302" s="199">
        <v>46076</v>
      </c>
      <c r="P302" s="136" t="s">
        <v>4361</v>
      </c>
      <c r="Q302" s="136" t="s">
        <v>4361</v>
      </c>
      <c r="R302" s="136" t="s">
        <v>4361</v>
      </c>
      <c r="S302" s="136" t="s">
        <v>4361</v>
      </c>
      <c r="T302" s="136" t="s">
        <v>4361</v>
      </c>
      <c r="U302" s="136" t="s">
        <v>4361</v>
      </c>
      <c r="V302" s="136" t="s">
        <v>4361</v>
      </c>
      <c r="W302" s="136" t="s">
        <v>4361</v>
      </c>
      <c r="X302" s="136" t="s">
        <v>4361</v>
      </c>
      <c r="Y302" s="136" t="s">
        <v>4361</v>
      </c>
      <c r="Z302" s="136" t="s">
        <v>4361</v>
      </c>
      <c r="AA302" s="141"/>
      <c r="AB302" s="144" t="s">
        <v>5410</v>
      </c>
      <c r="AC302" s="144" t="s">
        <v>5411</v>
      </c>
      <c r="AD302" s="144" t="s">
        <v>5412</v>
      </c>
      <c r="AE302" s="141" t="s">
        <v>5407</v>
      </c>
      <c r="AF302" s="141" t="s">
        <v>4534</v>
      </c>
      <c r="AG302" s="204">
        <v>26269.95</v>
      </c>
      <c r="AH302" s="204">
        <v>56269.95</v>
      </c>
      <c r="AI302" s="141" t="s">
        <v>4344</v>
      </c>
      <c r="AJ302" s="144" t="s">
        <v>4616</v>
      </c>
      <c r="AK302" s="141">
        <v>146393090</v>
      </c>
      <c r="AL302" s="131" t="s">
        <v>4442</v>
      </c>
      <c r="AM302" s="131" t="s">
        <v>4442</v>
      </c>
      <c r="AN302" s="141" t="s">
        <v>4443</v>
      </c>
      <c r="AO302" s="141"/>
      <c r="AP302" s="132" t="s">
        <v>5413</v>
      </c>
      <c r="AQ302" s="141" t="s">
        <v>4442</v>
      </c>
      <c r="AR302" s="141" t="s">
        <v>4442</v>
      </c>
      <c r="AS302" s="141" t="s">
        <v>4442</v>
      </c>
      <c r="AT302" s="141" t="s">
        <v>4442</v>
      </c>
      <c r="AU302" s="199">
        <v>46191</v>
      </c>
      <c r="AV302" s="141" t="s">
        <v>4442</v>
      </c>
      <c r="AW302" s="141" t="s">
        <v>4442</v>
      </c>
      <c r="AX302" s="199">
        <v>46199</v>
      </c>
      <c r="AY302" s="220">
        <v>46199</v>
      </c>
      <c r="AZ302" s="137" t="s">
        <v>4370</v>
      </c>
      <c r="BA302" s="137" t="s">
        <v>4339</v>
      </c>
      <c r="BB302" s="141" t="s">
        <v>4442</v>
      </c>
      <c r="BC302" s="197">
        <f t="shared" si="15"/>
        <v>123</v>
      </c>
      <c r="BD302" s="131" t="str">
        <f t="shared" si="16"/>
        <v>INDENIZAÇÃO</v>
      </c>
      <c r="BE302" s="131" t="str">
        <f t="shared" si="17"/>
        <v>NÃO</v>
      </c>
      <c r="BF302" s="131" t="s">
        <v>4361</v>
      </c>
      <c r="BG302" s="131" t="s">
        <v>4361</v>
      </c>
      <c r="BH302" s="131" t="s">
        <v>4361</v>
      </c>
      <c r="BI302" s="137" t="s">
        <v>4446</v>
      </c>
      <c r="BJ302" s="137"/>
      <c r="BK302" s="255"/>
      <c r="BL302" s="137"/>
      <c r="BM302" s="137"/>
      <c r="BN302" s="182"/>
      <c r="BO302" s="141"/>
      <c r="BP302" s="141"/>
      <c r="BQ302" s="141"/>
      <c r="BR302" s="141"/>
      <c r="BS302" s="141"/>
      <c r="BT302" s="141"/>
      <c r="BU302" s="141"/>
      <c r="BV302" s="141"/>
      <c r="BW302" s="141"/>
      <c r="BX302" s="141"/>
      <c r="BY302" s="141"/>
      <c r="BZ302" s="141"/>
      <c r="CA302" s="141"/>
      <c r="CB302" s="141"/>
      <c r="CC302" s="141"/>
      <c r="CD302" s="141"/>
      <c r="CE302" s="141"/>
      <c r="CF302" s="141"/>
      <c r="CG302" s="141"/>
      <c r="CH302" s="141"/>
      <c r="CI302" s="182"/>
      <c r="CJ302" s="141"/>
      <c r="CK302" s="141"/>
      <c r="CL302" s="141"/>
      <c r="CM302" s="141"/>
    </row>
    <row r="303" spans="1:91" ht="30" hidden="1" customHeight="1">
      <c r="A303" s="131">
        <v>289</v>
      </c>
      <c r="B303" s="131" t="s">
        <v>4432</v>
      </c>
      <c r="C303" s="131">
        <v>1</v>
      </c>
      <c r="D303" s="131" t="s">
        <v>4433</v>
      </c>
      <c r="E303" s="131" t="s">
        <v>4433</v>
      </c>
      <c r="F303" s="212" t="s">
        <v>5414</v>
      </c>
      <c r="G303" s="141" t="s">
        <v>4339</v>
      </c>
      <c r="H303" s="141" t="s">
        <v>4340</v>
      </c>
      <c r="I303" s="141" t="s">
        <v>5407</v>
      </c>
      <c r="J303" s="144" t="s">
        <v>5415</v>
      </c>
      <c r="K303" s="144" t="s">
        <v>5416</v>
      </c>
      <c r="L303" s="144" t="s">
        <v>5417</v>
      </c>
      <c r="M303" s="141" t="s">
        <v>4342</v>
      </c>
      <c r="N303" s="141" t="s">
        <v>4343</v>
      </c>
      <c r="O303" s="199">
        <v>46076</v>
      </c>
      <c r="P303" s="136" t="s">
        <v>4361</v>
      </c>
      <c r="Q303" s="136" t="s">
        <v>4361</v>
      </c>
      <c r="R303" s="136" t="s">
        <v>4361</v>
      </c>
      <c r="S303" s="136" t="s">
        <v>4361</v>
      </c>
      <c r="T303" s="136" t="s">
        <v>4361</v>
      </c>
      <c r="U303" s="136" t="s">
        <v>4361</v>
      </c>
      <c r="V303" s="136" t="s">
        <v>4361</v>
      </c>
      <c r="W303" s="136" t="s">
        <v>4361</v>
      </c>
      <c r="X303" s="136" t="s">
        <v>4361</v>
      </c>
      <c r="Y303" s="136" t="s">
        <v>4361</v>
      </c>
      <c r="Z303" s="136" t="s">
        <v>4361</v>
      </c>
      <c r="AA303" s="141"/>
      <c r="AB303" s="144" t="s">
        <v>5415</v>
      </c>
      <c r="AC303" s="144" t="s">
        <v>5416</v>
      </c>
      <c r="AD303" s="144" t="s">
        <v>5417</v>
      </c>
      <c r="AE303" s="141" t="s">
        <v>5407</v>
      </c>
      <c r="AF303" s="141" t="s">
        <v>4534</v>
      </c>
      <c r="AG303" s="204">
        <v>32198.5</v>
      </c>
      <c r="AH303" s="204">
        <v>60000</v>
      </c>
      <c r="AI303" s="141" t="s">
        <v>4344</v>
      </c>
      <c r="AJ303" s="144" t="s">
        <v>4616</v>
      </c>
      <c r="AK303" s="141">
        <v>146393175</v>
      </c>
      <c r="AL303" s="131" t="s">
        <v>4442</v>
      </c>
      <c r="AM303" s="141" t="s">
        <v>4442</v>
      </c>
      <c r="AN303" s="141" t="s">
        <v>4443</v>
      </c>
      <c r="AO303" s="141"/>
      <c r="AP303" s="132" t="s">
        <v>5418</v>
      </c>
      <c r="AQ303" s="141" t="s">
        <v>4442</v>
      </c>
      <c r="AR303" s="141" t="s">
        <v>4442</v>
      </c>
      <c r="AS303" s="141" t="s">
        <v>4442</v>
      </c>
      <c r="AT303" s="141" t="s">
        <v>4442</v>
      </c>
      <c r="AU303" s="199">
        <v>46191</v>
      </c>
      <c r="AV303" s="141" t="s">
        <v>4442</v>
      </c>
      <c r="AW303" s="141" t="s">
        <v>4442</v>
      </c>
      <c r="AX303" s="199">
        <v>46199</v>
      </c>
      <c r="AY303" s="220">
        <v>46199</v>
      </c>
      <c r="AZ303" s="137" t="s">
        <v>4370</v>
      </c>
      <c r="BA303" s="137" t="s">
        <v>4339</v>
      </c>
      <c r="BB303" s="141" t="s">
        <v>4442</v>
      </c>
      <c r="BC303" s="197">
        <f t="shared" si="15"/>
        <v>123</v>
      </c>
      <c r="BD303" s="131" t="str">
        <f t="shared" si="16"/>
        <v>INDENIZAÇÃO</v>
      </c>
      <c r="BE303" s="131" t="str">
        <f t="shared" si="17"/>
        <v>NÃO</v>
      </c>
      <c r="BF303" s="131" t="s">
        <v>4361</v>
      </c>
      <c r="BG303" s="131" t="s">
        <v>4361</v>
      </c>
      <c r="BH303" s="131" t="s">
        <v>4361</v>
      </c>
      <c r="BI303" s="137" t="s">
        <v>4446</v>
      </c>
      <c r="BJ303" s="137"/>
      <c r="BK303" s="255"/>
      <c r="BL303" s="137"/>
      <c r="BM303" s="137"/>
      <c r="BN303" s="182"/>
      <c r="BO303" s="141"/>
      <c r="BP303" s="141"/>
      <c r="BQ303" s="141"/>
      <c r="BR303" s="141"/>
      <c r="BS303" s="141"/>
      <c r="BT303" s="141"/>
      <c r="BU303" s="141"/>
      <c r="BV303" s="141"/>
      <c r="BW303" s="141"/>
      <c r="BX303" s="141"/>
      <c r="BY303" s="141"/>
      <c r="BZ303" s="141"/>
      <c r="CA303" s="141"/>
      <c r="CB303" s="141"/>
      <c r="CC303" s="141"/>
      <c r="CD303" s="141"/>
      <c r="CE303" s="141"/>
      <c r="CF303" s="141"/>
      <c r="CG303" s="141"/>
      <c r="CH303" s="141"/>
      <c r="CI303" s="182"/>
      <c r="CJ303" s="141"/>
      <c r="CK303" s="141"/>
      <c r="CL303" s="141"/>
      <c r="CM303" s="141"/>
    </row>
    <row r="304" spans="1:91" ht="30" hidden="1" customHeight="1">
      <c r="A304" s="131">
        <v>290</v>
      </c>
      <c r="B304" s="131" t="s">
        <v>4432</v>
      </c>
      <c r="C304" s="131">
        <v>1</v>
      </c>
      <c r="D304" s="131" t="s">
        <v>4433</v>
      </c>
      <c r="E304" s="131" t="s">
        <v>4433</v>
      </c>
      <c r="F304" s="212" t="s">
        <v>5419</v>
      </c>
      <c r="G304" s="141" t="s">
        <v>4339</v>
      </c>
      <c r="H304" s="141" t="s">
        <v>4340</v>
      </c>
      <c r="I304" s="141" t="s">
        <v>5407</v>
      </c>
      <c r="J304" s="144" t="s">
        <v>5420</v>
      </c>
      <c r="K304" s="144" t="s">
        <v>5421</v>
      </c>
      <c r="L304" s="144" t="s">
        <v>5422</v>
      </c>
      <c r="M304" s="141" t="s">
        <v>4534</v>
      </c>
      <c r="N304" s="141" t="s">
        <v>4343</v>
      </c>
      <c r="O304" s="199">
        <v>46076</v>
      </c>
      <c r="P304" s="136" t="s">
        <v>4361</v>
      </c>
      <c r="Q304" s="136" t="s">
        <v>4361</v>
      </c>
      <c r="R304" s="136" t="s">
        <v>4361</v>
      </c>
      <c r="S304" s="136" t="s">
        <v>4361</v>
      </c>
      <c r="T304" s="136" t="s">
        <v>4361</v>
      </c>
      <c r="U304" s="136" t="s">
        <v>4361</v>
      </c>
      <c r="V304" s="136" t="s">
        <v>4361</v>
      </c>
      <c r="W304" s="136" t="s">
        <v>4361</v>
      </c>
      <c r="X304" s="136" t="s">
        <v>4361</v>
      </c>
      <c r="Y304" s="136" t="s">
        <v>4361</v>
      </c>
      <c r="Z304" s="136" t="s">
        <v>4361</v>
      </c>
      <c r="AA304" s="141"/>
      <c r="AB304" s="144" t="s">
        <v>5420</v>
      </c>
      <c r="AC304" s="144" t="s">
        <v>5421</v>
      </c>
      <c r="AD304" s="144" t="s">
        <v>5422</v>
      </c>
      <c r="AE304" s="141" t="s">
        <v>5407</v>
      </c>
      <c r="AF304" s="141" t="s">
        <v>4534</v>
      </c>
      <c r="AG304" s="204">
        <v>35165.33</v>
      </c>
      <c r="AH304" s="204">
        <v>60000</v>
      </c>
      <c r="AI304" s="141" t="s">
        <v>4344</v>
      </c>
      <c r="AJ304" s="144" t="s">
        <v>4616</v>
      </c>
      <c r="AK304" s="141">
        <v>146393291</v>
      </c>
      <c r="AL304" s="131" t="s">
        <v>4442</v>
      </c>
      <c r="AM304" s="131" t="s">
        <v>4442</v>
      </c>
      <c r="AN304" s="141" t="s">
        <v>4443</v>
      </c>
      <c r="AO304" s="141"/>
      <c r="AP304" s="132" t="s">
        <v>5423</v>
      </c>
      <c r="AQ304" s="141" t="s">
        <v>4442</v>
      </c>
      <c r="AR304" s="141" t="s">
        <v>4442</v>
      </c>
      <c r="AS304" s="141" t="s">
        <v>4442</v>
      </c>
      <c r="AT304" s="141" t="s">
        <v>4442</v>
      </c>
      <c r="AU304" s="199">
        <v>46191</v>
      </c>
      <c r="AV304" s="141" t="s">
        <v>4442</v>
      </c>
      <c r="AW304" s="141" t="s">
        <v>4442</v>
      </c>
      <c r="AX304" s="199">
        <v>46199</v>
      </c>
      <c r="AY304" s="220">
        <v>46199</v>
      </c>
      <c r="AZ304" s="137" t="s">
        <v>4370</v>
      </c>
      <c r="BA304" s="137" t="s">
        <v>4339</v>
      </c>
      <c r="BB304" s="141" t="s">
        <v>4442</v>
      </c>
      <c r="BC304" s="197">
        <f t="shared" si="15"/>
        <v>123</v>
      </c>
      <c r="BD304" s="131" t="str">
        <f t="shared" si="16"/>
        <v>INDENIZAÇÃO</v>
      </c>
      <c r="BE304" s="131" t="str">
        <f t="shared" si="17"/>
        <v>NÃO</v>
      </c>
      <c r="BF304" s="131" t="s">
        <v>4361</v>
      </c>
      <c r="BG304" s="131" t="s">
        <v>4361</v>
      </c>
      <c r="BH304" s="131" t="s">
        <v>4361</v>
      </c>
      <c r="BI304" s="137" t="s">
        <v>4446</v>
      </c>
      <c r="BJ304" s="137"/>
      <c r="BK304" s="255"/>
      <c r="BL304" s="137"/>
      <c r="BM304" s="137"/>
      <c r="BN304" s="182"/>
      <c r="BO304" s="141"/>
      <c r="BP304" s="141"/>
      <c r="BQ304" s="141"/>
      <c r="BR304" s="141"/>
      <c r="BS304" s="141"/>
      <c r="BT304" s="141"/>
      <c r="BU304" s="141"/>
      <c r="BV304" s="141"/>
      <c r="BW304" s="141"/>
      <c r="BX304" s="141"/>
      <c r="BY304" s="141"/>
      <c r="BZ304" s="141"/>
      <c r="CA304" s="141"/>
      <c r="CB304" s="141"/>
      <c r="CC304" s="141"/>
      <c r="CD304" s="141"/>
      <c r="CE304" s="141"/>
      <c r="CF304" s="141"/>
      <c r="CG304" s="141"/>
      <c r="CH304" s="141"/>
      <c r="CI304" s="182"/>
      <c r="CJ304" s="141"/>
      <c r="CK304" s="141"/>
      <c r="CL304" s="141"/>
      <c r="CM304" s="141"/>
    </row>
    <row r="305" spans="1:91" ht="30" hidden="1" customHeight="1">
      <c r="A305" s="131">
        <v>291</v>
      </c>
      <c r="B305" s="131" t="s">
        <v>4432</v>
      </c>
      <c r="C305" s="131">
        <v>1</v>
      </c>
      <c r="D305" s="131" t="s">
        <v>4433</v>
      </c>
      <c r="E305" s="131" t="s">
        <v>4433</v>
      </c>
      <c r="F305" s="212" t="s">
        <v>5424</v>
      </c>
      <c r="G305" s="141" t="s">
        <v>4339</v>
      </c>
      <c r="H305" s="141" t="s">
        <v>4349</v>
      </c>
      <c r="I305" s="141"/>
      <c r="J305" s="144" t="s">
        <v>5425</v>
      </c>
      <c r="K305" s="144"/>
      <c r="L305" s="144" t="s">
        <v>5426</v>
      </c>
      <c r="M305" s="141"/>
      <c r="N305" s="141"/>
      <c r="O305" s="199"/>
      <c r="P305" s="136"/>
      <c r="Q305" s="136"/>
      <c r="R305" s="136"/>
      <c r="S305" s="136"/>
      <c r="T305" s="136"/>
      <c r="U305" s="136"/>
      <c r="V305" s="136"/>
      <c r="W305" s="136"/>
      <c r="X305" s="136"/>
      <c r="Y305" s="136"/>
      <c r="Z305" s="136"/>
      <c r="AA305" s="141"/>
      <c r="AB305" s="144"/>
      <c r="AC305" s="144"/>
      <c r="AD305" s="144"/>
      <c r="AE305" s="141"/>
      <c r="AF305" s="141"/>
      <c r="AG305" s="204"/>
      <c r="AH305" s="204"/>
      <c r="AI305" s="141"/>
      <c r="AJ305" s="141"/>
      <c r="AK305" s="141"/>
      <c r="AL305" s="141"/>
      <c r="AM305" s="141"/>
      <c r="AN305" s="141"/>
      <c r="AO305" s="141"/>
      <c r="AP305" s="144"/>
      <c r="AQ305" s="141"/>
      <c r="AR305" s="141"/>
      <c r="AS305" s="141"/>
      <c r="AT305" s="141"/>
      <c r="AU305" s="136"/>
      <c r="AV305" s="141"/>
      <c r="AW305" s="141"/>
      <c r="AX305" s="141"/>
      <c r="AY305" s="136"/>
      <c r="AZ305" s="141"/>
      <c r="BA305" s="141"/>
      <c r="BB305" s="141"/>
      <c r="BC305" s="197" t="str">
        <f t="shared" si="15"/>
        <v/>
      </c>
      <c r="BD305" s="131" t="str">
        <f t="shared" si="16"/>
        <v>INDENIZAÇÃO</v>
      </c>
      <c r="BE305" s="131" t="str">
        <f t="shared" si="17"/>
        <v>NÃO</v>
      </c>
      <c r="BF305" s="141"/>
      <c r="BG305" s="199"/>
      <c r="BH305" s="199"/>
      <c r="BI305" s="141"/>
      <c r="BJ305" s="141"/>
      <c r="BK305" s="141"/>
      <c r="BL305" s="141"/>
      <c r="BM305" s="141"/>
      <c r="BN305" s="182"/>
      <c r="BO305" s="141"/>
      <c r="BP305" s="141"/>
      <c r="BQ305" s="141"/>
      <c r="BR305" s="141"/>
      <c r="BS305" s="141"/>
      <c r="BT305" s="141"/>
      <c r="BU305" s="141"/>
      <c r="BV305" s="141"/>
      <c r="BW305" s="141"/>
      <c r="BX305" s="141"/>
      <c r="BY305" s="141"/>
      <c r="BZ305" s="141"/>
      <c r="CA305" s="141"/>
      <c r="CB305" s="141"/>
      <c r="CC305" s="141"/>
      <c r="CD305" s="141"/>
      <c r="CE305" s="141"/>
      <c r="CF305" s="141"/>
      <c r="CG305" s="141"/>
      <c r="CH305" s="141"/>
      <c r="CI305" s="182"/>
      <c r="CJ305" s="141"/>
      <c r="CK305" s="141"/>
      <c r="CL305" s="141"/>
      <c r="CM305" s="141"/>
    </row>
    <row r="306" spans="1:91" ht="30" hidden="1" customHeight="1">
      <c r="A306" s="131">
        <v>292</v>
      </c>
      <c r="B306" s="131" t="s">
        <v>4432</v>
      </c>
      <c r="C306" s="131">
        <v>1</v>
      </c>
      <c r="D306" s="131" t="s">
        <v>4433</v>
      </c>
      <c r="E306" s="131" t="s">
        <v>4433</v>
      </c>
      <c r="F306" s="212" t="s">
        <v>5427</v>
      </c>
      <c r="G306" s="141"/>
      <c r="H306" s="141"/>
      <c r="I306" s="141"/>
      <c r="J306" s="144" t="s">
        <v>4628</v>
      </c>
      <c r="K306" s="144"/>
      <c r="L306" s="144" t="s">
        <v>4628</v>
      </c>
      <c r="M306" s="141"/>
      <c r="N306" s="141"/>
      <c r="O306" s="199"/>
      <c r="P306" s="136"/>
      <c r="Q306" s="136"/>
      <c r="R306" s="136"/>
      <c r="S306" s="136"/>
      <c r="T306" s="136"/>
      <c r="U306" s="136"/>
      <c r="V306" s="136"/>
      <c r="W306" s="136"/>
      <c r="X306" s="136"/>
      <c r="Y306" s="136"/>
      <c r="Z306" s="136"/>
      <c r="AA306" s="141"/>
      <c r="AB306" s="144"/>
      <c r="AC306" s="144"/>
      <c r="AD306" s="144"/>
      <c r="AE306" s="141"/>
      <c r="AF306" s="141"/>
      <c r="AG306" s="204"/>
      <c r="AH306" s="204"/>
      <c r="AI306" s="141"/>
      <c r="AJ306" s="141"/>
      <c r="AK306" s="141"/>
      <c r="AL306" s="141"/>
      <c r="AM306" s="141"/>
      <c r="AN306" s="141"/>
      <c r="AO306" s="141"/>
      <c r="AP306" s="144"/>
      <c r="AQ306" s="141"/>
      <c r="AR306" s="141"/>
      <c r="AS306" s="141"/>
      <c r="AT306" s="141"/>
      <c r="AU306" s="136"/>
      <c r="AV306" s="141"/>
      <c r="AW306" s="141"/>
      <c r="AX306" s="141"/>
      <c r="AY306" s="136"/>
      <c r="AZ306" s="141"/>
      <c r="BA306" s="141"/>
      <c r="BB306" s="141"/>
      <c r="BC306" s="197" t="str">
        <f t="shared" si="15"/>
        <v/>
      </c>
      <c r="BD306" s="131" t="str">
        <f t="shared" si="16"/>
        <v>INDENIZAÇÃO</v>
      </c>
      <c r="BE306" s="131" t="str">
        <f t="shared" si="17"/>
        <v>NÃO</v>
      </c>
      <c r="BF306" s="141"/>
      <c r="BG306" s="199"/>
      <c r="BH306" s="199"/>
      <c r="BI306" s="141"/>
      <c r="BJ306" s="141"/>
      <c r="BK306" s="141"/>
      <c r="BL306" s="141"/>
      <c r="BM306" s="141"/>
      <c r="BN306" s="182"/>
      <c r="BO306" s="141"/>
      <c r="BP306" s="141"/>
      <c r="BQ306" s="141"/>
      <c r="BR306" s="141"/>
      <c r="BS306" s="141"/>
      <c r="BT306" s="141"/>
      <c r="BU306" s="141"/>
      <c r="BV306" s="141"/>
      <c r="BW306" s="141"/>
      <c r="BX306" s="141"/>
      <c r="BY306" s="141"/>
      <c r="BZ306" s="141"/>
      <c r="CA306" s="141"/>
      <c r="CB306" s="141"/>
      <c r="CC306" s="141"/>
      <c r="CD306" s="141"/>
      <c r="CE306" s="141"/>
      <c r="CF306" s="141"/>
      <c r="CG306" s="141"/>
      <c r="CH306" s="141"/>
      <c r="CI306" s="182"/>
      <c r="CJ306" s="141"/>
      <c r="CK306" s="141"/>
      <c r="CL306" s="141"/>
      <c r="CM306" s="141"/>
    </row>
    <row r="307" spans="1:91" ht="30" hidden="1" customHeight="1">
      <c r="A307" s="131">
        <v>293</v>
      </c>
      <c r="B307" s="131" t="s">
        <v>4432</v>
      </c>
      <c r="C307" s="131">
        <v>1</v>
      </c>
      <c r="D307" s="131" t="s">
        <v>4433</v>
      </c>
      <c r="E307" s="131" t="s">
        <v>4433</v>
      </c>
      <c r="F307" s="212" t="s">
        <v>5428</v>
      </c>
      <c r="G307" s="141"/>
      <c r="H307" s="141"/>
      <c r="I307" s="141"/>
      <c r="J307" s="144" t="s">
        <v>5429</v>
      </c>
      <c r="K307" s="144"/>
      <c r="L307" s="144" t="s">
        <v>5430</v>
      </c>
      <c r="M307" s="141"/>
      <c r="N307" s="141"/>
      <c r="O307" s="199"/>
      <c r="P307" s="136"/>
      <c r="Q307" s="136"/>
      <c r="R307" s="136"/>
      <c r="S307" s="136"/>
      <c r="T307" s="136"/>
      <c r="U307" s="136"/>
      <c r="V307" s="136"/>
      <c r="W307" s="136"/>
      <c r="X307" s="136"/>
      <c r="Y307" s="136"/>
      <c r="Z307" s="136"/>
      <c r="AA307" s="141"/>
      <c r="AB307" s="144"/>
      <c r="AC307" s="144"/>
      <c r="AD307" s="144"/>
      <c r="AE307" s="141"/>
      <c r="AF307" s="141"/>
      <c r="AG307" s="204"/>
      <c r="AH307" s="204"/>
      <c r="AI307" s="141"/>
      <c r="AJ307" s="141"/>
      <c r="AK307" s="141"/>
      <c r="AL307" s="141"/>
      <c r="AM307" s="141"/>
      <c r="AN307" s="141"/>
      <c r="AO307" s="141"/>
      <c r="AP307" s="144"/>
      <c r="AQ307" s="141"/>
      <c r="AR307" s="141"/>
      <c r="AS307" s="141"/>
      <c r="AT307" s="141"/>
      <c r="AU307" s="136"/>
      <c r="AV307" s="141"/>
      <c r="AW307" s="141"/>
      <c r="AX307" s="141"/>
      <c r="AY307" s="136"/>
      <c r="AZ307" s="141"/>
      <c r="BA307" s="141"/>
      <c r="BB307" s="141"/>
      <c r="BC307" s="197" t="str">
        <f t="shared" si="15"/>
        <v/>
      </c>
      <c r="BD307" s="131" t="str">
        <f t="shared" si="16"/>
        <v>INDENIZAÇÃO</v>
      </c>
      <c r="BE307" s="131" t="str">
        <f t="shared" si="17"/>
        <v>NÃO</v>
      </c>
      <c r="BF307" s="141"/>
      <c r="BG307" s="199"/>
      <c r="BH307" s="199"/>
      <c r="BI307" s="141"/>
      <c r="BJ307" s="141"/>
      <c r="BK307" s="141"/>
      <c r="BL307" s="141"/>
      <c r="BM307" s="141"/>
      <c r="BN307" s="182"/>
      <c r="BO307" s="141"/>
      <c r="BP307" s="141"/>
      <c r="BQ307" s="141"/>
      <c r="BR307" s="141"/>
      <c r="BS307" s="141"/>
      <c r="BT307" s="141"/>
      <c r="BU307" s="141"/>
      <c r="BV307" s="141"/>
      <c r="BW307" s="141"/>
      <c r="BX307" s="141"/>
      <c r="BY307" s="141"/>
      <c r="BZ307" s="141"/>
      <c r="CA307" s="141"/>
      <c r="CB307" s="141"/>
      <c r="CC307" s="141"/>
      <c r="CD307" s="141"/>
      <c r="CE307" s="141"/>
      <c r="CF307" s="141"/>
      <c r="CG307" s="141"/>
      <c r="CH307" s="141"/>
      <c r="CI307" s="182"/>
      <c r="CJ307" s="141"/>
      <c r="CK307" s="141"/>
      <c r="CL307" s="141"/>
      <c r="CM307" s="141"/>
    </row>
    <row r="308" spans="1:91" ht="30" hidden="1" customHeight="1">
      <c r="A308" s="131">
        <v>294</v>
      </c>
      <c r="B308" s="131" t="s">
        <v>4432</v>
      </c>
      <c r="C308" s="131">
        <v>1</v>
      </c>
      <c r="D308" s="131" t="s">
        <v>4433</v>
      </c>
      <c r="E308" s="131" t="s">
        <v>4433</v>
      </c>
      <c r="F308" s="212" t="s">
        <v>5431</v>
      </c>
      <c r="G308" s="141" t="s">
        <v>4339</v>
      </c>
      <c r="H308" s="141" t="s">
        <v>4349</v>
      </c>
      <c r="I308" s="141"/>
      <c r="J308" s="144" t="s">
        <v>4628</v>
      </c>
      <c r="K308" s="144"/>
      <c r="L308" s="144" t="s">
        <v>4628</v>
      </c>
      <c r="M308" s="141"/>
      <c r="N308" s="141"/>
      <c r="O308" s="199"/>
      <c r="P308" s="136"/>
      <c r="Q308" s="136"/>
      <c r="R308" s="136"/>
      <c r="S308" s="136"/>
      <c r="T308" s="136"/>
      <c r="U308" s="136"/>
      <c r="V308" s="136"/>
      <c r="W308" s="136"/>
      <c r="X308" s="136"/>
      <c r="Y308" s="136"/>
      <c r="Z308" s="136"/>
      <c r="AA308" s="141"/>
      <c r="AB308" s="144"/>
      <c r="AC308" s="144"/>
      <c r="AD308" s="144"/>
      <c r="AE308" s="141"/>
      <c r="AF308" s="141"/>
      <c r="AG308" s="204"/>
      <c r="AH308" s="204"/>
      <c r="AI308" s="141"/>
      <c r="AJ308" s="141"/>
      <c r="AK308" s="141"/>
      <c r="AL308" s="141"/>
      <c r="AM308" s="141"/>
      <c r="AN308" s="141"/>
      <c r="AO308" s="141"/>
      <c r="AP308" s="144"/>
      <c r="AQ308" s="141"/>
      <c r="AR308" s="141"/>
      <c r="AS308" s="141"/>
      <c r="AT308" s="141"/>
      <c r="AU308" s="136"/>
      <c r="AV308" s="141"/>
      <c r="AW308" s="141"/>
      <c r="AX308" s="141"/>
      <c r="AY308" s="136"/>
      <c r="AZ308" s="141"/>
      <c r="BA308" s="141"/>
      <c r="BB308" s="141"/>
      <c r="BC308" s="197" t="str">
        <f t="shared" si="15"/>
        <v/>
      </c>
      <c r="BD308" s="131" t="str">
        <f t="shared" si="16"/>
        <v>INDENIZAÇÃO</v>
      </c>
      <c r="BE308" s="131" t="str">
        <f t="shared" si="17"/>
        <v>NÃO</v>
      </c>
      <c r="BF308" s="141"/>
      <c r="BG308" s="199"/>
      <c r="BH308" s="199"/>
      <c r="BI308" s="141"/>
      <c r="BJ308" s="141"/>
      <c r="BK308" s="141"/>
      <c r="BL308" s="141"/>
      <c r="BM308" s="141"/>
      <c r="BN308" s="182"/>
      <c r="BO308" s="141"/>
      <c r="BP308" s="141"/>
      <c r="BQ308" s="141"/>
      <c r="BR308" s="141"/>
      <c r="BS308" s="141"/>
      <c r="BT308" s="141"/>
      <c r="BU308" s="141"/>
      <c r="BV308" s="141"/>
      <c r="BW308" s="141"/>
      <c r="BX308" s="141"/>
      <c r="BY308" s="141"/>
      <c r="BZ308" s="141"/>
      <c r="CA308" s="141"/>
      <c r="CB308" s="141"/>
      <c r="CC308" s="141"/>
      <c r="CD308" s="141"/>
      <c r="CE308" s="141"/>
      <c r="CF308" s="141"/>
      <c r="CG308" s="141"/>
      <c r="CH308" s="141"/>
      <c r="CI308" s="182"/>
      <c r="CJ308" s="141"/>
      <c r="CK308" s="141"/>
      <c r="CL308" s="141"/>
      <c r="CM308" s="141"/>
    </row>
    <row r="309" spans="1:91" ht="30" hidden="1" customHeight="1">
      <c r="A309" s="131">
        <v>295</v>
      </c>
      <c r="B309" s="131" t="s">
        <v>4432</v>
      </c>
      <c r="C309" s="131">
        <v>1</v>
      </c>
      <c r="D309" s="131" t="s">
        <v>4433</v>
      </c>
      <c r="E309" s="131" t="s">
        <v>4433</v>
      </c>
      <c r="F309" s="212" t="s">
        <v>5432</v>
      </c>
      <c r="G309" s="141"/>
      <c r="H309" s="141"/>
      <c r="I309" s="141"/>
      <c r="J309" s="144" t="s">
        <v>5433</v>
      </c>
      <c r="K309" s="144"/>
      <c r="L309" s="144" t="s">
        <v>5434</v>
      </c>
      <c r="M309" s="141"/>
      <c r="N309" s="141"/>
      <c r="O309" s="199"/>
      <c r="P309" s="136"/>
      <c r="Q309" s="136"/>
      <c r="R309" s="136"/>
      <c r="S309" s="136"/>
      <c r="T309" s="136"/>
      <c r="U309" s="136"/>
      <c r="V309" s="136"/>
      <c r="W309" s="136"/>
      <c r="X309" s="136"/>
      <c r="Y309" s="136"/>
      <c r="Z309" s="136"/>
      <c r="AA309" s="141"/>
      <c r="AB309" s="144"/>
      <c r="AC309" s="144"/>
      <c r="AD309" s="144"/>
      <c r="AE309" s="141"/>
      <c r="AF309" s="141"/>
      <c r="AG309" s="204"/>
      <c r="AH309" s="204"/>
      <c r="AI309" s="141"/>
      <c r="AJ309" s="141"/>
      <c r="AK309" s="141"/>
      <c r="AL309" s="141"/>
      <c r="AM309" s="141"/>
      <c r="AN309" s="141"/>
      <c r="AO309" s="141"/>
      <c r="AP309" s="144"/>
      <c r="AQ309" s="141"/>
      <c r="AR309" s="141"/>
      <c r="AS309" s="141"/>
      <c r="AT309" s="141"/>
      <c r="AU309" s="136"/>
      <c r="AV309" s="141"/>
      <c r="AW309" s="141"/>
      <c r="AX309" s="141"/>
      <c r="AY309" s="136"/>
      <c r="AZ309" s="141"/>
      <c r="BA309" s="141"/>
      <c r="BB309" s="141"/>
      <c r="BC309" s="197" t="str">
        <f t="shared" si="15"/>
        <v/>
      </c>
      <c r="BD309" s="131" t="str">
        <f t="shared" si="16"/>
        <v>INDENIZAÇÃO</v>
      </c>
      <c r="BE309" s="131" t="str">
        <f t="shared" si="17"/>
        <v>NÃO</v>
      </c>
      <c r="BF309" s="141"/>
      <c r="BG309" s="199"/>
      <c r="BH309" s="199"/>
      <c r="BI309" s="141"/>
      <c r="BJ309" s="141"/>
      <c r="BK309" s="141"/>
      <c r="BL309" s="141"/>
      <c r="BM309" s="141"/>
      <c r="BN309" s="182"/>
      <c r="BO309" s="141"/>
      <c r="BP309" s="141"/>
      <c r="BQ309" s="141"/>
      <c r="BR309" s="141"/>
      <c r="BS309" s="141"/>
      <c r="BT309" s="141"/>
      <c r="BU309" s="141"/>
      <c r="BV309" s="141"/>
      <c r="BW309" s="141"/>
      <c r="BX309" s="141"/>
      <c r="BY309" s="141"/>
      <c r="BZ309" s="141"/>
      <c r="CA309" s="141"/>
      <c r="CB309" s="141"/>
      <c r="CC309" s="141"/>
      <c r="CD309" s="141"/>
      <c r="CE309" s="141"/>
      <c r="CF309" s="141"/>
      <c r="CG309" s="141"/>
      <c r="CH309" s="141"/>
      <c r="CI309" s="182"/>
      <c r="CJ309" s="141"/>
      <c r="CK309" s="141"/>
      <c r="CL309" s="141"/>
      <c r="CM309" s="141"/>
    </row>
    <row r="310" spans="1:91" ht="30" hidden="1" customHeight="1">
      <c r="A310" s="131">
        <v>296</v>
      </c>
      <c r="B310" s="131" t="s">
        <v>4432</v>
      </c>
      <c r="C310" s="131">
        <v>1</v>
      </c>
      <c r="D310" s="131" t="s">
        <v>4433</v>
      </c>
      <c r="E310" s="131" t="s">
        <v>4433</v>
      </c>
      <c r="F310" s="212" t="s">
        <v>5435</v>
      </c>
      <c r="G310" s="141"/>
      <c r="H310" s="141"/>
      <c r="I310" s="141"/>
      <c r="J310" s="144" t="s">
        <v>4628</v>
      </c>
      <c r="K310" s="144"/>
      <c r="L310" s="144" t="s">
        <v>4628</v>
      </c>
      <c r="M310" s="141"/>
      <c r="N310" s="141"/>
      <c r="O310" s="199"/>
      <c r="P310" s="136"/>
      <c r="Q310" s="136"/>
      <c r="R310" s="136"/>
      <c r="S310" s="136"/>
      <c r="T310" s="136"/>
      <c r="U310" s="136"/>
      <c r="V310" s="136"/>
      <c r="W310" s="136"/>
      <c r="X310" s="136"/>
      <c r="Y310" s="136"/>
      <c r="Z310" s="136"/>
      <c r="AA310" s="141"/>
      <c r="AB310" s="144"/>
      <c r="AC310" s="144"/>
      <c r="AD310" s="144"/>
      <c r="AE310" s="141"/>
      <c r="AF310" s="141"/>
      <c r="AG310" s="204"/>
      <c r="AH310" s="204"/>
      <c r="AI310" s="141"/>
      <c r="AJ310" s="141"/>
      <c r="AK310" s="141"/>
      <c r="AL310" s="141"/>
      <c r="AM310" s="141"/>
      <c r="AN310" s="141"/>
      <c r="AO310" s="141"/>
      <c r="AP310" s="144"/>
      <c r="AQ310" s="141"/>
      <c r="AR310" s="141"/>
      <c r="AS310" s="141"/>
      <c r="AT310" s="141"/>
      <c r="AU310" s="136"/>
      <c r="AV310" s="141"/>
      <c r="AW310" s="141"/>
      <c r="AX310" s="141"/>
      <c r="AY310" s="136"/>
      <c r="AZ310" s="141"/>
      <c r="BA310" s="141"/>
      <c r="BB310" s="141"/>
      <c r="BC310" s="197" t="str">
        <f t="shared" si="15"/>
        <v/>
      </c>
      <c r="BD310" s="131" t="str">
        <f t="shared" si="16"/>
        <v>INDENIZAÇÃO</v>
      </c>
      <c r="BE310" s="131" t="str">
        <f t="shared" si="17"/>
        <v>NÃO</v>
      </c>
      <c r="BF310" s="141"/>
      <c r="BG310" s="199"/>
      <c r="BH310" s="199"/>
      <c r="BI310" s="141"/>
      <c r="BJ310" s="141"/>
      <c r="BK310" s="141"/>
      <c r="BL310" s="141"/>
      <c r="BM310" s="141"/>
      <c r="BN310" s="182"/>
      <c r="BO310" s="141"/>
      <c r="BP310" s="141"/>
      <c r="BQ310" s="141"/>
      <c r="BR310" s="141"/>
      <c r="BS310" s="141"/>
      <c r="BT310" s="141"/>
      <c r="BU310" s="141"/>
      <c r="BV310" s="141"/>
      <c r="BW310" s="141"/>
      <c r="BX310" s="141"/>
      <c r="BY310" s="141"/>
      <c r="BZ310" s="141"/>
      <c r="CA310" s="141"/>
      <c r="CB310" s="141"/>
      <c r="CC310" s="141"/>
      <c r="CD310" s="141"/>
      <c r="CE310" s="141"/>
      <c r="CF310" s="141"/>
      <c r="CG310" s="141"/>
      <c r="CH310" s="141"/>
      <c r="CI310" s="182"/>
      <c r="CJ310" s="141"/>
      <c r="CK310" s="141"/>
      <c r="CL310" s="141"/>
      <c r="CM310" s="141"/>
    </row>
    <row r="311" spans="1:91" ht="30" hidden="1" customHeight="1">
      <c r="A311" s="131">
        <v>297</v>
      </c>
      <c r="B311" s="131" t="s">
        <v>4432</v>
      </c>
      <c r="C311" s="131">
        <v>1</v>
      </c>
      <c r="D311" s="131" t="s">
        <v>4433</v>
      </c>
      <c r="E311" s="131" t="s">
        <v>4433</v>
      </c>
      <c r="F311" s="212" t="s">
        <v>5436</v>
      </c>
      <c r="G311" s="141"/>
      <c r="H311" s="141"/>
      <c r="I311" s="141"/>
      <c r="J311" s="144" t="s">
        <v>5437</v>
      </c>
      <c r="K311" s="144"/>
      <c r="L311" s="144" t="s">
        <v>5438</v>
      </c>
      <c r="M311" s="141"/>
      <c r="N311" s="141"/>
      <c r="O311" s="199"/>
      <c r="P311" s="136"/>
      <c r="Q311" s="136"/>
      <c r="R311" s="136"/>
      <c r="S311" s="136"/>
      <c r="T311" s="136"/>
      <c r="U311" s="136"/>
      <c r="V311" s="136"/>
      <c r="W311" s="136"/>
      <c r="X311" s="136"/>
      <c r="Y311" s="136"/>
      <c r="Z311" s="136"/>
      <c r="AA311" s="141"/>
      <c r="AB311" s="144"/>
      <c r="AC311" s="144"/>
      <c r="AD311" s="144"/>
      <c r="AE311" s="141"/>
      <c r="AF311" s="141"/>
      <c r="AG311" s="204"/>
      <c r="AH311" s="204"/>
      <c r="AI311" s="141"/>
      <c r="AJ311" s="141"/>
      <c r="AK311" s="141"/>
      <c r="AL311" s="141"/>
      <c r="AM311" s="141"/>
      <c r="AN311" s="141"/>
      <c r="AO311" s="141"/>
      <c r="AP311" s="144"/>
      <c r="AQ311" s="141"/>
      <c r="AR311" s="141"/>
      <c r="AS311" s="141"/>
      <c r="AT311" s="141"/>
      <c r="AU311" s="136"/>
      <c r="AV311" s="141"/>
      <c r="AW311" s="141"/>
      <c r="AX311" s="141"/>
      <c r="AY311" s="136"/>
      <c r="AZ311" s="141"/>
      <c r="BA311" s="141"/>
      <c r="BB311" s="141"/>
      <c r="BC311" s="197" t="str">
        <f t="shared" si="15"/>
        <v/>
      </c>
      <c r="BD311" s="131" t="str">
        <f t="shared" si="16"/>
        <v>INDENIZAÇÃO</v>
      </c>
      <c r="BE311" s="131" t="str">
        <f t="shared" si="17"/>
        <v>NÃO</v>
      </c>
      <c r="BF311" s="141"/>
      <c r="BG311" s="199"/>
      <c r="BH311" s="199"/>
      <c r="BI311" s="141"/>
      <c r="BJ311" s="141"/>
      <c r="BK311" s="141"/>
      <c r="BL311" s="141"/>
      <c r="BM311" s="141"/>
      <c r="BN311" s="182"/>
      <c r="BO311" s="141"/>
      <c r="BP311" s="141"/>
      <c r="BQ311" s="141"/>
      <c r="BR311" s="141"/>
      <c r="BS311" s="141"/>
      <c r="BT311" s="141"/>
      <c r="BU311" s="141"/>
      <c r="BV311" s="141"/>
      <c r="BW311" s="141"/>
      <c r="BX311" s="141"/>
      <c r="BY311" s="141"/>
      <c r="BZ311" s="141"/>
      <c r="CA311" s="141"/>
      <c r="CB311" s="141"/>
      <c r="CC311" s="141"/>
      <c r="CD311" s="141"/>
      <c r="CE311" s="141"/>
      <c r="CF311" s="141"/>
      <c r="CG311" s="141"/>
      <c r="CH311" s="141"/>
      <c r="CI311" s="182"/>
      <c r="CJ311" s="141"/>
      <c r="CK311" s="141"/>
      <c r="CL311" s="141"/>
      <c r="CM311" s="141"/>
    </row>
    <row r="312" spans="1:91" ht="30" hidden="1" customHeight="1">
      <c r="A312" s="131">
        <v>298</v>
      </c>
      <c r="B312" s="131" t="s">
        <v>4432</v>
      </c>
      <c r="C312" s="131">
        <v>1</v>
      </c>
      <c r="D312" s="131" t="s">
        <v>4433</v>
      </c>
      <c r="E312" s="131" t="s">
        <v>4433</v>
      </c>
      <c r="F312" s="212" t="s">
        <v>5439</v>
      </c>
      <c r="G312" s="141"/>
      <c r="H312" s="141"/>
      <c r="I312" s="141"/>
      <c r="J312" s="144" t="s">
        <v>5440</v>
      </c>
      <c r="K312" s="144"/>
      <c r="L312" s="144" t="s">
        <v>5441</v>
      </c>
      <c r="M312" s="141"/>
      <c r="N312" s="141"/>
      <c r="O312" s="199"/>
      <c r="P312" s="136"/>
      <c r="Q312" s="136"/>
      <c r="R312" s="136"/>
      <c r="S312" s="136"/>
      <c r="T312" s="136"/>
      <c r="U312" s="136"/>
      <c r="V312" s="136"/>
      <c r="W312" s="136"/>
      <c r="X312" s="136"/>
      <c r="Y312" s="136"/>
      <c r="Z312" s="136"/>
      <c r="AA312" s="141"/>
      <c r="AB312" s="144"/>
      <c r="AC312" s="144"/>
      <c r="AD312" s="144"/>
      <c r="AE312" s="141"/>
      <c r="AF312" s="141"/>
      <c r="AG312" s="204"/>
      <c r="AH312" s="204"/>
      <c r="AI312" s="141"/>
      <c r="AJ312" s="141"/>
      <c r="AK312" s="141"/>
      <c r="AL312" s="141"/>
      <c r="AM312" s="141"/>
      <c r="AN312" s="141"/>
      <c r="AO312" s="141"/>
      <c r="AP312" s="144"/>
      <c r="AQ312" s="141"/>
      <c r="AR312" s="141"/>
      <c r="AS312" s="141"/>
      <c r="AT312" s="141"/>
      <c r="AU312" s="136"/>
      <c r="AV312" s="141"/>
      <c r="AW312" s="141"/>
      <c r="AX312" s="141"/>
      <c r="AY312" s="136"/>
      <c r="AZ312" s="141"/>
      <c r="BA312" s="141"/>
      <c r="BB312" s="141"/>
      <c r="BC312" s="197" t="str">
        <f t="shared" si="15"/>
        <v/>
      </c>
      <c r="BD312" s="131" t="str">
        <f t="shared" si="16"/>
        <v>INDENIZAÇÃO</v>
      </c>
      <c r="BE312" s="131" t="str">
        <f t="shared" si="17"/>
        <v>NÃO</v>
      </c>
      <c r="BF312" s="141"/>
      <c r="BG312" s="199"/>
      <c r="BH312" s="199"/>
      <c r="BI312" s="141"/>
      <c r="BJ312" s="141"/>
      <c r="BK312" s="141"/>
      <c r="BL312" s="141"/>
      <c r="BM312" s="141"/>
      <c r="BN312" s="182"/>
      <c r="BO312" s="141"/>
      <c r="BP312" s="141"/>
      <c r="BQ312" s="141"/>
      <c r="BR312" s="141"/>
      <c r="BS312" s="141"/>
      <c r="BT312" s="141"/>
      <c r="BU312" s="141"/>
      <c r="BV312" s="141"/>
      <c r="BW312" s="141"/>
      <c r="BX312" s="141"/>
      <c r="BY312" s="141"/>
      <c r="BZ312" s="141"/>
      <c r="CA312" s="141"/>
      <c r="CB312" s="141"/>
      <c r="CC312" s="141"/>
      <c r="CD312" s="141"/>
      <c r="CE312" s="141"/>
      <c r="CF312" s="141"/>
      <c r="CG312" s="141"/>
      <c r="CH312" s="141"/>
      <c r="CI312" s="182"/>
      <c r="CJ312" s="141"/>
      <c r="CK312" s="141"/>
      <c r="CL312" s="141"/>
      <c r="CM312" s="141"/>
    </row>
    <row r="313" spans="1:91" ht="30" hidden="1" customHeight="1">
      <c r="A313" s="131">
        <v>299</v>
      </c>
      <c r="B313" s="131" t="s">
        <v>4432</v>
      </c>
      <c r="C313" s="131">
        <v>1</v>
      </c>
      <c r="D313" s="131" t="s">
        <v>4433</v>
      </c>
      <c r="E313" s="131" t="s">
        <v>4433</v>
      </c>
      <c r="F313" s="212" t="s">
        <v>5442</v>
      </c>
      <c r="G313" s="141"/>
      <c r="H313" s="141"/>
      <c r="I313" s="141"/>
      <c r="J313" s="144" t="s">
        <v>5443</v>
      </c>
      <c r="K313" s="144"/>
      <c r="L313" s="144" t="s">
        <v>5444</v>
      </c>
      <c r="M313" s="141"/>
      <c r="N313" s="141"/>
      <c r="O313" s="199"/>
      <c r="P313" s="136"/>
      <c r="Q313" s="136"/>
      <c r="R313" s="136"/>
      <c r="S313" s="136"/>
      <c r="T313" s="136"/>
      <c r="U313" s="136"/>
      <c r="V313" s="136"/>
      <c r="W313" s="136"/>
      <c r="X313" s="136"/>
      <c r="Y313" s="136"/>
      <c r="Z313" s="136"/>
      <c r="AA313" s="141"/>
      <c r="AB313" s="144"/>
      <c r="AC313" s="144"/>
      <c r="AD313" s="144"/>
      <c r="AE313" s="141"/>
      <c r="AF313" s="141"/>
      <c r="AG313" s="204"/>
      <c r="AH313" s="204"/>
      <c r="AI313" s="141"/>
      <c r="AJ313" s="141"/>
      <c r="AK313" s="141"/>
      <c r="AL313" s="141"/>
      <c r="AM313" s="141"/>
      <c r="AN313" s="141"/>
      <c r="AO313" s="141"/>
      <c r="AP313" s="144"/>
      <c r="AQ313" s="141"/>
      <c r="AR313" s="141"/>
      <c r="AS313" s="141"/>
      <c r="AT313" s="141"/>
      <c r="AU313" s="136"/>
      <c r="AV313" s="141"/>
      <c r="AW313" s="141"/>
      <c r="AX313" s="141"/>
      <c r="AY313" s="136"/>
      <c r="AZ313" s="141"/>
      <c r="BA313" s="141"/>
      <c r="BB313" s="141"/>
      <c r="BC313" s="197" t="str">
        <f t="shared" si="15"/>
        <v/>
      </c>
      <c r="BD313" s="131" t="str">
        <f t="shared" si="16"/>
        <v>INDENIZAÇÃO</v>
      </c>
      <c r="BE313" s="131" t="str">
        <f t="shared" si="17"/>
        <v>NÃO</v>
      </c>
      <c r="BF313" s="141"/>
      <c r="BG313" s="199"/>
      <c r="BH313" s="199"/>
      <c r="BI313" s="141"/>
      <c r="BJ313" s="141"/>
      <c r="BK313" s="141"/>
      <c r="BL313" s="141"/>
      <c r="BM313" s="141"/>
      <c r="BN313" s="182"/>
      <c r="BO313" s="141"/>
      <c r="BP313" s="141"/>
      <c r="BQ313" s="141"/>
      <c r="BR313" s="141"/>
      <c r="BS313" s="141"/>
      <c r="BT313" s="141"/>
      <c r="BU313" s="141"/>
      <c r="BV313" s="141"/>
      <c r="BW313" s="141"/>
      <c r="BX313" s="141"/>
      <c r="BY313" s="141"/>
      <c r="BZ313" s="141"/>
      <c r="CA313" s="141"/>
      <c r="CB313" s="141"/>
      <c r="CC313" s="141"/>
      <c r="CD313" s="141"/>
      <c r="CE313" s="141"/>
      <c r="CF313" s="141"/>
      <c r="CG313" s="141"/>
      <c r="CH313" s="141"/>
      <c r="CI313" s="182"/>
      <c r="CJ313" s="141"/>
      <c r="CK313" s="141"/>
      <c r="CL313" s="141"/>
      <c r="CM313" s="141"/>
    </row>
    <row r="314" spans="1:91" ht="30" hidden="1" customHeight="1">
      <c r="A314" s="131">
        <v>300</v>
      </c>
      <c r="B314" s="131" t="s">
        <v>4432</v>
      </c>
      <c r="C314" s="131">
        <v>1</v>
      </c>
      <c r="D314" s="131" t="s">
        <v>4433</v>
      </c>
      <c r="E314" s="131" t="s">
        <v>4433</v>
      </c>
      <c r="F314" s="212" t="s">
        <v>5445</v>
      </c>
      <c r="G314" s="141"/>
      <c r="H314" s="141"/>
      <c r="I314" s="141"/>
      <c r="J314" s="144" t="s">
        <v>5446</v>
      </c>
      <c r="K314" s="144"/>
      <c r="L314" s="144" t="s">
        <v>5447</v>
      </c>
      <c r="M314" s="141"/>
      <c r="N314" s="141"/>
      <c r="O314" s="199"/>
      <c r="P314" s="136"/>
      <c r="Q314" s="136"/>
      <c r="R314" s="136"/>
      <c r="S314" s="136"/>
      <c r="T314" s="136"/>
      <c r="U314" s="136"/>
      <c r="V314" s="136"/>
      <c r="W314" s="136"/>
      <c r="X314" s="136"/>
      <c r="Y314" s="136"/>
      <c r="Z314" s="136"/>
      <c r="AA314" s="141"/>
      <c r="AB314" s="144"/>
      <c r="AC314" s="144"/>
      <c r="AD314" s="144"/>
      <c r="AE314" s="141"/>
      <c r="AF314" s="141"/>
      <c r="AG314" s="204"/>
      <c r="AH314" s="204"/>
      <c r="AI314" s="141"/>
      <c r="AJ314" s="141"/>
      <c r="AK314" s="141"/>
      <c r="AL314" s="141"/>
      <c r="AM314" s="141"/>
      <c r="AN314" s="141"/>
      <c r="AO314" s="141"/>
      <c r="AP314" s="144"/>
      <c r="AQ314" s="141"/>
      <c r="AR314" s="141"/>
      <c r="AS314" s="141"/>
      <c r="AT314" s="141"/>
      <c r="AU314" s="136"/>
      <c r="AV314" s="141"/>
      <c r="AW314" s="141"/>
      <c r="AX314" s="141"/>
      <c r="AY314" s="136"/>
      <c r="AZ314" s="141"/>
      <c r="BA314" s="141"/>
      <c r="BB314" s="141"/>
      <c r="BC314" s="197" t="str">
        <f t="shared" si="15"/>
        <v/>
      </c>
      <c r="BD314" s="131" t="str">
        <f t="shared" si="16"/>
        <v>INDENIZAÇÃO</v>
      </c>
      <c r="BE314" s="131" t="str">
        <f t="shared" si="17"/>
        <v>NÃO</v>
      </c>
      <c r="BF314" s="141"/>
      <c r="BG314" s="199"/>
      <c r="BH314" s="199"/>
      <c r="BI314" s="141"/>
      <c r="BJ314" s="141"/>
      <c r="BK314" s="141"/>
      <c r="BL314" s="141"/>
      <c r="BM314" s="141"/>
      <c r="BN314" s="192"/>
      <c r="BO314" s="158"/>
      <c r="BP314" s="158"/>
      <c r="BQ314" s="158"/>
      <c r="BR314" s="158"/>
      <c r="BS314" s="158"/>
      <c r="BT314" s="158"/>
      <c r="BU314" s="158"/>
      <c r="BV314" s="158"/>
      <c r="BW314" s="158"/>
      <c r="BX314" s="158"/>
      <c r="BY314" s="158"/>
      <c r="BZ314" s="158"/>
      <c r="CA314" s="158"/>
      <c r="CB314" s="158"/>
      <c r="CC314" s="158"/>
      <c r="CD314" s="158"/>
      <c r="CE314" s="158"/>
      <c r="CF314" s="158"/>
      <c r="CG314" s="158"/>
      <c r="CH314" s="158"/>
      <c r="CI314" s="141"/>
      <c r="CJ314" s="141"/>
      <c r="CK314" s="141"/>
      <c r="CL314" s="141"/>
      <c r="CM314" s="141"/>
    </row>
    <row r="315" spans="1:91" ht="30" hidden="1" customHeight="1">
      <c r="A315" s="131">
        <v>301</v>
      </c>
      <c r="B315" s="131" t="s">
        <v>4432</v>
      </c>
      <c r="C315" s="131">
        <v>1</v>
      </c>
      <c r="D315" s="131" t="s">
        <v>4433</v>
      </c>
      <c r="E315" s="131" t="s">
        <v>4433</v>
      </c>
      <c r="F315" s="212" t="s">
        <v>5448</v>
      </c>
      <c r="G315" s="141"/>
      <c r="H315" s="141"/>
      <c r="I315" s="141"/>
      <c r="J315" s="144" t="s">
        <v>5449</v>
      </c>
      <c r="K315" s="144"/>
      <c r="L315" s="144" t="s">
        <v>5450</v>
      </c>
      <c r="M315" s="141"/>
      <c r="N315" s="141"/>
      <c r="O315" s="199"/>
      <c r="P315" s="136"/>
      <c r="Q315" s="136"/>
      <c r="R315" s="136"/>
      <c r="S315" s="136"/>
      <c r="T315" s="136"/>
      <c r="U315" s="136"/>
      <c r="V315" s="136"/>
      <c r="W315" s="136"/>
      <c r="X315" s="136"/>
      <c r="Y315" s="136"/>
      <c r="Z315" s="136"/>
      <c r="AA315" s="141"/>
      <c r="AB315" s="144"/>
      <c r="AC315" s="144"/>
      <c r="AD315" s="144"/>
      <c r="AE315" s="141"/>
      <c r="AF315" s="141"/>
      <c r="AG315" s="204"/>
      <c r="AH315" s="204"/>
      <c r="AI315" s="141"/>
      <c r="AJ315" s="141"/>
      <c r="AK315" s="141"/>
      <c r="AL315" s="141"/>
      <c r="AM315" s="141"/>
      <c r="AN315" s="141"/>
      <c r="AO315" s="141"/>
      <c r="AP315" s="144"/>
      <c r="AQ315" s="141"/>
      <c r="AR315" s="141"/>
      <c r="AS315" s="141"/>
      <c r="AT315" s="141"/>
      <c r="AU315" s="136"/>
      <c r="AV315" s="141"/>
      <c r="AW315" s="141"/>
      <c r="AX315" s="141"/>
      <c r="AY315" s="136"/>
      <c r="AZ315" s="141"/>
      <c r="BA315" s="141"/>
      <c r="BB315" s="141"/>
      <c r="BC315" s="197" t="str">
        <f t="shared" si="15"/>
        <v/>
      </c>
      <c r="BD315" s="131" t="str">
        <f t="shared" si="16"/>
        <v>INDENIZAÇÃO</v>
      </c>
      <c r="BE315" s="131" t="str">
        <f t="shared" si="17"/>
        <v>NÃO</v>
      </c>
      <c r="BF315" s="141"/>
      <c r="BG315" s="199"/>
      <c r="BH315" s="199"/>
      <c r="BI315" s="141"/>
      <c r="BJ315" s="141"/>
      <c r="BK315" s="141"/>
      <c r="BL315" s="141"/>
      <c r="BM315" s="141"/>
    </row>
    <row r="316" spans="1:91" ht="30" hidden="1" customHeight="1">
      <c r="A316" s="131">
        <v>302</v>
      </c>
      <c r="B316" s="131" t="s">
        <v>4432</v>
      </c>
      <c r="C316" s="131">
        <v>1</v>
      </c>
      <c r="D316" s="131" t="s">
        <v>4433</v>
      </c>
      <c r="E316" s="131" t="s">
        <v>4433</v>
      </c>
      <c r="F316" s="212" t="s">
        <v>5451</v>
      </c>
      <c r="G316" s="141"/>
      <c r="H316" s="141"/>
      <c r="I316" s="141"/>
      <c r="J316" s="144" t="s">
        <v>5452</v>
      </c>
      <c r="K316" s="144"/>
      <c r="L316" s="144" t="s">
        <v>5453</v>
      </c>
      <c r="M316" s="141"/>
      <c r="N316" s="141"/>
      <c r="O316" s="199"/>
      <c r="P316" s="136"/>
      <c r="Q316" s="136"/>
      <c r="R316" s="136"/>
      <c r="S316" s="136"/>
      <c r="T316" s="136"/>
      <c r="U316" s="136"/>
      <c r="V316" s="136"/>
      <c r="W316" s="136"/>
      <c r="X316" s="136"/>
      <c r="Y316" s="136"/>
      <c r="Z316" s="136"/>
      <c r="AA316" s="141"/>
      <c r="AB316" s="144"/>
      <c r="AC316" s="144"/>
      <c r="AD316" s="144"/>
      <c r="AE316" s="141"/>
      <c r="AF316" s="141"/>
      <c r="AG316" s="204"/>
      <c r="AH316" s="204"/>
      <c r="AI316" s="141"/>
      <c r="AJ316" s="141"/>
      <c r="AK316" s="141"/>
      <c r="AL316" s="141"/>
      <c r="AM316" s="141"/>
      <c r="AN316" s="141"/>
      <c r="AO316" s="141"/>
      <c r="AP316" s="144"/>
      <c r="AQ316" s="141"/>
      <c r="AR316" s="141"/>
      <c r="AS316" s="141"/>
      <c r="AT316" s="141"/>
      <c r="AU316" s="136"/>
      <c r="AV316" s="141"/>
      <c r="AW316" s="141"/>
      <c r="AX316" s="141"/>
      <c r="AY316" s="136"/>
      <c r="AZ316" s="141"/>
      <c r="BA316" s="141"/>
      <c r="BB316" s="141"/>
      <c r="BC316" s="197" t="str">
        <f t="shared" si="15"/>
        <v/>
      </c>
      <c r="BD316" s="131" t="str">
        <f t="shared" si="16"/>
        <v>INDENIZAÇÃO</v>
      </c>
      <c r="BE316" s="131" t="str">
        <f t="shared" si="17"/>
        <v>NÃO</v>
      </c>
      <c r="BF316" s="141"/>
      <c r="BG316" s="199"/>
      <c r="BH316" s="199"/>
      <c r="BI316" s="141"/>
      <c r="BJ316" s="141"/>
      <c r="BK316" s="141"/>
      <c r="BL316" s="141"/>
      <c r="BM316" s="141"/>
    </row>
    <row r="324" spans="42:42" ht="30" customHeight="1">
      <c r="AP324" s="236"/>
    </row>
    <row r="37785" ht="29.25" customHeight="1"/>
  </sheetData>
  <autoFilter ref="A13:CY316" xr:uid="{00000000-0001-0000-0000-000000000000}">
    <filterColumn colId="39">
      <filters>
        <filter val="TERMO ASSINADO SECRETÁRIO"/>
      </filters>
    </filterColumn>
  </autoFilter>
  <sortState xmlns:xlrd2="http://schemas.microsoft.com/office/spreadsheetml/2017/richdata2" ref="A14:BM19">
    <sortCondition ref="J14:J19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228" priority="927"/>
  </conditionalFormatting>
  <conditionalFormatting sqref="I55">
    <cfRule type="containsText" dxfId="227" priority="45" operator="containsText" text="NÃO RESIDENTE">
      <formula>NOT(ISERROR(SEARCH("NÃO RESIDENTE",I55)))</formula>
    </cfRule>
  </conditionalFormatting>
  <conditionalFormatting sqref="J1:J23 J25:J1048576">
    <cfRule type="duplicateValues" dxfId="226" priority="370"/>
  </conditionalFormatting>
  <conditionalFormatting sqref="J24">
    <cfRule type="duplicateValues" dxfId="225" priority="82"/>
    <cfRule type="duplicateValues" dxfId="224" priority="83"/>
  </conditionalFormatting>
  <conditionalFormatting sqref="AB15">
    <cfRule type="duplicateValues" dxfId="223" priority="76"/>
  </conditionalFormatting>
  <conditionalFormatting sqref="AB16">
    <cfRule type="duplicateValues" dxfId="222" priority="77"/>
  </conditionalFormatting>
  <conditionalFormatting sqref="AB17">
    <cfRule type="duplicateValues" dxfId="221" priority="88"/>
  </conditionalFormatting>
  <conditionalFormatting sqref="AB19">
    <cfRule type="duplicateValues" dxfId="220" priority="90"/>
  </conditionalFormatting>
  <conditionalFormatting sqref="AB21">
    <cfRule type="duplicateValues" dxfId="219" priority="39"/>
  </conditionalFormatting>
  <conditionalFormatting sqref="AB22:AB26">
    <cfRule type="duplicateValues" dxfId="218" priority="1054"/>
  </conditionalFormatting>
  <conditionalFormatting sqref="AB27">
    <cfRule type="duplicateValues" dxfId="217" priority="89"/>
  </conditionalFormatting>
  <conditionalFormatting sqref="AB30">
    <cfRule type="duplicateValues" dxfId="216" priority="78"/>
  </conditionalFormatting>
  <conditionalFormatting sqref="AB33">
    <cfRule type="duplicateValues" dxfId="215" priority="361"/>
  </conditionalFormatting>
  <conditionalFormatting sqref="AB39">
    <cfRule type="duplicateValues" dxfId="214" priority="360"/>
  </conditionalFormatting>
  <conditionalFormatting sqref="AB40">
    <cfRule type="duplicateValues" dxfId="213" priority="359"/>
  </conditionalFormatting>
  <conditionalFormatting sqref="AB41">
    <cfRule type="duplicateValues" dxfId="212" priority="358"/>
  </conditionalFormatting>
  <conditionalFormatting sqref="AB42">
    <cfRule type="duplicateValues" dxfId="211" priority="357"/>
  </conditionalFormatting>
  <conditionalFormatting sqref="AB43">
    <cfRule type="duplicateValues" dxfId="210" priority="356"/>
  </conditionalFormatting>
  <conditionalFormatting sqref="AB44">
    <cfRule type="duplicateValues" dxfId="209" priority="106"/>
  </conditionalFormatting>
  <conditionalFormatting sqref="AB45">
    <cfRule type="duplicateValues" dxfId="208" priority="107"/>
  </conditionalFormatting>
  <conditionalFormatting sqref="AB46">
    <cfRule type="duplicateValues" dxfId="207" priority="38"/>
  </conditionalFormatting>
  <conditionalFormatting sqref="AB47">
    <cfRule type="duplicateValues" dxfId="206" priority="37"/>
  </conditionalFormatting>
  <conditionalFormatting sqref="AB55">
    <cfRule type="duplicateValues" dxfId="205" priority="36"/>
  </conditionalFormatting>
  <conditionalFormatting sqref="AB73">
    <cfRule type="duplicateValues" dxfId="204" priority="355"/>
  </conditionalFormatting>
  <conditionalFormatting sqref="AB74">
    <cfRule type="duplicateValues" dxfId="203" priority="354"/>
  </conditionalFormatting>
  <conditionalFormatting sqref="AB76">
    <cfRule type="duplicateValues" dxfId="202" priority="353"/>
  </conditionalFormatting>
  <conditionalFormatting sqref="AB82">
    <cfRule type="duplicateValues" dxfId="201" priority="352"/>
  </conditionalFormatting>
  <conditionalFormatting sqref="AB83">
    <cfRule type="duplicateValues" dxfId="200" priority="35"/>
  </conditionalFormatting>
  <conditionalFormatting sqref="AB84">
    <cfRule type="duplicateValues" dxfId="199" priority="351"/>
  </conditionalFormatting>
  <conditionalFormatting sqref="AB85">
    <cfRule type="duplicateValues" dxfId="198" priority="30"/>
  </conditionalFormatting>
  <conditionalFormatting sqref="AB86">
    <cfRule type="duplicateValues" dxfId="197" priority="34"/>
  </conditionalFormatting>
  <conditionalFormatting sqref="AB88">
    <cfRule type="duplicateValues" dxfId="196" priority="349"/>
  </conditionalFormatting>
  <conditionalFormatting sqref="AB90">
    <cfRule type="duplicateValues" dxfId="195" priority="306"/>
  </conditionalFormatting>
  <conditionalFormatting sqref="AB93">
    <cfRule type="duplicateValues" dxfId="194" priority="348"/>
  </conditionalFormatting>
  <conditionalFormatting sqref="AB97">
    <cfRule type="duplicateValues" dxfId="193" priority="347"/>
  </conditionalFormatting>
  <conditionalFormatting sqref="AB102">
    <cfRule type="duplicateValues" dxfId="192" priority="346"/>
  </conditionalFormatting>
  <conditionalFormatting sqref="AB103">
    <cfRule type="duplicateValues" dxfId="191" priority="345"/>
  </conditionalFormatting>
  <conditionalFormatting sqref="AB114">
    <cfRule type="duplicateValues" dxfId="190" priority="344"/>
  </conditionalFormatting>
  <conditionalFormatting sqref="AB118">
    <cfRule type="duplicateValues" dxfId="189" priority="343"/>
  </conditionalFormatting>
  <conditionalFormatting sqref="AB120">
    <cfRule type="duplicateValues" dxfId="188" priority="342"/>
  </conditionalFormatting>
  <conditionalFormatting sqref="AB123">
    <cfRule type="duplicateValues" dxfId="187" priority="341"/>
  </conditionalFormatting>
  <conditionalFormatting sqref="AB125">
    <cfRule type="duplicateValues" dxfId="186" priority="340"/>
  </conditionalFormatting>
  <conditionalFormatting sqref="AB128">
    <cfRule type="duplicateValues" dxfId="185" priority="339"/>
  </conditionalFormatting>
  <conditionalFormatting sqref="AB136">
    <cfRule type="duplicateValues" dxfId="184" priority="338"/>
  </conditionalFormatting>
  <conditionalFormatting sqref="AB137">
    <cfRule type="duplicateValues" dxfId="183" priority="337"/>
  </conditionalFormatting>
  <conditionalFormatting sqref="AB139">
    <cfRule type="duplicateValues" dxfId="182" priority="336"/>
  </conditionalFormatting>
  <conditionalFormatting sqref="AB142">
    <cfRule type="duplicateValues" dxfId="181" priority="335"/>
  </conditionalFormatting>
  <conditionalFormatting sqref="AB144">
    <cfRule type="duplicateValues" dxfId="180" priority="334"/>
  </conditionalFormatting>
  <conditionalFormatting sqref="AB145">
    <cfRule type="duplicateValues" dxfId="179" priority="333"/>
  </conditionalFormatting>
  <conditionalFormatting sqref="AB146">
    <cfRule type="duplicateValues" dxfId="178" priority="332"/>
  </conditionalFormatting>
  <conditionalFormatting sqref="AB147">
    <cfRule type="duplicateValues" dxfId="177" priority="331"/>
  </conditionalFormatting>
  <conditionalFormatting sqref="AB148">
    <cfRule type="duplicateValues" dxfId="176" priority="330"/>
  </conditionalFormatting>
  <conditionalFormatting sqref="AB161">
    <cfRule type="duplicateValues" dxfId="175" priority="329"/>
  </conditionalFormatting>
  <conditionalFormatting sqref="AB172">
    <cfRule type="duplicateValues" dxfId="174" priority="111"/>
    <cfRule type="duplicateValues" dxfId="173" priority="112"/>
  </conditionalFormatting>
  <conditionalFormatting sqref="AB173">
    <cfRule type="duplicateValues" dxfId="172" priority="328"/>
  </conditionalFormatting>
  <conditionalFormatting sqref="AB173:AB185 AB1:AB14 AB48:AB54 AB18 AB20 AB28:AB29 AB31:AB43 AB304:AB1048576 AB22:AB26 AB267:AB270 AB56:AB82 AB84 AB87:AB171 AB219:AB225 AB191:AB217 AB285:AB290 AB228:AB265 AB187 AB279:AB282 AB292:AB294 AB299:AB301 AB296:AB297 AB272:AB277">
    <cfRule type="duplicateValues" dxfId="171" priority="221"/>
  </conditionalFormatting>
  <conditionalFormatting sqref="AB174">
    <cfRule type="duplicateValues" dxfId="170" priority="327"/>
  </conditionalFormatting>
  <conditionalFormatting sqref="AB175">
    <cfRule type="duplicateValues" dxfId="169" priority="326"/>
  </conditionalFormatting>
  <conditionalFormatting sqref="AB178">
    <cfRule type="duplicateValues" dxfId="168" priority="364"/>
  </conditionalFormatting>
  <conditionalFormatting sqref="AB185">
    <cfRule type="duplicateValues" dxfId="167" priority="325"/>
  </conditionalFormatting>
  <conditionalFormatting sqref="AB186">
    <cfRule type="duplicateValues" dxfId="166" priority="26"/>
  </conditionalFormatting>
  <conditionalFormatting sqref="AB188">
    <cfRule type="duplicateValues" dxfId="165" priority="25"/>
  </conditionalFormatting>
  <conditionalFormatting sqref="AB189">
    <cfRule type="duplicateValues" dxfId="164" priority="31"/>
  </conditionalFormatting>
  <conditionalFormatting sqref="AB190">
    <cfRule type="duplicateValues" dxfId="163" priority="28"/>
  </conditionalFormatting>
  <conditionalFormatting sqref="AB195">
    <cfRule type="duplicateValues" dxfId="162" priority="324"/>
  </conditionalFormatting>
  <conditionalFormatting sqref="AB196">
    <cfRule type="duplicateValues" dxfId="161" priority="323"/>
  </conditionalFormatting>
  <conditionalFormatting sqref="AB217">
    <cfRule type="duplicateValues" dxfId="160" priority="305"/>
  </conditionalFormatting>
  <conditionalFormatting sqref="AB218">
    <cfRule type="duplicateValues" dxfId="159" priority="33"/>
  </conditionalFormatting>
  <conditionalFormatting sqref="AB220">
    <cfRule type="duplicateValues" dxfId="158" priority="322"/>
  </conditionalFormatting>
  <conditionalFormatting sqref="AB222:AB225">
    <cfRule type="duplicateValues" dxfId="157" priority="321"/>
  </conditionalFormatting>
  <conditionalFormatting sqref="AB226">
    <cfRule type="duplicateValues" dxfId="156" priority="14"/>
  </conditionalFormatting>
  <conditionalFormatting sqref="AB227">
    <cfRule type="duplicateValues" dxfId="155" priority="21"/>
  </conditionalFormatting>
  <conditionalFormatting sqref="AB228">
    <cfRule type="duplicateValues" dxfId="154" priority="320"/>
  </conditionalFormatting>
  <conditionalFormatting sqref="AB233">
    <cfRule type="duplicateValues" dxfId="153" priority="319"/>
  </conditionalFormatting>
  <conditionalFormatting sqref="AB243">
    <cfRule type="duplicateValues" dxfId="152" priority="318"/>
  </conditionalFormatting>
  <conditionalFormatting sqref="AB245">
    <cfRule type="duplicateValues" dxfId="151" priority="317"/>
  </conditionalFormatting>
  <conditionalFormatting sqref="AB247">
    <cfRule type="duplicateValues" dxfId="150" priority="316"/>
  </conditionalFormatting>
  <conditionalFormatting sqref="AB248">
    <cfRule type="duplicateValues" dxfId="149" priority="315"/>
  </conditionalFormatting>
  <conditionalFormatting sqref="AB251">
    <cfRule type="duplicateValues" dxfId="148" priority="314"/>
  </conditionalFormatting>
  <conditionalFormatting sqref="AB257">
    <cfRule type="duplicateValues" dxfId="147" priority="313"/>
  </conditionalFormatting>
  <conditionalFormatting sqref="AB258:AB260 AB221 AB179:AB184 AB1:AB14 AB18 AB28:AB29 AB34:AB38 AB75 AB77:AB81 AB87 AB89 AB94:AB96 AB98:AB101 AB104:AB113 AB115:AB117 AB119 AB121:AB122 AB124 AB126:AB127 AB129:AB135 AB138 AB140:AB141 AB143 AB149:AB160 AB162:AB171 AB176:AB177 AB187 AB197:AB216 AB229:AB232 AB234:AB242 AB244 AB246 AB249:AB250 AB252:AB256 AB262:AB265 AB272:AB273 AB275:AB277 AB91:AB92 AB219 AB48:AB54 AB20 AB31:AB32 AB304:AB1048576 AB267:AB270 AB56:AB72 AB191:AB194 AB285:AB290 AB279:AB282 AB292:AB294 AB299:AB301 AB296:AB297">
    <cfRule type="duplicateValues" dxfId="146" priority="372"/>
  </conditionalFormatting>
  <conditionalFormatting sqref="AB261">
    <cfRule type="duplicateValues" dxfId="145" priority="312"/>
  </conditionalFormatting>
  <conditionalFormatting sqref="AB266">
    <cfRule type="duplicateValues" dxfId="144" priority="32"/>
  </conditionalFormatting>
  <conditionalFormatting sqref="AB271">
    <cfRule type="duplicateValues" dxfId="143" priority="15"/>
  </conditionalFormatting>
  <conditionalFormatting sqref="AB274">
    <cfRule type="duplicateValues" dxfId="142" priority="310"/>
  </conditionalFormatting>
  <conditionalFormatting sqref="AB278">
    <cfRule type="duplicateValues" dxfId="141" priority="23"/>
  </conditionalFormatting>
  <conditionalFormatting sqref="AB283">
    <cfRule type="duplicateValues" dxfId="140" priority="29"/>
  </conditionalFormatting>
  <conditionalFormatting sqref="AB284">
    <cfRule type="duplicateValues" dxfId="139" priority="22"/>
  </conditionalFormatting>
  <conditionalFormatting sqref="AB291">
    <cfRule type="duplicateValues" dxfId="138" priority="20"/>
  </conditionalFormatting>
  <conditionalFormatting sqref="AB295">
    <cfRule type="duplicateValues" dxfId="137" priority="18"/>
  </conditionalFormatting>
  <conditionalFormatting sqref="AB298">
    <cfRule type="duplicateValues" dxfId="136" priority="19"/>
  </conditionalFormatting>
  <conditionalFormatting sqref="AB302">
    <cfRule type="duplicateValues" dxfId="135" priority="42"/>
  </conditionalFormatting>
  <conditionalFormatting sqref="AB303">
    <cfRule type="duplicateValues" dxfId="134" priority="49"/>
  </conditionalFormatting>
  <conditionalFormatting sqref="AE1:AE20 AE22:AE45 AE47:AE72 AE75 AE77:AE82 AE84 AE87:AE89 AE91 AE94:AE117 AE119:AE143 AE149:AE160 AE162:AE185 AE187 AE189 AE191:AE194 AE197:AE217 AE220:AE225 AE228:AE232 AE234:AE244 AE246:AE250 AE252:AE256 AE258:AE260 AE262:AE265 AE267:AE270 AE272:AE273 AE275:AE277 AE279:AE282 AE285:AE290 AE292 AE294:AE297 AE299:AE37785 AE37786:AF1048576">
    <cfRule type="containsText" dxfId="133" priority="373" operator="containsText" text="NÃO RESIDENTE">
      <formula>NOT(ISERROR(SEARCH("NÃO RESIDENTE",AE1)))</formula>
    </cfRule>
  </conditionalFormatting>
  <conditionalFormatting sqref="AP1:AP1048576 BP1:BP1048576">
    <cfRule type="duplicateValues" dxfId="132" priority="110"/>
  </conditionalFormatting>
  <conditionalFormatting sqref="AP1:AP1048576">
    <cfRule type="duplicateValues" dxfId="131" priority="570"/>
  </conditionalFormatting>
  <conditionalFormatting sqref="AR120">
    <cfRule type="duplicateValues" dxfId="130" priority="211"/>
  </conditionalFormatting>
  <conditionalFormatting sqref="AR185">
    <cfRule type="duplicateValues" dxfId="129" priority="189"/>
  </conditionalFormatting>
  <conditionalFormatting sqref="AS120">
    <cfRule type="duplicateValues" dxfId="128" priority="210"/>
  </conditionalFormatting>
  <conditionalFormatting sqref="AS185">
    <cfRule type="duplicateValues" dxfId="127" priority="188"/>
  </conditionalFormatting>
  <conditionalFormatting sqref="AT120">
    <cfRule type="duplicateValues" dxfId="126" priority="209"/>
  </conditionalFormatting>
  <conditionalFormatting sqref="AT185">
    <cfRule type="duplicateValues" dxfId="125" priority="187"/>
  </conditionalFormatting>
  <conditionalFormatting sqref="AU120">
    <cfRule type="duplicateValues" dxfId="124" priority="208"/>
  </conditionalFormatting>
  <conditionalFormatting sqref="AU185">
    <cfRule type="duplicateValues" dxfId="123" priority="186"/>
  </conditionalFormatting>
  <conditionalFormatting sqref="AV120">
    <cfRule type="duplicateValues" dxfId="122" priority="207"/>
  </conditionalFormatting>
  <conditionalFormatting sqref="AV185">
    <cfRule type="duplicateValues" dxfId="121" priority="185"/>
  </conditionalFormatting>
  <conditionalFormatting sqref="AW120">
    <cfRule type="duplicateValues" dxfId="120" priority="206"/>
  </conditionalFormatting>
  <conditionalFormatting sqref="AW179">
    <cfRule type="cellIs" dxfId="119" priority="420" operator="between">
      <formula>36526</formula>
      <formula>"31/12/3000"</formula>
    </cfRule>
    <cfRule type="cellIs" dxfId="118" priority="421" operator="between">
      <formula>36526</formula>
      <formula>402133</formula>
    </cfRule>
  </conditionalFormatting>
  <conditionalFormatting sqref="AW185">
    <cfRule type="duplicateValues" dxfId="117" priority="184"/>
  </conditionalFormatting>
  <conditionalFormatting sqref="AX120">
    <cfRule type="duplicateValues" dxfId="116" priority="205"/>
  </conditionalFormatting>
  <conditionalFormatting sqref="AX185">
    <cfRule type="duplicateValues" dxfId="115" priority="183"/>
  </conditionalFormatting>
  <conditionalFormatting sqref="AY1:AY13 AY121:AY184 AY191:AY192 AZ206 AY228:AY253 AY272:AY277 AY294 AY296:AY297 AY299:AY301 AY305:AY1048576">
    <cfRule type="cellIs" dxfId="114" priority="557" operator="between">
      <formula>36526</formula>
      <formula>402133</formula>
    </cfRule>
  </conditionalFormatting>
  <conditionalFormatting sqref="AY1:AY45 AY47:AY54 AY56:AY81 AY84:AY119">
    <cfRule type="cellIs" dxfId="113" priority="17" operator="between">
      <formula>36526</formula>
      <formula>"31/12/3000"</formula>
    </cfRule>
  </conditionalFormatting>
  <conditionalFormatting sqref="AY15:AY45 AY47:AY54 AY56:AY81 AY84:AY119">
    <cfRule type="cellIs" dxfId="112" priority="16" operator="between">
      <formula>36526</formula>
      <formula>402133</formula>
    </cfRule>
  </conditionalFormatting>
  <conditionalFormatting sqref="AY31:AY225 AY227:AY253 AY255:AY270 AY272:AY294 AY296:AY297 AY299:AY304">
    <cfRule type="cellIs" dxfId="111" priority="13" operator="greaterThan">
      <formula>45978</formula>
    </cfRule>
  </conditionalFormatting>
  <conditionalFormatting sqref="AY120">
    <cfRule type="duplicateValues" dxfId="110" priority="204"/>
  </conditionalFormatting>
  <conditionalFormatting sqref="AY121:AY184 AY191:AY192 AZ206 AY228:AY253 AY272:AY277 AY294 AY296:AY297 AY299:AY301 AY305:AY1048576">
    <cfRule type="cellIs" dxfId="109" priority="445" operator="between">
      <formula>36526</formula>
      <formula>"31/12/3000"</formula>
    </cfRule>
  </conditionalFormatting>
  <conditionalFormatting sqref="AY185">
    <cfRule type="duplicateValues" dxfId="108" priority="182"/>
  </conditionalFormatting>
  <conditionalFormatting sqref="AY194:AY225">
    <cfRule type="cellIs" dxfId="107" priority="7" operator="between">
      <formula>36526</formula>
      <formula>402133</formula>
    </cfRule>
    <cfRule type="cellIs" dxfId="106" priority="8" operator="between">
      <formula>36526</formula>
      <formula>"31/12/3000"</formula>
    </cfRule>
  </conditionalFormatting>
  <conditionalFormatting sqref="AY255:AY270">
    <cfRule type="cellIs" dxfId="105" priority="3" operator="between">
      <formula>36526</formula>
      <formula>402133</formula>
    </cfRule>
    <cfRule type="cellIs" dxfId="104" priority="4" operator="between">
      <formula>36526</formula>
      <formula>"31/12/3000"</formula>
    </cfRule>
  </conditionalFormatting>
  <conditionalFormatting sqref="AY279:AY283">
    <cfRule type="cellIs" dxfId="103" priority="5" operator="between">
      <formula>36526</formula>
      <formula>402133</formula>
    </cfRule>
    <cfRule type="cellIs" dxfId="102" priority="6" operator="between">
      <formula>36526</formula>
      <formula>"31/12/3000"</formula>
    </cfRule>
  </conditionalFormatting>
  <conditionalFormatting sqref="AY285:AY292">
    <cfRule type="cellIs" dxfId="101" priority="2" operator="between">
      <formula>36526</formula>
      <formula>"31/12/3000"</formula>
    </cfRule>
    <cfRule type="cellIs" dxfId="100" priority="1" operator="between">
      <formula>36526</formula>
      <formula>402133</formula>
    </cfRule>
  </conditionalFormatting>
  <conditionalFormatting sqref="AY187:AZ187">
    <cfRule type="cellIs" dxfId="99" priority="297" operator="between">
      <formula>36526</formula>
      <formula>"31/12/3000"</formula>
    </cfRule>
    <cfRule type="cellIs" dxfId="98" priority="298" operator="between">
      <formula>36526</formula>
      <formula>402133</formula>
    </cfRule>
  </conditionalFormatting>
  <conditionalFormatting sqref="AZ117">
    <cfRule type="cellIs" dxfId="97" priority="304" operator="between">
      <formula>36526</formula>
      <formula>402133</formula>
    </cfRule>
    <cfRule type="cellIs" dxfId="96" priority="303" operator="between">
      <formula>36526</formula>
      <formula>"31/12/3000"</formula>
    </cfRule>
  </conditionalFormatting>
  <conditionalFormatting sqref="AZ120">
    <cfRule type="duplicateValues" dxfId="95" priority="203"/>
  </conditionalFormatting>
  <conditionalFormatting sqref="AZ121">
    <cfRule type="cellIs" dxfId="94" priority="130" operator="between">
      <formula>36526</formula>
      <formula>402133</formula>
    </cfRule>
    <cfRule type="cellIs" dxfId="93" priority="129" operator="between">
      <formula>36526</formula>
      <formula>"31/12/3000"</formula>
    </cfRule>
  </conditionalFormatting>
  <conditionalFormatting sqref="AZ155">
    <cfRule type="cellIs" dxfId="92" priority="302" operator="between">
      <formula>36526</formula>
      <formula>402133</formula>
    </cfRule>
    <cfRule type="cellIs" dxfId="91" priority="301" operator="between">
      <formula>36526</formula>
      <formula>"31/12/3000"</formula>
    </cfRule>
  </conditionalFormatting>
  <conditionalFormatting sqref="AZ160">
    <cfRule type="cellIs" dxfId="90" priority="300" operator="between">
      <formula>36526</formula>
      <formula>402133</formula>
    </cfRule>
    <cfRule type="cellIs" dxfId="89" priority="299" operator="between">
      <formula>36526</formula>
      <formula>"31/12/3000"</formula>
    </cfRule>
  </conditionalFormatting>
  <conditionalFormatting sqref="AZ166">
    <cfRule type="cellIs" dxfId="88" priority="295" operator="between">
      <formula>36526</formula>
      <formula>"31/12/3000"</formula>
    </cfRule>
    <cfRule type="cellIs" dxfId="87" priority="296" operator="between">
      <formula>36526</formula>
      <formula>402133</formula>
    </cfRule>
  </conditionalFormatting>
  <conditionalFormatting sqref="AZ180:AZ181">
    <cfRule type="cellIs" dxfId="86" priority="292" operator="between">
      <formula>36526</formula>
      <formula>402133</formula>
    </cfRule>
    <cfRule type="cellIs" dxfId="85" priority="291" operator="between">
      <formula>36526</formula>
      <formula>"31/12/3000"</formula>
    </cfRule>
  </conditionalFormatting>
  <conditionalFormatting sqref="AZ183">
    <cfRule type="cellIs" dxfId="84" priority="410" operator="between">
      <formula>36526</formula>
      <formula>"31/12/3000"</formula>
    </cfRule>
    <cfRule type="cellIs" dxfId="83" priority="411" operator="between">
      <formula>36526</formula>
      <formula>402133</formula>
    </cfRule>
  </conditionalFormatting>
  <conditionalFormatting sqref="AZ185">
    <cfRule type="duplicateValues" dxfId="82" priority="181"/>
  </conditionalFormatting>
  <conditionalFormatting sqref="AZ192">
    <cfRule type="cellIs" dxfId="81" priority="402" operator="between">
      <formula>36526</formula>
      <formula>"31/12/3000"</formula>
    </cfRule>
    <cfRule type="cellIs" dxfId="80" priority="403" operator="between">
      <formula>36526</formula>
      <formula>402133</formula>
    </cfRule>
  </conditionalFormatting>
  <conditionalFormatting sqref="AZ202">
    <cfRule type="cellIs" dxfId="79" priority="394" operator="between">
      <formula>36526</formula>
      <formula>"31/12/3000"</formula>
    </cfRule>
    <cfRule type="cellIs" dxfId="78" priority="395" operator="between">
      <formula>36526</formula>
      <formula>402133</formula>
    </cfRule>
  </conditionalFormatting>
  <conditionalFormatting sqref="AZ209">
    <cfRule type="cellIs" dxfId="77" priority="386" operator="between">
      <formula>36526</formula>
      <formula>"31/12/3000"</formula>
    </cfRule>
    <cfRule type="cellIs" dxfId="76" priority="387" operator="between">
      <formula>36526</formula>
      <formula>402133</formula>
    </cfRule>
  </conditionalFormatting>
  <conditionalFormatting sqref="AZ211:AZ212">
    <cfRule type="cellIs" dxfId="75" priority="289" operator="between">
      <formula>36526</formula>
      <formula>"31/12/3000"</formula>
    </cfRule>
    <cfRule type="cellIs" dxfId="74" priority="290" operator="between">
      <formula>36526</formula>
      <formula>402133</formula>
    </cfRule>
  </conditionalFormatting>
  <conditionalFormatting sqref="AZ238:AZ239">
    <cfRule type="cellIs" dxfId="73" priority="380" operator="between">
      <formula>36526</formula>
      <formula>"31/12/3000"</formula>
    </cfRule>
    <cfRule type="cellIs" dxfId="72" priority="381" operator="between">
      <formula>36526</formula>
      <formula>402133</formula>
    </cfRule>
  </conditionalFormatting>
  <conditionalFormatting sqref="AZ257 AZ260:AZ261">
    <cfRule type="cellIs" dxfId="71" priority="378" operator="between">
      <formula>36526</formula>
      <formula>"31/12/3000"</formula>
    </cfRule>
    <cfRule type="cellIs" dxfId="70" priority="379" operator="between">
      <formula>36526</formula>
      <formula>402133</formula>
    </cfRule>
  </conditionalFormatting>
  <conditionalFormatting sqref="AZ265">
    <cfRule type="cellIs" dxfId="69" priority="377" operator="between">
      <formula>36526</formula>
      <formula>402133</formula>
    </cfRule>
    <cfRule type="cellIs" dxfId="68" priority="376" operator="between">
      <formula>36526</formula>
      <formula>"31/12/3000"</formula>
    </cfRule>
  </conditionalFormatting>
  <conditionalFormatting sqref="AZ270">
    <cfRule type="cellIs" dxfId="67" priority="119" operator="between">
      <formula>36526</formula>
      <formula>402133</formula>
    </cfRule>
    <cfRule type="cellIs" dxfId="66" priority="118" operator="between">
      <formula>36526</formula>
      <formula>"31/12/3000"</formula>
    </cfRule>
  </conditionalFormatting>
  <conditionalFormatting sqref="BA120">
    <cfRule type="duplicateValues" dxfId="65" priority="202"/>
  </conditionalFormatting>
  <conditionalFormatting sqref="BA185">
    <cfRule type="duplicateValues" dxfId="64" priority="180"/>
  </conditionalFormatting>
  <conditionalFormatting sqref="BB1:BB1048576">
    <cfRule type="containsText" dxfId="63" priority="522" operator="containsText" text="FINALIZADO">
      <formula>NOT(ISERROR(SEARCH("FINALIZADO",BB1)))</formula>
    </cfRule>
  </conditionalFormatting>
  <conditionalFormatting sqref="BD1:BD1048576">
    <cfRule type="cellIs" dxfId="62" priority="542" operator="equal">
      <formula>"AA"</formula>
    </cfRule>
    <cfRule type="cellIs" dxfId="61" priority="541" operator="equal">
      <formula>"INDENIZAÇÃO"</formula>
    </cfRule>
  </conditionalFormatting>
  <conditionalFormatting sqref="BD14:BD316">
    <cfRule type="cellIs" dxfId="60" priority="569" operator="equal">
      <formula>"FINALIZADO"</formula>
    </cfRule>
  </conditionalFormatting>
  <dataValidations count="1">
    <dataValidation allowBlank="1" showInputMessage="1" showErrorMessage="1" sqref="AG29:AH29 AG22:AH22 A14:B316 D14:E316 AG24:AH24 AH17 AG15:AG17 AJ46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H1010"/>
  <sheetViews>
    <sheetView workbookViewId="0">
      <selection activeCell="A4" sqref="A4:D5"/>
    </sheetView>
  </sheetViews>
  <sheetFormatPr defaultColWidth="9.140625" defaultRowHeight="20.25" customHeight="1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27.425781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1" spans="1:8" ht="20.25" customHeight="1" thickBot="1">
      <c r="D1" s="179" t="s">
        <v>4429</v>
      </c>
    </row>
    <row r="2" spans="1:8" ht="20.25" customHeight="1" thickBot="1">
      <c r="D2" s="179" t="s">
        <v>5454</v>
      </c>
    </row>
    <row r="3" spans="1:8" ht="20.25" customHeight="1" thickBot="1">
      <c r="D3" s="179" t="s">
        <v>5455</v>
      </c>
      <c r="F3" s="99" t="s">
        <v>5456</v>
      </c>
      <c r="H3" s="15" t="s">
        <v>5457</v>
      </c>
    </row>
    <row r="4" spans="1:8" ht="20.25" customHeight="1">
      <c r="A4" s="177" t="s">
        <v>2</v>
      </c>
      <c r="B4" s="177" t="s">
        <v>4378</v>
      </c>
      <c r="C4" s="178" t="s">
        <v>111</v>
      </c>
      <c r="D4" s="179" t="s">
        <v>5455</v>
      </c>
      <c r="F4" s="100" t="s">
        <v>5458</v>
      </c>
      <c r="H4" s="15" t="s">
        <v>5459</v>
      </c>
    </row>
    <row r="5" spans="1:8" ht="20.25" customHeight="1">
      <c r="A5" s="250" t="s">
        <v>4432</v>
      </c>
      <c r="B5" s="251" t="s">
        <v>4530</v>
      </c>
      <c r="C5" s="250" t="s">
        <v>4531</v>
      </c>
      <c r="D5" s="252">
        <v>46218</v>
      </c>
      <c r="F5" s="99" t="s">
        <v>5460</v>
      </c>
      <c r="H5" s="15" t="s">
        <v>5461</v>
      </c>
    </row>
    <row r="6" spans="1:8" ht="20.25" customHeight="1">
      <c r="A6" s="250" t="s">
        <v>4432</v>
      </c>
      <c r="B6" s="251" t="s">
        <v>4657</v>
      </c>
      <c r="C6" s="250" t="s">
        <v>4658</v>
      </c>
      <c r="D6" s="252">
        <v>46218</v>
      </c>
      <c r="F6" s="99" t="s">
        <v>5462</v>
      </c>
      <c r="H6" s="15" t="s">
        <v>5463</v>
      </c>
    </row>
    <row r="7" spans="1:8" ht="20.25" customHeight="1">
      <c r="A7" s="250" t="s">
        <v>4432</v>
      </c>
      <c r="B7" s="250" t="s">
        <v>4739</v>
      </c>
      <c r="C7" s="250" t="s">
        <v>4740</v>
      </c>
      <c r="D7" s="252">
        <v>46220</v>
      </c>
      <c r="F7" s="99" t="s">
        <v>5459</v>
      </c>
      <c r="H7" s="15" t="s">
        <v>5464</v>
      </c>
    </row>
    <row r="8" spans="1:8" ht="20.25" customHeight="1">
      <c r="A8" s="250" t="s">
        <v>4432</v>
      </c>
      <c r="B8" s="251" t="s">
        <v>4744</v>
      </c>
      <c r="C8" s="250" t="s">
        <v>4745</v>
      </c>
      <c r="D8" s="252">
        <v>46220</v>
      </c>
      <c r="F8" s="99" t="s">
        <v>5457</v>
      </c>
      <c r="H8" s="15" t="s">
        <v>5465</v>
      </c>
    </row>
    <row r="9" spans="1:8" ht="20.25" customHeight="1">
      <c r="A9" s="250" t="s">
        <v>4432</v>
      </c>
      <c r="B9" s="251" t="s">
        <v>5134</v>
      </c>
      <c r="C9" s="250" t="s">
        <v>5135</v>
      </c>
      <c r="D9" s="252">
        <v>46220</v>
      </c>
      <c r="F9" s="99" t="s">
        <v>5465</v>
      </c>
      <c r="H9" s="15" t="s">
        <v>5466</v>
      </c>
    </row>
    <row r="10" spans="1:8" ht="20.25" customHeight="1">
      <c r="A10" s="250" t="s">
        <v>4432</v>
      </c>
      <c r="B10" s="251" t="s">
        <v>5139</v>
      </c>
      <c r="C10" s="250" t="s">
        <v>5140</v>
      </c>
      <c r="D10" s="252">
        <v>46220</v>
      </c>
      <c r="F10" s="99" t="s">
        <v>5464</v>
      </c>
      <c r="H10" s="15" t="s">
        <v>5467</v>
      </c>
    </row>
    <row r="11" spans="1:8" ht="20.25" customHeight="1">
      <c r="A11" s="250" t="s">
        <v>4432</v>
      </c>
      <c r="B11" s="253" t="s">
        <v>5346</v>
      </c>
      <c r="C11" s="254" t="s">
        <v>5348</v>
      </c>
      <c r="D11" s="252">
        <v>46220</v>
      </c>
      <c r="F11" s="99" t="s">
        <v>5468</v>
      </c>
      <c r="H11" s="15" t="s">
        <v>5469</v>
      </c>
    </row>
    <row r="12" spans="1:8" ht="20.25" customHeight="1">
      <c r="A12" s="260"/>
      <c r="B12" s="261"/>
      <c r="C12" s="260"/>
      <c r="D12" s="262"/>
      <c r="F12" s="99" t="s">
        <v>5470</v>
      </c>
      <c r="H12" s="15" t="s">
        <v>5471</v>
      </c>
    </row>
    <row r="13" spans="1:8" ht="20.25" customHeight="1">
      <c r="A13" s="250"/>
      <c r="B13" s="251"/>
      <c r="C13" s="250"/>
      <c r="D13" s="252"/>
      <c r="F13" s="99" t="s">
        <v>5472</v>
      </c>
      <c r="H13" s="15" t="s">
        <v>5473</v>
      </c>
    </row>
    <row r="14" spans="1:8" ht="20.25" customHeight="1">
      <c r="A14" s="250"/>
      <c r="B14" s="253"/>
      <c r="C14" s="254"/>
      <c r="D14" s="252"/>
      <c r="F14" s="99" t="s">
        <v>5474</v>
      </c>
      <c r="H14" s="15" t="s">
        <v>5475</v>
      </c>
    </row>
    <row r="15" spans="1:8" ht="20.25" customHeight="1">
      <c r="A15" s="250"/>
      <c r="B15" s="253"/>
      <c r="C15" s="254"/>
      <c r="D15" s="252"/>
      <c r="F15" s="99" t="s">
        <v>5466</v>
      </c>
      <c r="H15" s="15" t="s">
        <v>5462</v>
      </c>
    </row>
    <row r="16" spans="1:8" ht="20.25" customHeight="1">
      <c r="A16" s="250"/>
      <c r="B16" s="251"/>
      <c r="C16" s="250"/>
      <c r="D16" s="252"/>
      <c r="F16" s="99" t="s">
        <v>5476</v>
      </c>
      <c r="H16" s="15" t="s">
        <v>5477</v>
      </c>
    </row>
    <row r="17" spans="1:8" ht="20.25" customHeight="1">
      <c r="A17" s="250"/>
      <c r="B17" s="251"/>
      <c r="C17" s="250"/>
      <c r="D17" s="252"/>
      <c r="F17" s="99" t="s">
        <v>5478</v>
      </c>
      <c r="H17" s="15" t="s">
        <v>5472</v>
      </c>
    </row>
    <row r="18" spans="1:8" ht="20.25" customHeight="1">
      <c r="A18" s="250"/>
      <c r="B18" s="250"/>
      <c r="C18" s="250"/>
      <c r="D18" s="252"/>
      <c r="F18" s="99" t="s">
        <v>5479</v>
      </c>
      <c r="H18" s="15" t="s">
        <v>5480</v>
      </c>
    </row>
    <row r="19" spans="1:8" ht="20.25" customHeight="1">
      <c r="A19" s="250"/>
      <c r="B19" s="253"/>
      <c r="C19" s="254"/>
      <c r="D19" s="252"/>
      <c r="F19" s="99" t="s">
        <v>5481</v>
      </c>
      <c r="H19" s="15" t="s">
        <v>5458</v>
      </c>
    </row>
    <row r="20" spans="1:8" ht="20.25" customHeight="1">
      <c r="A20" s="250"/>
      <c r="B20" s="250"/>
      <c r="C20" s="250"/>
      <c r="D20" s="252"/>
      <c r="F20" s="99" t="s">
        <v>5471</v>
      </c>
      <c r="H20" s="15" t="s">
        <v>5482</v>
      </c>
    </row>
    <row r="21" spans="1:8" ht="20.25" customHeight="1">
      <c r="A21" s="250"/>
      <c r="B21" s="253"/>
      <c r="C21" s="254"/>
      <c r="D21" s="252"/>
      <c r="F21" s="99" t="s">
        <v>5483</v>
      </c>
      <c r="H21" s="15" t="s">
        <v>5484</v>
      </c>
    </row>
    <row r="22" spans="1:8" ht="20.25" customHeight="1">
      <c r="A22" s="250"/>
      <c r="B22" s="253"/>
      <c r="C22" s="254"/>
      <c r="D22" s="252"/>
      <c r="F22" s="99" t="s">
        <v>5467</v>
      </c>
      <c r="H22" s="15" t="s">
        <v>5485</v>
      </c>
    </row>
    <row r="23" spans="1:8" ht="20.25" customHeight="1">
      <c r="A23" s="250"/>
      <c r="B23" s="253"/>
      <c r="C23" s="254"/>
      <c r="D23" s="252"/>
      <c r="F23" s="99" t="s">
        <v>5486</v>
      </c>
      <c r="H23" s="15" t="s">
        <v>5487</v>
      </c>
    </row>
    <row r="24" spans="1:8" ht="20.25" customHeight="1">
      <c r="A24" s="250"/>
      <c r="B24" s="253"/>
      <c r="C24" s="254"/>
      <c r="D24" s="252"/>
      <c r="F24" s="99" t="s">
        <v>5488</v>
      </c>
      <c r="H24" s="15" t="s">
        <v>5486</v>
      </c>
    </row>
    <row r="25" spans="1:8" ht="20.25" customHeight="1">
      <c r="A25" s="114"/>
      <c r="B25" s="114"/>
      <c r="C25" s="185"/>
      <c r="D25" s="186"/>
      <c r="F25" s="99" t="s">
        <v>5477</v>
      </c>
      <c r="H25" s="15" t="s">
        <v>5474</v>
      </c>
    </row>
    <row r="26" spans="1:8" ht="20.25" customHeight="1">
      <c r="A26" s="171"/>
      <c r="B26" s="172"/>
      <c r="C26" s="113"/>
      <c r="D26" s="175"/>
      <c r="F26" s="99" t="s">
        <v>5475</v>
      </c>
      <c r="H26" s="15" t="s">
        <v>5479</v>
      </c>
    </row>
    <row r="27" spans="1:8" ht="20.25" customHeight="1">
      <c r="A27" s="113"/>
      <c r="B27" s="113"/>
      <c r="C27" s="115"/>
      <c r="D27" s="175"/>
      <c r="F27" s="99" t="s">
        <v>5489</v>
      </c>
      <c r="H27" s="15" t="s">
        <v>5490</v>
      </c>
    </row>
    <row r="28" spans="1:8" ht="20.25" customHeight="1">
      <c r="A28" s="113"/>
      <c r="B28" s="113"/>
      <c r="C28" s="115"/>
      <c r="D28" s="174"/>
      <c r="F28" s="99" t="s">
        <v>5490</v>
      </c>
      <c r="H28" s="105" t="s">
        <v>5491</v>
      </c>
    </row>
    <row r="29" spans="1:8" ht="20.25" customHeight="1">
      <c r="A29" s="113"/>
      <c r="B29" s="113"/>
      <c r="C29" s="115"/>
      <c r="D29" s="174"/>
      <c r="F29" s="99" t="s">
        <v>5492</v>
      </c>
      <c r="H29" s="105" t="s">
        <v>5468</v>
      </c>
    </row>
    <row r="30" spans="1:8" ht="20.25" customHeight="1">
      <c r="A30" s="113"/>
      <c r="B30" s="113"/>
      <c r="C30" s="115"/>
      <c r="D30" s="174"/>
      <c r="F30" s="99" t="s">
        <v>5493</v>
      </c>
      <c r="H30" s="105" t="s">
        <v>5494</v>
      </c>
    </row>
    <row r="31" spans="1:8" ht="20.25" customHeight="1">
      <c r="A31" s="113"/>
      <c r="B31" s="113"/>
      <c r="C31" s="115"/>
      <c r="D31" s="174"/>
      <c r="F31" s="99" t="s">
        <v>5495</v>
      </c>
      <c r="H31" s="105" t="s">
        <v>5496</v>
      </c>
    </row>
    <row r="32" spans="1:8" ht="20.25" customHeight="1">
      <c r="A32" s="113"/>
      <c r="B32" s="113"/>
      <c r="C32" s="115"/>
      <c r="D32" s="174"/>
      <c r="F32" s="99" t="s">
        <v>5497</v>
      </c>
      <c r="H32" s="105" t="s">
        <v>5498</v>
      </c>
    </row>
    <row r="33" spans="1:8" ht="20.25" customHeight="1">
      <c r="A33" s="157"/>
      <c r="B33" s="114"/>
      <c r="C33" s="176"/>
      <c r="D33" s="173"/>
      <c r="F33" s="99" t="s">
        <v>5499</v>
      </c>
      <c r="H33" s="105" t="s">
        <v>5476</v>
      </c>
    </row>
    <row r="34" spans="1:8" ht="20.25" customHeight="1">
      <c r="A34" s="131"/>
      <c r="B34" s="113"/>
      <c r="C34" s="138"/>
      <c r="D34" s="170"/>
      <c r="F34" s="99" t="s">
        <v>5500</v>
      </c>
      <c r="H34" s="105" t="s">
        <v>5501</v>
      </c>
    </row>
    <row r="35" spans="1:8" ht="20.25" customHeight="1">
      <c r="A35" s="113"/>
      <c r="B35" s="113"/>
      <c r="C35" s="163"/>
      <c r="D35" s="170"/>
      <c r="F35" s="99" t="s">
        <v>5502</v>
      </c>
      <c r="H35" s="105" t="s">
        <v>5460</v>
      </c>
    </row>
    <row r="36" spans="1:8" ht="20.25" customHeight="1">
      <c r="A36" s="113"/>
      <c r="B36" s="113"/>
      <c r="C36" s="167"/>
      <c r="D36" s="170"/>
      <c r="F36" s="99" t="s">
        <v>5503</v>
      </c>
      <c r="H36" s="105" t="s">
        <v>5456</v>
      </c>
    </row>
    <row r="37" spans="1:8" ht="20.25" customHeight="1">
      <c r="A37" s="113"/>
      <c r="B37" s="113"/>
      <c r="C37" s="167"/>
      <c r="D37" s="170"/>
      <c r="F37" s="99" t="s">
        <v>5504</v>
      </c>
      <c r="H37" s="105" t="s">
        <v>5497</v>
      </c>
    </row>
    <row r="38" spans="1:8" ht="20.25" customHeight="1">
      <c r="A38" s="113"/>
      <c r="B38" s="172"/>
      <c r="C38" s="132"/>
      <c r="D38" s="170"/>
      <c r="F38" s="99" t="s">
        <v>5505</v>
      </c>
      <c r="H38" s="105" t="s">
        <v>5502</v>
      </c>
    </row>
    <row r="39" spans="1:8" ht="20.25" customHeight="1">
      <c r="A39" s="113"/>
      <c r="B39" s="113"/>
      <c r="C39" s="115"/>
      <c r="D39" s="170"/>
      <c r="F39" s="248" t="s">
        <v>5506</v>
      </c>
      <c r="H39" s="15" t="s">
        <v>5503</v>
      </c>
    </row>
    <row r="40" spans="1:8" ht="20.25" customHeight="1">
      <c r="A40" s="113" t="s">
        <v>5507</v>
      </c>
      <c r="B40" s="113" t="s">
        <v>5508</v>
      </c>
      <c r="C40" s="115" t="s">
        <v>5509</v>
      </c>
      <c r="D40" s="170">
        <v>45224</v>
      </c>
      <c r="F40" s="99" t="s">
        <v>5510</v>
      </c>
      <c r="H40" s="15" t="s">
        <v>5511</v>
      </c>
    </row>
    <row r="41" spans="1:8" ht="20.25" customHeight="1">
      <c r="A41" s="113" t="s">
        <v>5507</v>
      </c>
      <c r="B41" s="113" t="s">
        <v>5512</v>
      </c>
      <c r="C41" s="115" t="s">
        <v>5513</v>
      </c>
      <c r="D41" s="170">
        <v>45224</v>
      </c>
      <c r="F41" s="99" t="s">
        <v>5514</v>
      </c>
      <c r="H41" s="15" t="s">
        <v>5492</v>
      </c>
    </row>
    <row r="42" spans="1:8" ht="20.25" customHeight="1">
      <c r="A42" s="113" t="s">
        <v>5507</v>
      </c>
      <c r="B42" s="113" t="s">
        <v>5515</v>
      </c>
      <c r="C42" s="115" t="s">
        <v>5516</v>
      </c>
      <c r="D42" s="170">
        <v>45224</v>
      </c>
      <c r="F42" s="248" t="s">
        <v>5501</v>
      </c>
      <c r="H42" s="15" t="s">
        <v>5517</v>
      </c>
    </row>
    <row r="43" spans="1:8" ht="20.25" customHeight="1">
      <c r="A43" s="113" t="s">
        <v>5507</v>
      </c>
      <c r="B43" s="113" t="s">
        <v>5518</v>
      </c>
      <c r="C43" s="115" t="s">
        <v>5519</v>
      </c>
      <c r="D43" s="170">
        <v>45224</v>
      </c>
      <c r="F43" s="99" t="s">
        <v>5469</v>
      </c>
      <c r="H43" s="15" t="s">
        <v>5520</v>
      </c>
    </row>
    <row r="44" spans="1:8" ht="20.25" customHeight="1">
      <c r="A44" s="113" t="s">
        <v>5507</v>
      </c>
      <c r="B44" s="113" t="s">
        <v>5521</v>
      </c>
      <c r="C44" s="115" t="s">
        <v>5522</v>
      </c>
      <c r="D44" s="170">
        <v>45224</v>
      </c>
      <c r="F44" s="99" t="s">
        <v>5496</v>
      </c>
      <c r="H44" s="15" t="s">
        <v>5523</v>
      </c>
    </row>
    <row r="45" spans="1:8" ht="20.25" customHeight="1">
      <c r="A45" s="155"/>
      <c r="B45" s="155"/>
      <c r="C45" s="151"/>
      <c r="D45" s="159"/>
      <c r="F45" s="248" t="s">
        <v>5524</v>
      </c>
      <c r="H45" s="15" t="s">
        <v>5504</v>
      </c>
    </row>
    <row r="46" spans="1:8" ht="20.25" customHeight="1">
      <c r="A46" s="153"/>
      <c r="B46" s="153"/>
      <c r="C46" s="132"/>
      <c r="D46" s="136"/>
      <c r="F46" s="99" t="s">
        <v>5517</v>
      </c>
      <c r="H46" s="15" t="s">
        <v>5525</v>
      </c>
    </row>
    <row r="47" spans="1:8" ht="20.25" customHeight="1">
      <c r="A47" s="153"/>
      <c r="B47" s="153"/>
      <c r="C47" s="132"/>
      <c r="D47" s="136"/>
      <c r="F47" s="99" t="s">
        <v>5526</v>
      </c>
      <c r="H47" s="15" t="s">
        <v>5527</v>
      </c>
    </row>
    <row r="48" spans="1:8" ht="20.25" customHeight="1">
      <c r="A48" s="153"/>
      <c r="B48" s="153"/>
      <c r="C48" s="138"/>
      <c r="D48" s="136"/>
      <c r="F48" s="102" t="s">
        <v>5528</v>
      </c>
      <c r="H48" s="15" t="s">
        <v>5505</v>
      </c>
    </row>
    <row r="49" spans="1:8" ht="20.25" customHeight="1">
      <c r="A49" s="153"/>
      <c r="B49" s="153"/>
      <c r="C49" s="138"/>
      <c r="D49" s="136"/>
      <c r="F49" s="99" t="s">
        <v>5482</v>
      </c>
      <c r="H49" s="15" t="s">
        <v>5529</v>
      </c>
    </row>
    <row r="50" spans="1:8" ht="20.25" customHeight="1">
      <c r="A50" s="153"/>
      <c r="B50" s="153"/>
      <c r="C50" s="138"/>
      <c r="D50" s="136"/>
      <c r="F50" s="99" t="s">
        <v>5529</v>
      </c>
      <c r="H50" s="15" t="s">
        <v>5499</v>
      </c>
    </row>
    <row r="51" spans="1:8" ht="20.25" customHeight="1">
      <c r="A51" s="153"/>
      <c r="B51" s="153"/>
      <c r="C51" s="138"/>
      <c r="D51" s="136"/>
      <c r="F51" s="99" t="s">
        <v>5463</v>
      </c>
      <c r="H51" s="15" t="s">
        <v>5510</v>
      </c>
    </row>
    <row r="52" spans="1:8" ht="20.25" customHeight="1">
      <c r="A52" s="153"/>
      <c r="B52" s="153"/>
      <c r="C52" s="138"/>
      <c r="D52" s="136"/>
      <c r="F52" s="101" t="s">
        <v>5491</v>
      </c>
      <c r="H52" s="15" t="s">
        <v>5483</v>
      </c>
    </row>
    <row r="53" spans="1:8" ht="20.25" customHeight="1">
      <c r="A53" s="153"/>
      <c r="B53" s="153"/>
      <c r="C53" s="138"/>
      <c r="D53" s="136"/>
      <c r="F53" s="99" t="s">
        <v>5494</v>
      </c>
      <c r="H53" s="15" t="s">
        <v>5530</v>
      </c>
    </row>
    <row r="54" spans="1:8" ht="20.25" customHeight="1">
      <c r="A54" s="153"/>
      <c r="B54" s="153"/>
      <c r="C54" s="138"/>
      <c r="D54" s="136"/>
      <c r="F54" s="99" t="s">
        <v>5484</v>
      </c>
      <c r="H54" s="15" t="s">
        <v>5470</v>
      </c>
    </row>
    <row r="55" spans="1:8" ht="20.25" customHeight="1">
      <c r="A55" s="153"/>
      <c r="B55" s="153"/>
      <c r="C55" s="138"/>
      <c r="D55" s="136"/>
      <c r="F55" s="99" t="s">
        <v>5487</v>
      </c>
    </row>
    <row r="56" spans="1:8" ht="20.25" customHeight="1">
      <c r="A56" s="153"/>
      <c r="B56" s="153"/>
      <c r="C56" s="138"/>
      <c r="D56" s="136"/>
      <c r="F56" s="103" t="s">
        <v>5511</v>
      </c>
    </row>
    <row r="57" spans="1:8" ht="20.25" customHeight="1">
      <c r="A57" s="153"/>
      <c r="B57" s="153"/>
      <c r="C57" s="132"/>
      <c r="D57" s="136"/>
      <c r="F57" s="103" t="s">
        <v>5525</v>
      </c>
    </row>
    <row r="58" spans="1:8" ht="20.25" customHeight="1">
      <c r="A58" s="153"/>
      <c r="B58" s="153"/>
      <c r="C58" s="138"/>
      <c r="D58" s="136"/>
    </row>
    <row r="59" spans="1:8" ht="20.25" customHeight="1">
      <c r="A59" s="153"/>
      <c r="B59" s="153"/>
      <c r="C59" s="138"/>
      <c r="D59" s="136"/>
    </row>
    <row r="60" spans="1:8" ht="20.25" customHeight="1">
      <c r="A60" s="153" t="s">
        <v>5507</v>
      </c>
      <c r="B60" s="153" t="s">
        <v>5531</v>
      </c>
      <c r="C60" s="138" t="s">
        <v>5532</v>
      </c>
      <c r="D60" s="136">
        <v>45224</v>
      </c>
    </row>
    <row r="61" spans="1:8" ht="20.25" customHeight="1">
      <c r="A61" s="153" t="s">
        <v>5507</v>
      </c>
      <c r="B61" s="153" t="s">
        <v>5533</v>
      </c>
      <c r="C61" s="138" t="s">
        <v>5534</v>
      </c>
      <c r="D61" s="136">
        <v>45224</v>
      </c>
    </row>
    <row r="62" spans="1:8" ht="20.25" customHeight="1">
      <c r="A62" s="153" t="s">
        <v>5507</v>
      </c>
      <c r="B62" s="153" t="s">
        <v>5535</v>
      </c>
      <c r="C62" s="138" t="s">
        <v>5536</v>
      </c>
      <c r="D62" s="136">
        <v>45224</v>
      </c>
    </row>
    <row r="63" spans="1:8" ht="20.25" customHeight="1">
      <c r="A63" s="153" t="s">
        <v>5507</v>
      </c>
      <c r="B63" s="153" t="s">
        <v>5537</v>
      </c>
      <c r="C63" s="138" t="s">
        <v>5538</v>
      </c>
      <c r="D63" s="136">
        <v>45224</v>
      </c>
    </row>
    <row r="64" spans="1:8" ht="20.25" customHeight="1">
      <c r="A64" s="153" t="s">
        <v>5507</v>
      </c>
      <c r="B64" s="153" t="s">
        <v>5539</v>
      </c>
      <c r="C64" s="138" t="s">
        <v>5540</v>
      </c>
      <c r="D64" s="136">
        <v>45224</v>
      </c>
    </row>
    <row r="65" spans="1:4" ht="20.25" customHeight="1">
      <c r="A65" s="153" t="s">
        <v>5507</v>
      </c>
      <c r="B65" s="153" t="s">
        <v>5541</v>
      </c>
      <c r="C65" s="138" t="s">
        <v>5542</v>
      </c>
      <c r="D65" s="136">
        <v>45224</v>
      </c>
    </row>
    <row r="66" spans="1:4" ht="20.25" customHeight="1">
      <c r="A66" s="153" t="s">
        <v>5507</v>
      </c>
      <c r="B66" s="153" t="s">
        <v>5543</v>
      </c>
      <c r="C66" s="138" t="s">
        <v>5544</v>
      </c>
      <c r="D66" s="136">
        <v>45224</v>
      </c>
    </row>
    <row r="67" spans="1:4" ht="20.25" customHeight="1">
      <c r="A67" s="153" t="s">
        <v>5507</v>
      </c>
      <c r="B67" s="153" t="s">
        <v>5545</v>
      </c>
      <c r="C67" s="138" t="s">
        <v>5546</v>
      </c>
      <c r="D67" s="136">
        <v>45224</v>
      </c>
    </row>
    <row r="68" spans="1:4" ht="20.25" customHeight="1">
      <c r="A68" s="153" t="s">
        <v>5507</v>
      </c>
      <c r="B68" s="153" t="s">
        <v>5547</v>
      </c>
      <c r="C68" s="138" t="s">
        <v>5548</v>
      </c>
      <c r="D68" s="136">
        <v>45224</v>
      </c>
    </row>
    <row r="69" spans="1:4" ht="20.25" customHeight="1">
      <c r="A69" s="153" t="s">
        <v>5507</v>
      </c>
      <c r="B69" s="153" t="s">
        <v>5549</v>
      </c>
      <c r="C69" s="138" t="s">
        <v>5550</v>
      </c>
      <c r="D69" s="136">
        <v>45224</v>
      </c>
    </row>
    <row r="70" spans="1:4" ht="20.25" customHeight="1">
      <c r="A70" s="153" t="s">
        <v>5507</v>
      </c>
      <c r="B70" s="153" t="s">
        <v>5551</v>
      </c>
      <c r="C70" s="138" t="s">
        <v>5552</v>
      </c>
      <c r="D70" s="136">
        <v>45224</v>
      </c>
    </row>
    <row r="71" spans="1:4" ht="20.25" customHeight="1">
      <c r="A71" s="153" t="s">
        <v>5507</v>
      </c>
      <c r="B71" s="153" t="s">
        <v>5553</v>
      </c>
      <c r="C71" s="132" t="s">
        <v>5554</v>
      </c>
      <c r="D71" s="136">
        <v>45224</v>
      </c>
    </row>
    <row r="72" spans="1:4" ht="20.25" customHeight="1">
      <c r="A72" s="153" t="s">
        <v>5507</v>
      </c>
      <c r="B72" s="153" t="s">
        <v>5555</v>
      </c>
      <c r="C72" s="132" t="s">
        <v>5556</v>
      </c>
      <c r="D72" s="136">
        <v>45224</v>
      </c>
    </row>
    <row r="73" spans="1:4" ht="20.25" customHeight="1">
      <c r="A73" s="153" t="s">
        <v>5507</v>
      </c>
      <c r="B73" s="153" t="s">
        <v>5557</v>
      </c>
      <c r="C73" s="138" t="s">
        <v>5558</v>
      </c>
      <c r="D73" s="136">
        <v>45224</v>
      </c>
    </row>
    <row r="74" spans="1:4" ht="20.25" customHeight="1">
      <c r="A74" s="153" t="s">
        <v>5507</v>
      </c>
      <c r="B74" s="153" t="s">
        <v>5559</v>
      </c>
      <c r="C74" s="132" t="s">
        <v>5560</v>
      </c>
      <c r="D74" s="136">
        <v>45224</v>
      </c>
    </row>
    <row r="75" spans="1:4" ht="20.25" customHeight="1">
      <c r="A75" s="153" t="s">
        <v>5507</v>
      </c>
      <c r="B75" s="153" t="s">
        <v>5561</v>
      </c>
      <c r="C75" s="132" t="s">
        <v>5562</v>
      </c>
      <c r="D75" s="136">
        <v>45224</v>
      </c>
    </row>
    <row r="76" spans="1:4" ht="20.25" customHeight="1">
      <c r="A76" s="153" t="s">
        <v>5507</v>
      </c>
      <c r="B76" s="153" t="s">
        <v>5563</v>
      </c>
      <c r="C76" s="138" t="s">
        <v>5564</v>
      </c>
      <c r="D76" s="136">
        <v>45224</v>
      </c>
    </row>
    <row r="77" spans="1:4" ht="20.25" customHeight="1">
      <c r="A77" s="153" t="s">
        <v>5507</v>
      </c>
      <c r="B77" s="153" t="s">
        <v>5565</v>
      </c>
      <c r="C77" s="132" t="s">
        <v>5566</v>
      </c>
      <c r="D77" s="136">
        <v>45224</v>
      </c>
    </row>
    <row r="78" spans="1:4" ht="20.25" customHeight="1">
      <c r="A78" s="153" t="s">
        <v>5507</v>
      </c>
      <c r="B78" s="153" t="s">
        <v>5567</v>
      </c>
      <c r="C78" s="132" t="s">
        <v>5566</v>
      </c>
      <c r="D78" s="136">
        <v>45224</v>
      </c>
    </row>
    <row r="79" spans="1:4" ht="20.25" customHeight="1">
      <c r="A79" s="153" t="s">
        <v>5507</v>
      </c>
      <c r="B79" s="153" t="s">
        <v>5568</v>
      </c>
      <c r="C79" s="132" t="s">
        <v>5569</v>
      </c>
      <c r="D79" s="136">
        <v>45224</v>
      </c>
    </row>
    <row r="80" spans="1:4" ht="20.25" customHeight="1">
      <c r="A80" s="153" t="s">
        <v>5507</v>
      </c>
      <c r="B80" s="153" t="s">
        <v>5570</v>
      </c>
      <c r="C80" s="132" t="s">
        <v>5571</v>
      </c>
      <c r="D80" s="136">
        <v>45224</v>
      </c>
    </row>
    <row r="81" spans="1:4" ht="20.25" customHeight="1">
      <c r="A81" s="153" t="s">
        <v>5507</v>
      </c>
      <c r="B81" s="153" t="s">
        <v>5572</v>
      </c>
      <c r="C81" s="132" t="s">
        <v>5573</v>
      </c>
      <c r="D81" s="136">
        <v>45224</v>
      </c>
    </row>
    <row r="82" spans="1:4" ht="20.25" customHeight="1">
      <c r="A82" s="153" t="s">
        <v>5507</v>
      </c>
      <c r="B82" s="153" t="s">
        <v>5574</v>
      </c>
      <c r="C82" s="132" t="s">
        <v>5575</v>
      </c>
      <c r="D82" s="136">
        <v>45224</v>
      </c>
    </row>
    <row r="83" spans="1:4" ht="20.25" customHeight="1">
      <c r="A83" s="153" t="s">
        <v>5507</v>
      </c>
      <c r="B83" s="153" t="s">
        <v>5576</v>
      </c>
      <c r="C83" s="132" t="s">
        <v>5577</v>
      </c>
      <c r="D83" s="136">
        <v>45224</v>
      </c>
    </row>
    <row r="84" spans="1:4" ht="20.25" customHeight="1">
      <c r="A84" s="153" t="s">
        <v>5507</v>
      </c>
      <c r="B84" s="153" t="s">
        <v>5578</v>
      </c>
      <c r="C84" s="132" t="s">
        <v>5579</v>
      </c>
      <c r="D84" s="136">
        <v>45224</v>
      </c>
    </row>
    <row r="85" spans="1:4" ht="20.25" customHeight="1">
      <c r="A85" s="153" t="s">
        <v>5507</v>
      </c>
      <c r="B85" s="153" t="s">
        <v>5580</v>
      </c>
      <c r="C85" s="132" t="s">
        <v>5581</v>
      </c>
      <c r="D85" s="136">
        <v>45224</v>
      </c>
    </row>
    <row r="86" spans="1:4" ht="20.25" customHeight="1">
      <c r="A86" s="153" t="s">
        <v>5507</v>
      </c>
      <c r="B86" s="153" t="s">
        <v>5582</v>
      </c>
      <c r="C86" s="132" t="s">
        <v>5583</v>
      </c>
      <c r="D86" s="136">
        <v>45224</v>
      </c>
    </row>
    <row r="87" spans="1:4" ht="20.25" customHeight="1">
      <c r="A87" s="153" t="s">
        <v>5507</v>
      </c>
      <c r="B87" s="153" t="s">
        <v>5584</v>
      </c>
      <c r="C87" s="132" t="s">
        <v>5585</v>
      </c>
      <c r="D87" s="136">
        <v>45224</v>
      </c>
    </row>
    <row r="88" spans="1:4" ht="20.25" customHeight="1">
      <c r="A88" s="153" t="s">
        <v>5507</v>
      </c>
      <c r="B88" s="153" t="s">
        <v>5586</v>
      </c>
      <c r="C88" s="132" t="s">
        <v>5587</v>
      </c>
      <c r="D88" s="136">
        <v>45224</v>
      </c>
    </row>
    <row r="89" spans="1:4" ht="20.25" customHeight="1">
      <c r="A89" s="153" t="s">
        <v>5507</v>
      </c>
      <c r="B89" s="153" t="s">
        <v>5588</v>
      </c>
      <c r="C89" s="132" t="s">
        <v>4628</v>
      </c>
      <c r="D89" s="136">
        <v>45224</v>
      </c>
    </row>
    <row r="90" spans="1:4" ht="20.25" customHeight="1">
      <c r="A90" s="153" t="s">
        <v>5507</v>
      </c>
      <c r="B90" s="153" t="s">
        <v>5589</v>
      </c>
      <c r="C90" s="132" t="s">
        <v>5590</v>
      </c>
      <c r="D90" s="136">
        <v>45224</v>
      </c>
    </row>
    <row r="91" spans="1:4" ht="20.25" customHeight="1">
      <c r="A91" s="153" t="s">
        <v>5507</v>
      </c>
      <c r="B91" s="153" t="s">
        <v>5591</v>
      </c>
      <c r="C91" s="138" t="s">
        <v>5592</v>
      </c>
      <c r="D91" s="136">
        <v>45224</v>
      </c>
    </row>
    <row r="92" spans="1:4" ht="20.25" customHeight="1">
      <c r="A92" s="153" t="s">
        <v>5507</v>
      </c>
      <c r="B92" s="153" t="s">
        <v>5593</v>
      </c>
      <c r="C92" s="138" t="s">
        <v>5594</v>
      </c>
      <c r="D92" s="136">
        <v>45224</v>
      </c>
    </row>
    <row r="93" spans="1:4" ht="20.25" customHeight="1">
      <c r="A93" s="153" t="s">
        <v>5507</v>
      </c>
      <c r="B93" s="153" t="s">
        <v>5595</v>
      </c>
      <c r="C93" s="132" t="s">
        <v>5596</v>
      </c>
      <c r="D93" s="136">
        <v>45224</v>
      </c>
    </row>
    <row r="94" spans="1:4" ht="20.25" customHeight="1">
      <c r="A94" s="153" t="s">
        <v>5507</v>
      </c>
      <c r="B94" s="153" t="s">
        <v>5597</v>
      </c>
      <c r="C94" s="132" t="s">
        <v>5598</v>
      </c>
      <c r="D94" s="136">
        <v>45224</v>
      </c>
    </row>
    <row r="95" spans="1:4" ht="20.25" customHeight="1">
      <c r="A95" s="153" t="s">
        <v>5507</v>
      </c>
      <c r="B95" s="153" t="s">
        <v>5599</v>
      </c>
      <c r="C95" s="132" t="s">
        <v>5600</v>
      </c>
      <c r="D95" s="131" t="s">
        <v>4361</v>
      </c>
    </row>
    <row r="96" spans="1:4" ht="20.25" customHeight="1">
      <c r="A96" s="153" t="s">
        <v>5507</v>
      </c>
      <c r="B96" s="153" t="s">
        <v>5601</v>
      </c>
      <c r="C96" s="132" t="s">
        <v>5602</v>
      </c>
      <c r="D96" s="136">
        <v>45049</v>
      </c>
    </row>
    <row r="97" spans="1:4" ht="20.25" customHeight="1">
      <c r="A97" s="153" t="s">
        <v>5507</v>
      </c>
      <c r="B97" s="249" t="s">
        <v>5603</v>
      </c>
      <c r="C97" s="132" t="s">
        <v>5604</v>
      </c>
      <c r="D97" s="131" t="s">
        <v>4361</v>
      </c>
    </row>
    <row r="98" spans="1:4" ht="20.25" customHeight="1">
      <c r="A98" s="153" t="s">
        <v>5507</v>
      </c>
      <c r="B98" s="249" t="s">
        <v>5605</v>
      </c>
      <c r="C98" s="132" t="s">
        <v>5606</v>
      </c>
      <c r="D98" s="131" t="s">
        <v>4361</v>
      </c>
    </row>
    <row r="99" spans="1:4" ht="20.25" customHeight="1">
      <c r="B99" s="154"/>
      <c r="C99" s="132" t="s">
        <v>5607</v>
      </c>
      <c r="D99" s="131" t="s">
        <v>4361</v>
      </c>
    </row>
    <row r="100" spans="1:4" ht="20.25" customHeight="1">
      <c r="B100" s="108"/>
      <c r="C100" s="132" t="s">
        <v>5608</v>
      </c>
      <c r="D100" s="133">
        <v>44910</v>
      </c>
    </row>
    <row r="101" spans="1:4" ht="20.25" customHeight="1">
      <c r="B101" s="108"/>
      <c r="C101" s="132" t="s">
        <v>5609</v>
      </c>
      <c r="D101" s="133">
        <v>44840</v>
      </c>
    </row>
    <row r="102" spans="1:4" ht="20.25" customHeight="1">
      <c r="B102" s="108"/>
      <c r="C102" s="132" t="s">
        <v>5610</v>
      </c>
      <c r="D102" s="131" t="s">
        <v>4361</v>
      </c>
    </row>
    <row r="103" spans="1:4" ht="20.25" customHeight="1">
      <c r="B103" s="108"/>
      <c r="C103" s="132" t="s">
        <v>5611</v>
      </c>
      <c r="D103" s="131" t="s">
        <v>4361</v>
      </c>
    </row>
    <row r="104" spans="1:4" ht="20.25" customHeight="1">
      <c r="B104" s="108"/>
      <c r="C104" s="132" t="s">
        <v>5612</v>
      </c>
      <c r="D104" s="133">
        <v>44877</v>
      </c>
    </row>
    <row r="105" spans="1:4" ht="20.25" customHeight="1">
      <c r="B105" s="108"/>
      <c r="C105" s="132" t="s">
        <v>5613</v>
      </c>
      <c r="D105" s="131" t="s">
        <v>4361</v>
      </c>
    </row>
    <row r="106" spans="1:4" ht="20.25" customHeight="1">
      <c r="B106" s="108"/>
      <c r="C106" s="138" t="s">
        <v>5614</v>
      </c>
      <c r="D106" s="131" t="s">
        <v>4361</v>
      </c>
    </row>
    <row r="107" spans="1:4" ht="20.25" customHeight="1">
      <c r="B107" s="108"/>
      <c r="C107" s="138" t="s">
        <v>5615</v>
      </c>
      <c r="D107" s="133">
        <v>44840</v>
      </c>
    </row>
    <row r="108" spans="1:4" ht="20.25" customHeight="1">
      <c r="B108" s="108"/>
      <c r="C108" s="132" t="s">
        <v>5616</v>
      </c>
      <c r="D108" s="131" t="s">
        <v>4361</v>
      </c>
    </row>
    <row r="109" spans="1:4" ht="20.25" customHeight="1">
      <c r="B109" s="108"/>
      <c r="C109" s="138" t="s">
        <v>5617</v>
      </c>
      <c r="D109" s="131" t="s">
        <v>4361</v>
      </c>
    </row>
    <row r="110" spans="1:4" ht="20.25" customHeight="1">
      <c r="B110" s="108"/>
      <c r="C110" s="132" t="s">
        <v>5618</v>
      </c>
      <c r="D110" s="131" t="s">
        <v>4361</v>
      </c>
    </row>
    <row r="111" spans="1:4" ht="20.25" customHeight="1">
      <c r="B111" s="108"/>
      <c r="C111" s="132" t="s">
        <v>5619</v>
      </c>
      <c r="D111" s="131" t="s">
        <v>4361</v>
      </c>
    </row>
    <row r="112" spans="1:4" ht="20.25" customHeight="1">
      <c r="B112" s="116" t="s">
        <v>5620</v>
      </c>
      <c r="C112" s="138" t="s">
        <v>5621</v>
      </c>
      <c r="D112" s="131" t="s">
        <v>4361</v>
      </c>
    </row>
    <row r="113" spans="2:4" ht="20.25" customHeight="1">
      <c r="B113" s="116" t="s">
        <v>5622</v>
      </c>
      <c r="C113" s="132" t="s">
        <v>5623</v>
      </c>
      <c r="D113" s="131" t="s">
        <v>4361</v>
      </c>
    </row>
    <row r="114" spans="2:4" ht="20.25" customHeight="1">
      <c r="B114" s="108" t="s">
        <v>5624</v>
      </c>
      <c r="C114" s="132" t="s">
        <v>5625</v>
      </c>
      <c r="D114" s="131" t="s">
        <v>4361</v>
      </c>
    </row>
    <row r="115" spans="2:4" ht="20.25" customHeight="1">
      <c r="B115" s="108" t="s">
        <v>5626</v>
      </c>
      <c r="C115" s="138" t="s">
        <v>5627</v>
      </c>
      <c r="D115" s="131" t="s">
        <v>4361</v>
      </c>
    </row>
    <row r="116" spans="2:4" ht="20.25" customHeight="1">
      <c r="B116" s="108" t="s">
        <v>5628</v>
      </c>
      <c r="C116" s="138" t="s">
        <v>5571</v>
      </c>
      <c r="D116" s="131" t="s">
        <v>4361</v>
      </c>
    </row>
    <row r="117" spans="2:4" ht="20.25" customHeight="1">
      <c r="B117" s="108" t="s">
        <v>5629</v>
      </c>
      <c r="C117" s="132" t="s">
        <v>5630</v>
      </c>
      <c r="D117" s="131"/>
    </row>
    <row r="118" spans="2:4" ht="20.25" customHeight="1">
      <c r="B118" s="108" t="s">
        <v>5631</v>
      </c>
      <c r="C118" s="132" t="s">
        <v>5632</v>
      </c>
      <c r="D118" s="131"/>
    </row>
    <row r="119" spans="2:4" ht="20.25" customHeight="1">
      <c r="B119" s="108" t="s">
        <v>5633</v>
      </c>
      <c r="C119" s="132" t="s">
        <v>5634</v>
      </c>
      <c r="D119" s="152">
        <v>45013</v>
      </c>
    </row>
    <row r="120" spans="2:4" ht="20.25" customHeight="1">
      <c r="B120" s="108" t="s">
        <v>5635</v>
      </c>
      <c r="C120" s="132" t="s">
        <v>5636</v>
      </c>
      <c r="D120" s="152">
        <v>45013</v>
      </c>
    </row>
    <row r="121" spans="2:4" ht="20.25" customHeight="1">
      <c r="B121" s="108" t="s">
        <v>5637</v>
      </c>
      <c r="C121" s="138" t="s">
        <v>5638</v>
      </c>
      <c r="D121" s="131" t="s">
        <v>4361</v>
      </c>
    </row>
    <row r="122" spans="2:4" ht="20.25" customHeight="1">
      <c r="B122" s="116" t="s">
        <v>5639</v>
      </c>
      <c r="C122" s="138"/>
      <c r="D122" s="131" t="s">
        <v>4361</v>
      </c>
    </row>
    <row r="123" spans="2:4" ht="20.25" customHeight="1">
      <c r="B123" s="108" t="s">
        <v>5640</v>
      </c>
      <c r="C123" s="138" t="s">
        <v>5641</v>
      </c>
      <c r="D123" s="133">
        <v>44853</v>
      </c>
    </row>
    <row r="124" spans="2:4" ht="20.25" customHeight="1">
      <c r="B124" s="108" t="s">
        <v>5642</v>
      </c>
      <c r="C124" s="132" t="s">
        <v>5643</v>
      </c>
      <c r="D124" s="133">
        <v>44840</v>
      </c>
    </row>
    <row r="125" spans="2:4" ht="20.25" customHeight="1">
      <c r="B125" s="108" t="s">
        <v>5644</v>
      </c>
      <c r="C125" s="132" t="s">
        <v>5645</v>
      </c>
      <c r="D125" s="133">
        <v>44840</v>
      </c>
    </row>
    <row r="126" spans="2:4" ht="20.25" customHeight="1">
      <c r="B126" s="108" t="s">
        <v>5646</v>
      </c>
      <c r="C126" s="132" t="s">
        <v>5647</v>
      </c>
      <c r="D126" s="134"/>
    </row>
    <row r="127" spans="2:4" ht="20.25" customHeight="1">
      <c r="B127" s="116" t="s">
        <v>5648</v>
      </c>
      <c r="C127" s="138" t="s">
        <v>5649</v>
      </c>
      <c r="D127" s="133">
        <v>44910</v>
      </c>
    </row>
    <row r="128" spans="2:4" ht="20.25" customHeight="1">
      <c r="B128" s="108" t="s">
        <v>5650</v>
      </c>
      <c r="C128" s="138" t="s">
        <v>5651</v>
      </c>
      <c r="D128" s="133">
        <v>44961</v>
      </c>
    </row>
    <row r="129" spans="2:4" ht="20.25" customHeight="1">
      <c r="B129" s="108" t="s">
        <v>5652</v>
      </c>
      <c r="C129" s="138" t="s">
        <v>5653</v>
      </c>
      <c r="D129" s="131" t="s">
        <v>4361</v>
      </c>
    </row>
    <row r="130" spans="2:4" ht="20.25" customHeight="1">
      <c r="B130" s="108" t="s">
        <v>5654</v>
      </c>
      <c r="C130" s="138" t="s">
        <v>5655</v>
      </c>
      <c r="D130" s="131" t="s">
        <v>4361</v>
      </c>
    </row>
    <row r="131" spans="2:4" ht="20.25" customHeight="1">
      <c r="B131" s="116" t="s">
        <v>5656</v>
      </c>
      <c r="C131" s="138" t="s">
        <v>5657</v>
      </c>
      <c r="D131" s="133">
        <v>44862</v>
      </c>
    </row>
    <row r="132" spans="2:4" ht="20.25" customHeight="1">
      <c r="B132" s="108" t="s">
        <v>5658</v>
      </c>
      <c r="C132" s="138" t="s">
        <v>5659</v>
      </c>
      <c r="D132" s="133">
        <v>44877</v>
      </c>
    </row>
    <row r="133" spans="2:4" ht="20.25" customHeight="1">
      <c r="B133" s="108" t="s">
        <v>5660</v>
      </c>
      <c r="C133" s="138" t="s">
        <v>5661</v>
      </c>
      <c r="D133" s="133">
        <v>44840</v>
      </c>
    </row>
    <row r="134" spans="2:4" ht="20.25" customHeight="1">
      <c r="B134" s="116" t="s">
        <v>5662</v>
      </c>
      <c r="C134" s="138" t="s">
        <v>5663</v>
      </c>
      <c r="D134" s="131" t="s">
        <v>4361</v>
      </c>
    </row>
    <row r="135" spans="2:4" ht="20.25" customHeight="1">
      <c r="B135" s="108" t="s">
        <v>5664</v>
      </c>
      <c r="C135" s="132" t="s">
        <v>5665</v>
      </c>
      <c r="D135" s="133">
        <v>44840</v>
      </c>
    </row>
    <row r="136" spans="2:4" ht="20.25" customHeight="1">
      <c r="B136" s="108" t="s">
        <v>5666</v>
      </c>
      <c r="C136" s="138" t="s">
        <v>5667</v>
      </c>
      <c r="D136" s="131" t="s">
        <v>4361</v>
      </c>
    </row>
    <row r="137" spans="2:4" ht="20.25" customHeight="1">
      <c r="B137" s="108" t="s">
        <v>5668</v>
      </c>
      <c r="C137" s="138" t="s">
        <v>5669</v>
      </c>
      <c r="D137" s="131" t="s">
        <v>4361</v>
      </c>
    </row>
    <row r="138" spans="2:4" ht="20.25" customHeight="1">
      <c r="B138" s="108" t="s">
        <v>5670</v>
      </c>
      <c r="C138" s="138" t="s">
        <v>5671</v>
      </c>
      <c r="D138" s="133">
        <v>44840</v>
      </c>
    </row>
    <row r="139" spans="2:4" ht="20.25" customHeight="1">
      <c r="B139" s="108" t="s">
        <v>5672</v>
      </c>
      <c r="C139" s="132" t="s">
        <v>5673</v>
      </c>
      <c r="D139" s="133">
        <v>44877</v>
      </c>
    </row>
    <row r="140" spans="2:4" ht="20.25" customHeight="1">
      <c r="B140" s="108" t="s">
        <v>5674</v>
      </c>
      <c r="C140" s="138" t="s">
        <v>5675</v>
      </c>
      <c r="D140" s="133">
        <v>44890</v>
      </c>
    </row>
    <row r="141" spans="2:4" ht="20.25" customHeight="1">
      <c r="B141" s="108" t="s">
        <v>5676</v>
      </c>
      <c r="C141" s="132" t="s">
        <v>5677</v>
      </c>
      <c r="D141" s="133">
        <v>45013</v>
      </c>
    </row>
    <row r="142" spans="2:4" ht="20.25" customHeight="1">
      <c r="B142" s="108" t="s">
        <v>5678</v>
      </c>
      <c r="C142" s="132" t="s">
        <v>5679</v>
      </c>
      <c r="D142" s="133">
        <v>45013</v>
      </c>
    </row>
    <row r="143" spans="2:4" ht="20.25" customHeight="1">
      <c r="B143" s="108" t="s">
        <v>5680</v>
      </c>
      <c r="C143" s="138" t="s">
        <v>5681</v>
      </c>
      <c r="D143" s="133"/>
    </row>
    <row r="144" spans="2:4" ht="20.25" customHeight="1">
      <c r="B144" s="108" t="s">
        <v>5682</v>
      </c>
      <c r="C144" s="138" t="s">
        <v>5683</v>
      </c>
      <c r="D144" s="133"/>
    </row>
    <row r="145" spans="2:4" ht="20.25" customHeight="1">
      <c r="B145" s="108" t="s">
        <v>5684</v>
      </c>
      <c r="C145" s="138" t="s">
        <v>5685</v>
      </c>
      <c r="D145" s="141"/>
    </row>
    <row r="146" spans="2:4" ht="20.25" customHeight="1">
      <c r="B146" s="108" t="s">
        <v>5686</v>
      </c>
      <c r="C146" s="138" t="s">
        <v>5687</v>
      </c>
      <c r="D146" s="141"/>
    </row>
    <row r="147" spans="2:4" ht="20.25" customHeight="1">
      <c r="B147" s="108" t="s">
        <v>5688</v>
      </c>
      <c r="C147" s="138" t="s">
        <v>5689</v>
      </c>
      <c r="D147" s="141"/>
    </row>
    <row r="148" spans="2:4" ht="20.25" customHeight="1">
      <c r="B148" s="116" t="s">
        <v>5690</v>
      </c>
      <c r="C148" s="138" t="s">
        <v>5691</v>
      </c>
      <c r="D148" s="141"/>
    </row>
    <row r="149" spans="2:4" ht="20.25" customHeight="1">
      <c r="B149" s="108" t="s">
        <v>5692</v>
      </c>
      <c r="C149" s="138" t="s">
        <v>5693</v>
      </c>
      <c r="D149" s="141"/>
    </row>
    <row r="150" spans="2:4" ht="20.25" customHeight="1">
      <c r="B150" s="116" t="s">
        <v>5694</v>
      </c>
      <c r="C150" s="132" t="s">
        <v>4628</v>
      </c>
      <c r="D150" s="141"/>
    </row>
    <row r="151" spans="2:4" ht="20.25" customHeight="1">
      <c r="B151" s="108" t="s">
        <v>5695</v>
      </c>
      <c r="C151" s="132" t="s">
        <v>4628</v>
      </c>
      <c r="D151" s="136">
        <v>45105</v>
      </c>
    </row>
    <row r="152" spans="2:4" ht="20.25" customHeight="1">
      <c r="B152" s="108" t="s">
        <v>5696</v>
      </c>
      <c r="C152" s="132" t="s">
        <v>5697</v>
      </c>
      <c r="D152" s="137"/>
    </row>
    <row r="153" spans="2:4" ht="20.25" customHeight="1">
      <c r="B153" s="108" t="s">
        <v>5698</v>
      </c>
      <c r="C153" s="132" t="s">
        <v>5699</v>
      </c>
      <c r="D153" s="141"/>
    </row>
    <row r="154" spans="2:4" ht="20.25" customHeight="1">
      <c r="B154" s="108" t="s">
        <v>5700</v>
      </c>
      <c r="C154" s="132" t="s">
        <v>5701</v>
      </c>
      <c r="D154" s="141"/>
    </row>
    <row r="155" spans="2:4" ht="20.25" customHeight="1">
      <c r="B155" s="108" t="s">
        <v>5702</v>
      </c>
      <c r="C155" s="132" t="s">
        <v>5703</v>
      </c>
      <c r="D155" s="141"/>
    </row>
    <row r="156" spans="2:4" ht="20.25" customHeight="1">
      <c r="B156" s="108" t="s">
        <v>5704</v>
      </c>
      <c r="C156" s="138" t="s">
        <v>5705</v>
      </c>
      <c r="D156" s="136">
        <v>45105</v>
      </c>
    </row>
    <row r="157" spans="2:4" ht="20.25" customHeight="1">
      <c r="B157" s="108" t="s">
        <v>5706</v>
      </c>
      <c r="C157" s="132" t="s">
        <v>5707</v>
      </c>
      <c r="D157" s="141"/>
    </row>
    <row r="158" spans="2:4" ht="20.25" customHeight="1">
      <c r="B158" s="108" t="s">
        <v>5708</v>
      </c>
      <c r="C158" s="132" t="s">
        <v>4628</v>
      </c>
      <c r="D158" s="141"/>
    </row>
    <row r="159" spans="2:4" ht="20.25" customHeight="1">
      <c r="B159" s="108" t="s">
        <v>5709</v>
      </c>
      <c r="C159" s="132" t="s">
        <v>5710</v>
      </c>
      <c r="D159" s="136">
        <v>45049</v>
      </c>
    </row>
    <row r="160" spans="2:4" ht="20.25" customHeight="1">
      <c r="B160" s="108" t="s">
        <v>5711</v>
      </c>
      <c r="C160" s="132" t="s">
        <v>5712</v>
      </c>
      <c r="D160" s="141"/>
    </row>
    <row r="161" spans="2:4" ht="20.25" customHeight="1">
      <c r="B161" s="108" t="s">
        <v>5713</v>
      </c>
      <c r="C161" s="132" t="s">
        <v>5714</v>
      </c>
      <c r="D161" s="141"/>
    </row>
    <row r="162" spans="2:4" ht="20.25" customHeight="1">
      <c r="B162" s="108" t="s">
        <v>5715</v>
      </c>
      <c r="C162" s="138" t="s">
        <v>5716</v>
      </c>
      <c r="D162" s="141"/>
    </row>
    <row r="163" spans="2:4" ht="20.25" customHeight="1">
      <c r="B163" s="108" t="s">
        <v>5717</v>
      </c>
      <c r="C163" s="132" t="s">
        <v>5718</v>
      </c>
      <c r="D163" s="141"/>
    </row>
    <row r="164" spans="2:4" ht="20.25" customHeight="1">
      <c r="B164" s="108" t="s">
        <v>5719</v>
      </c>
      <c r="C164" s="132" t="s">
        <v>5720</v>
      </c>
      <c r="D164" s="141"/>
    </row>
    <row r="165" spans="2:4" ht="20.25" customHeight="1">
      <c r="B165" s="108" t="s">
        <v>5721</v>
      </c>
      <c r="C165" s="132" t="s">
        <v>4628</v>
      </c>
      <c r="D165" s="133">
        <v>45056</v>
      </c>
    </row>
    <row r="166" spans="2:4" ht="20.25" customHeight="1">
      <c r="B166" s="108" t="s">
        <v>5722</v>
      </c>
      <c r="C166" s="138" t="s">
        <v>5723</v>
      </c>
      <c r="D166" s="133">
        <v>45056</v>
      </c>
    </row>
    <row r="167" spans="2:4" ht="20.25" customHeight="1">
      <c r="B167" s="107" t="s">
        <v>5724</v>
      </c>
      <c r="C167" s="132" t="s">
        <v>5725</v>
      </c>
      <c r="D167" s="133">
        <v>45056</v>
      </c>
    </row>
    <row r="168" spans="2:4" ht="20.25" customHeight="1">
      <c r="B168" s="108" t="s">
        <v>5726</v>
      </c>
      <c r="C168" s="132" t="s">
        <v>4628</v>
      </c>
      <c r="D168" s="141"/>
    </row>
    <row r="169" spans="2:4" ht="20.25" customHeight="1">
      <c r="B169" s="108" t="s">
        <v>5727</v>
      </c>
      <c r="C169" s="132" t="s">
        <v>5728</v>
      </c>
      <c r="D169" s="141"/>
    </row>
    <row r="170" spans="2:4" ht="20.25" customHeight="1">
      <c r="B170" s="108" t="s">
        <v>5729</v>
      </c>
      <c r="C170" s="132" t="s">
        <v>5730</v>
      </c>
      <c r="D170" s="141"/>
    </row>
    <row r="171" spans="2:4" ht="20.25" customHeight="1">
      <c r="B171" s="108" t="s">
        <v>5731</v>
      </c>
      <c r="C171" s="138" t="s">
        <v>5732</v>
      </c>
      <c r="D171" s="141"/>
    </row>
    <row r="172" spans="2:4" ht="20.25" customHeight="1">
      <c r="B172" s="108" t="s">
        <v>5733</v>
      </c>
      <c r="C172" s="132" t="s">
        <v>5734</v>
      </c>
      <c r="D172" s="141"/>
    </row>
    <row r="173" spans="2:4" ht="20.25" customHeight="1">
      <c r="B173" s="108" t="s">
        <v>5735</v>
      </c>
      <c r="C173" s="132" t="s">
        <v>5571</v>
      </c>
      <c r="D173" s="141"/>
    </row>
    <row r="174" spans="2:4" ht="20.25" customHeight="1">
      <c r="B174" s="116" t="s">
        <v>5736</v>
      </c>
      <c r="C174" s="132" t="s">
        <v>4628</v>
      </c>
      <c r="D174" s="141"/>
    </row>
    <row r="175" spans="2:4" ht="20.25" customHeight="1">
      <c r="B175" s="108" t="s">
        <v>5737</v>
      </c>
      <c r="C175" s="132" t="s">
        <v>4628</v>
      </c>
      <c r="D175" s="141"/>
    </row>
    <row r="176" spans="2:4" ht="20.25" customHeight="1">
      <c r="B176" s="108" t="s">
        <v>5738</v>
      </c>
      <c r="C176" s="132" t="s">
        <v>4628</v>
      </c>
      <c r="D176" s="141"/>
    </row>
    <row r="177" spans="2:4" ht="20.25" customHeight="1">
      <c r="B177" s="108" t="s">
        <v>5739</v>
      </c>
      <c r="C177" s="132" t="s">
        <v>5740</v>
      </c>
      <c r="D177" s="137"/>
    </row>
    <row r="178" spans="2:4" ht="20.25" customHeight="1">
      <c r="B178" s="108" t="s">
        <v>5741</v>
      </c>
      <c r="C178" s="132" t="s">
        <v>4628</v>
      </c>
      <c r="D178" s="133">
        <v>45056</v>
      </c>
    </row>
    <row r="179" spans="2:4" ht="20.25" customHeight="1">
      <c r="B179" s="108" t="s">
        <v>5742</v>
      </c>
      <c r="C179" s="132" t="s">
        <v>4628</v>
      </c>
      <c r="D179" s="136">
        <v>45148</v>
      </c>
    </row>
    <row r="180" spans="2:4" ht="20.25" customHeight="1">
      <c r="B180" s="108" t="s">
        <v>5743</v>
      </c>
      <c r="C180" s="132" t="s">
        <v>4628</v>
      </c>
      <c r="D180" s="135"/>
    </row>
    <row r="181" spans="2:4" ht="20.25" customHeight="1">
      <c r="B181" s="108" t="s">
        <v>5744</v>
      </c>
      <c r="C181" s="138" t="s">
        <v>5745</v>
      </c>
      <c r="D181" s="135"/>
    </row>
    <row r="182" spans="2:4" ht="20.25" customHeight="1">
      <c r="B182" s="108" t="s">
        <v>5746</v>
      </c>
      <c r="C182" s="132" t="s">
        <v>5747</v>
      </c>
      <c r="D182" s="135"/>
    </row>
    <row r="183" spans="2:4" ht="20.25" customHeight="1">
      <c r="B183" s="108" t="s">
        <v>5748</v>
      </c>
      <c r="C183" s="138" t="s">
        <v>5749</v>
      </c>
      <c r="D183" s="135"/>
    </row>
    <row r="184" spans="2:4" ht="20.25" customHeight="1">
      <c r="B184" s="108" t="s">
        <v>5750</v>
      </c>
      <c r="C184" s="132" t="s">
        <v>5751</v>
      </c>
      <c r="D184" s="135"/>
    </row>
    <row r="185" spans="2:4" ht="20.25" customHeight="1">
      <c r="B185" s="108" t="s">
        <v>5752</v>
      </c>
      <c r="C185" s="138" t="s">
        <v>5753</v>
      </c>
      <c r="D185" s="135"/>
    </row>
    <row r="186" spans="2:4" ht="20.25" customHeight="1">
      <c r="B186" s="108" t="s">
        <v>5754</v>
      </c>
      <c r="C186" s="132" t="s">
        <v>5755</v>
      </c>
      <c r="D186" s="135"/>
    </row>
    <row r="187" spans="2:4" ht="20.25" customHeight="1">
      <c r="B187" s="108" t="s">
        <v>5756</v>
      </c>
      <c r="C187" s="138" t="s">
        <v>5757</v>
      </c>
      <c r="D187" s="135"/>
    </row>
    <row r="188" spans="2:4" ht="20.25" customHeight="1">
      <c r="B188" s="108" t="s">
        <v>5758</v>
      </c>
      <c r="C188" s="138" t="s">
        <v>5759</v>
      </c>
      <c r="D188" s="135"/>
    </row>
    <row r="189" spans="2:4" ht="20.25" customHeight="1">
      <c r="B189" s="108" t="s">
        <v>5760</v>
      </c>
      <c r="C189" s="138" t="s">
        <v>5761</v>
      </c>
      <c r="D189" s="135"/>
    </row>
    <row r="190" spans="2:4" ht="20.25" customHeight="1">
      <c r="B190" s="108" t="s">
        <v>5762</v>
      </c>
      <c r="C190" s="132" t="s">
        <v>5763</v>
      </c>
      <c r="D190" s="135"/>
    </row>
    <row r="191" spans="2:4" ht="20.25" customHeight="1">
      <c r="B191" s="108" t="s">
        <v>5764</v>
      </c>
      <c r="C191" s="132" t="s">
        <v>5765</v>
      </c>
      <c r="D191" s="135"/>
    </row>
    <row r="192" spans="2:4" ht="20.25" customHeight="1">
      <c r="B192" s="108" t="s">
        <v>5766</v>
      </c>
      <c r="C192" s="138" t="s">
        <v>5767</v>
      </c>
      <c r="D192" s="135"/>
    </row>
    <row r="193" spans="2:4" ht="20.25" customHeight="1">
      <c r="B193" s="116" t="s">
        <v>5768</v>
      </c>
      <c r="C193" s="132" t="s">
        <v>5769</v>
      </c>
      <c r="D193" s="135"/>
    </row>
    <row r="194" spans="2:4" ht="20.25" customHeight="1">
      <c r="B194" s="108" t="s">
        <v>5770</v>
      </c>
      <c r="C194" s="138" t="s">
        <v>5771</v>
      </c>
      <c r="D194" s="135"/>
    </row>
    <row r="195" spans="2:4" ht="20.25" customHeight="1">
      <c r="B195" s="108" t="s">
        <v>5772</v>
      </c>
      <c r="C195" s="138" t="s">
        <v>5773</v>
      </c>
      <c r="D195" s="135"/>
    </row>
    <row r="196" spans="2:4" ht="20.25" customHeight="1">
      <c r="B196" s="108" t="s">
        <v>5774</v>
      </c>
      <c r="C196" s="132" t="s">
        <v>5775</v>
      </c>
      <c r="D196" s="135"/>
    </row>
    <row r="197" spans="2:4" ht="20.25" customHeight="1">
      <c r="B197" s="108" t="s">
        <v>5776</v>
      </c>
      <c r="C197" s="138" t="s">
        <v>5777</v>
      </c>
      <c r="D197" s="135"/>
    </row>
    <row r="198" spans="2:4" ht="20.25" customHeight="1">
      <c r="B198" s="108" t="s">
        <v>5778</v>
      </c>
      <c r="C198" s="138" t="s">
        <v>5779</v>
      </c>
      <c r="D198" s="135"/>
    </row>
    <row r="199" spans="2:4" ht="20.25" customHeight="1">
      <c r="B199" s="108" t="s">
        <v>5780</v>
      </c>
      <c r="C199" s="132" t="s">
        <v>5781</v>
      </c>
      <c r="D199" s="136">
        <v>45105</v>
      </c>
    </row>
    <row r="200" spans="2:4" ht="20.25" customHeight="1">
      <c r="B200" s="108" t="s">
        <v>5782</v>
      </c>
      <c r="C200" s="132"/>
      <c r="D200" s="133">
        <v>44992</v>
      </c>
    </row>
    <row r="201" spans="2:4" ht="20.25" customHeight="1">
      <c r="B201" s="116" t="s">
        <v>5783</v>
      </c>
      <c r="C201" s="143" t="s">
        <v>5784</v>
      </c>
      <c r="D201" s="133">
        <v>45056</v>
      </c>
    </row>
    <row r="202" spans="2:4" ht="20.25" customHeight="1">
      <c r="B202" s="108" t="s">
        <v>5785</v>
      </c>
      <c r="C202" s="132" t="s">
        <v>5786</v>
      </c>
      <c r="D202" s="133">
        <v>44992</v>
      </c>
    </row>
    <row r="203" spans="2:4" ht="20.25" customHeight="1">
      <c r="B203" s="108" t="s">
        <v>5787</v>
      </c>
      <c r="C203" s="138" t="s">
        <v>5788</v>
      </c>
      <c r="D203" s="133">
        <v>45056</v>
      </c>
    </row>
    <row r="204" spans="2:4" ht="20.25" customHeight="1">
      <c r="B204" s="108" t="s">
        <v>5789</v>
      </c>
      <c r="C204" s="132" t="s">
        <v>5790</v>
      </c>
      <c r="D204" s="140">
        <v>45111</v>
      </c>
    </row>
    <row r="205" spans="2:4" ht="20.25" customHeight="1">
      <c r="B205" s="108" t="s">
        <v>5791</v>
      </c>
      <c r="C205" s="132" t="s">
        <v>5792</v>
      </c>
      <c r="D205" s="133">
        <v>45056</v>
      </c>
    </row>
    <row r="206" spans="2:4" ht="20.25" customHeight="1">
      <c r="B206" s="116" t="s">
        <v>5793</v>
      </c>
      <c r="C206" s="132" t="s">
        <v>5794</v>
      </c>
      <c r="D206" s="135"/>
    </row>
    <row r="207" spans="2:4" ht="20.25" customHeight="1">
      <c r="B207" s="108" t="s">
        <v>5795</v>
      </c>
      <c r="C207" s="132" t="s">
        <v>5796</v>
      </c>
      <c r="D207" s="135"/>
    </row>
    <row r="208" spans="2:4" ht="20.25" customHeight="1">
      <c r="B208" s="108" t="s">
        <v>5797</v>
      </c>
      <c r="C208" s="132" t="s">
        <v>5798</v>
      </c>
      <c r="D208" s="133">
        <v>45056</v>
      </c>
    </row>
    <row r="209" spans="2:4" ht="20.25" customHeight="1">
      <c r="B209" s="108" t="s">
        <v>5799</v>
      </c>
      <c r="C209" s="132" t="s">
        <v>5800</v>
      </c>
      <c r="D209" s="133">
        <v>45056</v>
      </c>
    </row>
    <row r="210" spans="2:4" ht="20.25" customHeight="1">
      <c r="B210" s="108" t="s">
        <v>5801</v>
      </c>
      <c r="C210" s="132" t="s">
        <v>5802</v>
      </c>
      <c r="D210" s="133">
        <v>45056</v>
      </c>
    </row>
    <row r="211" spans="2:4" ht="20.25" customHeight="1">
      <c r="B211" s="108" t="s">
        <v>5803</v>
      </c>
      <c r="C211" s="138" t="s">
        <v>5804</v>
      </c>
      <c r="D211" s="133">
        <v>45097</v>
      </c>
    </row>
    <row r="212" spans="2:4" ht="20.25" customHeight="1">
      <c r="B212" s="108" t="s">
        <v>5805</v>
      </c>
      <c r="C212" s="138" t="s">
        <v>5806</v>
      </c>
      <c r="D212" s="140">
        <v>45111</v>
      </c>
    </row>
    <row r="213" spans="2:4" ht="20.25" customHeight="1">
      <c r="B213" s="108" t="s">
        <v>5807</v>
      </c>
      <c r="C213" s="138" t="s">
        <v>5808</v>
      </c>
      <c r="D213" s="140">
        <v>45111</v>
      </c>
    </row>
    <row r="214" spans="2:4" ht="20.25" customHeight="1">
      <c r="B214" s="108" t="s">
        <v>5809</v>
      </c>
      <c r="C214" s="132" t="s">
        <v>5810</v>
      </c>
      <c r="D214" s="140">
        <v>45111</v>
      </c>
    </row>
    <row r="215" spans="2:4" ht="20.25" customHeight="1">
      <c r="B215" s="108" t="s">
        <v>5811</v>
      </c>
      <c r="C215" s="132" t="s">
        <v>5812</v>
      </c>
      <c r="D215" s="133">
        <v>45097</v>
      </c>
    </row>
    <row r="216" spans="2:4" ht="20.25" customHeight="1">
      <c r="B216" s="108" t="s">
        <v>5813</v>
      </c>
      <c r="C216" s="132" t="s">
        <v>5814</v>
      </c>
      <c r="D216" s="140">
        <v>45111</v>
      </c>
    </row>
    <row r="217" spans="2:4" ht="20.25" customHeight="1">
      <c r="B217" s="108" t="s">
        <v>5815</v>
      </c>
      <c r="C217" s="132" t="s">
        <v>5816</v>
      </c>
      <c r="D217" s="140">
        <v>45111</v>
      </c>
    </row>
    <row r="218" spans="2:4" ht="20.25" customHeight="1">
      <c r="B218" s="108" t="s">
        <v>5817</v>
      </c>
      <c r="C218" s="132" t="s">
        <v>5818</v>
      </c>
      <c r="D218" s="133">
        <v>45097</v>
      </c>
    </row>
    <row r="219" spans="2:4" ht="20.25" customHeight="1">
      <c r="B219" s="108" t="s">
        <v>5819</v>
      </c>
      <c r="C219" s="132" t="s">
        <v>5820</v>
      </c>
      <c r="D219" s="133">
        <v>45097</v>
      </c>
    </row>
    <row r="220" spans="2:4" ht="20.25" customHeight="1">
      <c r="B220" s="108" t="s">
        <v>5821</v>
      </c>
      <c r="C220" s="138" t="s">
        <v>5822</v>
      </c>
      <c r="D220" s="133">
        <v>45097</v>
      </c>
    </row>
    <row r="221" spans="2:4" ht="20.25" customHeight="1">
      <c r="B221" s="108" t="s">
        <v>5823</v>
      </c>
      <c r="C221" s="132" t="s">
        <v>5824</v>
      </c>
      <c r="D221" s="137"/>
    </row>
    <row r="222" spans="2:4" ht="20.25" customHeight="1">
      <c r="B222" s="108" t="s">
        <v>5825</v>
      </c>
      <c r="C222" s="132" t="s">
        <v>5826</v>
      </c>
      <c r="D222" s="140">
        <v>45111</v>
      </c>
    </row>
    <row r="223" spans="2:4" ht="20.25" customHeight="1">
      <c r="B223" s="108" t="s">
        <v>5827</v>
      </c>
      <c r="C223" s="132" t="s">
        <v>5828</v>
      </c>
      <c r="D223" s="133">
        <v>45097</v>
      </c>
    </row>
    <row r="224" spans="2:4" ht="20.25" customHeight="1">
      <c r="B224" s="108" t="s">
        <v>5829</v>
      </c>
      <c r="C224" s="132" t="s">
        <v>5830</v>
      </c>
      <c r="D224" s="136">
        <v>45148</v>
      </c>
    </row>
    <row r="225" spans="2:4" ht="20.25" customHeight="1">
      <c r="B225" s="108" t="s">
        <v>5831</v>
      </c>
      <c r="C225" s="132" t="s">
        <v>5832</v>
      </c>
      <c r="D225" s="140">
        <v>45111</v>
      </c>
    </row>
    <row r="226" spans="2:4" ht="20.25" customHeight="1">
      <c r="B226" s="108" t="s">
        <v>5833</v>
      </c>
      <c r="C226" s="138" t="s">
        <v>5834</v>
      </c>
      <c r="D226" s="141"/>
    </row>
    <row r="227" spans="2:4" ht="20.25" customHeight="1">
      <c r="B227" s="108" t="s">
        <v>5835</v>
      </c>
      <c r="C227" s="138" t="s">
        <v>5836</v>
      </c>
      <c r="D227" s="133">
        <v>44992</v>
      </c>
    </row>
    <row r="228" spans="2:4" ht="20.25" customHeight="1">
      <c r="B228" s="108" t="s">
        <v>5837</v>
      </c>
      <c r="C228" s="132" t="s">
        <v>5838</v>
      </c>
      <c r="D228" s="133">
        <v>45097</v>
      </c>
    </row>
    <row r="229" spans="2:4" ht="20.25" customHeight="1">
      <c r="B229" s="108" t="s">
        <v>5839</v>
      </c>
      <c r="C229" s="132" t="s">
        <v>5840</v>
      </c>
      <c r="D229" s="133">
        <v>45097</v>
      </c>
    </row>
    <row r="230" spans="2:4" ht="20.25" customHeight="1">
      <c r="B230" s="108" t="s">
        <v>5841</v>
      </c>
      <c r="C230" s="138" t="s">
        <v>5842</v>
      </c>
      <c r="D230" s="133">
        <v>45097</v>
      </c>
    </row>
    <row r="231" spans="2:4" ht="20.25" customHeight="1">
      <c r="B231" s="108" t="s">
        <v>5843</v>
      </c>
      <c r="C231" s="132" t="s">
        <v>5844</v>
      </c>
      <c r="D231" s="141"/>
    </row>
    <row r="232" spans="2:4" ht="20.25" customHeight="1">
      <c r="B232" s="108" t="s">
        <v>5845</v>
      </c>
      <c r="C232" s="132" t="s">
        <v>5846</v>
      </c>
      <c r="D232" s="141"/>
    </row>
    <row r="233" spans="2:4" ht="20.25" customHeight="1">
      <c r="B233" s="108" t="s">
        <v>5847</v>
      </c>
      <c r="C233" s="132" t="s">
        <v>5848</v>
      </c>
      <c r="D233" s="133">
        <v>45097</v>
      </c>
    </row>
    <row r="234" spans="2:4" ht="20.25" customHeight="1">
      <c r="B234" s="108" t="s">
        <v>5849</v>
      </c>
      <c r="C234" s="132" t="s">
        <v>5850</v>
      </c>
      <c r="D234" s="133">
        <v>45097</v>
      </c>
    </row>
    <row r="235" spans="2:4" ht="20.25" customHeight="1">
      <c r="B235" s="108" t="s">
        <v>5851</v>
      </c>
      <c r="C235" s="132" t="s">
        <v>5852</v>
      </c>
      <c r="D235" s="140">
        <v>45111</v>
      </c>
    </row>
    <row r="236" spans="2:4" ht="20.25" customHeight="1">
      <c r="B236" s="108" t="s">
        <v>5853</v>
      </c>
      <c r="C236" s="132" t="s">
        <v>5854</v>
      </c>
      <c r="D236" s="133">
        <v>44961</v>
      </c>
    </row>
    <row r="237" spans="2:4" ht="20.25" customHeight="1">
      <c r="B237" s="108" t="s">
        <v>5855</v>
      </c>
      <c r="C237" s="138" t="s">
        <v>5856</v>
      </c>
      <c r="D237" s="133">
        <v>45097</v>
      </c>
    </row>
    <row r="238" spans="2:4" ht="20.25" customHeight="1">
      <c r="B238" s="108" t="s">
        <v>5857</v>
      </c>
      <c r="C238" s="132" t="s">
        <v>5858</v>
      </c>
      <c r="D238" s="136">
        <v>45148</v>
      </c>
    </row>
    <row r="239" spans="2:4" ht="20.25" customHeight="1">
      <c r="B239" s="108" t="s">
        <v>5859</v>
      </c>
      <c r="C239" s="132" t="s">
        <v>5860</v>
      </c>
      <c r="D239" s="140">
        <v>45111</v>
      </c>
    </row>
    <row r="240" spans="2:4" ht="20.25" customHeight="1">
      <c r="B240" s="108" t="s">
        <v>5861</v>
      </c>
      <c r="C240" s="138" t="s">
        <v>5862</v>
      </c>
      <c r="D240" s="141"/>
    </row>
    <row r="241" spans="2:4" ht="20.25" customHeight="1">
      <c r="B241" s="108" t="s">
        <v>5863</v>
      </c>
      <c r="C241" s="132" t="s">
        <v>5864</v>
      </c>
      <c r="D241" s="141"/>
    </row>
    <row r="242" spans="2:4" ht="20.25" customHeight="1">
      <c r="B242" s="108" t="s">
        <v>5865</v>
      </c>
      <c r="C242" s="138" t="s">
        <v>5866</v>
      </c>
      <c r="D242" s="141"/>
    </row>
    <row r="243" spans="2:4" ht="20.25" customHeight="1">
      <c r="B243" s="108" t="s">
        <v>5867</v>
      </c>
      <c r="C243" s="132" t="s">
        <v>5868</v>
      </c>
      <c r="D243" s="133">
        <v>45097</v>
      </c>
    </row>
    <row r="244" spans="2:4" ht="20.25" customHeight="1">
      <c r="B244" s="108" t="s">
        <v>5869</v>
      </c>
      <c r="C244" s="132" t="s">
        <v>5870</v>
      </c>
      <c r="D244" s="136">
        <v>45148</v>
      </c>
    </row>
    <row r="245" spans="2:4" ht="20.25" customHeight="1">
      <c r="B245" s="108" t="s">
        <v>5871</v>
      </c>
      <c r="C245" s="132" t="s">
        <v>5872</v>
      </c>
      <c r="D245" s="140">
        <v>45111</v>
      </c>
    </row>
    <row r="246" spans="2:4" ht="20.25" customHeight="1">
      <c r="B246" s="108" t="s">
        <v>5873</v>
      </c>
      <c r="C246" s="132" t="s">
        <v>5874</v>
      </c>
      <c r="D246" s="136">
        <v>45148</v>
      </c>
    </row>
    <row r="247" spans="2:4" ht="20.25" customHeight="1">
      <c r="B247" s="108" t="s">
        <v>5875</v>
      </c>
      <c r="C247" s="132" t="s">
        <v>5876</v>
      </c>
      <c r="D247" s="136">
        <v>45148</v>
      </c>
    </row>
    <row r="248" spans="2:4" ht="20.25" customHeight="1">
      <c r="B248" s="108" t="s">
        <v>5877</v>
      </c>
      <c r="C248" s="138" t="s">
        <v>5878</v>
      </c>
      <c r="D248" s="133">
        <v>45097</v>
      </c>
    </row>
    <row r="249" spans="2:4" ht="20.25" customHeight="1">
      <c r="B249" s="108" t="s">
        <v>5879</v>
      </c>
      <c r="C249" s="138" t="s">
        <v>5880</v>
      </c>
      <c r="D249" s="141"/>
    </row>
    <row r="250" spans="2:4" ht="20.25" customHeight="1">
      <c r="B250" s="108" t="s">
        <v>5881</v>
      </c>
      <c r="C250" s="132" t="s">
        <v>5882</v>
      </c>
      <c r="D250" s="140">
        <v>45111</v>
      </c>
    </row>
    <row r="251" spans="2:4" ht="20.25" customHeight="1">
      <c r="B251" s="108" t="s">
        <v>5883</v>
      </c>
      <c r="C251" s="132" t="s">
        <v>5884</v>
      </c>
      <c r="D251" s="140">
        <v>45111</v>
      </c>
    </row>
    <row r="252" spans="2:4" ht="20.25" customHeight="1">
      <c r="B252" s="108" t="s">
        <v>5885</v>
      </c>
      <c r="C252" s="138" t="s">
        <v>5886</v>
      </c>
      <c r="D252" s="133">
        <v>45097</v>
      </c>
    </row>
    <row r="253" spans="2:4" ht="20.25" customHeight="1">
      <c r="B253" s="108" t="s">
        <v>5887</v>
      </c>
      <c r="C253" s="132" t="s">
        <v>5888</v>
      </c>
      <c r="D253" s="140">
        <v>45111</v>
      </c>
    </row>
    <row r="254" spans="2:4" ht="20.25" customHeight="1">
      <c r="B254" s="108" t="s">
        <v>5889</v>
      </c>
      <c r="C254" s="132" t="s">
        <v>5890</v>
      </c>
      <c r="D254" s="140">
        <v>45111</v>
      </c>
    </row>
    <row r="255" spans="2:4" ht="20.25" customHeight="1">
      <c r="B255" s="108" t="s">
        <v>5891</v>
      </c>
      <c r="C255" s="132" t="s">
        <v>5892</v>
      </c>
      <c r="D255" s="133">
        <v>45097</v>
      </c>
    </row>
    <row r="256" spans="2:4" ht="20.25" customHeight="1">
      <c r="B256" s="108" t="s">
        <v>5893</v>
      </c>
      <c r="C256" s="132" t="s">
        <v>5894</v>
      </c>
      <c r="D256" s="133">
        <v>44992</v>
      </c>
    </row>
    <row r="257" spans="2:4" ht="20.25" customHeight="1">
      <c r="B257" s="108" t="s">
        <v>5895</v>
      </c>
      <c r="C257" s="138" t="s">
        <v>5896</v>
      </c>
      <c r="D257" s="156"/>
    </row>
    <row r="258" spans="2:4" ht="20.25" customHeight="1">
      <c r="B258" s="108" t="s">
        <v>5897</v>
      </c>
      <c r="C258" s="132" t="s">
        <v>5898</v>
      </c>
      <c r="D258" s="141"/>
    </row>
    <row r="259" spans="2:4" ht="20.25" customHeight="1">
      <c r="B259" s="108" t="s">
        <v>5899</v>
      </c>
      <c r="C259" s="132" t="s">
        <v>5900</v>
      </c>
      <c r="D259" s="140">
        <v>45111</v>
      </c>
    </row>
    <row r="260" spans="2:4" ht="20.25" customHeight="1">
      <c r="B260" s="108" t="s">
        <v>5901</v>
      </c>
      <c r="C260" s="138" t="s">
        <v>5902</v>
      </c>
      <c r="D260" s="141"/>
    </row>
    <row r="261" spans="2:4" ht="20.25" customHeight="1">
      <c r="B261" s="108" t="s">
        <v>5903</v>
      </c>
      <c r="C261" s="132" t="s">
        <v>5904</v>
      </c>
      <c r="D261" s="137"/>
    </row>
    <row r="262" spans="2:4" ht="20.25" customHeight="1">
      <c r="B262" s="108" t="s">
        <v>5905</v>
      </c>
      <c r="C262" s="132" t="s">
        <v>5906</v>
      </c>
      <c r="D262" s="141"/>
    </row>
    <row r="263" spans="2:4" ht="20.25" customHeight="1">
      <c r="B263" s="108" t="s">
        <v>5907</v>
      </c>
      <c r="C263" s="132" t="s">
        <v>4628</v>
      </c>
      <c r="D263" s="141"/>
    </row>
    <row r="264" spans="2:4" ht="20.25" customHeight="1">
      <c r="B264" s="108" t="s">
        <v>5908</v>
      </c>
      <c r="C264" s="132" t="s">
        <v>5909</v>
      </c>
      <c r="D264" s="136">
        <v>45105</v>
      </c>
    </row>
    <row r="265" spans="2:4" ht="20.25" customHeight="1">
      <c r="B265" s="108" t="s">
        <v>5910</v>
      </c>
      <c r="C265" s="132" t="s">
        <v>4628</v>
      </c>
      <c r="D265" s="133">
        <v>44992</v>
      </c>
    </row>
    <row r="266" spans="2:4" ht="20.25" customHeight="1">
      <c r="B266" s="108" t="s">
        <v>5911</v>
      </c>
      <c r="C266" s="132" t="s">
        <v>5912</v>
      </c>
      <c r="D266" s="136">
        <v>45148</v>
      </c>
    </row>
    <row r="267" spans="2:4" ht="20.25" customHeight="1">
      <c r="B267" s="108" t="s">
        <v>5913</v>
      </c>
      <c r="C267" s="132" t="s">
        <v>4628</v>
      </c>
      <c r="D267" s="131"/>
    </row>
    <row r="268" spans="2:4" ht="20.25" customHeight="1">
      <c r="B268" s="108" t="s">
        <v>5914</v>
      </c>
      <c r="C268" s="132" t="s">
        <v>4628</v>
      </c>
      <c r="D268" s="156"/>
    </row>
    <row r="269" spans="2:4" ht="20.25" customHeight="1">
      <c r="B269" s="108" t="s">
        <v>5915</v>
      </c>
      <c r="C269" s="138" t="s">
        <v>5916</v>
      </c>
      <c r="D269" s="156"/>
    </row>
    <row r="270" spans="2:4" ht="20.25" customHeight="1">
      <c r="B270" s="108" t="s">
        <v>5917</v>
      </c>
      <c r="C270" s="132" t="s">
        <v>5918</v>
      </c>
      <c r="D270" s="133">
        <v>45097</v>
      </c>
    </row>
    <row r="271" spans="2:4" ht="20.25" customHeight="1">
      <c r="B271" s="108" t="s">
        <v>5919</v>
      </c>
      <c r="C271" s="132" t="s">
        <v>5920</v>
      </c>
      <c r="D271" s="136">
        <v>45105</v>
      </c>
    </row>
    <row r="272" spans="2:4" ht="20.25" customHeight="1">
      <c r="B272" s="108" t="s">
        <v>5921</v>
      </c>
      <c r="C272" s="132" t="s">
        <v>5922</v>
      </c>
      <c r="D272" s="133">
        <v>45097</v>
      </c>
    </row>
    <row r="273" spans="2:4" ht="20.25" customHeight="1">
      <c r="B273" s="108" t="s">
        <v>5923</v>
      </c>
      <c r="C273" s="132" t="s">
        <v>5924</v>
      </c>
      <c r="D273" s="133">
        <v>44992</v>
      </c>
    </row>
    <row r="274" spans="2:4" ht="20.25" customHeight="1">
      <c r="B274" s="108" t="s">
        <v>5925</v>
      </c>
      <c r="C274" s="132" t="s">
        <v>5926</v>
      </c>
      <c r="D274" s="141"/>
    </row>
    <row r="275" spans="2:4" ht="20.25" customHeight="1">
      <c r="B275" s="108" t="s">
        <v>5927</v>
      </c>
      <c r="C275" s="138" t="s">
        <v>5928</v>
      </c>
      <c r="D275" s="141"/>
    </row>
    <row r="276" spans="2:4" ht="20.25" customHeight="1">
      <c r="B276" s="108" t="s">
        <v>5929</v>
      </c>
      <c r="C276" s="132" t="s">
        <v>5930</v>
      </c>
      <c r="D276" s="141"/>
    </row>
    <row r="277" spans="2:4" ht="20.25" customHeight="1">
      <c r="B277" s="108" t="s">
        <v>5931</v>
      </c>
      <c r="C277" s="132" t="s">
        <v>5932</v>
      </c>
      <c r="D277" s="136">
        <v>45105</v>
      </c>
    </row>
    <row r="278" spans="2:4" ht="20.25" customHeight="1">
      <c r="B278" s="108" t="s">
        <v>5933</v>
      </c>
      <c r="C278" s="132" t="s">
        <v>5934</v>
      </c>
      <c r="D278" s="136">
        <v>45105</v>
      </c>
    </row>
    <row r="279" spans="2:4" ht="20.25" customHeight="1">
      <c r="B279" s="108" t="s">
        <v>5935</v>
      </c>
      <c r="C279" s="132" t="s">
        <v>5936</v>
      </c>
      <c r="D279" s="136">
        <v>45148</v>
      </c>
    </row>
    <row r="280" spans="2:4" ht="20.25" customHeight="1">
      <c r="B280" s="108" t="s">
        <v>5937</v>
      </c>
      <c r="C280" s="132" t="s">
        <v>4628</v>
      </c>
      <c r="D280" s="136">
        <v>45148</v>
      </c>
    </row>
    <row r="281" spans="2:4" ht="20.25" customHeight="1">
      <c r="B281" s="108" t="s">
        <v>5938</v>
      </c>
      <c r="C281" s="132" t="s">
        <v>5939</v>
      </c>
      <c r="D281" s="136">
        <v>45148</v>
      </c>
    </row>
    <row r="282" spans="2:4" ht="20.25" customHeight="1">
      <c r="B282" s="108" t="s">
        <v>5940</v>
      </c>
      <c r="C282" s="132" t="s">
        <v>5941</v>
      </c>
      <c r="D282" s="156"/>
    </row>
    <row r="283" spans="2:4" ht="20.25" customHeight="1">
      <c r="B283" s="108" t="s">
        <v>5942</v>
      </c>
      <c r="C283" s="132" t="s">
        <v>5943</v>
      </c>
      <c r="D283" s="141"/>
    </row>
    <row r="284" spans="2:4" ht="20.25" customHeight="1">
      <c r="B284" s="108" t="s">
        <v>5531</v>
      </c>
      <c r="C284" s="132" t="s">
        <v>5944</v>
      </c>
      <c r="D284" s="141"/>
    </row>
    <row r="285" spans="2:4" ht="20.25" customHeight="1">
      <c r="B285" s="108" t="s">
        <v>5945</v>
      </c>
      <c r="C285" s="132" t="s">
        <v>5946</v>
      </c>
      <c r="D285" s="141"/>
    </row>
    <row r="286" spans="2:4" ht="20.25" customHeight="1">
      <c r="B286" s="108" t="s">
        <v>5947</v>
      </c>
      <c r="C286" s="132" t="s">
        <v>5948</v>
      </c>
      <c r="D286" s="141"/>
    </row>
    <row r="287" spans="2:4" ht="20.25" customHeight="1">
      <c r="B287" s="108" t="s">
        <v>5533</v>
      </c>
      <c r="C287" s="132" t="s">
        <v>5949</v>
      </c>
      <c r="D287" s="141"/>
    </row>
    <row r="288" spans="2:4" ht="20.25" customHeight="1">
      <c r="B288" s="108" t="s">
        <v>5535</v>
      </c>
      <c r="C288" s="138" t="s">
        <v>5950</v>
      </c>
      <c r="D288" s="141"/>
    </row>
    <row r="289" spans="2:4" ht="20.25" customHeight="1">
      <c r="B289" s="108" t="s">
        <v>5951</v>
      </c>
      <c r="C289" s="132" t="s">
        <v>5952</v>
      </c>
      <c r="D289" s="141"/>
    </row>
    <row r="290" spans="2:4" ht="20.25" customHeight="1">
      <c r="B290" s="108" t="s">
        <v>5953</v>
      </c>
      <c r="C290" s="132" t="s">
        <v>5954</v>
      </c>
      <c r="D290" s="131" t="s">
        <v>4361</v>
      </c>
    </row>
    <row r="291" spans="2:4" ht="20.25" customHeight="1">
      <c r="B291" s="108" t="s">
        <v>5955</v>
      </c>
      <c r="C291" s="132" t="s">
        <v>5956</v>
      </c>
      <c r="D291" s="141"/>
    </row>
    <row r="292" spans="2:4" ht="20.25" customHeight="1">
      <c r="B292" s="107" t="s">
        <v>5957</v>
      </c>
      <c r="C292" s="165" t="s">
        <v>5958</v>
      </c>
      <c r="D292" s="140">
        <v>45111</v>
      </c>
    </row>
    <row r="293" spans="2:4" ht="20.25" customHeight="1">
      <c r="B293" s="108" t="s">
        <v>5959</v>
      </c>
      <c r="C293" s="132" t="s">
        <v>4628</v>
      </c>
      <c r="D293" s="140">
        <v>45111</v>
      </c>
    </row>
    <row r="294" spans="2:4" ht="20.25" customHeight="1">
      <c r="B294" s="108" t="s">
        <v>5960</v>
      </c>
      <c r="C294" s="132" t="s">
        <v>5961</v>
      </c>
      <c r="D294" s="140">
        <v>45111</v>
      </c>
    </row>
    <row r="295" spans="2:4" ht="20.25" customHeight="1">
      <c r="B295" s="108" t="s">
        <v>5962</v>
      </c>
      <c r="C295" s="132" t="s">
        <v>5963</v>
      </c>
      <c r="D295" s="141"/>
    </row>
    <row r="296" spans="2:4" ht="20.25" customHeight="1">
      <c r="B296" s="108" t="s">
        <v>5964</v>
      </c>
      <c r="C296" s="132" t="s">
        <v>5965</v>
      </c>
      <c r="D296" s="133">
        <v>45097</v>
      </c>
    </row>
    <row r="297" spans="2:4" ht="20.25" customHeight="1">
      <c r="B297" s="108" t="s">
        <v>5966</v>
      </c>
      <c r="C297" s="132" t="s">
        <v>5967</v>
      </c>
      <c r="D297" s="141"/>
    </row>
    <row r="298" spans="2:4" ht="20.25" customHeight="1">
      <c r="B298" s="108" t="s">
        <v>5968</v>
      </c>
      <c r="C298" s="132" t="s">
        <v>5969</v>
      </c>
      <c r="D298" s="141"/>
    </row>
    <row r="299" spans="2:4" ht="20.25" customHeight="1">
      <c r="B299" s="108" t="s">
        <v>5970</v>
      </c>
      <c r="C299" s="138" t="s">
        <v>5971</v>
      </c>
      <c r="D299" s="141"/>
    </row>
    <row r="300" spans="2:4" ht="20.25" customHeight="1">
      <c r="B300" s="108" t="s">
        <v>5972</v>
      </c>
      <c r="C300" s="132" t="s">
        <v>4628</v>
      </c>
      <c r="D300" s="140">
        <v>45111</v>
      </c>
    </row>
    <row r="301" spans="2:4" ht="20.25" customHeight="1">
      <c r="B301" s="108" t="s">
        <v>5973</v>
      </c>
      <c r="C301" s="132" t="s">
        <v>5974</v>
      </c>
      <c r="D301" s="140">
        <v>45111</v>
      </c>
    </row>
    <row r="302" spans="2:4" ht="20.25" customHeight="1">
      <c r="B302" s="108" t="s">
        <v>5975</v>
      </c>
      <c r="C302" s="132" t="s">
        <v>5976</v>
      </c>
      <c r="D302" s="137"/>
    </row>
    <row r="303" spans="2:4" ht="20.25" customHeight="1">
      <c r="B303" s="108" t="s">
        <v>5977</v>
      </c>
      <c r="C303" s="132" t="s">
        <v>5978</v>
      </c>
      <c r="D303" s="136" t="s">
        <v>4361</v>
      </c>
    </row>
    <row r="304" spans="2:4" ht="20.25" customHeight="1">
      <c r="B304" s="108" t="s">
        <v>5979</v>
      </c>
      <c r="C304" s="132" t="s">
        <v>5980</v>
      </c>
      <c r="D304" s="141"/>
    </row>
    <row r="305" spans="2:4" ht="20.25" customHeight="1">
      <c r="B305" s="108" t="s">
        <v>5981</v>
      </c>
      <c r="C305" s="132" t="s">
        <v>5982</v>
      </c>
      <c r="D305" s="140">
        <v>45111</v>
      </c>
    </row>
    <row r="306" spans="2:4" ht="20.25" customHeight="1">
      <c r="B306" s="108" t="s">
        <v>5473</v>
      </c>
      <c r="C306" s="132" t="s">
        <v>5983</v>
      </c>
      <c r="D306" s="141"/>
    </row>
    <row r="307" spans="2:4" ht="20.25" customHeight="1">
      <c r="B307" s="108" t="s">
        <v>5462</v>
      </c>
      <c r="C307" s="132" t="s">
        <v>5984</v>
      </c>
      <c r="D307" s="140">
        <v>45111</v>
      </c>
    </row>
    <row r="308" spans="2:4" ht="20.25" customHeight="1">
      <c r="B308" s="108" t="s">
        <v>5985</v>
      </c>
      <c r="C308" s="132" t="s">
        <v>5986</v>
      </c>
      <c r="D308" s="141"/>
    </row>
    <row r="309" spans="2:4" ht="20.25" customHeight="1">
      <c r="B309" s="108" t="s">
        <v>5987</v>
      </c>
      <c r="C309" s="132" t="s">
        <v>4628</v>
      </c>
      <c r="D309" s="141"/>
    </row>
    <row r="310" spans="2:4" ht="20.25" customHeight="1">
      <c r="B310" s="108" t="s">
        <v>5988</v>
      </c>
      <c r="C310" s="132" t="s">
        <v>5989</v>
      </c>
      <c r="D310" s="136" t="s">
        <v>4361</v>
      </c>
    </row>
    <row r="311" spans="2:4" ht="20.25" customHeight="1">
      <c r="B311" s="108" t="s">
        <v>5990</v>
      </c>
      <c r="C311" s="165" t="s">
        <v>5991</v>
      </c>
      <c r="D311" s="136" t="s">
        <v>4361</v>
      </c>
    </row>
    <row r="312" spans="2:4" ht="20.25" customHeight="1">
      <c r="B312" s="108" t="s">
        <v>5992</v>
      </c>
      <c r="C312" s="132" t="s">
        <v>5993</v>
      </c>
      <c r="D312" s="136">
        <v>45105</v>
      </c>
    </row>
    <row r="313" spans="2:4" ht="20.25" customHeight="1">
      <c r="B313" s="108" t="s">
        <v>5994</v>
      </c>
      <c r="C313" s="132" t="s">
        <v>4628</v>
      </c>
      <c r="D313" s="141"/>
    </row>
    <row r="314" spans="2:4" ht="20.25" customHeight="1">
      <c r="B314" s="108" t="s">
        <v>5995</v>
      </c>
      <c r="C314" s="132" t="s">
        <v>5996</v>
      </c>
      <c r="D314" s="141"/>
    </row>
    <row r="315" spans="2:4" ht="20.25" customHeight="1">
      <c r="B315" s="108" t="s">
        <v>5997</v>
      </c>
      <c r="C315" s="132" t="s">
        <v>5998</v>
      </c>
      <c r="D315" s="137"/>
    </row>
    <row r="316" spans="2:4" ht="20.25" customHeight="1">
      <c r="B316" s="108" t="s">
        <v>5999</v>
      </c>
      <c r="C316" s="132" t="s">
        <v>6000</v>
      </c>
      <c r="D316" s="141"/>
    </row>
    <row r="317" spans="2:4" ht="20.25" customHeight="1">
      <c r="B317" s="108" t="s">
        <v>6001</v>
      </c>
      <c r="C317" s="132" t="s">
        <v>6002</v>
      </c>
      <c r="D317" s="133">
        <v>44961</v>
      </c>
    </row>
    <row r="318" spans="2:4" ht="20.25" customHeight="1">
      <c r="B318" s="108" t="s">
        <v>6003</v>
      </c>
      <c r="C318" s="132" t="s">
        <v>6004</v>
      </c>
      <c r="D318" s="141"/>
    </row>
    <row r="319" spans="2:4" ht="20.25" customHeight="1">
      <c r="B319" s="108" t="s">
        <v>6005</v>
      </c>
      <c r="C319" s="132" t="s">
        <v>6006</v>
      </c>
      <c r="D319" s="141"/>
    </row>
    <row r="320" spans="2:4" ht="20.25" customHeight="1">
      <c r="B320" s="108" t="s">
        <v>6007</v>
      </c>
      <c r="C320" s="138" t="s">
        <v>6008</v>
      </c>
      <c r="D320" s="141"/>
    </row>
    <row r="321" spans="2:4" ht="20.25" customHeight="1">
      <c r="B321" s="108" t="s">
        <v>6009</v>
      </c>
      <c r="C321" s="132" t="s">
        <v>4628</v>
      </c>
      <c r="D321" s="136">
        <v>45148</v>
      </c>
    </row>
    <row r="322" spans="2:4" ht="20.25" customHeight="1">
      <c r="B322" s="116" t="s">
        <v>6010</v>
      </c>
      <c r="C322" s="132" t="s">
        <v>6011</v>
      </c>
      <c r="D322" s="141"/>
    </row>
    <row r="323" spans="2:4" ht="20.25" customHeight="1">
      <c r="B323" s="116" t="s">
        <v>5537</v>
      </c>
      <c r="C323" s="132" t="s">
        <v>6012</v>
      </c>
      <c r="D323" s="133">
        <v>45097</v>
      </c>
    </row>
    <row r="324" spans="2:4" ht="20.25" customHeight="1">
      <c r="B324" s="108" t="s">
        <v>6013</v>
      </c>
      <c r="C324" s="138" t="s">
        <v>6014</v>
      </c>
      <c r="D324" s="136">
        <v>45105</v>
      </c>
    </row>
    <row r="325" spans="2:4" ht="20.25" customHeight="1">
      <c r="B325" s="108" t="s">
        <v>6015</v>
      </c>
      <c r="C325" s="132" t="s">
        <v>4628</v>
      </c>
      <c r="D325" s="141"/>
    </row>
    <row r="326" spans="2:4" ht="20.25" customHeight="1">
      <c r="B326" s="108" t="s">
        <v>6016</v>
      </c>
      <c r="C326" s="165" t="s">
        <v>6017</v>
      </c>
      <c r="D326" s="141"/>
    </row>
    <row r="327" spans="2:4" ht="20.25" customHeight="1">
      <c r="B327" s="108" t="s">
        <v>6018</v>
      </c>
      <c r="C327" s="138" t="s">
        <v>6019</v>
      </c>
      <c r="D327" s="141"/>
    </row>
    <row r="328" spans="2:4" ht="20.25" customHeight="1">
      <c r="B328" s="108" t="s">
        <v>6020</v>
      </c>
      <c r="C328" s="132" t="s">
        <v>6021</v>
      </c>
      <c r="D328" s="133">
        <v>45097</v>
      </c>
    </row>
    <row r="329" spans="2:4" ht="20.25" customHeight="1">
      <c r="B329" s="108" t="s">
        <v>6022</v>
      </c>
      <c r="C329" s="132" t="s">
        <v>6023</v>
      </c>
      <c r="D329" s="141"/>
    </row>
    <row r="330" spans="2:4" ht="20.25" customHeight="1">
      <c r="B330" s="108" t="s">
        <v>6024</v>
      </c>
      <c r="C330" s="166" t="s">
        <v>6025</v>
      </c>
      <c r="D330" s="141"/>
    </row>
    <row r="331" spans="2:4" ht="20.25" customHeight="1">
      <c r="B331" s="108" t="s">
        <v>6026</v>
      </c>
      <c r="C331" s="132" t="s">
        <v>6027</v>
      </c>
      <c r="D331" s="141"/>
    </row>
    <row r="332" spans="2:4" ht="20.25" customHeight="1">
      <c r="B332" s="108" t="s">
        <v>6028</v>
      </c>
      <c r="C332" s="132" t="s">
        <v>6029</v>
      </c>
      <c r="D332" s="141"/>
    </row>
    <row r="333" spans="2:4" ht="20.25" customHeight="1">
      <c r="B333" s="116" t="s">
        <v>6030</v>
      </c>
      <c r="C333" s="132" t="s">
        <v>6031</v>
      </c>
      <c r="D333" s="141"/>
    </row>
    <row r="334" spans="2:4" ht="20.25" customHeight="1">
      <c r="B334" s="108" t="s">
        <v>6032</v>
      </c>
      <c r="C334" s="132" t="s">
        <v>6033</v>
      </c>
      <c r="D334" s="141"/>
    </row>
    <row r="335" spans="2:4" ht="20.25" customHeight="1">
      <c r="B335" s="108" t="s">
        <v>6034</v>
      </c>
      <c r="C335" s="132" t="s">
        <v>6035</v>
      </c>
      <c r="D335" s="141"/>
    </row>
    <row r="336" spans="2:4" ht="20.25" customHeight="1">
      <c r="B336" s="116" t="s">
        <v>6036</v>
      </c>
      <c r="C336" s="132" t="s">
        <v>4628</v>
      </c>
      <c r="D336" s="141"/>
    </row>
    <row r="337" spans="2:4" ht="20.25" customHeight="1">
      <c r="B337" s="108" t="s">
        <v>6037</v>
      </c>
      <c r="C337" s="132" t="s">
        <v>4628</v>
      </c>
      <c r="D337" s="141"/>
    </row>
    <row r="338" spans="2:4" ht="20.25" customHeight="1">
      <c r="B338" s="108" t="s">
        <v>6038</v>
      </c>
      <c r="C338" s="132" t="s">
        <v>4628</v>
      </c>
      <c r="D338" s="141"/>
    </row>
    <row r="339" spans="2:4" ht="20.25" customHeight="1">
      <c r="B339" s="108" t="s">
        <v>6039</v>
      </c>
      <c r="C339" s="132" t="s">
        <v>6040</v>
      </c>
      <c r="D339" s="140">
        <v>45111</v>
      </c>
    </row>
    <row r="340" spans="2:4" ht="20.25" customHeight="1">
      <c r="B340" s="108" t="s">
        <v>6041</v>
      </c>
      <c r="C340" s="132" t="s">
        <v>6042</v>
      </c>
      <c r="D340" s="141"/>
    </row>
    <row r="341" spans="2:4" ht="20.25" customHeight="1">
      <c r="B341" s="108" t="s">
        <v>6043</v>
      </c>
      <c r="C341" s="132" t="s">
        <v>4628</v>
      </c>
      <c r="D341" s="131" t="s">
        <v>4361</v>
      </c>
    </row>
    <row r="342" spans="2:4" ht="20.25" customHeight="1">
      <c r="B342" s="108" t="s">
        <v>6044</v>
      </c>
      <c r="C342" s="132" t="s">
        <v>6045</v>
      </c>
      <c r="D342" s="141"/>
    </row>
    <row r="343" spans="2:4" ht="20.25" customHeight="1">
      <c r="B343" s="108" t="s">
        <v>5459</v>
      </c>
      <c r="C343" s="132" t="s">
        <v>6046</v>
      </c>
      <c r="D343" s="141"/>
    </row>
    <row r="344" spans="2:4" ht="20.25" customHeight="1">
      <c r="B344" s="108" t="s">
        <v>6047</v>
      </c>
      <c r="C344" s="138" t="s">
        <v>6048</v>
      </c>
      <c r="D344" s="141"/>
    </row>
    <row r="345" spans="2:4" ht="20.25" customHeight="1">
      <c r="B345" s="108" t="s">
        <v>6049</v>
      </c>
      <c r="C345" s="132" t="s">
        <v>6050</v>
      </c>
      <c r="D345" s="141"/>
    </row>
    <row r="346" spans="2:4" ht="20.25" customHeight="1">
      <c r="B346" s="108" t="s">
        <v>6051</v>
      </c>
      <c r="C346" s="132" t="s">
        <v>6052</v>
      </c>
      <c r="D346" s="141"/>
    </row>
    <row r="347" spans="2:4" ht="20.25" customHeight="1">
      <c r="B347" s="108" t="s">
        <v>6053</v>
      </c>
      <c r="C347" s="132" t="s">
        <v>6054</v>
      </c>
      <c r="D347" s="141"/>
    </row>
    <row r="348" spans="2:4" ht="20.25" customHeight="1">
      <c r="B348" s="108" t="s">
        <v>5457</v>
      </c>
      <c r="C348" s="132" t="s">
        <v>6055</v>
      </c>
      <c r="D348" s="141"/>
    </row>
    <row r="349" spans="2:4" ht="20.25" customHeight="1">
      <c r="B349" s="116" t="s">
        <v>5539</v>
      </c>
      <c r="C349" s="132" t="s">
        <v>6056</v>
      </c>
      <c r="D349" s="141"/>
    </row>
    <row r="350" spans="2:4" ht="20.25" customHeight="1">
      <c r="B350" s="108" t="s">
        <v>6057</v>
      </c>
      <c r="C350" s="132" t="s">
        <v>6058</v>
      </c>
      <c r="D350" s="141"/>
    </row>
    <row r="351" spans="2:4" ht="20.25" customHeight="1">
      <c r="B351" s="108" t="s">
        <v>6059</v>
      </c>
      <c r="C351" s="132" t="s">
        <v>4628</v>
      </c>
      <c r="D351" s="141"/>
    </row>
    <row r="352" spans="2:4" ht="20.25" customHeight="1">
      <c r="B352" s="108" t="s">
        <v>6060</v>
      </c>
      <c r="C352" s="132" t="s">
        <v>4628</v>
      </c>
      <c r="D352" s="141"/>
    </row>
    <row r="353" spans="2:4" ht="20.25" customHeight="1">
      <c r="B353" s="108" t="s">
        <v>6061</v>
      </c>
      <c r="C353" s="132" t="s">
        <v>6062</v>
      </c>
      <c r="D353" s="141"/>
    </row>
    <row r="354" spans="2:4" ht="20.25" customHeight="1">
      <c r="B354" s="108" t="s">
        <v>6063</v>
      </c>
      <c r="C354" s="132" t="s">
        <v>4628</v>
      </c>
      <c r="D354" s="141"/>
    </row>
    <row r="355" spans="2:4" ht="20.25" customHeight="1">
      <c r="B355" s="108" t="s">
        <v>6064</v>
      </c>
      <c r="C355" s="132" t="s">
        <v>6065</v>
      </c>
      <c r="D355" s="141"/>
    </row>
    <row r="356" spans="2:4" ht="20.25" customHeight="1">
      <c r="B356" s="116" t="s">
        <v>5541</v>
      </c>
      <c r="C356" s="132" t="s">
        <v>4628</v>
      </c>
      <c r="D356" s="141"/>
    </row>
    <row r="357" spans="2:4" ht="20.25" customHeight="1">
      <c r="B357" s="116" t="s">
        <v>6066</v>
      </c>
      <c r="C357" s="132" t="s">
        <v>6067</v>
      </c>
      <c r="D357" s="141"/>
    </row>
    <row r="358" spans="2:4" ht="20.25" customHeight="1">
      <c r="B358" s="108" t="s">
        <v>6068</v>
      </c>
      <c r="C358" s="132" t="s">
        <v>4628</v>
      </c>
      <c r="D358" s="141"/>
    </row>
    <row r="359" spans="2:4" ht="20.25" customHeight="1">
      <c r="B359" s="108" t="s">
        <v>6069</v>
      </c>
      <c r="C359" s="132" t="s">
        <v>4628</v>
      </c>
      <c r="D359" s="141"/>
    </row>
    <row r="360" spans="2:4" ht="20.25" customHeight="1">
      <c r="B360" s="108" t="s">
        <v>5465</v>
      </c>
      <c r="C360" s="132" t="s">
        <v>4628</v>
      </c>
      <c r="D360" s="141"/>
    </row>
    <row r="361" spans="2:4" ht="20.25" customHeight="1">
      <c r="B361" s="108" t="s">
        <v>6070</v>
      </c>
      <c r="C361" s="132" t="s">
        <v>6071</v>
      </c>
      <c r="D361" s="141"/>
    </row>
    <row r="362" spans="2:4" ht="20.25" customHeight="1">
      <c r="B362" s="108" t="s">
        <v>6072</v>
      </c>
      <c r="C362" s="138" t="s">
        <v>6073</v>
      </c>
      <c r="D362" s="141"/>
    </row>
    <row r="363" spans="2:4" ht="20.25" customHeight="1">
      <c r="B363" s="108" t="s">
        <v>6074</v>
      </c>
      <c r="C363" s="132" t="s">
        <v>6075</v>
      </c>
      <c r="D363" s="141"/>
    </row>
    <row r="364" spans="2:4" ht="20.25" customHeight="1">
      <c r="B364" s="108" t="s">
        <v>6076</v>
      </c>
      <c r="C364" s="132" t="s">
        <v>4628</v>
      </c>
      <c r="D364" s="141"/>
    </row>
    <row r="365" spans="2:4" ht="20.25" customHeight="1">
      <c r="B365" s="108" t="s">
        <v>6077</v>
      </c>
      <c r="C365" s="167" t="s">
        <v>4628</v>
      </c>
      <c r="D365" s="141"/>
    </row>
    <row r="366" spans="2:4" ht="20.25" customHeight="1">
      <c r="B366" s="116" t="s">
        <v>6078</v>
      </c>
      <c r="C366" s="138" t="s">
        <v>6079</v>
      </c>
      <c r="D366" s="141"/>
    </row>
    <row r="367" spans="2:4" ht="20.25" customHeight="1">
      <c r="B367" s="116" t="s">
        <v>6080</v>
      </c>
      <c r="C367" s="132" t="s">
        <v>6081</v>
      </c>
      <c r="D367" s="141"/>
    </row>
    <row r="368" spans="2:4" ht="20.25" customHeight="1">
      <c r="B368" s="108" t="s">
        <v>6082</v>
      </c>
      <c r="C368" s="132" t="s">
        <v>4628</v>
      </c>
      <c r="D368" s="141"/>
    </row>
    <row r="369" spans="2:4" ht="20.25" customHeight="1">
      <c r="B369" s="108" t="s">
        <v>5464</v>
      </c>
      <c r="C369" s="132" t="s">
        <v>6083</v>
      </c>
      <c r="D369" s="136">
        <v>45148</v>
      </c>
    </row>
    <row r="370" spans="2:4" ht="20.25" customHeight="1">
      <c r="B370" s="116" t="s">
        <v>6084</v>
      </c>
      <c r="C370" s="132" t="s">
        <v>6085</v>
      </c>
      <c r="D370" s="142"/>
    </row>
    <row r="371" spans="2:4" ht="20.25" customHeight="1">
      <c r="B371" s="108" t="s">
        <v>6086</v>
      </c>
      <c r="C371" s="132" t="s">
        <v>6087</v>
      </c>
      <c r="D371" s="135"/>
    </row>
    <row r="372" spans="2:4" ht="20.25" customHeight="1">
      <c r="B372" s="108" t="s">
        <v>6088</v>
      </c>
      <c r="C372" s="132" t="s">
        <v>6087</v>
      </c>
      <c r="D372" s="156"/>
    </row>
    <row r="373" spans="2:4" ht="20.25" customHeight="1">
      <c r="B373" s="108" t="s">
        <v>6089</v>
      </c>
      <c r="C373" s="132" t="s">
        <v>6090</v>
      </c>
      <c r="D373" s="133">
        <v>44961</v>
      </c>
    </row>
    <row r="374" spans="2:4" ht="20.25" customHeight="1">
      <c r="B374" s="108" t="s">
        <v>6091</v>
      </c>
      <c r="C374" s="132" t="s">
        <v>6092</v>
      </c>
      <c r="D374" s="133">
        <v>44992</v>
      </c>
    </row>
    <row r="375" spans="2:4" ht="20.25" customHeight="1">
      <c r="B375" s="108" t="s">
        <v>6093</v>
      </c>
      <c r="C375" s="132" t="s">
        <v>6094</v>
      </c>
      <c r="D375" s="136">
        <v>45105</v>
      </c>
    </row>
    <row r="376" spans="2:4" ht="20.25" customHeight="1">
      <c r="B376" s="108" t="s">
        <v>5468</v>
      </c>
      <c r="C376" s="132" t="s">
        <v>6095</v>
      </c>
      <c r="D376" s="133">
        <v>44961</v>
      </c>
    </row>
    <row r="377" spans="2:4" ht="20.25" customHeight="1">
      <c r="B377" s="108" t="s">
        <v>6096</v>
      </c>
      <c r="C377" s="132" t="s">
        <v>6097</v>
      </c>
      <c r="D377" s="133">
        <v>44961</v>
      </c>
    </row>
    <row r="378" spans="2:4" ht="20.25" customHeight="1">
      <c r="B378" s="108" t="s">
        <v>6098</v>
      </c>
      <c r="C378" s="132" t="s">
        <v>6099</v>
      </c>
      <c r="D378" s="141"/>
    </row>
    <row r="379" spans="2:4" ht="20.25" customHeight="1">
      <c r="B379" s="108" t="s">
        <v>6100</v>
      </c>
      <c r="C379" s="138" t="s">
        <v>6101</v>
      </c>
      <c r="D379" s="133">
        <v>44992</v>
      </c>
    </row>
    <row r="380" spans="2:4" ht="20.25" customHeight="1">
      <c r="B380" s="108" t="s">
        <v>6102</v>
      </c>
      <c r="C380" s="132" t="s">
        <v>6103</v>
      </c>
      <c r="D380" s="133">
        <v>44961</v>
      </c>
    </row>
    <row r="381" spans="2:4" ht="20.25" customHeight="1">
      <c r="B381" s="108" t="s">
        <v>6104</v>
      </c>
      <c r="C381" s="132" t="s">
        <v>6105</v>
      </c>
      <c r="D381" s="133">
        <v>44961</v>
      </c>
    </row>
    <row r="382" spans="2:4" ht="20.25" customHeight="1">
      <c r="B382" s="108" t="s">
        <v>5543</v>
      </c>
      <c r="C382" s="132" t="s">
        <v>6106</v>
      </c>
      <c r="D382" s="133">
        <v>44961</v>
      </c>
    </row>
    <row r="383" spans="2:4" ht="20.25" customHeight="1">
      <c r="B383" s="108" t="s">
        <v>5545</v>
      </c>
      <c r="C383" s="132" t="s">
        <v>6107</v>
      </c>
      <c r="D383" s="133">
        <v>44961</v>
      </c>
    </row>
    <row r="384" spans="2:4" ht="20.25" customHeight="1">
      <c r="B384" s="108" t="s">
        <v>5547</v>
      </c>
      <c r="C384" s="132" t="s">
        <v>6108</v>
      </c>
      <c r="D384" s="141"/>
    </row>
    <row r="385" spans="2:4" ht="20.25" customHeight="1">
      <c r="B385" s="108" t="s">
        <v>5549</v>
      </c>
      <c r="C385" s="132" t="s">
        <v>6109</v>
      </c>
      <c r="D385" s="133">
        <v>44961</v>
      </c>
    </row>
    <row r="386" spans="2:4" ht="20.25" customHeight="1">
      <c r="B386" s="108" t="s">
        <v>6110</v>
      </c>
      <c r="C386" s="132" t="s">
        <v>6111</v>
      </c>
      <c r="D386" s="141"/>
    </row>
    <row r="387" spans="2:4" ht="20.25" customHeight="1">
      <c r="B387" s="108" t="s">
        <v>6112</v>
      </c>
      <c r="C387" s="132" t="s">
        <v>6113</v>
      </c>
      <c r="D387" s="141"/>
    </row>
    <row r="388" spans="2:4" ht="20.25" customHeight="1">
      <c r="B388" s="108" t="s">
        <v>6114</v>
      </c>
      <c r="C388" s="132" t="s">
        <v>6115</v>
      </c>
      <c r="D388" s="136">
        <v>45106</v>
      </c>
    </row>
    <row r="389" spans="2:4" ht="20.25" customHeight="1">
      <c r="B389" s="108" t="s">
        <v>6116</v>
      </c>
      <c r="C389" s="132" t="s">
        <v>6117</v>
      </c>
      <c r="D389" s="141"/>
    </row>
    <row r="390" spans="2:4" ht="20.25" customHeight="1">
      <c r="B390" s="108" t="s">
        <v>6118</v>
      </c>
      <c r="C390" s="132" t="s">
        <v>4628</v>
      </c>
      <c r="D390" s="136">
        <v>45105</v>
      </c>
    </row>
    <row r="391" spans="2:4" ht="20.25" customHeight="1">
      <c r="B391" s="108" t="s">
        <v>6119</v>
      </c>
      <c r="C391" s="132" t="s">
        <v>4628</v>
      </c>
      <c r="D391" s="136">
        <v>45148</v>
      </c>
    </row>
    <row r="392" spans="2:4" ht="20.25" customHeight="1">
      <c r="B392" s="108" t="s">
        <v>5470</v>
      </c>
      <c r="C392" s="132" t="s">
        <v>6120</v>
      </c>
      <c r="D392" s="141"/>
    </row>
    <row r="393" spans="2:4" ht="20.25" customHeight="1">
      <c r="B393" s="108" t="s">
        <v>6121</v>
      </c>
      <c r="C393" s="132" t="s">
        <v>6122</v>
      </c>
      <c r="D393" s="141"/>
    </row>
    <row r="394" spans="2:4" ht="20.25" customHeight="1">
      <c r="B394" s="108" t="s">
        <v>6123</v>
      </c>
      <c r="C394" s="132" t="s">
        <v>6124</v>
      </c>
      <c r="D394" s="136">
        <v>45105</v>
      </c>
    </row>
    <row r="395" spans="2:4" ht="20.25" customHeight="1">
      <c r="B395" s="108" t="s">
        <v>6125</v>
      </c>
      <c r="C395" s="132" t="s">
        <v>6126</v>
      </c>
      <c r="D395" s="131" t="s">
        <v>4361</v>
      </c>
    </row>
    <row r="396" spans="2:4" ht="20.25" customHeight="1">
      <c r="B396" s="108" t="s">
        <v>6127</v>
      </c>
      <c r="C396" s="132" t="s">
        <v>4628</v>
      </c>
      <c r="D396" s="136">
        <v>45148</v>
      </c>
    </row>
    <row r="397" spans="2:4" ht="20.25" customHeight="1">
      <c r="B397" s="108" t="s">
        <v>6128</v>
      </c>
      <c r="C397" s="132" t="s">
        <v>4628</v>
      </c>
      <c r="D397" s="141"/>
    </row>
    <row r="398" spans="2:4" ht="20.25" customHeight="1">
      <c r="B398" s="116" t="s">
        <v>5551</v>
      </c>
      <c r="C398" s="132" t="s">
        <v>6129</v>
      </c>
      <c r="D398" s="156"/>
    </row>
    <row r="399" spans="2:4" ht="20.25" customHeight="1">
      <c r="B399" s="108" t="s">
        <v>5553</v>
      </c>
      <c r="C399" s="132" t="s">
        <v>6130</v>
      </c>
      <c r="D399" s="136">
        <v>45148</v>
      </c>
    </row>
    <row r="400" spans="2:4" ht="20.25" customHeight="1">
      <c r="B400" s="108" t="s">
        <v>6131</v>
      </c>
      <c r="C400" s="132" t="s">
        <v>6132</v>
      </c>
      <c r="D400" s="136">
        <v>45148</v>
      </c>
    </row>
    <row r="401" spans="2:4" ht="20.25" customHeight="1">
      <c r="B401" s="108" t="s">
        <v>6133</v>
      </c>
      <c r="C401" s="132" t="s">
        <v>4628</v>
      </c>
      <c r="D401" s="136">
        <v>45148</v>
      </c>
    </row>
    <row r="402" spans="2:4" ht="20.25" customHeight="1">
      <c r="B402" s="108" t="s">
        <v>6134</v>
      </c>
      <c r="C402" s="138" t="s">
        <v>6135</v>
      </c>
      <c r="D402" s="137"/>
    </row>
    <row r="403" spans="2:4" ht="20.25" customHeight="1">
      <c r="B403" s="108" t="s">
        <v>6136</v>
      </c>
      <c r="C403" s="132" t="s">
        <v>6137</v>
      </c>
      <c r="D403" s="136">
        <v>45148</v>
      </c>
    </row>
    <row r="404" spans="2:4" ht="20.25" customHeight="1">
      <c r="B404" s="108" t="s">
        <v>6138</v>
      </c>
      <c r="C404" s="132" t="s">
        <v>6139</v>
      </c>
      <c r="D404" s="136">
        <v>45148</v>
      </c>
    </row>
    <row r="405" spans="2:4" ht="20.25" customHeight="1">
      <c r="B405" s="108" t="s">
        <v>5472</v>
      </c>
      <c r="C405" s="132" t="s">
        <v>6140</v>
      </c>
      <c r="D405" s="136">
        <v>45148</v>
      </c>
    </row>
    <row r="406" spans="2:4" ht="20.25" customHeight="1">
      <c r="B406" s="108" t="s">
        <v>6141</v>
      </c>
      <c r="C406" s="132" t="s">
        <v>6142</v>
      </c>
      <c r="D406" s="136">
        <v>45105</v>
      </c>
    </row>
    <row r="407" spans="2:4" ht="20.25" customHeight="1">
      <c r="B407" s="108" t="s">
        <v>6143</v>
      </c>
      <c r="C407" s="132" t="s">
        <v>6144</v>
      </c>
      <c r="D407" s="133">
        <v>44961</v>
      </c>
    </row>
    <row r="408" spans="2:4" ht="20.25" customHeight="1">
      <c r="B408" s="108" t="s">
        <v>6145</v>
      </c>
      <c r="C408" s="132" t="s">
        <v>6146</v>
      </c>
      <c r="D408" s="133">
        <v>44961</v>
      </c>
    </row>
    <row r="409" spans="2:4" ht="20.25" customHeight="1">
      <c r="B409" s="108" t="s">
        <v>6147</v>
      </c>
      <c r="C409" s="132" t="s">
        <v>6148</v>
      </c>
      <c r="D409" s="133">
        <v>44992</v>
      </c>
    </row>
    <row r="410" spans="2:4" ht="20.25" customHeight="1">
      <c r="B410" s="108" t="s">
        <v>6149</v>
      </c>
      <c r="C410" s="138" t="s">
        <v>6150</v>
      </c>
      <c r="D410" s="133">
        <v>44992</v>
      </c>
    </row>
    <row r="411" spans="2:4" ht="20.25" customHeight="1">
      <c r="B411" s="108" t="s">
        <v>6151</v>
      </c>
      <c r="C411" s="132" t="s">
        <v>6152</v>
      </c>
      <c r="D411" s="141"/>
    </row>
    <row r="412" spans="2:4" ht="20.25" customHeight="1">
      <c r="B412" s="108" t="s">
        <v>6153</v>
      </c>
      <c r="C412" s="132" t="s">
        <v>6154</v>
      </c>
      <c r="D412" s="141"/>
    </row>
    <row r="413" spans="2:4" ht="20.25" customHeight="1">
      <c r="B413" s="116" t="s">
        <v>6155</v>
      </c>
      <c r="C413" s="132" t="s">
        <v>6156</v>
      </c>
      <c r="D413" s="141"/>
    </row>
    <row r="414" spans="2:4" ht="20.25" customHeight="1">
      <c r="B414" s="116" t="s">
        <v>6157</v>
      </c>
      <c r="C414" s="132" t="s">
        <v>6158</v>
      </c>
      <c r="D414" s="136">
        <v>45105</v>
      </c>
    </row>
    <row r="415" spans="2:4" ht="20.25" customHeight="1">
      <c r="B415" s="108" t="s">
        <v>6159</v>
      </c>
      <c r="C415" s="132" t="s">
        <v>3673</v>
      </c>
      <c r="D415" s="133">
        <v>44961</v>
      </c>
    </row>
    <row r="416" spans="2:4" ht="20.25" customHeight="1">
      <c r="B416" s="108" t="s">
        <v>6160</v>
      </c>
      <c r="C416" s="132" t="s">
        <v>4628</v>
      </c>
      <c r="D416" s="133">
        <v>44961</v>
      </c>
    </row>
    <row r="417" spans="2:4" ht="20.25" customHeight="1">
      <c r="B417" s="108" t="s">
        <v>6161</v>
      </c>
      <c r="C417" s="132" t="s">
        <v>6162</v>
      </c>
      <c r="D417" s="136">
        <v>45105</v>
      </c>
    </row>
    <row r="418" spans="2:4" ht="20.25" customHeight="1">
      <c r="B418" s="108" t="s">
        <v>6163</v>
      </c>
      <c r="C418" s="132" t="s">
        <v>6164</v>
      </c>
      <c r="D418" s="133">
        <v>44961</v>
      </c>
    </row>
    <row r="419" spans="2:4" ht="20.25" customHeight="1">
      <c r="B419" s="108" t="s">
        <v>6165</v>
      </c>
      <c r="C419" s="132" t="s">
        <v>6166</v>
      </c>
      <c r="D419" s="136">
        <v>45105</v>
      </c>
    </row>
    <row r="420" spans="2:4" ht="20.25" customHeight="1">
      <c r="B420" s="108" t="s">
        <v>6167</v>
      </c>
      <c r="C420" s="132" t="s">
        <v>6168</v>
      </c>
      <c r="D420" s="133">
        <v>44961</v>
      </c>
    </row>
    <row r="421" spans="2:4" ht="20.25" customHeight="1">
      <c r="B421" s="108" t="s">
        <v>6169</v>
      </c>
      <c r="C421" s="132" t="s">
        <v>6170</v>
      </c>
      <c r="D421" s="141"/>
    </row>
    <row r="422" spans="2:4" ht="20.25" customHeight="1">
      <c r="B422" s="108" t="s">
        <v>6171</v>
      </c>
      <c r="C422" s="132" t="s">
        <v>6172</v>
      </c>
      <c r="D422" s="141"/>
    </row>
    <row r="423" spans="2:4" ht="20.25" customHeight="1">
      <c r="B423" s="108" t="s">
        <v>5555</v>
      </c>
      <c r="C423" s="132" t="s">
        <v>6173</v>
      </c>
      <c r="D423" s="133">
        <v>44992</v>
      </c>
    </row>
    <row r="424" spans="2:4" ht="20.25" customHeight="1">
      <c r="B424" s="108" t="s">
        <v>6174</v>
      </c>
      <c r="C424" s="132" t="s">
        <v>6175</v>
      </c>
      <c r="D424" s="141"/>
    </row>
    <row r="425" spans="2:4" ht="20.25" customHeight="1">
      <c r="B425" s="108" t="s">
        <v>6176</v>
      </c>
      <c r="C425" s="132" t="s">
        <v>6177</v>
      </c>
      <c r="D425" s="141"/>
    </row>
    <row r="426" spans="2:4" ht="20.25" customHeight="1">
      <c r="B426" s="108" t="s">
        <v>6178</v>
      </c>
      <c r="C426" s="132" t="s">
        <v>4628</v>
      </c>
      <c r="D426" s="136">
        <v>45148</v>
      </c>
    </row>
    <row r="427" spans="2:4" ht="20.25" customHeight="1">
      <c r="B427" s="108" t="s">
        <v>6179</v>
      </c>
      <c r="C427" s="132" t="s">
        <v>6180</v>
      </c>
      <c r="D427" s="133">
        <v>44889</v>
      </c>
    </row>
    <row r="428" spans="2:4" ht="20.25" customHeight="1">
      <c r="B428" s="108" t="s">
        <v>6181</v>
      </c>
      <c r="C428" s="138" t="s">
        <v>6182</v>
      </c>
      <c r="D428" s="133">
        <v>44889</v>
      </c>
    </row>
    <row r="429" spans="2:4" ht="20.25" customHeight="1">
      <c r="B429" s="108" t="s">
        <v>6183</v>
      </c>
      <c r="C429" s="132" t="s">
        <v>6184</v>
      </c>
      <c r="D429" s="133">
        <v>44992</v>
      </c>
    </row>
    <row r="430" spans="2:4" ht="20.25" customHeight="1">
      <c r="B430" s="108" t="s">
        <v>6185</v>
      </c>
      <c r="C430" s="132" t="s">
        <v>6186</v>
      </c>
      <c r="D430" s="140">
        <v>45111</v>
      </c>
    </row>
    <row r="431" spans="2:4" ht="20.25" customHeight="1">
      <c r="B431" s="108" t="s">
        <v>6187</v>
      </c>
      <c r="C431" s="138" t="s">
        <v>6188</v>
      </c>
      <c r="D431" s="131" t="s">
        <v>4361</v>
      </c>
    </row>
    <row r="432" spans="2:4" ht="20.25" customHeight="1">
      <c r="B432" s="108" t="s">
        <v>5474</v>
      </c>
      <c r="C432" s="132" t="s">
        <v>6189</v>
      </c>
      <c r="D432" s="131" t="s">
        <v>4361</v>
      </c>
    </row>
    <row r="433" spans="2:4" ht="20.25" customHeight="1">
      <c r="B433" s="108" t="s">
        <v>6190</v>
      </c>
      <c r="C433" s="138" t="s">
        <v>6191</v>
      </c>
      <c r="D433" s="131" t="s">
        <v>4361</v>
      </c>
    </row>
    <row r="434" spans="2:4" ht="20.25" customHeight="1">
      <c r="B434" s="108" t="s">
        <v>6192</v>
      </c>
      <c r="C434" s="132" t="s">
        <v>6193</v>
      </c>
      <c r="D434" s="141"/>
    </row>
    <row r="435" spans="2:4" ht="20.25" customHeight="1">
      <c r="B435" s="108" t="s">
        <v>6194</v>
      </c>
      <c r="C435" s="138" t="s">
        <v>6195</v>
      </c>
      <c r="D435" s="141"/>
    </row>
    <row r="436" spans="2:4" ht="20.25" customHeight="1">
      <c r="B436" s="108" t="s">
        <v>6196</v>
      </c>
      <c r="C436" s="138" t="s">
        <v>6197</v>
      </c>
      <c r="D436" s="141"/>
    </row>
    <row r="437" spans="2:4" ht="20.25" customHeight="1">
      <c r="B437" s="108" t="s">
        <v>6198</v>
      </c>
      <c r="C437" s="132" t="s">
        <v>6199</v>
      </c>
      <c r="D437" s="141"/>
    </row>
    <row r="438" spans="2:4" ht="20.25" customHeight="1">
      <c r="B438" s="108" t="s">
        <v>5466</v>
      </c>
      <c r="C438" s="132" t="s">
        <v>6200</v>
      </c>
      <c r="D438" s="133">
        <v>44816</v>
      </c>
    </row>
    <row r="439" spans="2:4" ht="20.25" customHeight="1">
      <c r="B439" s="108" t="s">
        <v>6201</v>
      </c>
      <c r="C439" s="138" t="s">
        <v>6202</v>
      </c>
      <c r="D439" s="133">
        <v>44910</v>
      </c>
    </row>
    <row r="440" spans="2:4" ht="20.25" customHeight="1">
      <c r="B440" s="108" t="s">
        <v>6203</v>
      </c>
      <c r="C440" s="138" t="s">
        <v>6202</v>
      </c>
      <c r="D440" s="133">
        <v>44816</v>
      </c>
    </row>
    <row r="441" spans="2:4" ht="20.25" customHeight="1">
      <c r="B441" s="108" t="s">
        <v>6204</v>
      </c>
      <c r="C441" s="132" t="s">
        <v>6205</v>
      </c>
      <c r="D441" s="131" t="s">
        <v>4361</v>
      </c>
    </row>
    <row r="442" spans="2:4" ht="20.25" customHeight="1">
      <c r="B442" s="108" t="s">
        <v>6206</v>
      </c>
      <c r="C442" s="132" t="s">
        <v>6207</v>
      </c>
      <c r="D442" s="133">
        <v>44923</v>
      </c>
    </row>
    <row r="443" spans="2:4" ht="20.25" customHeight="1">
      <c r="B443" s="108" t="s">
        <v>5476</v>
      </c>
      <c r="C443" s="138" t="s">
        <v>6208</v>
      </c>
      <c r="D443" s="131"/>
    </row>
    <row r="444" spans="2:4" ht="20.25" customHeight="1">
      <c r="B444" s="108" t="s">
        <v>6209</v>
      </c>
      <c r="C444" s="138" t="s">
        <v>6210</v>
      </c>
      <c r="D444" s="133">
        <v>45013</v>
      </c>
    </row>
    <row r="445" spans="2:4" ht="20.25" customHeight="1">
      <c r="B445" s="108" t="s">
        <v>6211</v>
      </c>
      <c r="C445" s="138" t="s">
        <v>6212</v>
      </c>
      <c r="D445" s="133">
        <v>44923</v>
      </c>
    </row>
    <row r="446" spans="2:4" ht="20.25" customHeight="1">
      <c r="B446" s="108" t="s">
        <v>5478</v>
      </c>
      <c r="C446" s="138" t="s">
        <v>6213</v>
      </c>
      <c r="D446" s="133">
        <v>44923</v>
      </c>
    </row>
    <row r="447" spans="2:4" ht="20.25" customHeight="1">
      <c r="B447" s="108" t="s">
        <v>5479</v>
      </c>
      <c r="C447" s="138" t="s">
        <v>6214</v>
      </c>
      <c r="D447" s="133">
        <v>44816</v>
      </c>
    </row>
    <row r="448" spans="2:4" ht="20.25" customHeight="1">
      <c r="B448" s="108" t="s">
        <v>5557</v>
      </c>
      <c r="C448" s="138" t="s">
        <v>6215</v>
      </c>
      <c r="D448" s="131" t="s">
        <v>4361</v>
      </c>
    </row>
    <row r="449" spans="2:4" ht="20.25" customHeight="1">
      <c r="B449" s="108" t="s">
        <v>6216</v>
      </c>
      <c r="C449" s="132" t="s">
        <v>6217</v>
      </c>
      <c r="D449" s="131" t="s">
        <v>4361</v>
      </c>
    </row>
    <row r="450" spans="2:4" ht="20.25" customHeight="1">
      <c r="B450" s="108" t="s">
        <v>5481</v>
      </c>
      <c r="C450" s="132" t="s">
        <v>6218</v>
      </c>
      <c r="D450" s="133">
        <v>44816</v>
      </c>
    </row>
    <row r="451" spans="2:4" ht="20.25" customHeight="1">
      <c r="B451" s="108" t="s">
        <v>6219</v>
      </c>
      <c r="C451" s="138" t="s">
        <v>6220</v>
      </c>
      <c r="D451" s="133">
        <v>44816</v>
      </c>
    </row>
    <row r="452" spans="2:4" ht="20.25" customHeight="1">
      <c r="B452" s="108" t="s">
        <v>5471</v>
      </c>
      <c r="C452" s="132" t="s">
        <v>6221</v>
      </c>
      <c r="D452" s="133">
        <v>44816</v>
      </c>
    </row>
    <row r="453" spans="2:4" ht="20.25" customHeight="1">
      <c r="B453" s="108" t="s">
        <v>6222</v>
      </c>
      <c r="C453" s="132" t="s">
        <v>6223</v>
      </c>
      <c r="D453" s="131" t="s">
        <v>4361</v>
      </c>
    </row>
    <row r="454" spans="2:4" ht="20.25" customHeight="1">
      <c r="B454" s="108" t="s">
        <v>6224</v>
      </c>
      <c r="C454" s="138" t="s">
        <v>6225</v>
      </c>
      <c r="D454" s="152">
        <v>45034</v>
      </c>
    </row>
    <row r="455" spans="2:4" ht="20.25" customHeight="1">
      <c r="B455" s="108" t="s">
        <v>6226</v>
      </c>
      <c r="C455" s="138" t="s">
        <v>6227</v>
      </c>
      <c r="D455" s="133">
        <v>44992</v>
      </c>
    </row>
    <row r="456" spans="2:4" ht="20.25" customHeight="1">
      <c r="B456" s="108" t="s">
        <v>6228</v>
      </c>
      <c r="C456" s="138" t="s">
        <v>6229</v>
      </c>
      <c r="D456" s="133">
        <v>44992</v>
      </c>
    </row>
    <row r="457" spans="2:4" ht="20.25" customHeight="1">
      <c r="B457" s="108" t="s">
        <v>5483</v>
      </c>
      <c r="C457" s="132" t="s">
        <v>6230</v>
      </c>
      <c r="D457" s="152">
        <v>45034</v>
      </c>
    </row>
    <row r="458" spans="2:4" ht="20.25" customHeight="1">
      <c r="B458" s="108" t="s">
        <v>6231</v>
      </c>
      <c r="C458" s="132" t="s">
        <v>6232</v>
      </c>
      <c r="D458" s="131" t="s">
        <v>4361</v>
      </c>
    </row>
    <row r="459" spans="2:4" ht="20.25" customHeight="1">
      <c r="B459" s="108" t="s">
        <v>6233</v>
      </c>
      <c r="C459" s="132" t="s">
        <v>6234</v>
      </c>
      <c r="D459" s="131" t="s">
        <v>4361</v>
      </c>
    </row>
    <row r="460" spans="2:4" ht="20.25" customHeight="1">
      <c r="B460" s="108" t="s">
        <v>5467</v>
      </c>
      <c r="C460" s="132" t="s">
        <v>6235</v>
      </c>
      <c r="D460" s="131" t="s">
        <v>4361</v>
      </c>
    </row>
    <row r="461" spans="2:4" ht="20.25" customHeight="1">
      <c r="B461" s="108" t="s">
        <v>5486</v>
      </c>
      <c r="C461" s="132" t="s">
        <v>6236</v>
      </c>
      <c r="D461" s="133">
        <v>44862</v>
      </c>
    </row>
    <row r="462" spans="2:4" ht="20.25" customHeight="1">
      <c r="B462" s="116" t="s">
        <v>5488</v>
      </c>
      <c r="C462" s="132" t="s">
        <v>6237</v>
      </c>
      <c r="D462" s="131" t="s">
        <v>4361</v>
      </c>
    </row>
    <row r="463" spans="2:4" ht="20.25" customHeight="1">
      <c r="B463" s="108" t="s">
        <v>6238</v>
      </c>
      <c r="C463" s="132" t="s">
        <v>6239</v>
      </c>
      <c r="D463" s="133">
        <v>44862</v>
      </c>
    </row>
    <row r="464" spans="2:4" ht="20.25" customHeight="1">
      <c r="B464" s="108" t="s">
        <v>5477</v>
      </c>
      <c r="C464" s="132" t="s">
        <v>6240</v>
      </c>
      <c r="D464" s="152">
        <v>45040</v>
      </c>
    </row>
    <row r="465" spans="2:4" ht="20.25" customHeight="1">
      <c r="B465" s="108" t="s">
        <v>5475</v>
      </c>
      <c r="C465" s="138" t="s">
        <v>6241</v>
      </c>
      <c r="D465" s="131" t="s">
        <v>4361</v>
      </c>
    </row>
    <row r="466" spans="2:4" ht="20.25" customHeight="1">
      <c r="B466" s="108" t="s">
        <v>6242</v>
      </c>
      <c r="C466" s="132" t="s">
        <v>6243</v>
      </c>
      <c r="D466" s="131" t="s">
        <v>4361</v>
      </c>
    </row>
    <row r="467" spans="2:4" ht="20.25" customHeight="1">
      <c r="B467" s="108" t="s">
        <v>6244</v>
      </c>
      <c r="C467" s="138" t="s">
        <v>6245</v>
      </c>
      <c r="D467" s="131" t="s">
        <v>4361</v>
      </c>
    </row>
    <row r="468" spans="2:4" ht="20.25" customHeight="1">
      <c r="B468" s="108" t="s">
        <v>6246</v>
      </c>
      <c r="C468" s="132" t="s">
        <v>6247</v>
      </c>
      <c r="D468" s="131" t="s">
        <v>4361</v>
      </c>
    </row>
    <row r="469" spans="2:4" ht="20.25" customHeight="1">
      <c r="B469" s="108" t="s">
        <v>6248</v>
      </c>
      <c r="C469" s="132" t="s">
        <v>6249</v>
      </c>
      <c r="D469" s="133">
        <v>44910</v>
      </c>
    </row>
    <row r="470" spans="2:4" ht="20.25" customHeight="1">
      <c r="B470" s="108" t="s">
        <v>5489</v>
      </c>
      <c r="C470" s="132" t="s">
        <v>6250</v>
      </c>
      <c r="D470" s="152">
        <v>45034</v>
      </c>
    </row>
    <row r="471" spans="2:4" ht="20.25" customHeight="1">
      <c r="B471" s="108" t="s">
        <v>6251</v>
      </c>
      <c r="C471" s="132" t="s">
        <v>6252</v>
      </c>
      <c r="D471" s="133">
        <v>44923</v>
      </c>
    </row>
    <row r="472" spans="2:4" ht="20.25" customHeight="1">
      <c r="B472" s="108" t="s">
        <v>5490</v>
      </c>
      <c r="C472" s="138" t="s">
        <v>6253</v>
      </c>
      <c r="D472" s="133">
        <v>44816</v>
      </c>
    </row>
    <row r="473" spans="2:4" ht="20.25" customHeight="1">
      <c r="B473" s="108" t="s">
        <v>5492</v>
      </c>
      <c r="C473" s="132" t="s">
        <v>6254</v>
      </c>
      <c r="D473" s="133">
        <v>44925</v>
      </c>
    </row>
    <row r="474" spans="2:4" ht="20.25" customHeight="1">
      <c r="B474" s="108" t="s">
        <v>6255</v>
      </c>
      <c r="C474" s="132" t="s">
        <v>6256</v>
      </c>
      <c r="D474" s="133">
        <v>44816</v>
      </c>
    </row>
    <row r="475" spans="2:4" ht="20.25" customHeight="1">
      <c r="B475" s="108" t="s">
        <v>6257</v>
      </c>
      <c r="C475" s="132" t="s">
        <v>6258</v>
      </c>
      <c r="D475" s="133">
        <v>44816</v>
      </c>
    </row>
    <row r="476" spans="2:4" ht="20.25" customHeight="1">
      <c r="B476" s="108" t="s">
        <v>6259</v>
      </c>
      <c r="C476" s="132" t="s">
        <v>6260</v>
      </c>
      <c r="D476" s="133">
        <v>44816</v>
      </c>
    </row>
    <row r="477" spans="2:4" ht="20.25" customHeight="1">
      <c r="B477" s="108" t="s">
        <v>6261</v>
      </c>
      <c r="C477" s="132" t="s">
        <v>6262</v>
      </c>
      <c r="D477" s="136">
        <v>45065</v>
      </c>
    </row>
    <row r="478" spans="2:4" ht="20.25" customHeight="1">
      <c r="B478" s="108" t="s">
        <v>6263</v>
      </c>
      <c r="C478" s="132" t="s">
        <v>6264</v>
      </c>
      <c r="D478" s="136">
        <v>45148</v>
      </c>
    </row>
    <row r="479" spans="2:4" ht="20.25" customHeight="1">
      <c r="B479" s="108" t="s">
        <v>6265</v>
      </c>
      <c r="C479" s="132" t="s">
        <v>6266</v>
      </c>
      <c r="D479" s="133">
        <v>44922</v>
      </c>
    </row>
    <row r="480" spans="2:4" ht="20.25" customHeight="1">
      <c r="B480" s="108" t="s">
        <v>6267</v>
      </c>
      <c r="C480" s="132" t="s">
        <v>6268</v>
      </c>
      <c r="D480" s="133">
        <v>44910</v>
      </c>
    </row>
    <row r="481" spans="2:4" ht="20.25" customHeight="1">
      <c r="B481" s="108" t="s">
        <v>6269</v>
      </c>
      <c r="C481" s="132" t="s">
        <v>6270</v>
      </c>
      <c r="D481" s="133">
        <v>44816</v>
      </c>
    </row>
    <row r="482" spans="2:4" ht="20.25" customHeight="1">
      <c r="B482" s="108" t="s">
        <v>6271</v>
      </c>
      <c r="C482" s="132" t="s">
        <v>6272</v>
      </c>
      <c r="D482" s="133">
        <v>44816</v>
      </c>
    </row>
    <row r="483" spans="2:4" ht="20.25" customHeight="1">
      <c r="B483" s="108" t="s">
        <v>6273</v>
      </c>
      <c r="C483" s="132" t="s">
        <v>6274</v>
      </c>
      <c r="D483" s="133">
        <v>44816</v>
      </c>
    </row>
    <row r="484" spans="2:4" ht="20.25" customHeight="1">
      <c r="B484" s="108" t="s">
        <v>6275</v>
      </c>
      <c r="C484" s="132" t="s">
        <v>6276</v>
      </c>
      <c r="D484" s="133">
        <v>44816</v>
      </c>
    </row>
    <row r="485" spans="2:4" ht="20.25" customHeight="1">
      <c r="B485" s="108" t="s">
        <v>6277</v>
      </c>
      <c r="C485" s="132" t="s">
        <v>6278</v>
      </c>
      <c r="D485" s="133">
        <v>44923</v>
      </c>
    </row>
    <row r="486" spans="2:4" ht="20.25" customHeight="1">
      <c r="B486" s="108" t="s">
        <v>6279</v>
      </c>
      <c r="C486" s="132" t="s">
        <v>6280</v>
      </c>
      <c r="D486" s="141"/>
    </row>
    <row r="487" spans="2:4" ht="20.25" customHeight="1">
      <c r="B487" s="108" t="s">
        <v>6281</v>
      </c>
      <c r="C487" s="132" t="s">
        <v>6282</v>
      </c>
      <c r="D487" s="164" t="s">
        <v>4361</v>
      </c>
    </row>
    <row r="488" spans="2:4" ht="20.25" customHeight="1">
      <c r="B488" s="108" t="s">
        <v>6283</v>
      </c>
      <c r="C488" s="132" t="s">
        <v>6284</v>
      </c>
      <c r="D488" s="164" t="s">
        <v>4361</v>
      </c>
    </row>
    <row r="489" spans="2:4" ht="20.25" customHeight="1">
      <c r="B489" s="108" t="s">
        <v>6285</v>
      </c>
      <c r="C489" s="132" t="s">
        <v>6286</v>
      </c>
      <c r="D489" s="152">
        <v>45013</v>
      </c>
    </row>
    <row r="490" spans="2:4" ht="20.25" customHeight="1">
      <c r="B490" s="108" t="s">
        <v>6287</v>
      </c>
      <c r="C490" s="132" t="s">
        <v>6288</v>
      </c>
      <c r="D490" s="133">
        <v>44889</v>
      </c>
    </row>
    <row r="491" spans="2:4" ht="20.25" customHeight="1">
      <c r="B491" s="108" t="s">
        <v>6289</v>
      </c>
      <c r="C491" s="132" t="s">
        <v>6290</v>
      </c>
      <c r="D491" s="134"/>
    </row>
    <row r="492" spans="2:4" ht="20.25" customHeight="1">
      <c r="B492" s="108" t="s">
        <v>6291</v>
      </c>
      <c r="C492" s="132" t="s">
        <v>6292</v>
      </c>
      <c r="D492" s="133">
        <v>44877</v>
      </c>
    </row>
    <row r="493" spans="2:4" ht="20.25" customHeight="1">
      <c r="B493" s="108" t="s">
        <v>6293</v>
      </c>
      <c r="C493" s="132" t="s">
        <v>6294</v>
      </c>
      <c r="D493" s="131" t="s">
        <v>4361</v>
      </c>
    </row>
    <row r="494" spans="2:4" ht="20.25" customHeight="1">
      <c r="B494" s="108" t="s">
        <v>6295</v>
      </c>
      <c r="C494" s="138" t="s">
        <v>6296</v>
      </c>
      <c r="D494" s="131" t="s">
        <v>4361</v>
      </c>
    </row>
    <row r="495" spans="2:4" ht="20.25" customHeight="1">
      <c r="B495" s="108" t="s">
        <v>6297</v>
      </c>
      <c r="C495" s="138" t="s">
        <v>6298</v>
      </c>
      <c r="D495" s="131" t="s">
        <v>4361</v>
      </c>
    </row>
    <row r="496" spans="2:4" ht="20.25" customHeight="1">
      <c r="B496" s="108" t="s">
        <v>6299</v>
      </c>
      <c r="C496" s="138" t="s">
        <v>6300</v>
      </c>
      <c r="D496" s="131" t="s">
        <v>4361</v>
      </c>
    </row>
    <row r="497" spans="2:4" ht="20.25" customHeight="1">
      <c r="B497" s="108" t="s">
        <v>6301</v>
      </c>
      <c r="C497" s="132" t="s">
        <v>6302</v>
      </c>
      <c r="D497" s="133">
        <v>44889</v>
      </c>
    </row>
    <row r="498" spans="2:4" ht="20.25" customHeight="1">
      <c r="B498" s="108" t="s">
        <v>6303</v>
      </c>
      <c r="C498" s="132" t="s">
        <v>6304</v>
      </c>
      <c r="D498" s="133">
        <v>44862</v>
      </c>
    </row>
    <row r="499" spans="2:4" ht="20.25" customHeight="1">
      <c r="B499" s="108" t="s">
        <v>6305</v>
      </c>
      <c r="C499" s="132" t="s">
        <v>6306</v>
      </c>
      <c r="D499" s="133">
        <v>44869</v>
      </c>
    </row>
    <row r="500" spans="2:4" ht="20.25" customHeight="1">
      <c r="B500" s="108" t="s">
        <v>6307</v>
      </c>
      <c r="C500" s="132" t="s">
        <v>6308</v>
      </c>
      <c r="D500" s="131" t="s">
        <v>4361</v>
      </c>
    </row>
    <row r="501" spans="2:4" ht="20.25" customHeight="1">
      <c r="B501" s="108" t="s">
        <v>6309</v>
      </c>
      <c r="C501" s="138" t="s">
        <v>6310</v>
      </c>
      <c r="D501" s="131" t="s">
        <v>4361</v>
      </c>
    </row>
    <row r="502" spans="2:4" ht="20.25" customHeight="1">
      <c r="B502" s="108" t="s">
        <v>6311</v>
      </c>
      <c r="C502" s="138" t="s">
        <v>6312</v>
      </c>
      <c r="D502" s="131" t="s">
        <v>4361</v>
      </c>
    </row>
    <row r="503" spans="2:4" ht="20.25" customHeight="1">
      <c r="B503" s="108" t="s">
        <v>5493</v>
      </c>
      <c r="C503" s="138" t="s">
        <v>6313</v>
      </c>
      <c r="D503" s="152">
        <v>45014</v>
      </c>
    </row>
    <row r="504" spans="2:4" ht="20.25" customHeight="1">
      <c r="B504" s="108" t="s">
        <v>5495</v>
      </c>
      <c r="C504" s="132" t="s">
        <v>6314</v>
      </c>
      <c r="D504" s="136">
        <v>45065</v>
      </c>
    </row>
    <row r="505" spans="2:4" ht="20.25" customHeight="1">
      <c r="B505" s="108" t="s">
        <v>6315</v>
      </c>
      <c r="C505" s="132" t="s">
        <v>6316</v>
      </c>
      <c r="D505" s="133">
        <v>45056</v>
      </c>
    </row>
    <row r="506" spans="2:4" ht="20.25" customHeight="1">
      <c r="B506" s="108" t="s">
        <v>6317</v>
      </c>
      <c r="C506" s="132" t="s">
        <v>6318</v>
      </c>
      <c r="D506" s="136">
        <v>45049</v>
      </c>
    </row>
    <row r="507" spans="2:4" ht="20.25" customHeight="1">
      <c r="B507" s="108" t="s">
        <v>6319</v>
      </c>
      <c r="C507" s="132" t="s">
        <v>6320</v>
      </c>
      <c r="D507" s="133">
        <v>45056</v>
      </c>
    </row>
    <row r="508" spans="2:4" ht="20.25" customHeight="1">
      <c r="B508" s="108" t="s">
        <v>5497</v>
      </c>
      <c r="C508" s="138" t="s">
        <v>6321</v>
      </c>
      <c r="D508" s="131" t="s">
        <v>4361</v>
      </c>
    </row>
    <row r="509" spans="2:4" ht="20.25" customHeight="1">
      <c r="B509" s="108" t="s">
        <v>6322</v>
      </c>
      <c r="C509" s="132" t="s">
        <v>6323</v>
      </c>
      <c r="D509" s="133">
        <v>44862</v>
      </c>
    </row>
    <row r="510" spans="2:4" ht="20.25" customHeight="1">
      <c r="B510" s="108" t="s">
        <v>6324</v>
      </c>
      <c r="C510" s="132" t="s">
        <v>6325</v>
      </c>
      <c r="D510" s="133">
        <v>44910</v>
      </c>
    </row>
    <row r="511" spans="2:4" ht="20.25" customHeight="1">
      <c r="B511" s="108" t="s">
        <v>6326</v>
      </c>
      <c r="C511" s="138" t="s">
        <v>6327</v>
      </c>
      <c r="D511" s="131" t="s">
        <v>4361</v>
      </c>
    </row>
    <row r="512" spans="2:4" ht="20.25" customHeight="1">
      <c r="B512" s="108" t="s">
        <v>6328</v>
      </c>
      <c r="C512" s="132" t="s">
        <v>6329</v>
      </c>
      <c r="D512" s="131" t="s">
        <v>4361</v>
      </c>
    </row>
    <row r="513" spans="2:4" ht="20.25" customHeight="1">
      <c r="B513" s="108" t="s">
        <v>6330</v>
      </c>
      <c r="C513" s="138" t="s">
        <v>6331</v>
      </c>
      <c r="D513" s="133">
        <v>44890</v>
      </c>
    </row>
    <row r="514" spans="2:4" ht="20.25" customHeight="1">
      <c r="B514" s="108" t="s">
        <v>5559</v>
      </c>
      <c r="C514" s="138" t="s">
        <v>6332</v>
      </c>
      <c r="D514" s="133">
        <v>44869</v>
      </c>
    </row>
    <row r="515" spans="2:4" ht="20.25" customHeight="1">
      <c r="B515" s="108" t="s">
        <v>6333</v>
      </c>
      <c r="C515" s="132" t="s">
        <v>6334</v>
      </c>
      <c r="D515" s="133">
        <v>44867</v>
      </c>
    </row>
    <row r="516" spans="2:4" ht="20.25" customHeight="1">
      <c r="B516" s="108" t="s">
        <v>6335</v>
      </c>
      <c r="C516" s="132" t="s">
        <v>6336</v>
      </c>
      <c r="D516" s="131" t="s">
        <v>4361</v>
      </c>
    </row>
    <row r="517" spans="2:4" ht="20.25" customHeight="1">
      <c r="B517" s="108" t="s">
        <v>5499</v>
      </c>
      <c r="C517" s="138" t="s">
        <v>6337</v>
      </c>
      <c r="D517" s="131" t="s">
        <v>4361</v>
      </c>
    </row>
    <row r="518" spans="2:4" ht="20.25" customHeight="1">
      <c r="B518" s="116" t="s">
        <v>6338</v>
      </c>
      <c r="C518" s="138" t="s">
        <v>6339</v>
      </c>
      <c r="D518" s="131" t="s">
        <v>4361</v>
      </c>
    </row>
    <row r="519" spans="2:4" ht="20.25" customHeight="1">
      <c r="B519" s="108" t="s">
        <v>6340</v>
      </c>
      <c r="C519" s="138" t="s">
        <v>6341</v>
      </c>
      <c r="D519" s="136">
        <v>45049</v>
      </c>
    </row>
    <row r="520" spans="2:4" ht="20.25" customHeight="1">
      <c r="B520" s="108" t="s">
        <v>6342</v>
      </c>
      <c r="C520" s="132" t="s">
        <v>6343</v>
      </c>
      <c r="D520" s="133">
        <v>44923</v>
      </c>
    </row>
    <row r="521" spans="2:4" ht="20.25" customHeight="1">
      <c r="B521" s="108" t="s">
        <v>6344</v>
      </c>
      <c r="C521" s="132" t="s">
        <v>6345</v>
      </c>
      <c r="D521" s="131" t="s">
        <v>4361</v>
      </c>
    </row>
    <row r="522" spans="2:4" ht="20.25" customHeight="1">
      <c r="B522" s="108" t="s">
        <v>5500</v>
      </c>
      <c r="C522" s="138" t="s">
        <v>6346</v>
      </c>
      <c r="D522" s="133">
        <v>44877</v>
      </c>
    </row>
    <row r="523" spans="2:4" ht="20.25" customHeight="1">
      <c r="B523" s="108" t="s">
        <v>6347</v>
      </c>
      <c r="C523" s="138" t="s">
        <v>6348</v>
      </c>
      <c r="D523" s="133">
        <v>44862</v>
      </c>
    </row>
    <row r="524" spans="2:4" ht="20.25" customHeight="1">
      <c r="B524" s="116" t="s">
        <v>6349</v>
      </c>
      <c r="C524" s="138" t="s">
        <v>6350</v>
      </c>
      <c r="D524" s="133">
        <v>44862</v>
      </c>
    </row>
    <row r="525" spans="2:4" ht="20.25" customHeight="1">
      <c r="B525" s="108" t="s">
        <v>6351</v>
      </c>
      <c r="C525" s="132" t="s">
        <v>6352</v>
      </c>
      <c r="D525" s="131" t="s">
        <v>4361</v>
      </c>
    </row>
    <row r="526" spans="2:4" ht="20.25" customHeight="1">
      <c r="B526" s="108" t="s">
        <v>6353</v>
      </c>
      <c r="C526" s="138" t="s">
        <v>6354</v>
      </c>
      <c r="D526" s="133">
        <v>44889</v>
      </c>
    </row>
    <row r="527" spans="2:4" ht="20.25" customHeight="1">
      <c r="B527" s="108" t="s">
        <v>5502</v>
      </c>
      <c r="C527" s="138" t="s">
        <v>6355</v>
      </c>
      <c r="D527" s="131" t="s">
        <v>4361</v>
      </c>
    </row>
    <row r="528" spans="2:4" ht="20.25" customHeight="1">
      <c r="B528" s="108" t="s">
        <v>6356</v>
      </c>
      <c r="C528" s="138" t="s">
        <v>6357</v>
      </c>
      <c r="D528" s="131" t="s">
        <v>4361</v>
      </c>
    </row>
    <row r="529" spans="2:4" ht="20.25" customHeight="1">
      <c r="B529" s="108" t="s">
        <v>6358</v>
      </c>
      <c r="C529" s="132" t="s">
        <v>6359</v>
      </c>
      <c r="D529" s="131" t="s">
        <v>4361</v>
      </c>
    </row>
    <row r="530" spans="2:4" ht="20.25" customHeight="1">
      <c r="B530" s="108" t="s">
        <v>6360</v>
      </c>
      <c r="C530" s="138" t="s">
        <v>6361</v>
      </c>
      <c r="D530" s="133">
        <v>44862</v>
      </c>
    </row>
    <row r="531" spans="2:4" ht="20.25" customHeight="1">
      <c r="B531" s="108" t="s">
        <v>6362</v>
      </c>
      <c r="C531" s="132" t="s">
        <v>6363</v>
      </c>
      <c r="D531" s="133">
        <v>44862</v>
      </c>
    </row>
    <row r="532" spans="2:4" ht="20.25" customHeight="1">
      <c r="B532" s="108" t="s">
        <v>6364</v>
      </c>
      <c r="C532" s="138" t="s">
        <v>6365</v>
      </c>
      <c r="D532" s="133">
        <v>44889</v>
      </c>
    </row>
    <row r="533" spans="2:4" ht="20.25" customHeight="1">
      <c r="B533" s="108" t="s">
        <v>5561</v>
      </c>
      <c r="C533" s="132" t="s">
        <v>6366</v>
      </c>
      <c r="D533" s="133">
        <v>44869</v>
      </c>
    </row>
    <row r="534" spans="2:4" ht="20.25" customHeight="1">
      <c r="B534" s="108" t="s">
        <v>6367</v>
      </c>
      <c r="C534" s="138" t="s">
        <v>6368</v>
      </c>
      <c r="D534" s="139">
        <v>45013</v>
      </c>
    </row>
    <row r="535" spans="2:4" ht="20.25" customHeight="1">
      <c r="B535" s="108" t="s">
        <v>6369</v>
      </c>
      <c r="C535" s="138" t="s">
        <v>6370</v>
      </c>
      <c r="D535" s="139">
        <v>45013</v>
      </c>
    </row>
    <row r="536" spans="2:4" ht="20.25" customHeight="1">
      <c r="B536" s="108" t="s">
        <v>6371</v>
      </c>
      <c r="C536" s="138" t="s">
        <v>6372</v>
      </c>
      <c r="D536" s="133">
        <v>44816</v>
      </c>
    </row>
    <row r="537" spans="2:4" ht="20.25" customHeight="1">
      <c r="B537" s="108" t="s">
        <v>6373</v>
      </c>
      <c r="C537" s="138" t="s">
        <v>6374</v>
      </c>
      <c r="D537" s="131" t="s">
        <v>4361</v>
      </c>
    </row>
    <row r="538" spans="2:4" ht="20.25" customHeight="1">
      <c r="B538" s="108" t="s">
        <v>6375</v>
      </c>
      <c r="C538" s="138" t="s">
        <v>6376</v>
      </c>
      <c r="D538" s="131" t="s">
        <v>4361</v>
      </c>
    </row>
    <row r="539" spans="2:4" ht="20.25" customHeight="1">
      <c r="B539" s="108" t="s">
        <v>6377</v>
      </c>
      <c r="C539" s="132" t="s">
        <v>6378</v>
      </c>
      <c r="D539" s="131" t="s">
        <v>4361</v>
      </c>
    </row>
    <row r="540" spans="2:4" ht="20.25" customHeight="1">
      <c r="B540" s="108" t="s">
        <v>6379</v>
      </c>
      <c r="C540" s="132" t="s">
        <v>6380</v>
      </c>
      <c r="D540" s="131" t="s">
        <v>4361</v>
      </c>
    </row>
    <row r="541" spans="2:4" ht="20.25" customHeight="1">
      <c r="B541" s="108" t="s">
        <v>5563</v>
      </c>
      <c r="C541" s="132" t="s">
        <v>6381</v>
      </c>
      <c r="D541" s="131" t="s">
        <v>4361</v>
      </c>
    </row>
    <row r="542" spans="2:4" ht="20.25" customHeight="1">
      <c r="B542" s="108" t="s">
        <v>5565</v>
      </c>
      <c r="C542" s="132" t="s">
        <v>6382</v>
      </c>
      <c r="D542" s="131" t="s">
        <v>4361</v>
      </c>
    </row>
    <row r="543" spans="2:4" ht="20.25" customHeight="1">
      <c r="B543" s="108" t="s">
        <v>6383</v>
      </c>
      <c r="C543" s="132" t="s">
        <v>6384</v>
      </c>
      <c r="D543" s="131" t="s">
        <v>4361</v>
      </c>
    </row>
    <row r="544" spans="2:4" ht="20.25" customHeight="1">
      <c r="B544" s="108" t="s">
        <v>6385</v>
      </c>
      <c r="C544" s="132" t="s">
        <v>6386</v>
      </c>
      <c r="D544" s="131" t="s">
        <v>4361</v>
      </c>
    </row>
    <row r="545" spans="2:4" ht="20.25" customHeight="1">
      <c r="B545" s="108" t="s">
        <v>6387</v>
      </c>
      <c r="C545" s="132" t="s">
        <v>6388</v>
      </c>
      <c r="D545" s="133">
        <v>44869</v>
      </c>
    </row>
    <row r="546" spans="2:4" ht="20.25" customHeight="1">
      <c r="B546" s="108" t="s">
        <v>6389</v>
      </c>
      <c r="C546" s="132" t="s">
        <v>6390</v>
      </c>
      <c r="D546" s="133">
        <v>44862</v>
      </c>
    </row>
    <row r="547" spans="2:4" ht="20.25" customHeight="1">
      <c r="B547" s="108" t="s">
        <v>5567</v>
      </c>
      <c r="C547" s="132" t="s">
        <v>6391</v>
      </c>
      <c r="D547" s="133">
        <v>44869</v>
      </c>
    </row>
    <row r="548" spans="2:4" ht="20.25" customHeight="1">
      <c r="B548" s="108" t="s">
        <v>6392</v>
      </c>
      <c r="C548" s="132" t="s">
        <v>6393</v>
      </c>
      <c r="D548" s="131" t="s">
        <v>4361</v>
      </c>
    </row>
    <row r="549" spans="2:4" ht="20.25" customHeight="1">
      <c r="B549" s="108" t="s">
        <v>6394</v>
      </c>
      <c r="C549" s="138" t="s">
        <v>6395</v>
      </c>
      <c r="D549" s="131" t="s">
        <v>4361</v>
      </c>
    </row>
    <row r="550" spans="2:4" ht="20.25" customHeight="1">
      <c r="B550" s="108" t="s">
        <v>6396</v>
      </c>
      <c r="C550" s="132" t="s">
        <v>6397</v>
      </c>
      <c r="D550" s="131" t="s">
        <v>4361</v>
      </c>
    </row>
    <row r="551" spans="2:4" ht="20.25" customHeight="1">
      <c r="B551" s="108" t="s">
        <v>6398</v>
      </c>
      <c r="C551" s="132" t="s">
        <v>6399</v>
      </c>
      <c r="D551" s="133">
        <v>44889</v>
      </c>
    </row>
    <row r="552" spans="2:4" ht="20.25" customHeight="1">
      <c r="B552" s="108" t="s">
        <v>6400</v>
      </c>
      <c r="C552" s="132" t="s">
        <v>6401</v>
      </c>
      <c r="D552" s="133">
        <v>44910</v>
      </c>
    </row>
    <row r="553" spans="2:4" ht="20.25" customHeight="1">
      <c r="B553" s="108" t="s">
        <v>6402</v>
      </c>
      <c r="C553" s="132" t="s">
        <v>6403</v>
      </c>
      <c r="D553" s="133">
        <v>44869</v>
      </c>
    </row>
    <row r="554" spans="2:4" ht="20.25" customHeight="1">
      <c r="B554" s="108" t="s">
        <v>6404</v>
      </c>
      <c r="C554" s="132" t="s">
        <v>6405</v>
      </c>
      <c r="D554" s="133">
        <v>44889</v>
      </c>
    </row>
    <row r="555" spans="2:4" ht="20.25" customHeight="1">
      <c r="B555" s="108" t="s">
        <v>6406</v>
      </c>
      <c r="C555" s="138" t="s">
        <v>6407</v>
      </c>
      <c r="D555" s="133">
        <v>44910</v>
      </c>
    </row>
    <row r="556" spans="2:4" ht="20.25" customHeight="1">
      <c r="B556" s="108" t="s">
        <v>6408</v>
      </c>
      <c r="C556" s="138" t="s">
        <v>6409</v>
      </c>
      <c r="D556" s="133">
        <v>44889</v>
      </c>
    </row>
    <row r="557" spans="2:4" ht="20.25" customHeight="1">
      <c r="B557" s="108" t="s">
        <v>6410</v>
      </c>
      <c r="C557" s="138" t="s">
        <v>6411</v>
      </c>
      <c r="D557" s="133">
        <v>44910</v>
      </c>
    </row>
    <row r="558" spans="2:4" ht="20.25" customHeight="1">
      <c r="B558" s="108" t="s">
        <v>6412</v>
      </c>
      <c r="C558" s="138" t="s">
        <v>6413</v>
      </c>
      <c r="D558" s="133">
        <v>44877</v>
      </c>
    </row>
    <row r="559" spans="2:4" ht="20.25" customHeight="1">
      <c r="B559" s="108" t="s">
        <v>5503</v>
      </c>
      <c r="C559" s="138" t="s">
        <v>6414</v>
      </c>
      <c r="D559" s="133">
        <v>44862</v>
      </c>
    </row>
    <row r="560" spans="2:4" ht="20.25" customHeight="1">
      <c r="B560" s="108" t="s">
        <v>6415</v>
      </c>
      <c r="C560" s="138" t="s">
        <v>6416</v>
      </c>
      <c r="D560" s="131" t="s">
        <v>4361</v>
      </c>
    </row>
    <row r="561" spans="2:4" ht="20.25" customHeight="1">
      <c r="B561" s="108" t="s">
        <v>6417</v>
      </c>
      <c r="C561" s="138" t="s">
        <v>6418</v>
      </c>
      <c r="D561" s="131" t="s">
        <v>4361</v>
      </c>
    </row>
    <row r="562" spans="2:4" ht="20.25" customHeight="1">
      <c r="B562" s="108" t="s">
        <v>6419</v>
      </c>
      <c r="C562" s="138" t="s">
        <v>6420</v>
      </c>
      <c r="D562" s="131" t="s">
        <v>4361</v>
      </c>
    </row>
    <row r="563" spans="2:4" ht="20.25" customHeight="1">
      <c r="B563" s="108" t="s">
        <v>6421</v>
      </c>
      <c r="C563" s="132" t="s">
        <v>6422</v>
      </c>
      <c r="D563" s="131" t="s">
        <v>4361</v>
      </c>
    </row>
    <row r="564" spans="2:4" ht="20.25" customHeight="1">
      <c r="B564" s="108" t="s">
        <v>6423</v>
      </c>
      <c r="C564" s="132" t="s">
        <v>6424</v>
      </c>
      <c r="D564" s="133">
        <v>44816</v>
      </c>
    </row>
    <row r="565" spans="2:4" ht="20.25" customHeight="1">
      <c r="B565" s="108" t="s">
        <v>6425</v>
      </c>
      <c r="C565" s="132" t="s">
        <v>6426</v>
      </c>
      <c r="D565" s="133">
        <v>44961</v>
      </c>
    </row>
    <row r="566" spans="2:4" ht="20.25" customHeight="1">
      <c r="B566" s="108" t="s">
        <v>6427</v>
      </c>
      <c r="C566" s="132" t="s">
        <v>6428</v>
      </c>
      <c r="D566" s="131" t="s">
        <v>4361</v>
      </c>
    </row>
    <row r="567" spans="2:4" ht="20.25" customHeight="1">
      <c r="B567" s="108" t="s">
        <v>6429</v>
      </c>
      <c r="C567" s="132" t="s">
        <v>6430</v>
      </c>
      <c r="D567" s="133">
        <v>44889</v>
      </c>
    </row>
    <row r="568" spans="2:4" ht="20.25" customHeight="1">
      <c r="B568" s="108" t="s">
        <v>5504</v>
      </c>
      <c r="C568" s="138" t="s">
        <v>6431</v>
      </c>
      <c r="D568" s="133">
        <v>44816</v>
      </c>
    </row>
    <row r="569" spans="2:4" ht="20.25" customHeight="1">
      <c r="B569" s="108" t="s">
        <v>6432</v>
      </c>
      <c r="C569" s="138" t="s">
        <v>6433</v>
      </c>
      <c r="D569" s="133">
        <v>44961</v>
      </c>
    </row>
    <row r="570" spans="2:4" ht="20.25" customHeight="1">
      <c r="B570" s="108" t="s">
        <v>6434</v>
      </c>
      <c r="C570" s="132" t="s">
        <v>4433</v>
      </c>
      <c r="D570" s="133">
        <v>44910</v>
      </c>
    </row>
    <row r="571" spans="2:4" ht="20.25" customHeight="1">
      <c r="B571" s="108" t="s">
        <v>6435</v>
      </c>
      <c r="C571" s="138" t="s">
        <v>6436</v>
      </c>
      <c r="D571" s="133">
        <v>44889</v>
      </c>
    </row>
    <row r="572" spans="2:4" ht="20.25" customHeight="1">
      <c r="B572" s="112" t="s">
        <v>6437</v>
      </c>
      <c r="C572" s="138" t="s">
        <v>6438</v>
      </c>
      <c r="D572" s="133">
        <v>44816</v>
      </c>
    </row>
    <row r="573" spans="2:4" ht="20.25" customHeight="1">
      <c r="B573" s="108" t="s">
        <v>6439</v>
      </c>
      <c r="C573" s="132" t="s">
        <v>6440</v>
      </c>
      <c r="D573" s="133">
        <v>44889</v>
      </c>
    </row>
    <row r="574" spans="2:4" ht="20.25" customHeight="1">
      <c r="B574" s="108" t="s">
        <v>6441</v>
      </c>
      <c r="C574" s="132" t="s">
        <v>6442</v>
      </c>
      <c r="D574" s="133">
        <v>44816</v>
      </c>
    </row>
    <row r="575" spans="2:4" ht="20.25" customHeight="1">
      <c r="B575" s="108" t="s">
        <v>6443</v>
      </c>
      <c r="C575" s="138" t="s">
        <v>6444</v>
      </c>
      <c r="D575" s="131" t="s">
        <v>4361</v>
      </c>
    </row>
    <row r="576" spans="2:4" ht="20.25" customHeight="1">
      <c r="B576" s="108" t="s">
        <v>6445</v>
      </c>
      <c r="C576" s="138" t="s">
        <v>6446</v>
      </c>
      <c r="D576" s="131" t="s">
        <v>4361</v>
      </c>
    </row>
    <row r="577" spans="2:4" ht="20.25" customHeight="1">
      <c r="B577" s="108" t="s">
        <v>5568</v>
      </c>
      <c r="C577" s="138" t="s">
        <v>6447</v>
      </c>
      <c r="D577" s="131" t="s">
        <v>4361</v>
      </c>
    </row>
    <row r="578" spans="2:4" ht="20.25" customHeight="1">
      <c r="B578" s="108" t="s">
        <v>5570</v>
      </c>
      <c r="C578" s="138" t="s">
        <v>6448</v>
      </c>
      <c r="D578" s="133">
        <v>44889</v>
      </c>
    </row>
    <row r="579" spans="2:4" ht="20.25" customHeight="1">
      <c r="B579" s="108" t="s">
        <v>6449</v>
      </c>
      <c r="C579" s="132" t="s">
        <v>6450</v>
      </c>
      <c r="D579" s="131" t="s">
        <v>4361</v>
      </c>
    </row>
    <row r="580" spans="2:4" ht="20.25" customHeight="1">
      <c r="B580" s="108" t="s">
        <v>5572</v>
      </c>
      <c r="C580" s="132" t="s">
        <v>6451</v>
      </c>
      <c r="D580" s="131" t="s">
        <v>4361</v>
      </c>
    </row>
    <row r="581" spans="2:4" ht="20.25" customHeight="1">
      <c r="B581" s="108" t="s">
        <v>6452</v>
      </c>
      <c r="C581" s="132" t="s">
        <v>6453</v>
      </c>
      <c r="D581" s="133">
        <v>44889</v>
      </c>
    </row>
    <row r="582" spans="2:4" ht="20.25" customHeight="1">
      <c r="B582" s="108" t="s">
        <v>6454</v>
      </c>
      <c r="C582" s="138" t="s">
        <v>6455</v>
      </c>
      <c r="D582" s="133">
        <v>44889</v>
      </c>
    </row>
    <row r="583" spans="2:4" ht="20.25" customHeight="1">
      <c r="B583" s="108" t="s">
        <v>6456</v>
      </c>
      <c r="C583" s="132" t="s">
        <v>6457</v>
      </c>
      <c r="D583" s="133"/>
    </row>
    <row r="584" spans="2:4" ht="20.25" customHeight="1">
      <c r="B584" s="108" t="s">
        <v>6458</v>
      </c>
      <c r="C584" s="132" t="s">
        <v>6459</v>
      </c>
      <c r="D584" s="133">
        <v>45097</v>
      </c>
    </row>
    <row r="585" spans="2:4" ht="20.25" customHeight="1">
      <c r="B585" s="108" t="s">
        <v>5505</v>
      </c>
      <c r="C585" s="138" t="s">
        <v>6460</v>
      </c>
      <c r="D585" s="133">
        <v>44910</v>
      </c>
    </row>
    <row r="586" spans="2:4" ht="20.25" customHeight="1">
      <c r="B586" s="107" t="s">
        <v>5506</v>
      </c>
      <c r="C586" s="138" t="s">
        <v>6461</v>
      </c>
      <c r="D586" s="133">
        <v>44923</v>
      </c>
    </row>
    <row r="587" spans="2:4" ht="20.25" customHeight="1">
      <c r="B587" s="108" t="s">
        <v>6462</v>
      </c>
      <c r="C587" s="138"/>
      <c r="D587" s="133">
        <v>44923</v>
      </c>
    </row>
    <row r="588" spans="2:4" ht="20.25" customHeight="1">
      <c r="B588" s="108" t="s">
        <v>6463</v>
      </c>
      <c r="C588" s="138" t="s">
        <v>6464</v>
      </c>
      <c r="D588" s="133">
        <v>44910</v>
      </c>
    </row>
    <row r="589" spans="2:4" ht="20.25" customHeight="1">
      <c r="B589" s="108" t="s">
        <v>6465</v>
      </c>
      <c r="C589" s="138" t="s">
        <v>6466</v>
      </c>
      <c r="D589" s="133">
        <v>44910</v>
      </c>
    </row>
    <row r="590" spans="2:4" ht="20.25" customHeight="1">
      <c r="B590" s="108" t="s">
        <v>5510</v>
      </c>
      <c r="C590" s="132" t="s">
        <v>6467</v>
      </c>
      <c r="D590" s="131" t="s">
        <v>4361</v>
      </c>
    </row>
    <row r="591" spans="2:4" ht="20.25" customHeight="1">
      <c r="B591" s="108" t="s">
        <v>6468</v>
      </c>
      <c r="C591" s="138" t="s">
        <v>6469</v>
      </c>
      <c r="D591" s="133">
        <v>44923</v>
      </c>
    </row>
    <row r="592" spans="2:4" ht="20.25" customHeight="1">
      <c r="B592" s="108" t="s">
        <v>6470</v>
      </c>
      <c r="C592" s="132" t="s">
        <v>6471</v>
      </c>
      <c r="D592" s="133">
        <v>44910</v>
      </c>
    </row>
    <row r="593" spans="2:4" ht="20.25" customHeight="1">
      <c r="B593" s="108" t="s">
        <v>5514</v>
      </c>
      <c r="C593" s="132" t="s">
        <v>6472</v>
      </c>
      <c r="D593" s="133">
        <v>44923</v>
      </c>
    </row>
    <row r="594" spans="2:4" ht="20.25" customHeight="1">
      <c r="B594" s="108" t="s">
        <v>6473</v>
      </c>
      <c r="C594" s="132" t="s">
        <v>6474</v>
      </c>
      <c r="D594" s="133">
        <v>44910</v>
      </c>
    </row>
    <row r="595" spans="2:4" ht="20.25" customHeight="1">
      <c r="B595" s="108" t="s">
        <v>5574</v>
      </c>
      <c r="C595" s="132" t="s">
        <v>6475</v>
      </c>
      <c r="D595" s="133">
        <v>44910</v>
      </c>
    </row>
    <row r="596" spans="2:4" ht="20.25" customHeight="1">
      <c r="B596" s="108" t="s">
        <v>5576</v>
      </c>
      <c r="C596" s="132" t="s">
        <v>6476</v>
      </c>
      <c r="D596" s="133">
        <v>44869</v>
      </c>
    </row>
    <row r="597" spans="2:4" ht="20.25" customHeight="1">
      <c r="B597" s="108" t="s">
        <v>6477</v>
      </c>
      <c r="C597" s="132" t="s">
        <v>6478</v>
      </c>
      <c r="D597" s="133">
        <v>44869</v>
      </c>
    </row>
    <row r="598" spans="2:4" ht="20.25" customHeight="1">
      <c r="B598" s="108" t="s">
        <v>6479</v>
      </c>
      <c r="C598" s="138" t="s">
        <v>6480</v>
      </c>
      <c r="D598" s="133">
        <v>44876</v>
      </c>
    </row>
    <row r="599" spans="2:4" ht="20.25" customHeight="1">
      <c r="B599" s="107" t="s">
        <v>5501</v>
      </c>
      <c r="C599" s="138" t="s">
        <v>6481</v>
      </c>
      <c r="D599" s="131" t="s">
        <v>4361</v>
      </c>
    </row>
    <row r="600" spans="2:4" ht="20.25" customHeight="1">
      <c r="B600" s="108" t="s">
        <v>6482</v>
      </c>
      <c r="C600" s="138" t="s">
        <v>6483</v>
      </c>
      <c r="D600" s="133">
        <v>44869</v>
      </c>
    </row>
    <row r="601" spans="2:4" ht="20.25" customHeight="1">
      <c r="B601" s="108" t="s">
        <v>6484</v>
      </c>
      <c r="C601" s="138" t="s">
        <v>6485</v>
      </c>
      <c r="D601" s="131" t="s">
        <v>4361</v>
      </c>
    </row>
    <row r="602" spans="2:4" ht="20.25" customHeight="1">
      <c r="B602" s="108" t="s">
        <v>6486</v>
      </c>
      <c r="C602" s="132" t="s">
        <v>6487</v>
      </c>
      <c r="D602" s="131" t="s">
        <v>4361</v>
      </c>
    </row>
    <row r="603" spans="2:4" ht="20.25" customHeight="1">
      <c r="B603" s="108" t="s">
        <v>6488</v>
      </c>
      <c r="C603" s="132" t="s">
        <v>6489</v>
      </c>
      <c r="D603" s="131" t="s">
        <v>4361</v>
      </c>
    </row>
    <row r="604" spans="2:4" ht="20.25" customHeight="1">
      <c r="B604" s="108" t="s">
        <v>5578</v>
      </c>
      <c r="C604" s="138" t="s">
        <v>6490</v>
      </c>
      <c r="D604" s="131" t="s">
        <v>4361</v>
      </c>
    </row>
    <row r="605" spans="2:4" ht="20.25" customHeight="1">
      <c r="B605" s="108" t="s">
        <v>6491</v>
      </c>
      <c r="C605" s="132" t="s">
        <v>6492</v>
      </c>
      <c r="D605" s="131" t="s">
        <v>4361</v>
      </c>
    </row>
    <row r="606" spans="2:4" ht="20.25" customHeight="1">
      <c r="B606" s="108" t="s">
        <v>6493</v>
      </c>
      <c r="C606" s="138" t="s">
        <v>6494</v>
      </c>
      <c r="D606" s="131" t="s">
        <v>4361</v>
      </c>
    </row>
    <row r="607" spans="2:4" ht="20.25" customHeight="1">
      <c r="B607" s="108" t="s">
        <v>6495</v>
      </c>
      <c r="C607" s="132" t="s">
        <v>6496</v>
      </c>
      <c r="D607" s="131" t="s">
        <v>4361</v>
      </c>
    </row>
    <row r="608" spans="2:4" ht="20.25" customHeight="1">
      <c r="B608" s="108" t="s">
        <v>6497</v>
      </c>
      <c r="C608" s="132" t="s">
        <v>6498</v>
      </c>
      <c r="D608" s="131" t="s">
        <v>4361</v>
      </c>
    </row>
    <row r="609" spans="2:4" ht="20.25" customHeight="1">
      <c r="B609" s="108" t="s">
        <v>6499</v>
      </c>
      <c r="C609" s="132" t="s">
        <v>6500</v>
      </c>
      <c r="D609" s="131" t="s">
        <v>4361</v>
      </c>
    </row>
    <row r="610" spans="2:4" ht="20.25" customHeight="1">
      <c r="B610" s="108" t="s">
        <v>6501</v>
      </c>
      <c r="C610" s="132" t="s">
        <v>4433</v>
      </c>
      <c r="D610" s="131" t="s">
        <v>4361</v>
      </c>
    </row>
    <row r="611" spans="2:4" ht="20.25" customHeight="1">
      <c r="B611" s="108" t="s">
        <v>6502</v>
      </c>
      <c r="C611" s="132" t="s">
        <v>4433</v>
      </c>
      <c r="D611" s="131" t="s">
        <v>4361</v>
      </c>
    </row>
    <row r="612" spans="2:4" ht="20.25" customHeight="1">
      <c r="B612" s="108" t="s">
        <v>6503</v>
      </c>
      <c r="C612" s="132" t="s">
        <v>6504</v>
      </c>
      <c r="D612" s="131" t="s">
        <v>4361</v>
      </c>
    </row>
    <row r="613" spans="2:4" ht="20.25" customHeight="1">
      <c r="B613" s="108" t="s">
        <v>6505</v>
      </c>
      <c r="C613" s="132" t="s">
        <v>6506</v>
      </c>
      <c r="D613" s="131" t="s">
        <v>4361</v>
      </c>
    </row>
    <row r="614" spans="2:4" ht="20.25" customHeight="1">
      <c r="B614" s="108" t="s">
        <v>6507</v>
      </c>
      <c r="C614" s="132" t="s">
        <v>6498</v>
      </c>
      <c r="D614" s="133">
        <v>44910</v>
      </c>
    </row>
    <row r="615" spans="2:4" ht="20.25" customHeight="1">
      <c r="B615" s="108" t="s">
        <v>5469</v>
      </c>
      <c r="C615" s="132" t="s">
        <v>6508</v>
      </c>
      <c r="D615" s="131" t="s">
        <v>4361</v>
      </c>
    </row>
    <row r="616" spans="2:4" ht="20.25" customHeight="1">
      <c r="B616" s="108" t="s">
        <v>6509</v>
      </c>
      <c r="C616" s="132" t="s">
        <v>6510</v>
      </c>
      <c r="D616" s="133">
        <v>44910</v>
      </c>
    </row>
    <row r="617" spans="2:4" ht="20.25" customHeight="1">
      <c r="B617" s="108" t="s">
        <v>6511</v>
      </c>
      <c r="C617" s="132" t="s">
        <v>6512</v>
      </c>
      <c r="D617" s="131" t="s">
        <v>4361</v>
      </c>
    </row>
    <row r="618" spans="2:4" ht="20.25" customHeight="1">
      <c r="B618" s="108" t="s">
        <v>6513</v>
      </c>
      <c r="C618" s="132" t="s">
        <v>6514</v>
      </c>
      <c r="D618" s="133">
        <v>44910</v>
      </c>
    </row>
    <row r="619" spans="2:4" ht="20.25" customHeight="1">
      <c r="B619" s="108" t="s">
        <v>6515</v>
      </c>
      <c r="C619" s="132" t="s">
        <v>6516</v>
      </c>
      <c r="D619" s="131" t="s">
        <v>4361</v>
      </c>
    </row>
    <row r="620" spans="2:4" ht="20.25" customHeight="1">
      <c r="B620" s="112" t="s">
        <v>6517</v>
      </c>
      <c r="C620" s="132" t="s">
        <v>6518</v>
      </c>
      <c r="D620" s="131" t="s">
        <v>4361</v>
      </c>
    </row>
    <row r="621" spans="2:4" ht="20.25" customHeight="1">
      <c r="B621" s="108" t="s">
        <v>6519</v>
      </c>
      <c r="C621" s="132" t="s">
        <v>6520</v>
      </c>
      <c r="D621" s="131" t="s">
        <v>4361</v>
      </c>
    </row>
    <row r="622" spans="2:4" ht="20.25" customHeight="1">
      <c r="B622" s="108" t="s">
        <v>6521</v>
      </c>
      <c r="C622" s="132" t="s">
        <v>6522</v>
      </c>
      <c r="D622" s="131" t="s">
        <v>4361</v>
      </c>
    </row>
    <row r="623" spans="2:4" ht="20.25" customHeight="1">
      <c r="B623" s="108" t="s">
        <v>5496</v>
      </c>
      <c r="C623" s="132" t="s">
        <v>6523</v>
      </c>
      <c r="D623" s="136">
        <v>45065</v>
      </c>
    </row>
    <row r="624" spans="2:4" ht="20.25" customHeight="1">
      <c r="B624" s="108" t="s">
        <v>6524</v>
      </c>
      <c r="C624" s="132" t="s">
        <v>6525</v>
      </c>
      <c r="D624" s="136">
        <v>45148</v>
      </c>
    </row>
    <row r="625" spans="2:4" ht="20.25" customHeight="1">
      <c r="B625" s="108" t="s">
        <v>6526</v>
      </c>
      <c r="C625" s="132" t="s">
        <v>6527</v>
      </c>
      <c r="D625" s="133">
        <v>44910</v>
      </c>
    </row>
    <row r="626" spans="2:4" ht="20.25" customHeight="1">
      <c r="B626" s="108" t="s">
        <v>6528</v>
      </c>
      <c r="C626" s="132" t="s">
        <v>6529</v>
      </c>
      <c r="D626" s="152">
        <v>45040</v>
      </c>
    </row>
    <row r="627" spans="2:4" ht="20.25" customHeight="1">
      <c r="B627" s="108" t="s">
        <v>6530</v>
      </c>
      <c r="C627" s="132" t="s">
        <v>6531</v>
      </c>
      <c r="D627" s="131" t="s">
        <v>4361</v>
      </c>
    </row>
    <row r="628" spans="2:4" ht="20.25" customHeight="1">
      <c r="B628" s="108" t="s">
        <v>6532</v>
      </c>
      <c r="C628" s="132" t="s">
        <v>6533</v>
      </c>
      <c r="D628" s="136">
        <v>45065</v>
      </c>
    </row>
    <row r="629" spans="2:4" ht="20.25" customHeight="1">
      <c r="B629" s="108" t="s">
        <v>6534</v>
      </c>
      <c r="C629" s="138" t="s">
        <v>6535</v>
      </c>
      <c r="D629" s="131" t="s">
        <v>4361</v>
      </c>
    </row>
    <row r="630" spans="2:4" ht="20.25" customHeight="1">
      <c r="B630" s="108" t="s">
        <v>6536</v>
      </c>
      <c r="C630" s="132" t="s">
        <v>6537</v>
      </c>
      <c r="D630" s="152">
        <v>45040</v>
      </c>
    </row>
    <row r="631" spans="2:4" ht="20.25" customHeight="1">
      <c r="B631" s="108" t="s">
        <v>6538</v>
      </c>
      <c r="C631" s="132" t="s">
        <v>6539</v>
      </c>
      <c r="D631" s="133">
        <v>44923</v>
      </c>
    </row>
    <row r="632" spans="2:4" ht="20.25" customHeight="1">
      <c r="B632" s="108" t="s">
        <v>6540</v>
      </c>
      <c r="C632" s="132" t="s">
        <v>6541</v>
      </c>
      <c r="D632" s="136">
        <v>45065</v>
      </c>
    </row>
    <row r="633" spans="2:4" ht="20.25" customHeight="1">
      <c r="B633" s="108" t="s">
        <v>6542</v>
      </c>
      <c r="C633" s="132" t="s">
        <v>6543</v>
      </c>
      <c r="D633" s="131" t="s">
        <v>4361</v>
      </c>
    </row>
    <row r="634" spans="2:4" ht="20.25" customHeight="1">
      <c r="B634" s="108" t="s">
        <v>6544</v>
      </c>
      <c r="C634" s="132" t="s">
        <v>6545</v>
      </c>
      <c r="D634" s="131" t="s">
        <v>4361</v>
      </c>
    </row>
    <row r="635" spans="2:4" ht="20.25" customHeight="1">
      <c r="B635" s="108" t="s">
        <v>6546</v>
      </c>
      <c r="C635" s="138" t="s">
        <v>6547</v>
      </c>
      <c r="D635" s="133">
        <v>44910</v>
      </c>
    </row>
    <row r="636" spans="2:4" ht="20.25" customHeight="1">
      <c r="B636" s="108" t="s">
        <v>6548</v>
      </c>
      <c r="C636" s="132" t="s">
        <v>6549</v>
      </c>
      <c r="D636" s="133">
        <v>44923</v>
      </c>
    </row>
    <row r="637" spans="2:4" ht="20.25" customHeight="1">
      <c r="B637" s="108" t="s">
        <v>6550</v>
      </c>
      <c r="C637" s="132" t="s">
        <v>6551</v>
      </c>
      <c r="D637" s="133">
        <v>44910</v>
      </c>
    </row>
    <row r="638" spans="2:4" ht="20.25" customHeight="1">
      <c r="B638" s="107" t="s">
        <v>5524</v>
      </c>
      <c r="C638" s="132" t="s">
        <v>6552</v>
      </c>
      <c r="D638" s="133">
        <v>44869</v>
      </c>
    </row>
    <row r="639" spans="2:4" ht="20.25" customHeight="1">
      <c r="B639" s="108" t="s">
        <v>6553</v>
      </c>
      <c r="C639" s="132" t="s">
        <v>6554</v>
      </c>
      <c r="D639" s="133">
        <v>44910</v>
      </c>
    </row>
    <row r="640" spans="2:4" ht="20.25" customHeight="1">
      <c r="B640" s="108" t="s">
        <v>6555</v>
      </c>
      <c r="C640" s="132" t="s">
        <v>6556</v>
      </c>
      <c r="D640" s="131"/>
    </row>
    <row r="641" spans="2:4" ht="20.25" customHeight="1">
      <c r="B641" s="108" t="s">
        <v>6557</v>
      </c>
      <c r="C641" s="132" t="s">
        <v>6558</v>
      </c>
      <c r="D641" s="133">
        <v>44910</v>
      </c>
    </row>
    <row r="642" spans="2:4" ht="20.25" customHeight="1">
      <c r="B642" s="108" t="s">
        <v>5580</v>
      </c>
      <c r="C642" s="132" t="s">
        <v>6559</v>
      </c>
      <c r="D642" s="131" t="s">
        <v>4361</v>
      </c>
    </row>
    <row r="643" spans="2:4" ht="20.25" customHeight="1">
      <c r="B643" s="108" t="s">
        <v>6560</v>
      </c>
      <c r="C643" s="132" t="s">
        <v>6561</v>
      </c>
      <c r="D643" s="133">
        <v>44923</v>
      </c>
    </row>
    <row r="644" spans="2:4" ht="20.25" customHeight="1">
      <c r="B644" s="108" t="s">
        <v>6562</v>
      </c>
      <c r="C644" s="132" t="s">
        <v>6563</v>
      </c>
      <c r="D644" s="133">
        <v>44910</v>
      </c>
    </row>
    <row r="645" spans="2:4" ht="20.25" customHeight="1">
      <c r="B645" s="108" t="s">
        <v>6564</v>
      </c>
      <c r="C645" s="132" t="s">
        <v>6565</v>
      </c>
      <c r="D645" s="133">
        <v>44910</v>
      </c>
    </row>
    <row r="646" spans="2:4" ht="20.25" customHeight="1">
      <c r="B646" s="108" t="s">
        <v>6566</v>
      </c>
      <c r="C646" s="132" t="s">
        <v>6567</v>
      </c>
      <c r="D646" s="131"/>
    </row>
    <row r="647" spans="2:4" ht="20.25" customHeight="1">
      <c r="B647" s="108" t="s">
        <v>6568</v>
      </c>
      <c r="C647" s="132" t="s">
        <v>6569</v>
      </c>
      <c r="D647" s="141"/>
    </row>
    <row r="648" spans="2:4" ht="20.25" customHeight="1">
      <c r="B648" s="108" t="s">
        <v>5517</v>
      </c>
      <c r="C648" s="132" t="s">
        <v>6570</v>
      </c>
      <c r="D648" s="141"/>
    </row>
    <row r="649" spans="2:4" ht="20.25" customHeight="1">
      <c r="B649" s="108" t="s">
        <v>6571</v>
      </c>
      <c r="C649" s="132" t="s">
        <v>6572</v>
      </c>
      <c r="D649" s="141"/>
    </row>
    <row r="650" spans="2:4" ht="20.25" customHeight="1">
      <c r="B650" s="108" t="s">
        <v>6573</v>
      </c>
      <c r="C650" s="132" t="s">
        <v>6574</v>
      </c>
      <c r="D650" s="141"/>
    </row>
    <row r="651" spans="2:4" ht="20.25" customHeight="1">
      <c r="B651" s="108" t="s">
        <v>6575</v>
      </c>
      <c r="C651" s="132" t="s">
        <v>6576</v>
      </c>
      <c r="D651" s="141"/>
    </row>
    <row r="652" spans="2:4" ht="20.25" customHeight="1">
      <c r="B652" s="108" t="s">
        <v>6577</v>
      </c>
      <c r="C652" s="132" t="s">
        <v>6578</v>
      </c>
      <c r="D652" s="141"/>
    </row>
    <row r="653" spans="2:4" ht="20.25" customHeight="1">
      <c r="B653" s="108" t="s">
        <v>6579</v>
      </c>
      <c r="C653" s="138" t="s">
        <v>6580</v>
      </c>
      <c r="D653" s="141"/>
    </row>
    <row r="654" spans="2:4" ht="20.25" customHeight="1">
      <c r="B654" s="108" t="s">
        <v>5526</v>
      </c>
      <c r="C654" s="138" t="s">
        <v>6581</v>
      </c>
      <c r="D654" s="141"/>
    </row>
    <row r="655" spans="2:4" ht="20.25" customHeight="1">
      <c r="B655" s="108" t="s">
        <v>6582</v>
      </c>
      <c r="C655" s="132" t="s">
        <v>6578</v>
      </c>
      <c r="D655" s="141"/>
    </row>
    <row r="656" spans="2:4" ht="20.25" customHeight="1">
      <c r="B656" s="108" t="s">
        <v>6583</v>
      </c>
      <c r="C656" s="138" t="s">
        <v>6584</v>
      </c>
      <c r="D656" s="141"/>
    </row>
    <row r="657" spans="2:4" ht="20.25" customHeight="1">
      <c r="B657" s="112" t="s">
        <v>6585</v>
      </c>
      <c r="C657" s="138" t="s">
        <v>6581</v>
      </c>
      <c r="D657" s="141"/>
    </row>
    <row r="658" spans="2:4" ht="20.25" customHeight="1">
      <c r="B658" s="108" t="s">
        <v>6586</v>
      </c>
      <c r="C658" s="138" t="s">
        <v>6581</v>
      </c>
      <c r="D658" s="141"/>
    </row>
    <row r="659" spans="2:4" ht="20.25" customHeight="1">
      <c r="B659" s="108" t="s">
        <v>6587</v>
      </c>
      <c r="C659" s="138" t="s">
        <v>6584</v>
      </c>
      <c r="D659" s="141"/>
    </row>
    <row r="660" spans="2:4" ht="20.25" customHeight="1">
      <c r="B660" s="112" t="s">
        <v>5528</v>
      </c>
      <c r="C660" s="138" t="s">
        <v>6588</v>
      </c>
      <c r="D660" s="141"/>
    </row>
    <row r="661" spans="2:4" ht="20.25" customHeight="1">
      <c r="B661" s="108" t="s">
        <v>6589</v>
      </c>
      <c r="C661" s="138" t="s">
        <v>6590</v>
      </c>
      <c r="D661" s="141"/>
    </row>
    <row r="662" spans="2:4" ht="20.25" customHeight="1">
      <c r="B662" s="108" t="s">
        <v>6591</v>
      </c>
      <c r="C662" s="138" t="s">
        <v>6592</v>
      </c>
      <c r="D662" s="141"/>
    </row>
    <row r="663" spans="2:4" ht="20.25" customHeight="1">
      <c r="B663" s="108" t="s">
        <v>6593</v>
      </c>
      <c r="C663" s="138" t="s">
        <v>6202</v>
      </c>
      <c r="D663" s="141"/>
    </row>
    <row r="664" spans="2:4" ht="20.25" customHeight="1">
      <c r="B664" s="108" t="s">
        <v>6594</v>
      </c>
      <c r="C664" s="138" t="s">
        <v>6202</v>
      </c>
      <c r="D664" s="141"/>
    </row>
    <row r="665" spans="2:4" ht="20.25" customHeight="1">
      <c r="B665" s="112" t="s">
        <v>6595</v>
      </c>
      <c r="C665" s="132" t="s">
        <v>6596</v>
      </c>
      <c r="D665" s="141"/>
    </row>
    <row r="666" spans="2:4" ht="20.25" customHeight="1">
      <c r="B666" s="108" t="s">
        <v>6597</v>
      </c>
      <c r="C666" s="138" t="s">
        <v>6598</v>
      </c>
      <c r="D666" s="141"/>
    </row>
    <row r="667" spans="2:4" ht="20.25" customHeight="1">
      <c r="B667" s="108" t="s">
        <v>6599</v>
      </c>
      <c r="C667" s="138" t="s">
        <v>6600</v>
      </c>
      <c r="D667" s="141"/>
    </row>
    <row r="668" spans="2:4" ht="20.25" customHeight="1">
      <c r="B668" s="116" t="s">
        <v>5582</v>
      </c>
      <c r="C668" s="138" t="s">
        <v>6601</v>
      </c>
      <c r="D668" s="141"/>
    </row>
    <row r="669" spans="2:4" ht="20.25" customHeight="1">
      <c r="B669" s="112" t="s">
        <v>6602</v>
      </c>
      <c r="C669" s="132" t="s">
        <v>6603</v>
      </c>
      <c r="D669" s="131" t="s">
        <v>4361</v>
      </c>
    </row>
    <row r="670" spans="2:4" ht="20.25" customHeight="1">
      <c r="B670" s="108" t="s">
        <v>6604</v>
      </c>
      <c r="C670" s="138" t="s">
        <v>6202</v>
      </c>
      <c r="D670" s="131" t="s">
        <v>4361</v>
      </c>
    </row>
    <row r="671" spans="2:4" ht="20.25" customHeight="1">
      <c r="B671" s="108" t="s">
        <v>5584</v>
      </c>
      <c r="C671" s="138" t="s">
        <v>6202</v>
      </c>
      <c r="D671" s="131" t="s">
        <v>4361</v>
      </c>
    </row>
    <row r="672" spans="2:4" ht="20.25" customHeight="1">
      <c r="B672" s="108" t="s">
        <v>5586</v>
      </c>
      <c r="C672" s="138" t="s">
        <v>6202</v>
      </c>
      <c r="D672" s="141" t="s">
        <v>4361</v>
      </c>
    </row>
    <row r="673" spans="2:4" ht="20.25" customHeight="1">
      <c r="B673" s="108" t="s">
        <v>5508</v>
      </c>
      <c r="C673" s="132" t="s">
        <v>6605</v>
      </c>
      <c r="D673" s="141"/>
    </row>
    <row r="674" spans="2:4" ht="20.25" customHeight="1">
      <c r="B674" s="108" t="s">
        <v>5588</v>
      </c>
      <c r="C674" s="132" t="s">
        <v>6606</v>
      </c>
      <c r="D674" s="141"/>
    </row>
    <row r="675" spans="2:4" ht="20.25" customHeight="1">
      <c r="B675" s="108" t="s">
        <v>6607</v>
      </c>
      <c r="C675" s="132" t="s">
        <v>6608</v>
      </c>
      <c r="D675" s="141"/>
    </row>
    <row r="676" spans="2:4" ht="20.25" customHeight="1">
      <c r="B676" s="108" t="s">
        <v>6609</v>
      </c>
      <c r="C676" s="138" t="s">
        <v>6610</v>
      </c>
      <c r="D676" s="141"/>
    </row>
    <row r="677" spans="2:4" ht="20.25" customHeight="1">
      <c r="B677" s="108" t="s">
        <v>5482</v>
      </c>
      <c r="C677" s="132" t="s">
        <v>6611</v>
      </c>
      <c r="D677" s="141"/>
    </row>
    <row r="678" spans="2:4" ht="20.25" customHeight="1">
      <c r="B678" s="108" t="s">
        <v>5529</v>
      </c>
      <c r="C678" s="132" t="s">
        <v>6612</v>
      </c>
      <c r="D678" s="141"/>
    </row>
    <row r="679" spans="2:4" ht="20.25" customHeight="1">
      <c r="B679" s="108" t="s">
        <v>6613</v>
      </c>
      <c r="C679" s="138" t="s">
        <v>6614</v>
      </c>
      <c r="D679" s="141"/>
    </row>
    <row r="680" spans="2:4" ht="20.25" customHeight="1">
      <c r="B680" s="108" t="s">
        <v>6615</v>
      </c>
      <c r="C680" s="138" t="s">
        <v>6616</v>
      </c>
      <c r="D680" s="141"/>
    </row>
    <row r="681" spans="2:4" ht="20.25" customHeight="1">
      <c r="B681" s="108" t="s">
        <v>6617</v>
      </c>
      <c r="C681" s="132" t="s">
        <v>6618</v>
      </c>
      <c r="D681" s="141"/>
    </row>
    <row r="682" spans="2:4" ht="20.25" customHeight="1">
      <c r="B682" s="108" t="s">
        <v>6619</v>
      </c>
      <c r="C682" s="138" t="s">
        <v>6202</v>
      </c>
      <c r="D682" s="141"/>
    </row>
    <row r="683" spans="2:4" ht="20.25" customHeight="1">
      <c r="B683" s="108" t="s">
        <v>6620</v>
      </c>
      <c r="C683" s="138" t="s">
        <v>6621</v>
      </c>
      <c r="D683" s="141"/>
    </row>
    <row r="684" spans="2:4" ht="20.25" customHeight="1">
      <c r="B684" s="108" t="s">
        <v>6622</v>
      </c>
      <c r="C684" s="132" t="s">
        <v>6623</v>
      </c>
      <c r="D684" s="141"/>
    </row>
    <row r="685" spans="2:4" ht="20.25" customHeight="1">
      <c r="B685" s="108" t="s">
        <v>6624</v>
      </c>
      <c r="C685" s="138" t="s">
        <v>6625</v>
      </c>
      <c r="D685" s="141"/>
    </row>
    <row r="686" spans="2:4" ht="20.25" customHeight="1">
      <c r="B686" s="108" t="s">
        <v>5589</v>
      </c>
      <c r="C686" s="138" t="s">
        <v>4628</v>
      </c>
      <c r="D686" s="141"/>
    </row>
    <row r="687" spans="2:4" ht="20.25" customHeight="1">
      <c r="B687" s="108" t="s">
        <v>6626</v>
      </c>
      <c r="C687" s="132" t="s">
        <v>6627</v>
      </c>
      <c r="D687" s="141"/>
    </row>
    <row r="688" spans="2:4" ht="20.25" customHeight="1">
      <c r="B688" s="108" t="s">
        <v>6628</v>
      </c>
      <c r="C688" s="132" t="s">
        <v>6629</v>
      </c>
      <c r="D688" s="152">
        <v>45040</v>
      </c>
    </row>
    <row r="689" spans="2:4" ht="20.25" customHeight="1">
      <c r="B689" s="108" t="s">
        <v>6630</v>
      </c>
      <c r="C689" s="138" t="s">
        <v>6202</v>
      </c>
      <c r="D689" s="141"/>
    </row>
    <row r="690" spans="2:4" ht="20.25" customHeight="1">
      <c r="B690" s="108" t="s">
        <v>6631</v>
      </c>
      <c r="C690" s="138" t="s">
        <v>6202</v>
      </c>
      <c r="D690" s="141"/>
    </row>
    <row r="691" spans="2:4" ht="20.25" customHeight="1">
      <c r="B691" s="108" t="s">
        <v>6632</v>
      </c>
      <c r="C691" s="138" t="s">
        <v>6633</v>
      </c>
      <c r="D691" s="131"/>
    </row>
    <row r="692" spans="2:4" ht="20.25" customHeight="1">
      <c r="B692" s="108" t="s">
        <v>6634</v>
      </c>
      <c r="C692" s="132" t="s">
        <v>6635</v>
      </c>
      <c r="D692" s="141"/>
    </row>
    <row r="693" spans="2:4" ht="20.25" customHeight="1">
      <c r="B693" s="108" t="s">
        <v>6636</v>
      </c>
      <c r="C693" s="132" t="s">
        <v>6637</v>
      </c>
      <c r="D693" s="141"/>
    </row>
    <row r="694" spans="2:4" ht="20.25" customHeight="1">
      <c r="B694" s="108" t="s">
        <v>6638</v>
      </c>
      <c r="C694" s="138" t="s">
        <v>6639</v>
      </c>
      <c r="D694" s="133">
        <v>44922</v>
      </c>
    </row>
    <row r="695" spans="2:4" ht="20.25" customHeight="1">
      <c r="B695" s="108" t="s">
        <v>6640</v>
      </c>
      <c r="C695" s="132" t="s">
        <v>6641</v>
      </c>
      <c r="D695" s="141"/>
    </row>
    <row r="696" spans="2:4" ht="20.25" customHeight="1">
      <c r="B696" s="108" t="s">
        <v>6642</v>
      </c>
      <c r="C696" s="132" t="s">
        <v>4628</v>
      </c>
      <c r="D696" s="141"/>
    </row>
    <row r="697" spans="2:4" ht="20.25" customHeight="1">
      <c r="B697" s="108" t="s">
        <v>6643</v>
      </c>
      <c r="C697" s="138" t="s">
        <v>6644</v>
      </c>
      <c r="D697" s="141"/>
    </row>
    <row r="698" spans="2:4" ht="20.25" customHeight="1">
      <c r="B698" s="108" t="s">
        <v>6645</v>
      </c>
      <c r="C698" s="132" t="s">
        <v>6646</v>
      </c>
      <c r="D698" s="141"/>
    </row>
    <row r="699" spans="2:4" ht="20.25" customHeight="1">
      <c r="B699" s="108" t="s">
        <v>5463</v>
      </c>
      <c r="C699" s="138" t="s">
        <v>6647</v>
      </c>
      <c r="D699" s="141" t="s">
        <v>4361</v>
      </c>
    </row>
    <row r="700" spans="2:4" ht="20.25" customHeight="1">
      <c r="B700" s="108" t="s">
        <v>6648</v>
      </c>
      <c r="C700" s="165" t="s">
        <v>6649</v>
      </c>
      <c r="D700" s="141" t="s">
        <v>4361</v>
      </c>
    </row>
    <row r="701" spans="2:4" ht="20.25" customHeight="1">
      <c r="B701" s="108" t="s">
        <v>6650</v>
      </c>
      <c r="C701" s="138" t="s">
        <v>6202</v>
      </c>
      <c r="D701" s="141"/>
    </row>
    <row r="702" spans="2:4" ht="20.25" customHeight="1">
      <c r="B702" s="108" t="s">
        <v>6651</v>
      </c>
      <c r="C702" s="138" t="s">
        <v>6652</v>
      </c>
      <c r="D702" s="141" t="s">
        <v>4361</v>
      </c>
    </row>
    <row r="703" spans="2:4" ht="20.25" customHeight="1">
      <c r="B703" s="108" t="s">
        <v>5512</v>
      </c>
      <c r="C703" s="132" t="s">
        <v>6653</v>
      </c>
      <c r="D703" s="141"/>
    </row>
    <row r="704" spans="2:4" ht="20.25" customHeight="1">
      <c r="B704" s="108" t="s">
        <v>6654</v>
      </c>
      <c r="C704" s="132" t="s">
        <v>6655</v>
      </c>
      <c r="D704" s="141"/>
    </row>
    <row r="705" spans="2:4" ht="20.25" customHeight="1">
      <c r="B705" s="108" t="s">
        <v>6656</v>
      </c>
      <c r="C705" s="165" t="s">
        <v>6657</v>
      </c>
      <c r="D705" s="141"/>
    </row>
    <row r="706" spans="2:4" ht="20.25" customHeight="1">
      <c r="B706" s="108" t="s">
        <v>6658</v>
      </c>
      <c r="C706" s="132" t="s">
        <v>6659</v>
      </c>
      <c r="D706" s="131" t="s">
        <v>4361</v>
      </c>
    </row>
    <row r="707" spans="2:4" ht="20.25" customHeight="1">
      <c r="B707" s="108" t="s">
        <v>6660</v>
      </c>
      <c r="C707" s="138" t="s">
        <v>6661</v>
      </c>
      <c r="D707" s="152">
        <v>45040</v>
      </c>
    </row>
    <row r="708" spans="2:4" ht="20.25" customHeight="1">
      <c r="B708" s="108" t="s">
        <v>6662</v>
      </c>
      <c r="C708" s="138" t="s">
        <v>6663</v>
      </c>
      <c r="D708" s="141"/>
    </row>
    <row r="709" spans="2:4" ht="20.25" customHeight="1">
      <c r="B709" s="108" t="s">
        <v>6664</v>
      </c>
      <c r="C709" s="132" t="s">
        <v>6663</v>
      </c>
      <c r="D709" s="131" t="s">
        <v>4361</v>
      </c>
    </row>
    <row r="710" spans="2:4" ht="20.25" customHeight="1">
      <c r="B710" s="108" t="s">
        <v>6665</v>
      </c>
      <c r="C710" s="132" t="s">
        <v>6666</v>
      </c>
      <c r="D710" s="136">
        <v>45148</v>
      </c>
    </row>
    <row r="711" spans="2:4" ht="20.25" customHeight="1">
      <c r="B711" s="108" t="s">
        <v>6667</v>
      </c>
      <c r="C711" s="138" t="s">
        <v>6668</v>
      </c>
      <c r="D711" s="141"/>
    </row>
    <row r="712" spans="2:4" ht="20.25" customHeight="1">
      <c r="B712" s="108" t="s">
        <v>6669</v>
      </c>
      <c r="C712" s="138" t="s">
        <v>6670</v>
      </c>
      <c r="D712" s="136">
        <v>45049</v>
      </c>
    </row>
    <row r="713" spans="2:4" ht="20.25" customHeight="1">
      <c r="B713" s="108" t="s">
        <v>6671</v>
      </c>
      <c r="C713" s="132" t="s">
        <v>6672</v>
      </c>
      <c r="D713" s="131" t="s">
        <v>4361</v>
      </c>
    </row>
    <row r="714" spans="2:4" ht="20.25" customHeight="1">
      <c r="B714" s="108" t="s">
        <v>6673</v>
      </c>
      <c r="C714" s="138" t="s">
        <v>6674</v>
      </c>
      <c r="D714" s="141" t="s">
        <v>4361</v>
      </c>
    </row>
    <row r="715" spans="2:4" ht="20.25" customHeight="1">
      <c r="B715" s="108" t="s">
        <v>6675</v>
      </c>
      <c r="C715" s="132" t="s">
        <v>6676</v>
      </c>
      <c r="D715" s="141"/>
    </row>
    <row r="716" spans="2:4" ht="20.25" customHeight="1">
      <c r="B716" s="108" t="s">
        <v>6677</v>
      </c>
      <c r="C716" s="138" t="s">
        <v>6678</v>
      </c>
      <c r="D716" s="141"/>
    </row>
    <row r="717" spans="2:4" ht="20.25" customHeight="1">
      <c r="B717" s="108" t="s">
        <v>6679</v>
      </c>
      <c r="C717" s="132" t="s">
        <v>6680</v>
      </c>
      <c r="D717" s="136">
        <v>45049</v>
      </c>
    </row>
    <row r="718" spans="2:4" ht="20.25" customHeight="1">
      <c r="B718" s="108" t="s">
        <v>6681</v>
      </c>
      <c r="C718" s="132" t="s">
        <v>6682</v>
      </c>
      <c r="D718" s="133">
        <v>45058</v>
      </c>
    </row>
    <row r="719" spans="2:4" ht="20.25" customHeight="1">
      <c r="B719" s="108" t="s">
        <v>6683</v>
      </c>
      <c r="C719" s="138" t="s">
        <v>6684</v>
      </c>
      <c r="D719" s="141"/>
    </row>
    <row r="720" spans="2:4" ht="20.25" customHeight="1">
      <c r="B720" s="108" t="s">
        <v>6685</v>
      </c>
      <c r="C720" s="138" t="s">
        <v>6202</v>
      </c>
      <c r="D720" s="152">
        <v>45040</v>
      </c>
    </row>
    <row r="721" spans="2:4" ht="20.25" customHeight="1">
      <c r="B721" s="108" t="s">
        <v>6686</v>
      </c>
      <c r="C721" s="138" t="s">
        <v>6687</v>
      </c>
      <c r="D721" s="141"/>
    </row>
    <row r="722" spans="2:4" ht="20.25" customHeight="1">
      <c r="B722" s="108" t="s">
        <v>6688</v>
      </c>
      <c r="C722" s="138" t="s">
        <v>6689</v>
      </c>
      <c r="D722" s="131" t="s">
        <v>4361</v>
      </c>
    </row>
    <row r="723" spans="2:4" ht="20.25" customHeight="1">
      <c r="B723" s="108" t="s">
        <v>6690</v>
      </c>
      <c r="C723" s="138" t="s">
        <v>6691</v>
      </c>
      <c r="D723" s="141"/>
    </row>
    <row r="724" spans="2:4" ht="20.25" customHeight="1">
      <c r="B724" s="108" t="s">
        <v>6692</v>
      </c>
      <c r="C724" s="132" t="s">
        <v>6693</v>
      </c>
      <c r="D724" s="141"/>
    </row>
    <row r="725" spans="2:4" ht="20.25" customHeight="1">
      <c r="B725" s="108" t="s">
        <v>6694</v>
      </c>
      <c r="C725" s="138" t="s">
        <v>6695</v>
      </c>
      <c r="D725" s="141"/>
    </row>
    <row r="726" spans="2:4" ht="20.25" customHeight="1">
      <c r="B726" s="108" t="s">
        <v>6696</v>
      </c>
      <c r="C726" s="132" t="s">
        <v>6697</v>
      </c>
      <c r="D726" s="131" t="s">
        <v>4361</v>
      </c>
    </row>
    <row r="727" spans="2:4" ht="20.25" customHeight="1">
      <c r="B727" s="108" t="s">
        <v>6698</v>
      </c>
      <c r="C727" s="132" t="s">
        <v>6699</v>
      </c>
      <c r="D727" s="141"/>
    </row>
    <row r="728" spans="2:4" ht="20.25" customHeight="1">
      <c r="B728" s="108" t="s">
        <v>6700</v>
      </c>
      <c r="C728" s="138" t="s">
        <v>4628</v>
      </c>
      <c r="D728" s="141"/>
    </row>
    <row r="729" spans="2:4" ht="20.25" customHeight="1">
      <c r="B729" s="108" t="s">
        <v>6701</v>
      </c>
      <c r="C729" s="138" t="s">
        <v>6202</v>
      </c>
      <c r="D729" s="141"/>
    </row>
    <row r="730" spans="2:4" ht="20.25" customHeight="1">
      <c r="B730" s="108" t="s">
        <v>6702</v>
      </c>
      <c r="C730" s="132" t="s">
        <v>6703</v>
      </c>
      <c r="D730" s="131" t="s">
        <v>4361</v>
      </c>
    </row>
    <row r="731" spans="2:4" ht="20.25" customHeight="1">
      <c r="B731" s="108" t="s">
        <v>6704</v>
      </c>
      <c r="C731" s="132" t="s">
        <v>6705</v>
      </c>
      <c r="D731" s="131" t="s">
        <v>4361</v>
      </c>
    </row>
    <row r="732" spans="2:4" ht="20.25" customHeight="1">
      <c r="B732" s="108" t="s">
        <v>6706</v>
      </c>
      <c r="C732" s="138" t="s">
        <v>6707</v>
      </c>
      <c r="D732" s="141"/>
    </row>
    <row r="733" spans="2:4" ht="20.25" customHeight="1">
      <c r="B733" s="108" t="s">
        <v>6708</v>
      </c>
      <c r="C733" s="138" t="s">
        <v>6709</v>
      </c>
      <c r="D733" s="131" t="s">
        <v>4361</v>
      </c>
    </row>
    <row r="734" spans="2:4" ht="20.25" customHeight="1">
      <c r="B734" s="108" t="s">
        <v>6710</v>
      </c>
      <c r="C734" s="132" t="s">
        <v>6711</v>
      </c>
      <c r="D734" s="141"/>
    </row>
    <row r="735" spans="2:4" ht="20.25" customHeight="1">
      <c r="B735" s="108" t="s">
        <v>6712</v>
      </c>
      <c r="C735" s="132" t="s">
        <v>6713</v>
      </c>
      <c r="D735" s="141"/>
    </row>
    <row r="736" spans="2:4" ht="20.25" customHeight="1">
      <c r="B736" s="108" t="s">
        <v>6714</v>
      </c>
      <c r="C736" s="138" t="s">
        <v>6715</v>
      </c>
      <c r="D736" s="131" t="s">
        <v>4361</v>
      </c>
    </row>
    <row r="737" spans="2:4" ht="20.25" customHeight="1">
      <c r="B737" s="108" t="s">
        <v>6716</v>
      </c>
      <c r="C737" s="132" t="s">
        <v>6717</v>
      </c>
      <c r="D737" s="152">
        <v>45040</v>
      </c>
    </row>
    <row r="738" spans="2:4" ht="20.25" customHeight="1">
      <c r="B738" s="108" t="s">
        <v>6718</v>
      </c>
      <c r="C738" s="132" t="s">
        <v>6719</v>
      </c>
      <c r="D738" s="141"/>
    </row>
    <row r="739" spans="2:4" ht="20.25" customHeight="1">
      <c r="B739" s="108" t="s">
        <v>5591</v>
      </c>
      <c r="C739" s="132" t="s">
        <v>6720</v>
      </c>
      <c r="D739" s="131" t="s">
        <v>4361</v>
      </c>
    </row>
    <row r="740" spans="2:4" ht="20.25" customHeight="1">
      <c r="B740" s="108" t="s">
        <v>6721</v>
      </c>
      <c r="C740" s="132" t="s">
        <v>6722</v>
      </c>
      <c r="D740" s="133">
        <v>44923</v>
      </c>
    </row>
    <row r="741" spans="2:4" ht="20.25" customHeight="1">
      <c r="B741" s="108" t="s">
        <v>6723</v>
      </c>
      <c r="C741" s="138" t="s">
        <v>6724</v>
      </c>
      <c r="D741" s="141"/>
    </row>
    <row r="742" spans="2:4" ht="20.25" customHeight="1">
      <c r="B742" s="108" t="s">
        <v>6725</v>
      </c>
      <c r="C742" s="132" t="s">
        <v>6202</v>
      </c>
      <c r="D742" s="133">
        <v>44877</v>
      </c>
    </row>
    <row r="743" spans="2:4" ht="20.25" customHeight="1">
      <c r="B743" s="108" t="s">
        <v>6726</v>
      </c>
      <c r="C743" s="132" t="s">
        <v>6727</v>
      </c>
      <c r="D743" s="141"/>
    </row>
    <row r="744" spans="2:4" ht="20.25" customHeight="1">
      <c r="B744" s="108" t="s">
        <v>6728</v>
      </c>
      <c r="C744" s="138" t="s">
        <v>6729</v>
      </c>
      <c r="D744" s="141"/>
    </row>
    <row r="745" spans="2:4" ht="20.25" customHeight="1">
      <c r="B745" s="108" t="s">
        <v>6730</v>
      </c>
      <c r="C745" s="132" t="s">
        <v>6202</v>
      </c>
      <c r="D745" s="152">
        <v>45040</v>
      </c>
    </row>
    <row r="746" spans="2:4" ht="20.25" customHeight="1">
      <c r="B746" s="108" t="s">
        <v>6731</v>
      </c>
      <c r="C746" s="132" t="s">
        <v>6732</v>
      </c>
      <c r="D746" s="131" t="s">
        <v>4361</v>
      </c>
    </row>
    <row r="747" spans="2:4" ht="20.25" customHeight="1">
      <c r="B747" s="110" t="s">
        <v>5491</v>
      </c>
      <c r="C747" s="138" t="s">
        <v>6202</v>
      </c>
      <c r="D747" s="141"/>
    </row>
    <row r="748" spans="2:4" ht="20.25" customHeight="1">
      <c r="B748" s="108" t="s">
        <v>5593</v>
      </c>
      <c r="C748" s="138" t="s">
        <v>4628</v>
      </c>
      <c r="D748" s="141"/>
    </row>
    <row r="749" spans="2:4" ht="20.25" customHeight="1">
      <c r="B749" s="108" t="s">
        <v>6733</v>
      </c>
      <c r="C749" s="138" t="s">
        <v>6734</v>
      </c>
      <c r="D749" s="141"/>
    </row>
    <row r="750" spans="2:4" ht="20.25" customHeight="1">
      <c r="B750" s="108" t="s">
        <v>6735</v>
      </c>
      <c r="C750" s="132" t="s">
        <v>6736</v>
      </c>
      <c r="D750" s="141"/>
    </row>
    <row r="751" spans="2:4" ht="20.25" customHeight="1">
      <c r="B751" s="108" t="s">
        <v>5595</v>
      </c>
      <c r="C751" s="138" t="s">
        <v>6737</v>
      </c>
      <c r="D751" s="141"/>
    </row>
    <row r="752" spans="2:4" ht="20.25" customHeight="1">
      <c r="B752" s="108" t="s">
        <v>6738</v>
      </c>
      <c r="C752" s="138" t="s">
        <v>6739</v>
      </c>
      <c r="D752" s="141"/>
    </row>
    <row r="753" spans="2:4" ht="20.25" customHeight="1">
      <c r="B753" s="108" t="s">
        <v>6740</v>
      </c>
      <c r="C753" s="138" t="s">
        <v>4628</v>
      </c>
      <c r="D753" s="141"/>
    </row>
    <row r="754" spans="2:4" ht="20.25" customHeight="1">
      <c r="B754" s="116" t="s">
        <v>5597</v>
      </c>
      <c r="C754" s="138" t="s">
        <v>4628</v>
      </c>
      <c r="D754" s="141"/>
    </row>
    <row r="755" spans="2:4" ht="20.25" customHeight="1">
      <c r="B755" s="108" t="s">
        <v>6741</v>
      </c>
      <c r="C755" s="138" t="s">
        <v>4628</v>
      </c>
      <c r="D755" s="141"/>
    </row>
    <row r="756" spans="2:4" ht="20.25" customHeight="1">
      <c r="B756" s="108" t="s">
        <v>6742</v>
      </c>
      <c r="C756" s="138" t="s">
        <v>4628</v>
      </c>
      <c r="D756" s="141"/>
    </row>
    <row r="757" spans="2:4" ht="20.25" customHeight="1">
      <c r="B757" s="108" t="s">
        <v>6743</v>
      </c>
      <c r="C757" s="138" t="s">
        <v>4628</v>
      </c>
      <c r="D757" s="136">
        <v>45049</v>
      </c>
    </row>
    <row r="758" spans="2:4" ht="20.25" customHeight="1">
      <c r="B758" s="108" t="s">
        <v>6744</v>
      </c>
      <c r="C758" s="138" t="s">
        <v>4628</v>
      </c>
      <c r="D758" s="152">
        <v>45040</v>
      </c>
    </row>
    <row r="759" spans="2:4" ht="20.25" customHeight="1">
      <c r="B759" s="108" t="s">
        <v>6745</v>
      </c>
      <c r="C759" s="138" t="s">
        <v>4628</v>
      </c>
      <c r="D759" s="141"/>
    </row>
    <row r="760" spans="2:4" ht="20.25" customHeight="1">
      <c r="B760" s="108" t="s">
        <v>6746</v>
      </c>
      <c r="C760" s="132" t="s">
        <v>6467</v>
      </c>
      <c r="D760" s="141"/>
    </row>
    <row r="761" spans="2:4" ht="20.25" customHeight="1">
      <c r="B761" s="111" t="s">
        <v>6747</v>
      </c>
      <c r="C761" s="138" t="s">
        <v>6748</v>
      </c>
      <c r="D761" s="131" t="s">
        <v>4361</v>
      </c>
    </row>
    <row r="762" spans="2:4" ht="20.25" customHeight="1">
      <c r="B762" s="108" t="s">
        <v>6749</v>
      </c>
      <c r="C762" s="132" t="s">
        <v>6750</v>
      </c>
      <c r="D762" s="141"/>
    </row>
    <row r="763" spans="2:4" ht="20.25" customHeight="1">
      <c r="B763" s="108" t="s">
        <v>6751</v>
      </c>
      <c r="C763" s="138" t="s">
        <v>4628</v>
      </c>
      <c r="D763" s="141"/>
    </row>
    <row r="764" spans="2:4" ht="20.25" customHeight="1">
      <c r="B764" s="108" t="s">
        <v>6752</v>
      </c>
      <c r="C764" s="138" t="s">
        <v>6753</v>
      </c>
      <c r="D764" s="141"/>
    </row>
    <row r="765" spans="2:4" ht="20.25" customHeight="1">
      <c r="B765" s="108" t="s">
        <v>6754</v>
      </c>
      <c r="C765" s="132" t="s">
        <v>6755</v>
      </c>
      <c r="D765" s="141"/>
    </row>
    <row r="766" spans="2:4" ht="20.25" customHeight="1">
      <c r="B766" s="108" t="s">
        <v>6756</v>
      </c>
      <c r="C766" s="138" t="s">
        <v>4628</v>
      </c>
      <c r="D766" s="141"/>
    </row>
    <row r="767" spans="2:4" ht="20.25" customHeight="1">
      <c r="B767" s="108" t="s">
        <v>6757</v>
      </c>
      <c r="C767" s="138" t="s">
        <v>4628</v>
      </c>
      <c r="D767" s="141"/>
    </row>
    <row r="768" spans="2:4" ht="20.25" customHeight="1">
      <c r="B768" s="108" t="s">
        <v>6758</v>
      </c>
      <c r="C768" s="138" t="s">
        <v>6759</v>
      </c>
      <c r="D768" s="131" t="s">
        <v>4361</v>
      </c>
    </row>
    <row r="769" spans="2:4" ht="20.25" customHeight="1">
      <c r="B769" s="108" t="s">
        <v>6760</v>
      </c>
      <c r="C769" s="138" t="s">
        <v>4628</v>
      </c>
      <c r="D769" s="136">
        <v>45105</v>
      </c>
    </row>
    <row r="770" spans="2:4" ht="20.25" customHeight="1">
      <c r="B770" s="108" t="s">
        <v>6761</v>
      </c>
      <c r="C770" s="138" t="s">
        <v>4628</v>
      </c>
      <c r="D770" s="152">
        <v>45040</v>
      </c>
    </row>
    <row r="771" spans="2:4" ht="20.25" customHeight="1">
      <c r="B771" s="108" t="s">
        <v>6762</v>
      </c>
      <c r="C771" s="138" t="s">
        <v>6202</v>
      </c>
      <c r="D771" s="141"/>
    </row>
    <row r="772" spans="2:4" ht="20.25" customHeight="1">
      <c r="B772" s="108" t="s">
        <v>6763</v>
      </c>
      <c r="C772" s="132" t="s">
        <v>6764</v>
      </c>
      <c r="D772" s="131" t="s">
        <v>4361</v>
      </c>
    </row>
    <row r="773" spans="2:4" ht="20.25" customHeight="1">
      <c r="B773" s="108" t="s">
        <v>6765</v>
      </c>
      <c r="C773" s="132" t="s">
        <v>6766</v>
      </c>
      <c r="D773" s="131" t="s">
        <v>4361</v>
      </c>
    </row>
    <row r="774" spans="2:4" ht="20.25" customHeight="1">
      <c r="B774" s="108" t="s">
        <v>6767</v>
      </c>
      <c r="C774" s="138" t="s">
        <v>6768</v>
      </c>
      <c r="D774" s="141"/>
    </row>
    <row r="775" spans="2:4" ht="20.25" customHeight="1">
      <c r="B775" s="108" t="s">
        <v>6769</v>
      </c>
      <c r="C775" s="132" t="s">
        <v>6202</v>
      </c>
      <c r="D775" s="141"/>
    </row>
    <row r="776" spans="2:4" ht="20.25" customHeight="1">
      <c r="B776" s="108" t="s">
        <v>6770</v>
      </c>
      <c r="C776" s="132" t="s">
        <v>6771</v>
      </c>
      <c r="D776" s="141"/>
    </row>
    <row r="777" spans="2:4" ht="20.25" customHeight="1">
      <c r="B777" s="108" t="s">
        <v>5494</v>
      </c>
      <c r="C777" s="132" t="s">
        <v>6772</v>
      </c>
      <c r="D777" s="131" t="s">
        <v>4361</v>
      </c>
    </row>
    <row r="778" spans="2:4" ht="20.25" customHeight="1">
      <c r="B778" s="108" t="s">
        <v>5484</v>
      </c>
      <c r="C778" s="132" t="s">
        <v>6202</v>
      </c>
      <c r="D778" s="141"/>
    </row>
    <row r="779" spans="2:4" ht="20.25" customHeight="1">
      <c r="B779" s="108" t="s">
        <v>6773</v>
      </c>
      <c r="C779" s="138" t="s">
        <v>4628</v>
      </c>
      <c r="D779" s="133">
        <v>44910</v>
      </c>
    </row>
    <row r="780" spans="2:4" ht="20.25" customHeight="1">
      <c r="B780" s="108" t="s">
        <v>6774</v>
      </c>
      <c r="C780" s="138" t="s">
        <v>6775</v>
      </c>
      <c r="D780" s="141"/>
    </row>
    <row r="781" spans="2:4" ht="20.25" customHeight="1">
      <c r="B781" s="108" t="s">
        <v>6776</v>
      </c>
      <c r="C781" s="132" t="s">
        <v>6777</v>
      </c>
      <c r="D781" s="131" t="s">
        <v>4361</v>
      </c>
    </row>
    <row r="782" spans="2:4" ht="20.25" customHeight="1">
      <c r="B782" s="108" t="s">
        <v>6778</v>
      </c>
      <c r="C782" s="132" t="s">
        <v>6779</v>
      </c>
      <c r="D782" s="141"/>
    </row>
    <row r="783" spans="2:4" ht="20.25" customHeight="1">
      <c r="B783" s="108" t="s">
        <v>6780</v>
      </c>
      <c r="C783" s="132" t="s">
        <v>6781</v>
      </c>
      <c r="D783" s="141"/>
    </row>
    <row r="784" spans="2:4" ht="20.25" customHeight="1">
      <c r="B784" s="108" t="s">
        <v>6782</v>
      </c>
      <c r="C784" s="138" t="s">
        <v>6783</v>
      </c>
      <c r="D784" s="141"/>
    </row>
    <row r="785" spans="2:4" ht="20.25" customHeight="1">
      <c r="B785" s="108" t="s">
        <v>6784</v>
      </c>
      <c r="C785" s="132" t="s">
        <v>6785</v>
      </c>
      <c r="D785" s="141"/>
    </row>
    <row r="786" spans="2:4" ht="20.25" customHeight="1">
      <c r="B786" s="108" t="s">
        <v>6786</v>
      </c>
      <c r="C786" s="132" t="s">
        <v>6787</v>
      </c>
      <c r="D786" s="152">
        <v>45040</v>
      </c>
    </row>
    <row r="787" spans="2:4" ht="20.25" customHeight="1">
      <c r="B787" s="108" t="s">
        <v>6788</v>
      </c>
      <c r="C787" s="132" t="s">
        <v>6789</v>
      </c>
      <c r="D787" s="152">
        <v>45040</v>
      </c>
    </row>
    <row r="788" spans="2:4" ht="20.25" customHeight="1">
      <c r="B788" s="108" t="s">
        <v>6790</v>
      </c>
      <c r="C788" s="138" t="s">
        <v>6791</v>
      </c>
      <c r="D788" s="141"/>
    </row>
    <row r="789" spans="2:4" ht="20.25" customHeight="1">
      <c r="B789" s="108" t="s">
        <v>6792</v>
      </c>
      <c r="C789" s="138" t="s">
        <v>6791</v>
      </c>
      <c r="D789" s="141"/>
    </row>
    <row r="790" spans="2:4" ht="20.25" customHeight="1">
      <c r="B790" s="108" t="s">
        <v>6793</v>
      </c>
      <c r="C790" s="132" t="s">
        <v>6794</v>
      </c>
      <c r="D790" s="152">
        <v>45040</v>
      </c>
    </row>
    <row r="791" spans="2:4" ht="20.25" customHeight="1">
      <c r="B791" s="108" t="s">
        <v>6795</v>
      </c>
      <c r="C791" s="132" t="s">
        <v>6796</v>
      </c>
      <c r="D791" s="133">
        <v>44890</v>
      </c>
    </row>
    <row r="792" spans="2:4" ht="20.25" customHeight="1">
      <c r="B792" s="108" t="s">
        <v>6797</v>
      </c>
      <c r="C792" s="132" t="s">
        <v>4628</v>
      </c>
      <c r="D792" s="141"/>
    </row>
    <row r="793" spans="2:4" ht="20.25" customHeight="1">
      <c r="B793" s="108" t="s">
        <v>6798</v>
      </c>
      <c r="C793" s="132" t="s">
        <v>4628</v>
      </c>
      <c r="D793" s="152">
        <v>45040</v>
      </c>
    </row>
    <row r="794" spans="2:4" ht="20.25" customHeight="1">
      <c r="B794" s="108" t="s">
        <v>6799</v>
      </c>
      <c r="C794" s="138" t="s">
        <v>6800</v>
      </c>
      <c r="D794" s="137"/>
    </row>
    <row r="795" spans="2:4" ht="20.25" customHeight="1">
      <c r="B795" s="108" t="s">
        <v>6801</v>
      </c>
      <c r="C795" s="132" t="s">
        <v>6802</v>
      </c>
      <c r="D795" s="141"/>
    </row>
    <row r="796" spans="2:4" ht="20.25" customHeight="1">
      <c r="B796" s="108" t="s">
        <v>6803</v>
      </c>
      <c r="C796" s="132" t="s">
        <v>6804</v>
      </c>
      <c r="D796" s="152">
        <v>45040</v>
      </c>
    </row>
    <row r="797" spans="2:4" ht="20.25" customHeight="1">
      <c r="B797" s="108" t="s">
        <v>6805</v>
      </c>
      <c r="C797" s="138" t="s">
        <v>6806</v>
      </c>
      <c r="D797" s="141"/>
    </row>
    <row r="798" spans="2:4" ht="20.25" customHeight="1">
      <c r="B798" s="108" t="s">
        <v>6807</v>
      </c>
      <c r="C798" s="138" t="s">
        <v>6808</v>
      </c>
      <c r="D798" s="141"/>
    </row>
    <row r="799" spans="2:4" ht="20.25" customHeight="1">
      <c r="B799" s="108" t="s">
        <v>6809</v>
      </c>
      <c r="C799" s="138" t="s">
        <v>5509</v>
      </c>
      <c r="D799" s="152">
        <v>45040</v>
      </c>
    </row>
    <row r="800" spans="2:4" ht="20.25" customHeight="1">
      <c r="B800" s="108" t="s">
        <v>5515</v>
      </c>
      <c r="C800" s="138" t="s">
        <v>6810</v>
      </c>
      <c r="D800" s="133">
        <v>44922</v>
      </c>
    </row>
    <row r="801" spans="2:4" ht="20.25" customHeight="1">
      <c r="B801" s="108" t="s">
        <v>5518</v>
      </c>
      <c r="C801" s="138" t="s">
        <v>6811</v>
      </c>
      <c r="D801" s="141"/>
    </row>
    <row r="802" spans="2:4" ht="20.25" customHeight="1">
      <c r="B802" s="108" t="s">
        <v>5521</v>
      </c>
      <c r="C802" s="138" t="s">
        <v>6812</v>
      </c>
      <c r="D802" s="141"/>
    </row>
    <row r="803" spans="2:4" ht="20.25" customHeight="1">
      <c r="B803" s="108" t="s">
        <v>6813</v>
      </c>
      <c r="C803" s="138" t="s">
        <v>6814</v>
      </c>
      <c r="D803" s="131" t="s">
        <v>4361</v>
      </c>
    </row>
    <row r="804" spans="2:4" ht="20.25" customHeight="1">
      <c r="B804" s="108" t="s">
        <v>6815</v>
      </c>
      <c r="C804" s="138" t="s">
        <v>6816</v>
      </c>
      <c r="D804" s="133">
        <v>45056</v>
      </c>
    </row>
    <row r="805" spans="2:4" ht="20.25" customHeight="1">
      <c r="B805" s="108" t="s">
        <v>5599</v>
      </c>
      <c r="C805" s="132" t="s">
        <v>2632</v>
      </c>
      <c r="D805" s="141"/>
    </row>
    <row r="806" spans="2:4" ht="20.25" customHeight="1">
      <c r="B806" s="108" t="s">
        <v>5601</v>
      </c>
      <c r="C806" s="132" t="s">
        <v>6817</v>
      </c>
      <c r="D806" s="131" t="s">
        <v>4361</v>
      </c>
    </row>
    <row r="807" spans="2:4" ht="20.25" customHeight="1">
      <c r="B807" s="108" t="s">
        <v>6818</v>
      </c>
      <c r="C807" s="132" t="s">
        <v>6819</v>
      </c>
      <c r="D807" s="141" t="s">
        <v>4361</v>
      </c>
    </row>
    <row r="808" spans="2:4" ht="20.25" customHeight="1">
      <c r="B808" s="108" t="s">
        <v>6820</v>
      </c>
      <c r="C808" s="132" t="s">
        <v>6821</v>
      </c>
      <c r="D808" s="131" t="s">
        <v>4361</v>
      </c>
    </row>
    <row r="809" spans="2:4" ht="20.25" customHeight="1">
      <c r="B809" s="108" t="s">
        <v>6822</v>
      </c>
      <c r="C809" s="132" t="s">
        <v>6823</v>
      </c>
      <c r="D809" s="141"/>
    </row>
    <row r="810" spans="2:4" ht="20.25" customHeight="1">
      <c r="B810" s="108" t="s">
        <v>6824</v>
      </c>
      <c r="C810" s="132" t="s">
        <v>6825</v>
      </c>
      <c r="D810" s="141"/>
    </row>
    <row r="811" spans="2:4" ht="20.25" customHeight="1">
      <c r="B811" s="108" t="s">
        <v>6826</v>
      </c>
      <c r="C811" s="132" t="s">
        <v>6827</v>
      </c>
      <c r="D811" s="141"/>
    </row>
    <row r="812" spans="2:4" ht="20.25" customHeight="1">
      <c r="B812" s="108" t="s">
        <v>6828</v>
      </c>
      <c r="C812" s="132" t="s">
        <v>6829</v>
      </c>
      <c r="D812" s="141"/>
    </row>
    <row r="813" spans="2:4" ht="20.25" customHeight="1">
      <c r="B813" s="108" t="s">
        <v>6830</v>
      </c>
      <c r="C813" s="132" t="s">
        <v>6831</v>
      </c>
      <c r="D813" s="141"/>
    </row>
    <row r="814" spans="2:4" ht="20.25" customHeight="1">
      <c r="B814" s="108" t="s">
        <v>6832</v>
      </c>
      <c r="C814" s="138" t="s">
        <v>6833</v>
      </c>
      <c r="D814" s="141"/>
    </row>
    <row r="815" spans="2:4" ht="20.25" customHeight="1">
      <c r="B815" s="108" t="s">
        <v>6834</v>
      </c>
      <c r="C815" s="138" t="s">
        <v>6835</v>
      </c>
      <c r="D815" s="141"/>
    </row>
    <row r="816" spans="2:4" ht="20.25" customHeight="1">
      <c r="B816" s="108" t="s">
        <v>6836</v>
      </c>
      <c r="C816" s="132" t="s">
        <v>6837</v>
      </c>
      <c r="D816" s="141"/>
    </row>
    <row r="817" spans="2:4" ht="20.25" customHeight="1">
      <c r="B817" s="108" t="s">
        <v>6838</v>
      </c>
      <c r="C817" s="132" t="s">
        <v>6839</v>
      </c>
      <c r="D817" s="141"/>
    </row>
    <row r="818" spans="2:4" ht="20.25" customHeight="1">
      <c r="B818" s="108" t="s">
        <v>6840</v>
      </c>
      <c r="C818" s="132" t="s">
        <v>6841</v>
      </c>
      <c r="D818" s="141"/>
    </row>
    <row r="819" spans="2:4" ht="20.25" customHeight="1">
      <c r="B819" s="108" t="s">
        <v>6842</v>
      </c>
      <c r="C819" s="138" t="s">
        <v>4628</v>
      </c>
      <c r="D819" s="131" t="s">
        <v>4361</v>
      </c>
    </row>
    <row r="820" spans="2:4" ht="20.25" customHeight="1">
      <c r="B820" s="108" t="s">
        <v>6843</v>
      </c>
      <c r="C820" s="138" t="s">
        <v>6844</v>
      </c>
      <c r="D820" s="131" t="s">
        <v>4361</v>
      </c>
    </row>
    <row r="821" spans="2:4" ht="20.25" customHeight="1">
      <c r="B821" s="108" t="s">
        <v>6845</v>
      </c>
      <c r="C821" s="132" t="s">
        <v>6202</v>
      </c>
      <c r="D821" s="131" t="s">
        <v>4361</v>
      </c>
    </row>
    <row r="822" spans="2:4" ht="20.25" customHeight="1">
      <c r="B822" s="108" t="s">
        <v>6846</v>
      </c>
      <c r="C822" s="132" t="s">
        <v>6847</v>
      </c>
      <c r="D822" s="142"/>
    </row>
    <row r="823" spans="2:4" ht="20.25" customHeight="1">
      <c r="B823" s="108" t="s">
        <v>6848</v>
      </c>
      <c r="C823" s="132" t="s">
        <v>6849</v>
      </c>
      <c r="D823" s="141"/>
    </row>
    <row r="824" spans="2:4" ht="20.25" customHeight="1">
      <c r="B824" s="108" t="s">
        <v>6850</v>
      </c>
      <c r="C824" s="132" t="s">
        <v>6851</v>
      </c>
      <c r="D824" s="141"/>
    </row>
    <row r="825" spans="2:4" ht="20.25" customHeight="1">
      <c r="B825" s="108" t="s">
        <v>6852</v>
      </c>
      <c r="C825" s="138" t="s">
        <v>6853</v>
      </c>
      <c r="D825" s="141"/>
    </row>
    <row r="826" spans="2:4" ht="20.25" customHeight="1">
      <c r="B826" s="108" t="s">
        <v>6854</v>
      </c>
      <c r="C826" s="132" t="s">
        <v>6855</v>
      </c>
      <c r="D826" s="141"/>
    </row>
    <row r="827" spans="2:4" ht="20.25" customHeight="1">
      <c r="B827" s="109" t="s">
        <v>6856</v>
      </c>
      <c r="C827" s="132" t="s">
        <v>6857</v>
      </c>
      <c r="D827" s="141"/>
    </row>
    <row r="828" spans="2:4" ht="20.25" customHeight="1">
      <c r="B828" s="109" t="s">
        <v>6858</v>
      </c>
      <c r="C828" s="132" t="s">
        <v>6859</v>
      </c>
      <c r="D828" s="141"/>
    </row>
    <row r="829" spans="2:4" ht="20.25" customHeight="1">
      <c r="B829" s="108" t="s">
        <v>5487</v>
      </c>
      <c r="C829" s="166" t="s">
        <v>5513</v>
      </c>
      <c r="D829" s="141"/>
    </row>
    <row r="830" spans="2:4" ht="20.25" customHeight="1">
      <c r="B830" s="109" t="s">
        <v>6860</v>
      </c>
      <c r="C830" s="138" t="s">
        <v>6202</v>
      </c>
      <c r="D830" s="141"/>
    </row>
    <row r="831" spans="2:4" ht="20.25" customHeight="1">
      <c r="B831" s="109" t="s">
        <v>6861</v>
      </c>
      <c r="C831" s="132" t="s">
        <v>4628</v>
      </c>
      <c r="D831" s="141"/>
    </row>
    <row r="832" spans="2:4" ht="20.25" customHeight="1">
      <c r="B832" s="109" t="s">
        <v>6862</v>
      </c>
      <c r="C832" s="138" t="s">
        <v>4628</v>
      </c>
      <c r="D832" s="141"/>
    </row>
    <row r="833" spans="2:4" ht="20.25" customHeight="1">
      <c r="B833" s="109" t="s">
        <v>6863</v>
      </c>
      <c r="C833" s="132" t="s">
        <v>6864</v>
      </c>
      <c r="D833" s="141"/>
    </row>
    <row r="834" spans="2:4" ht="20.25" customHeight="1">
      <c r="B834" s="109" t="s">
        <v>6865</v>
      </c>
      <c r="C834" s="138" t="s">
        <v>4628</v>
      </c>
      <c r="D834" s="141"/>
    </row>
    <row r="835" spans="2:4" ht="20.25" customHeight="1">
      <c r="B835" s="109" t="s">
        <v>6866</v>
      </c>
      <c r="C835" s="138" t="s">
        <v>4628</v>
      </c>
      <c r="D835" s="141"/>
    </row>
    <row r="836" spans="2:4" ht="20.25" customHeight="1">
      <c r="B836" s="109" t="s">
        <v>6867</v>
      </c>
      <c r="C836" s="132" t="s">
        <v>6868</v>
      </c>
      <c r="D836" s="141"/>
    </row>
    <row r="837" spans="2:4" ht="20.25" customHeight="1">
      <c r="B837" s="109" t="s">
        <v>6869</v>
      </c>
      <c r="C837" s="132" t="s">
        <v>6870</v>
      </c>
      <c r="D837" s="141"/>
    </row>
    <row r="838" spans="2:4" ht="20.25" customHeight="1">
      <c r="B838" s="109" t="s">
        <v>6871</v>
      </c>
      <c r="C838" s="132" t="s">
        <v>6872</v>
      </c>
      <c r="D838" s="141"/>
    </row>
    <row r="839" spans="2:4" ht="20.25" customHeight="1">
      <c r="B839" s="109" t="s">
        <v>6873</v>
      </c>
      <c r="C839" s="138" t="s">
        <v>6202</v>
      </c>
      <c r="D839" s="141"/>
    </row>
    <row r="840" spans="2:4" ht="20.25" customHeight="1">
      <c r="B840" s="109" t="s">
        <v>6874</v>
      </c>
      <c r="C840" s="132" t="s">
        <v>6875</v>
      </c>
      <c r="D840" s="141"/>
    </row>
    <row r="841" spans="2:4" ht="20.25" customHeight="1">
      <c r="B841" s="109" t="s">
        <v>6876</v>
      </c>
      <c r="C841" s="132" t="s">
        <v>6877</v>
      </c>
      <c r="D841" s="141"/>
    </row>
    <row r="842" spans="2:4" ht="20.25" customHeight="1">
      <c r="B842" s="109" t="s">
        <v>6878</v>
      </c>
      <c r="C842" s="138" t="s">
        <v>4628</v>
      </c>
      <c r="D842" s="141"/>
    </row>
    <row r="843" spans="2:4" ht="20.25" customHeight="1">
      <c r="B843" s="109" t="s">
        <v>6879</v>
      </c>
      <c r="C843" s="132" t="s">
        <v>6880</v>
      </c>
      <c r="D843" s="141"/>
    </row>
    <row r="844" spans="2:4" ht="20.25" customHeight="1">
      <c r="B844" s="109" t="s">
        <v>6881</v>
      </c>
      <c r="C844" s="138" t="s">
        <v>6202</v>
      </c>
      <c r="D844" s="141"/>
    </row>
    <row r="845" spans="2:4" ht="20.25" customHeight="1">
      <c r="B845" s="109" t="s">
        <v>6882</v>
      </c>
      <c r="C845" s="138" t="s">
        <v>4628</v>
      </c>
      <c r="D845" s="141"/>
    </row>
    <row r="846" spans="2:4" ht="20.25" customHeight="1">
      <c r="B846" s="109" t="s">
        <v>6883</v>
      </c>
      <c r="C846" s="132" t="s">
        <v>6884</v>
      </c>
      <c r="D846" s="141"/>
    </row>
    <row r="847" spans="2:4" ht="20.25" customHeight="1">
      <c r="B847" s="109" t="s">
        <v>6885</v>
      </c>
      <c r="C847" s="132" t="s">
        <v>6886</v>
      </c>
      <c r="D847" s="141"/>
    </row>
    <row r="848" spans="2:4" ht="20.25" customHeight="1">
      <c r="B848" s="109" t="s">
        <v>6887</v>
      </c>
      <c r="C848" s="138" t="s">
        <v>4628</v>
      </c>
      <c r="D848" s="141"/>
    </row>
    <row r="849" spans="2:4" ht="20.25" customHeight="1">
      <c r="B849" s="109" t="s">
        <v>6888</v>
      </c>
      <c r="C849" s="132" t="s">
        <v>6889</v>
      </c>
      <c r="D849" s="141"/>
    </row>
    <row r="850" spans="2:4" ht="20.25" customHeight="1">
      <c r="B850" s="109" t="s">
        <v>6890</v>
      </c>
      <c r="C850" s="132" t="s">
        <v>6891</v>
      </c>
      <c r="D850" s="141"/>
    </row>
    <row r="851" spans="2:4" ht="20.25" customHeight="1">
      <c r="B851" s="109" t="s">
        <v>6892</v>
      </c>
      <c r="C851" s="132" t="s">
        <v>6893</v>
      </c>
      <c r="D851" s="141"/>
    </row>
    <row r="852" spans="2:4" ht="20.25" customHeight="1">
      <c r="B852" s="109" t="s">
        <v>6894</v>
      </c>
      <c r="C852" s="132" t="s">
        <v>6895</v>
      </c>
      <c r="D852" s="141"/>
    </row>
    <row r="853" spans="2:4" ht="20.25" customHeight="1">
      <c r="B853" s="109" t="s">
        <v>6896</v>
      </c>
      <c r="C853" s="132" t="s">
        <v>6897</v>
      </c>
      <c r="D853" s="141"/>
    </row>
    <row r="854" spans="2:4" ht="20.25" customHeight="1">
      <c r="B854" s="109" t="s">
        <v>6898</v>
      </c>
      <c r="C854" s="132" t="s">
        <v>6899</v>
      </c>
      <c r="D854" s="141"/>
    </row>
    <row r="855" spans="2:4" ht="20.25" customHeight="1">
      <c r="B855" s="109" t="s">
        <v>6900</v>
      </c>
      <c r="C855" s="132" t="s">
        <v>6901</v>
      </c>
      <c r="D855" s="141"/>
    </row>
    <row r="856" spans="2:4" ht="20.25" customHeight="1">
      <c r="B856" s="109" t="s">
        <v>6902</v>
      </c>
      <c r="C856" s="132" t="s">
        <v>6903</v>
      </c>
      <c r="D856" s="131" t="s">
        <v>4361</v>
      </c>
    </row>
    <row r="857" spans="2:4" ht="20.25" customHeight="1">
      <c r="B857" s="109" t="s">
        <v>6904</v>
      </c>
      <c r="C857" s="132" t="s">
        <v>6202</v>
      </c>
      <c r="D857" s="141"/>
    </row>
    <row r="858" spans="2:4" ht="20.25" customHeight="1">
      <c r="B858" s="109" t="s">
        <v>5511</v>
      </c>
      <c r="C858" s="132" t="s">
        <v>6905</v>
      </c>
      <c r="D858" s="141"/>
    </row>
    <row r="859" spans="2:4" ht="20.25" customHeight="1">
      <c r="B859" s="109" t="s">
        <v>5603</v>
      </c>
      <c r="C859" s="138" t="s">
        <v>6906</v>
      </c>
      <c r="D859" s="141"/>
    </row>
    <row r="860" spans="2:4" ht="20.25" customHeight="1">
      <c r="B860" s="109" t="s">
        <v>6907</v>
      </c>
      <c r="C860" s="132" t="s">
        <v>6908</v>
      </c>
      <c r="D860" s="141"/>
    </row>
    <row r="861" spans="2:4" ht="20.25" customHeight="1">
      <c r="B861" s="109" t="s">
        <v>6909</v>
      </c>
      <c r="C861" s="132" t="s">
        <v>6910</v>
      </c>
      <c r="D861" s="136">
        <v>45065</v>
      </c>
    </row>
    <row r="862" spans="2:4" ht="20.25" customHeight="1">
      <c r="B862" s="109" t="s">
        <v>5525</v>
      </c>
      <c r="C862" s="132" t="s">
        <v>6910</v>
      </c>
      <c r="D862" s="131" t="s">
        <v>4361</v>
      </c>
    </row>
    <row r="863" spans="2:4" ht="20.25" customHeight="1">
      <c r="B863" s="109" t="s">
        <v>6911</v>
      </c>
      <c r="C863" s="138" t="s">
        <v>6202</v>
      </c>
      <c r="D863" s="136">
        <v>45148</v>
      </c>
    </row>
    <row r="864" spans="2:4" ht="20.25" customHeight="1">
      <c r="B864" s="109" t="s">
        <v>6912</v>
      </c>
      <c r="C864" s="138" t="s">
        <v>6202</v>
      </c>
      <c r="D864" s="131" t="s">
        <v>4361</v>
      </c>
    </row>
    <row r="865" spans="2:4" ht="20.25" customHeight="1">
      <c r="B865" s="109" t="s">
        <v>5605</v>
      </c>
      <c r="C865" s="138" t="s">
        <v>6913</v>
      </c>
      <c r="D865" s="131" t="s">
        <v>4361</v>
      </c>
    </row>
    <row r="866" spans="2:4" ht="20.25" customHeight="1">
      <c r="B866" s="110"/>
      <c r="C866" s="132" t="s">
        <v>6914</v>
      </c>
      <c r="D866" s="141"/>
    </row>
    <row r="867" spans="2:4" ht="20.25" customHeight="1">
      <c r="B867" s="110"/>
      <c r="C867" s="138" t="s">
        <v>6915</v>
      </c>
      <c r="D867" s="141"/>
    </row>
    <row r="868" spans="2:4" ht="20.25" customHeight="1">
      <c r="B868" s="110"/>
      <c r="C868" s="132" t="s">
        <v>6916</v>
      </c>
      <c r="D868" s="141"/>
    </row>
    <row r="869" spans="2:4" ht="20.25" customHeight="1">
      <c r="B869" s="110"/>
      <c r="C869" s="132" t="s">
        <v>6917</v>
      </c>
      <c r="D869" s="133">
        <v>44910</v>
      </c>
    </row>
    <row r="870" spans="2:4" ht="20.25" customHeight="1">
      <c r="B870" s="110"/>
      <c r="C870" s="132" t="s">
        <v>6918</v>
      </c>
      <c r="D870" s="136">
        <v>45065</v>
      </c>
    </row>
    <row r="871" spans="2:4" ht="20.25" customHeight="1">
      <c r="B871" s="110"/>
      <c r="C871" s="138" t="s">
        <v>6919</v>
      </c>
      <c r="D871" s="131" t="s">
        <v>4361</v>
      </c>
    </row>
    <row r="872" spans="2:4" ht="20.25" customHeight="1">
      <c r="B872" s="110"/>
      <c r="C872" s="138" t="s">
        <v>6919</v>
      </c>
      <c r="D872" s="131" t="s">
        <v>4361</v>
      </c>
    </row>
    <row r="873" spans="2:4" ht="20.25" customHeight="1">
      <c r="B873" s="110"/>
      <c r="C873" s="132" t="s">
        <v>6920</v>
      </c>
      <c r="D873" s="136">
        <v>45049</v>
      </c>
    </row>
    <row r="874" spans="2:4" ht="20.25" customHeight="1">
      <c r="B874" s="110"/>
      <c r="C874" s="138" t="s">
        <v>6921</v>
      </c>
      <c r="D874" s="141"/>
    </row>
    <row r="875" spans="2:4" ht="20.25" customHeight="1">
      <c r="B875" s="110"/>
      <c r="C875" s="132" t="s">
        <v>6922</v>
      </c>
      <c r="D875" s="131" t="s">
        <v>4361</v>
      </c>
    </row>
    <row r="876" spans="2:4" ht="20.25" customHeight="1">
      <c r="B876" s="110"/>
      <c r="C876" s="132" t="s">
        <v>6923</v>
      </c>
      <c r="D876" s="152">
        <v>45040</v>
      </c>
    </row>
    <row r="877" spans="2:4" ht="20.25" customHeight="1">
      <c r="B877" s="110"/>
      <c r="C877" s="138" t="s">
        <v>6924</v>
      </c>
      <c r="D877" s="141"/>
    </row>
    <row r="878" spans="2:4" ht="20.25" customHeight="1">
      <c r="B878" s="110"/>
      <c r="C878" s="138" t="s">
        <v>6925</v>
      </c>
      <c r="D878" s="141"/>
    </row>
    <row r="879" spans="2:4" ht="20.25" customHeight="1">
      <c r="B879" s="110"/>
      <c r="C879" s="132" t="s">
        <v>6926</v>
      </c>
      <c r="D879" s="141"/>
    </row>
    <row r="880" spans="2:4" ht="20.25" customHeight="1">
      <c r="B880" s="110"/>
      <c r="C880" s="132" t="s">
        <v>6927</v>
      </c>
      <c r="D880" s="141"/>
    </row>
    <row r="881" spans="2:4" ht="20.25" customHeight="1">
      <c r="B881" s="110"/>
      <c r="C881" s="138" t="s">
        <v>6928</v>
      </c>
      <c r="D881" s="141"/>
    </row>
    <row r="882" spans="2:4" ht="20.25" customHeight="1">
      <c r="B882" s="110"/>
      <c r="C882" s="132" t="s">
        <v>4628</v>
      </c>
      <c r="D882" s="141"/>
    </row>
    <row r="883" spans="2:4" ht="20.25" customHeight="1">
      <c r="B883" s="110"/>
      <c r="C883" s="138" t="s">
        <v>6202</v>
      </c>
      <c r="D883" s="141"/>
    </row>
    <row r="884" spans="2:4" ht="20.25" customHeight="1">
      <c r="B884" s="110"/>
      <c r="C884" s="138" t="s">
        <v>6202</v>
      </c>
      <c r="D884" s="141"/>
    </row>
    <row r="885" spans="2:4" ht="20.25" customHeight="1">
      <c r="B885" s="110"/>
      <c r="C885" s="138" t="s">
        <v>6202</v>
      </c>
      <c r="D885" s="141"/>
    </row>
    <row r="886" spans="2:4" ht="20.25" customHeight="1">
      <c r="B886" s="110"/>
      <c r="C886" s="138" t="s">
        <v>6929</v>
      </c>
      <c r="D886" s="141"/>
    </row>
    <row r="887" spans="2:4" ht="20.25" customHeight="1">
      <c r="B887" s="110"/>
      <c r="C887" s="144"/>
      <c r="D887" s="141"/>
    </row>
    <row r="888" spans="2:4" ht="20.25" customHeight="1">
      <c r="B888" s="110"/>
      <c r="C888" s="138" t="s">
        <v>6930</v>
      </c>
      <c r="D888" s="141"/>
    </row>
    <row r="889" spans="2:4" ht="20.25" customHeight="1">
      <c r="B889" s="110"/>
      <c r="C889" s="132" t="s">
        <v>6202</v>
      </c>
      <c r="D889" s="131" t="s">
        <v>4361</v>
      </c>
    </row>
    <row r="890" spans="2:4" ht="20.25" customHeight="1">
      <c r="B890" s="110"/>
      <c r="C890" s="132"/>
      <c r="D890" s="141"/>
    </row>
    <row r="891" spans="2:4" ht="20.25" customHeight="1">
      <c r="B891" s="110"/>
      <c r="C891" s="132"/>
      <c r="D891" s="141"/>
    </row>
    <row r="892" spans="2:4" ht="20.25" customHeight="1">
      <c r="B892" s="110"/>
      <c r="C892" s="132"/>
      <c r="D892" s="141"/>
    </row>
    <row r="893" spans="2:4" ht="20.25" customHeight="1">
      <c r="B893" s="110"/>
      <c r="C893" s="132" t="s">
        <v>6931</v>
      </c>
      <c r="D893" s="141"/>
    </row>
    <row r="894" spans="2:4" ht="20.25" customHeight="1">
      <c r="B894" s="110"/>
      <c r="C894" s="138" t="s">
        <v>4628</v>
      </c>
      <c r="D894" s="141"/>
    </row>
    <row r="895" spans="2:4" ht="20.25" customHeight="1">
      <c r="B895" s="110"/>
      <c r="C895" s="138" t="s">
        <v>4628</v>
      </c>
      <c r="D895" s="141"/>
    </row>
    <row r="896" spans="2:4" ht="20.25" customHeight="1">
      <c r="B896" s="110"/>
      <c r="C896" s="138" t="s">
        <v>6932</v>
      </c>
      <c r="D896" s="141"/>
    </row>
    <row r="897" spans="2:4" ht="20.25" customHeight="1">
      <c r="B897" s="110"/>
      <c r="C897" s="138" t="s">
        <v>6933</v>
      </c>
      <c r="D897" s="141"/>
    </row>
    <row r="898" spans="2:4" ht="20.25" customHeight="1">
      <c r="B898" s="110"/>
      <c r="C898" s="138" t="s">
        <v>6934</v>
      </c>
      <c r="D898" s="141"/>
    </row>
    <row r="899" spans="2:4" ht="20.25" customHeight="1">
      <c r="B899" s="110"/>
      <c r="C899" s="132" t="s">
        <v>4628</v>
      </c>
      <c r="D899" s="141"/>
    </row>
    <row r="900" spans="2:4" ht="20.25" customHeight="1">
      <c r="B900" s="110"/>
      <c r="C900" s="138" t="s">
        <v>6935</v>
      </c>
      <c r="D900" s="141"/>
    </row>
    <row r="901" spans="2:4" ht="20.25" customHeight="1">
      <c r="B901" s="110"/>
      <c r="C901" s="132" t="s">
        <v>6936</v>
      </c>
      <c r="D901" s="141"/>
    </row>
    <row r="902" spans="2:4" ht="20.25" customHeight="1">
      <c r="B902" s="110"/>
      <c r="C902" s="138" t="s">
        <v>4628</v>
      </c>
      <c r="D902" s="141"/>
    </row>
    <row r="903" spans="2:4" ht="20.25" customHeight="1">
      <c r="B903" s="110"/>
      <c r="C903" s="138" t="s">
        <v>4628</v>
      </c>
      <c r="D903" s="141"/>
    </row>
    <row r="904" spans="2:4" ht="20.25" customHeight="1">
      <c r="B904" s="110"/>
      <c r="C904" s="132" t="s">
        <v>6937</v>
      </c>
      <c r="D904" s="141"/>
    </row>
    <row r="905" spans="2:4" ht="20.25" customHeight="1">
      <c r="B905" s="110"/>
      <c r="C905" s="132" t="s">
        <v>6202</v>
      </c>
      <c r="D905" s="141"/>
    </row>
    <row r="906" spans="2:4" ht="20.25" customHeight="1">
      <c r="B906" s="110"/>
      <c r="C906" s="132"/>
      <c r="D906" s="141"/>
    </row>
    <row r="907" spans="2:4" ht="20.25" customHeight="1">
      <c r="B907" s="110"/>
      <c r="C907" s="132"/>
      <c r="D907" s="141"/>
    </row>
    <row r="908" spans="2:4" ht="20.25" customHeight="1">
      <c r="B908" s="110"/>
      <c r="C908" s="132"/>
      <c r="D908" s="141"/>
    </row>
    <row r="909" spans="2:4" ht="20.25" customHeight="1">
      <c r="B909" s="110"/>
      <c r="C909" s="132"/>
      <c r="D909" s="141"/>
    </row>
    <row r="910" spans="2:4" ht="20.25" customHeight="1">
      <c r="B910" s="110"/>
      <c r="C910" s="132"/>
      <c r="D910" s="141"/>
    </row>
    <row r="911" spans="2:4" ht="20.25" customHeight="1">
      <c r="B911" s="110"/>
      <c r="C911" s="132"/>
      <c r="D911" s="141"/>
    </row>
    <row r="912" spans="2:4" ht="20.25" customHeight="1">
      <c r="B912" s="110"/>
      <c r="C912" s="132"/>
      <c r="D912" s="141"/>
    </row>
    <row r="913" spans="2:4" ht="20.25" customHeight="1">
      <c r="B913" s="110"/>
      <c r="C913" s="132"/>
      <c r="D913" s="141"/>
    </row>
    <row r="914" spans="2:4" ht="20.25" customHeight="1">
      <c r="B914" s="110"/>
      <c r="C914" s="138" t="s">
        <v>6938</v>
      </c>
      <c r="D914" s="141"/>
    </row>
    <row r="915" spans="2:4" ht="20.25" customHeight="1">
      <c r="B915" s="110"/>
      <c r="C915" s="138" t="s">
        <v>6939</v>
      </c>
      <c r="D915" s="141"/>
    </row>
    <row r="916" spans="2:4" ht="20.25" customHeight="1">
      <c r="B916" s="110"/>
      <c r="C916" s="138" t="s">
        <v>6940</v>
      </c>
      <c r="D916" s="141"/>
    </row>
    <row r="917" spans="2:4" ht="20.25" customHeight="1">
      <c r="B917" s="110"/>
      <c r="C917" s="132" t="s">
        <v>6202</v>
      </c>
      <c r="D917" s="141"/>
    </row>
    <row r="918" spans="2:4" ht="20.25" customHeight="1">
      <c r="B918" s="110"/>
      <c r="C918" s="138" t="s">
        <v>4628</v>
      </c>
      <c r="D918" s="141"/>
    </row>
    <row r="919" spans="2:4" ht="20.25" customHeight="1">
      <c r="B919" s="110"/>
      <c r="C919" s="138" t="s">
        <v>4628</v>
      </c>
      <c r="D919" s="141"/>
    </row>
    <row r="920" spans="2:4" ht="20.25" customHeight="1">
      <c r="B920" s="110"/>
      <c r="C920" s="138" t="s">
        <v>4628</v>
      </c>
      <c r="D920" s="141"/>
    </row>
    <row r="921" spans="2:4" ht="20.25" customHeight="1">
      <c r="B921" s="110"/>
      <c r="C921" s="132" t="s">
        <v>6941</v>
      </c>
      <c r="D921" s="141"/>
    </row>
    <row r="922" spans="2:4" ht="20.25" customHeight="1">
      <c r="B922" s="110"/>
      <c r="C922" s="132" t="s">
        <v>6942</v>
      </c>
      <c r="D922" s="141"/>
    </row>
    <row r="923" spans="2:4" ht="20.25" customHeight="1">
      <c r="B923" s="106"/>
      <c r="C923" s="132" t="s">
        <v>6943</v>
      </c>
      <c r="D923" s="141"/>
    </row>
    <row r="924" spans="2:4" ht="20.25" customHeight="1">
      <c r="B924" s="106"/>
      <c r="C924" s="132" t="s">
        <v>6944</v>
      </c>
      <c r="D924" s="141"/>
    </row>
    <row r="925" spans="2:4" ht="20.25" customHeight="1">
      <c r="B925" s="106"/>
      <c r="C925" s="132" t="s">
        <v>6945</v>
      </c>
      <c r="D925" s="141"/>
    </row>
    <row r="926" spans="2:4" ht="20.25" customHeight="1">
      <c r="B926" s="106"/>
      <c r="C926" s="132" t="s">
        <v>6946</v>
      </c>
      <c r="D926" s="131" t="s">
        <v>4361</v>
      </c>
    </row>
    <row r="927" spans="2:4" ht="20.25" customHeight="1">
      <c r="B927" s="106"/>
      <c r="C927" s="138" t="s">
        <v>6202</v>
      </c>
      <c r="D927" s="131" t="s">
        <v>4361</v>
      </c>
    </row>
    <row r="928" spans="2:4" ht="20.25" customHeight="1">
      <c r="B928" s="106"/>
      <c r="C928" s="138" t="s">
        <v>6202</v>
      </c>
      <c r="D928" s="141"/>
    </row>
    <row r="929" spans="2:4" ht="20.25" customHeight="1">
      <c r="B929" s="106"/>
      <c r="C929" s="138" t="s">
        <v>6202</v>
      </c>
      <c r="D929" s="141"/>
    </row>
    <row r="930" spans="2:4" ht="20.25" customHeight="1">
      <c r="B930" s="106"/>
      <c r="C930" s="132" t="s">
        <v>6947</v>
      </c>
      <c r="D930" s="141"/>
    </row>
    <row r="931" spans="2:4" ht="20.25" customHeight="1">
      <c r="B931" s="106"/>
      <c r="C931" s="132" t="s">
        <v>6948</v>
      </c>
      <c r="D931" s="141"/>
    </row>
    <row r="932" spans="2:4" ht="20.25" customHeight="1">
      <c r="B932" s="106"/>
      <c r="C932" s="138" t="s">
        <v>6202</v>
      </c>
      <c r="D932" s="141"/>
    </row>
    <row r="933" spans="2:4" ht="20.25" customHeight="1">
      <c r="B933" s="106"/>
      <c r="C933" s="138" t="s">
        <v>4628</v>
      </c>
      <c r="D933" s="141"/>
    </row>
    <row r="934" spans="2:4" ht="20.25" customHeight="1">
      <c r="B934" s="106"/>
      <c r="C934" s="138" t="s">
        <v>6202</v>
      </c>
      <c r="D934" s="141"/>
    </row>
    <row r="935" spans="2:4" ht="20.25" customHeight="1">
      <c r="B935" s="106"/>
      <c r="C935" s="132" t="s">
        <v>4628</v>
      </c>
      <c r="D935" s="141"/>
    </row>
    <row r="936" spans="2:4" ht="20.25" customHeight="1">
      <c r="B936" s="106"/>
      <c r="C936" s="138" t="s">
        <v>6949</v>
      </c>
      <c r="D936" s="141"/>
    </row>
    <row r="937" spans="2:4" ht="20.25" customHeight="1">
      <c r="B937" s="106"/>
      <c r="C937" s="165" t="s">
        <v>5516</v>
      </c>
      <c r="D937" s="141"/>
    </row>
    <row r="938" spans="2:4" ht="20.25" customHeight="1">
      <c r="B938" s="106"/>
      <c r="C938" s="165" t="s">
        <v>5519</v>
      </c>
      <c r="D938" s="131" t="s">
        <v>4361</v>
      </c>
    </row>
    <row r="939" spans="2:4" ht="20.25" customHeight="1">
      <c r="B939" s="106"/>
      <c r="C939" s="138" t="s">
        <v>5522</v>
      </c>
      <c r="D939" s="131" t="s">
        <v>4361</v>
      </c>
    </row>
    <row r="940" spans="2:4" ht="20.25" customHeight="1">
      <c r="B940" s="106"/>
      <c r="C940" s="138" t="s">
        <v>6950</v>
      </c>
      <c r="D940" s="141"/>
    </row>
    <row r="941" spans="2:4" ht="20.25" customHeight="1">
      <c r="B941" s="106"/>
      <c r="C941" s="138" t="s">
        <v>6202</v>
      </c>
      <c r="D941" s="141"/>
    </row>
    <row r="942" spans="2:4" ht="20.25" customHeight="1">
      <c r="B942" s="106"/>
      <c r="C942" s="132" t="s">
        <v>6951</v>
      </c>
      <c r="D942" s="141"/>
    </row>
    <row r="943" spans="2:4" ht="20.25" customHeight="1">
      <c r="B943" s="106"/>
      <c r="C943" s="132" t="s">
        <v>6952</v>
      </c>
      <c r="D943" s="141"/>
    </row>
    <row r="944" spans="2:4" ht="20.25" customHeight="1">
      <c r="B944" s="106"/>
      <c r="C944" s="138" t="s">
        <v>6953</v>
      </c>
      <c r="D944" s="136">
        <v>45049</v>
      </c>
    </row>
    <row r="945" spans="2:4" ht="20.25" customHeight="1">
      <c r="B945" s="106"/>
      <c r="C945" s="132" t="s">
        <v>6954</v>
      </c>
      <c r="D945" s="141"/>
    </row>
    <row r="946" spans="2:4" ht="20.25" customHeight="1">
      <c r="B946" s="106"/>
      <c r="C946" s="132" t="s">
        <v>6955</v>
      </c>
      <c r="D946" s="141"/>
    </row>
    <row r="947" spans="2:4" ht="20.25" customHeight="1">
      <c r="B947" s="106"/>
      <c r="C947" s="138" t="s">
        <v>6202</v>
      </c>
      <c r="D947" s="141"/>
    </row>
    <row r="948" spans="2:4" ht="20.25" customHeight="1">
      <c r="B948" s="106"/>
      <c r="C948" s="132" t="s">
        <v>6956</v>
      </c>
      <c r="D948" s="141"/>
    </row>
    <row r="949" spans="2:4" ht="20.25" customHeight="1">
      <c r="B949" s="106"/>
      <c r="C949" s="138" t="s">
        <v>4628</v>
      </c>
      <c r="D949" s="141"/>
    </row>
    <row r="950" spans="2:4" ht="20.25" customHeight="1">
      <c r="B950" s="106"/>
      <c r="C950" s="132" t="s">
        <v>6957</v>
      </c>
      <c r="D950" s="141"/>
    </row>
    <row r="951" spans="2:4" ht="20.25" customHeight="1">
      <c r="B951" s="106"/>
      <c r="C951" s="132" t="s">
        <v>6958</v>
      </c>
      <c r="D951" s="141"/>
    </row>
    <row r="952" spans="2:4" ht="20.25" customHeight="1">
      <c r="B952" s="106"/>
      <c r="C952" s="132" t="s">
        <v>6959</v>
      </c>
      <c r="D952" s="141"/>
    </row>
    <row r="953" spans="2:4" ht="20.25" customHeight="1">
      <c r="B953" s="106"/>
      <c r="C953" s="138" t="s">
        <v>6202</v>
      </c>
      <c r="D953" s="141"/>
    </row>
    <row r="954" spans="2:4" ht="20.25" customHeight="1">
      <c r="B954" s="106"/>
      <c r="C954" s="132" t="s">
        <v>6202</v>
      </c>
      <c r="D954" s="141"/>
    </row>
    <row r="955" spans="2:4" ht="20.25" customHeight="1">
      <c r="B955" s="106"/>
      <c r="C955" s="132" t="s">
        <v>6960</v>
      </c>
      <c r="D955" s="141"/>
    </row>
    <row r="956" spans="2:4" ht="20.25" customHeight="1">
      <c r="B956" s="106"/>
      <c r="C956" s="132" t="s">
        <v>6202</v>
      </c>
      <c r="D956" s="141"/>
    </row>
    <row r="957" spans="2:4" ht="20.25" customHeight="1">
      <c r="B957" s="106"/>
      <c r="C957" s="132" t="s">
        <v>6202</v>
      </c>
      <c r="D957" s="141"/>
    </row>
    <row r="958" spans="2:4" ht="20.25" customHeight="1">
      <c r="B958" s="106"/>
      <c r="C958" s="132" t="s">
        <v>6202</v>
      </c>
      <c r="D958" s="141"/>
    </row>
    <row r="959" spans="2:4" ht="20.25" customHeight="1">
      <c r="B959" s="106"/>
      <c r="C959" s="132" t="s">
        <v>6202</v>
      </c>
      <c r="D959" s="141"/>
    </row>
    <row r="960" spans="2:4" ht="20.25" customHeight="1">
      <c r="B960" s="106"/>
      <c r="C960" s="132" t="s">
        <v>6202</v>
      </c>
      <c r="D960" s="141"/>
    </row>
    <row r="961" spans="2:4" ht="20.25" customHeight="1">
      <c r="B961" s="106"/>
      <c r="C961" s="132" t="s">
        <v>6202</v>
      </c>
      <c r="D961" s="141"/>
    </row>
    <row r="962" spans="2:4" ht="20.25" customHeight="1">
      <c r="B962" s="106"/>
      <c r="C962" s="138" t="s">
        <v>6961</v>
      </c>
      <c r="D962" s="133">
        <v>44961</v>
      </c>
    </row>
    <row r="963" spans="2:4" ht="20.25" customHeight="1">
      <c r="B963" s="106"/>
      <c r="C963" s="138" t="s">
        <v>6961</v>
      </c>
      <c r="D963" s="141"/>
    </row>
    <row r="964" spans="2:4" ht="20.25" customHeight="1">
      <c r="C964" s="146" t="s">
        <v>6962</v>
      </c>
      <c r="D964" s="141"/>
    </row>
    <row r="965" spans="2:4" ht="20.25" customHeight="1">
      <c r="C965" s="146" t="s">
        <v>6963</v>
      </c>
      <c r="D965" s="141"/>
    </row>
    <row r="966" spans="2:4" ht="20.25" customHeight="1">
      <c r="C966" s="144" t="s">
        <v>6964</v>
      </c>
      <c r="D966" s="141"/>
    </row>
    <row r="967" spans="2:4" ht="20.25" customHeight="1">
      <c r="C967" s="146" t="s">
        <v>6965</v>
      </c>
      <c r="D967" s="141"/>
    </row>
    <row r="968" spans="2:4" ht="20.25" customHeight="1">
      <c r="C968" s="146" t="s">
        <v>6966</v>
      </c>
      <c r="D968" s="141"/>
    </row>
    <row r="969" spans="2:4" ht="20.25" customHeight="1">
      <c r="C969" s="146" t="s">
        <v>6967</v>
      </c>
      <c r="D969" s="141"/>
    </row>
    <row r="970" spans="2:4" ht="20.25" customHeight="1">
      <c r="C970" s="146" t="s">
        <v>6968</v>
      </c>
      <c r="D970" s="141"/>
    </row>
    <row r="971" spans="2:4" ht="20.25" customHeight="1">
      <c r="C971" s="146" t="s">
        <v>6969</v>
      </c>
      <c r="D971" s="141"/>
    </row>
    <row r="972" spans="2:4" ht="20.25" customHeight="1">
      <c r="C972" s="146" t="s">
        <v>6970</v>
      </c>
      <c r="D972" s="141"/>
    </row>
    <row r="973" spans="2:4" ht="20.25" customHeight="1">
      <c r="C973" s="146" t="s">
        <v>6971</v>
      </c>
      <c r="D973" s="141"/>
    </row>
    <row r="974" spans="2:4" ht="20.25" customHeight="1">
      <c r="C974" s="146" t="s">
        <v>4628</v>
      </c>
      <c r="D974" s="141"/>
    </row>
    <row r="975" spans="2:4" ht="20.25" customHeight="1">
      <c r="C975" s="146" t="s">
        <v>6972</v>
      </c>
      <c r="D975" s="141"/>
    </row>
    <row r="976" spans="2:4" ht="20.25" customHeight="1">
      <c r="C976" s="146" t="s">
        <v>6973</v>
      </c>
      <c r="D976" s="141"/>
    </row>
    <row r="977" spans="3:4" ht="20.25" customHeight="1">
      <c r="C977" s="146" t="s">
        <v>6974</v>
      </c>
      <c r="D977" s="141"/>
    </row>
    <row r="978" spans="3:4" ht="20.25" customHeight="1">
      <c r="C978" s="146" t="s">
        <v>6975</v>
      </c>
      <c r="D978" s="141"/>
    </row>
    <row r="979" spans="3:4" ht="20.25" customHeight="1">
      <c r="C979" s="146" t="s">
        <v>6976</v>
      </c>
      <c r="D979" s="141"/>
    </row>
    <row r="980" spans="3:4" ht="20.25" customHeight="1">
      <c r="C980" s="146" t="s">
        <v>6977</v>
      </c>
      <c r="D980" s="141"/>
    </row>
    <row r="981" spans="3:4" ht="20.25" customHeight="1">
      <c r="C981" s="146" t="s">
        <v>6978</v>
      </c>
      <c r="D981" s="141"/>
    </row>
    <row r="982" spans="3:4" ht="20.25" customHeight="1">
      <c r="C982" s="146" t="s">
        <v>6979</v>
      </c>
      <c r="D982" s="141"/>
    </row>
    <row r="983" spans="3:4" ht="20.25" customHeight="1">
      <c r="C983" s="146" t="s">
        <v>6980</v>
      </c>
      <c r="D983" s="141"/>
    </row>
    <row r="984" spans="3:4" ht="20.25" customHeight="1">
      <c r="C984" s="146" t="s">
        <v>6981</v>
      </c>
      <c r="D984" s="141"/>
    </row>
    <row r="985" spans="3:4" ht="20.25" customHeight="1">
      <c r="C985" s="146" t="s">
        <v>6958</v>
      </c>
      <c r="D985" s="141"/>
    </row>
    <row r="986" spans="3:4" ht="20.25" customHeight="1">
      <c r="C986" s="146" t="s">
        <v>6961</v>
      </c>
      <c r="D986" s="141"/>
    </row>
    <row r="987" spans="3:4" ht="20.25" customHeight="1">
      <c r="C987" s="146" t="s">
        <v>6961</v>
      </c>
      <c r="D987" s="141"/>
    </row>
    <row r="988" spans="3:4" ht="20.25" customHeight="1">
      <c r="C988" s="146" t="s">
        <v>6982</v>
      </c>
      <c r="D988" s="141"/>
    </row>
    <row r="989" spans="3:4" ht="20.25" customHeight="1">
      <c r="C989" s="146" t="s">
        <v>6982</v>
      </c>
      <c r="D989" s="141"/>
    </row>
    <row r="990" spans="3:4" ht="20.25" customHeight="1">
      <c r="C990" s="146" t="s">
        <v>6983</v>
      </c>
      <c r="D990" s="133">
        <v>44961</v>
      </c>
    </row>
    <row r="991" spans="3:4" ht="20.25" customHeight="1">
      <c r="C991" s="146" t="s">
        <v>6984</v>
      </c>
      <c r="D991" s="136">
        <v>45105</v>
      </c>
    </row>
    <row r="992" spans="3:4" ht="20.25" customHeight="1">
      <c r="C992" s="146" t="s">
        <v>6985</v>
      </c>
      <c r="D992" s="136">
        <v>45105</v>
      </c>
    </row>
    <row r="993" spans="3:4" ht="20.25" customHeight="1">
      <c r="C993" s="146" t="s">
        <v>6986</v>
      </c>
      <c r="D993" s="141"/>
    </row>
    <row r="994" spans="3:4" ht="20.25" customHeight="1">
      <c r="C994" s="145" t="s">
        <v>6987</v>
      </c>
      <c r="D994" s="131" t="s">
        <v>4361</v>
      </c>
    </row>
    <row r="995" spans="3:4" ht="20.25" customHeight="1">
      <c r="C995" s="146" t="s">
        <v>6988</v>
      </c>
      <c r="D995" s="133">
        <v>44961</v>
      </c>
    </row>
    <row r="996" spans="3:4" ht="20.25" customHeight="1">
      <c r="C996" s="146" t="s">
        <v>6989</v>
      </c>
      <c r="D996" s="141"/>
    </row>
    <row r="997" spans="3:4" ht="20.25" customHeight="1">
      <c r="C997" s="145" t="s">
        <v>6990</v>
      </c>
      <c r="D997" s="131" t="s">
        <v>4361</v>
      </c>
    </row>
    <row r="998" spans="3:4" ht="20.25" customHeight="1">
      <c r="C998" s="145" t="s">
        <v>6991</v>
      </c>
      <c r="D998" s="141"/>
    </row>
    <row r="999" spans="3:4" ht="20.25" customHeight="1">
      <c r="C999" s="146" t="s">
        <v>6992</v>
      </c>
      <c r="D999" s="158"/>
    </row>
    <row r="1000" spans="3:4" ht="20.25" customHeight="1">
      <c r="C1000" s="146" t="s">
        <v>6993</v>
      </c>
      <c r="D1000" s="141"/>
    </row>
    <row r="1001" spans="3:4" ht="20.25" customHeight="1">
      <c r="C1001" s="146" t="s">
        <v>6994</v>
      </c>
      <c r="D1001" s="141"/>
    </row>
    <row r="1002" spans="3:4" ht="20.25" customHeight="1">
      <c r="C1002" s="144"/>
    </row>
    <row r="1003" spans="3:4" ht="20.25" customHeight="1">
      <c r="C1003" s="151"/>
    </row>
    <row r="1004" spans="3:4" ht="20.25" customHeight="1">
      <c r="C1004" s="144"/>
    </row>
    <row r="1005" spans="3:4" ht="20.25" customHeight="1">
      <c r="C1005" s="144"/>
    </row>
    <row r="1006" spans="3:4" ht="20.25" customHeight="1">
      <c r="C1006" s="144"/>
    </row>
    <row r="1007" spans="3:4" ht="20.25" customHeight="1">
      <c r="C1007" s="144"/>
    </row>
    <row r="1008" spans="3:4" ht="20.25" customHeight="1">
      <c r="C1008" s="144"/>
    </row>
    <row r="1009" spans="3:3" ht="20.25" customHeight="1">
      <c r="C1009" s="144"/>
    </row>
    <row r="1010" spans="3:3" ht="20.25" customHeight="1">
      <c r="C1010" s="144"/>
    </row>
  </sheetData>
  <conditionalFormatting sqref="B5:B11">
    <cfRule type="duplicateValues" dxfId="59" priority="7"/>
  </conditionalFormatting>
  <conditionalFormatting sqref="B12:B20">
    <cfRule type="duplicateValues" dxfId="58" priority="35"/>
  </conditionalFormatting>
  <conditionalFormatting sqref="B21:B24">
    <cfRule type="duplicateValues" dxfId="57" priority="84"/>
  </conditionalFormatting>
  <conditionalFormatting sqref="B25:B32">
    <cfRule type="duplicateValues" dxfId="56" priority="304"/>
  </conditionalFormatting>
  <conditionalFormatting sqref="B33:B44">
    <cfRule type="duplicateValues" dxfId="55" priority="312"/>
  </conditionalFormatting>
  <conditionalFormatting sqref="C7">
    <cfRule type="duplicateValues" dxfId="54" priority="3"/>
  </conditionalFormatting>
  <conditionalFormatting sqref="C8">
    <cfRule type="duplicateValues" dxfId="53" priority="4"/>
  </conditionalFormatting>
  <conditionalFormatting sqref="C9">
    <cfRule type="duplicateValues" dxfId="52" priority="2"/>
  </conditionalFormatting>
  <conditionalFormatting sqref="C10 C5:C6">
    <cfRule type="duplicateValues" dxfId="51" priority="6"/>
    <cfRule type="duplicateValues" dxfId="50" priority="5"/>
  </conditionalFormatting>
  <conditionalFormatting sqref="C11">
    <cfRule type="duplicateValues" dxfId="49" priority="1"/>
  </conditionalFormatting>
  <conditionalFormatting sqref="C13">
    <cfRule type="duplicateValues" dxfId="48" priority="26"/>
  </conditionalFormatting>
  <conditionalFormatting sqref="C14 C12">
    <cfRule type="duplicateValues" dxfId="47" priority="33"/>
    <cfRule type="duplicateValues" dxfId="46" priority="34"/>
  </conditionalFormatting>
  <conditionalFormatting sqref="C15">
    <cfRule type="duplicateValues" dxfId="45" priority="25"/>
  </conditionalFormatting>
  <conditionalFormatting sqref="C16">
    <cfRule type="duplicateValues" dxfId="44" priority="24"/>
  </conditionalFormatting>
  <conditionalFormatting sqref="C17">
    <cfRule type="duplicateValues" dxfId="43" priority="23"/>
  </conditionalFormatting>
  <conditionalFormatting sqref="C18">
    <cfRule type="duplicateValues" dxfId="42" priority="22"/>
  </conditionalFormatting>
  <conditionalFormatting sqref="C19">
    <cfRule type="duplicateValues" dxfId="41" priority="20"/>
  </conditionalFormatting>
  <conditionalFormatting sqref="C20">
    <cfRule type="duplicateValues" dxfId="40" priority="21"/>
  </conditionalFormatting>
  <conditionalFormatting sqref="C21">
    <cfRule type="duplicateValues" dxfId="39" priority="66"/>
  </conditionalFormatting>
  <conditionalFormatting sqref="C22">
    <cfRule type="duplicateValues" dxfId="38" priority="64"/>
  </conditionalFormatting>
  <conditionalFormatting sqref="C23">
    <cfRule type="duplicateValues" dxfId="37" priority="65"/>
  </conditionalFormatting>
  <conditionalFormatting sqref="C24">
    <cfRule type="duplicateValues" dxfId="36" priority="82"/>
    <cfRule type="duplicateValues" dxfId="35" priority="83"/>
  </conditionalFormatting>
  <conditionalFormatting sqref="D25:D32">
    <cfRule type="cellIs" dxfId="34" priority="299" operator="between">
      <formula>36526</formula>
      <formula>47848</formula>
    </cfRule>
    <cfRule type="cellIs" dxfId="33" priority="300" operator="between">
      <formula>36526</formula>
      <formula>402133</formula>
    </cfRule>
    <cfRule type="cellIs" dxfId="32" priority="303" operator="between">
      <formula>36526</formula>
      <formula>"31/12/3000"</formula>
    </cfRule>
  </conditionalFormatting>
  <conditionalFormatting sqref="F3:F4">
    <cfRule type="duplicateValues" dxfId="31" priority="1087"/>
    <cfRule type="duplicateValues" dxfId="30" priority="1135"/>
    <cfRule type="duplicateValues" dxfId="29" priority="1133"/>
    <cfRule type="duplicateValues" dxfId="28" priority="1134"/>
  </conditionalFormatting>
  <conditionalFormatting sqref="F3:F5">
    <cfRule type="duplicateValues" dxfId="27" priority="1128"/>
  </conditionalFormatting>
  <conditionalFormatting sqref="F3:F57 H3:H54">
    <cfRule type="duplicateValues" dxfId="26" priority="1129"/>
  </conditionalFormatting>
  <conditionalFormatting sqref="F5">
    <cfRule type="duplicateValues" dxfId="25" priority="338"/>
    <cfRule type="duplicateValues" dxfId="24" priority="339"/>
    <cfRule type="duplicateValues" dxfId="23" priority="340"/>
    <cfRule type="duplicateValues" dxfId="22" priority="342"/>
    <cfRule type="duplicateValues" dxfId="21" priority="343"/>
    <cfRule type="duplicateValues" dxfId="20" priority="344"/>
    <cfRule type="duplicateValues" dxfId="19" priority="345"/>
    <cfRule type="duplicateValues" dxfId="18" priority="341"/>
  </conditionalFormatting>
  <dataValidations count="1">
    <dataValidation allowBlank="1" showInputMessage="1" showErrorMessage="1" sqref="F4 B99:B130 D201:D223 D239:D243 D152:D155 D324 D293:D295 D260 D622:D623 D335:D337 D288:D291 D299 D653 D601 D501 D439:D441 D524 D650 D115:D150 D498 D496 D557:D561 D603 D605 D612 D657 D637 D552 D577:D581 D306 D996 D759 D568:D575 D738 D100:D110 D301:D303 D317:D320 D454:D458 D565:D566 D373:D374 D379:D383 D421 D273:D274 D721 D434:D436 D385 D112:D113 D460:D465 D618 D514 D554:D555 D484 D539:D545 D331 D263 D408:D411 D468:D474 D424 D963 D655 D719 D97:D98 D245 D427:D430 D746 D248:D257 D376:D377 D315 D160:D161 D271 D788 D689 D95 D797 D535:D536 D508 D490 D504 D771 D708 D794 D506 D805 D585 D277 D283:D286 D164:D178 D157:D158 D877 D308 D225:D237 D625:D628 D630:D632 D180:D199 D416:D417 D419 D340 D297 D329 A35:A98 A5:A24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4:H32"/>
  <sheetViews>
    <sheetView workbookViewId="0">
      <selection activeCell="F11" sqref="F11"/>
    </sheetView>
  </sheetViews>
  <sheetFormatPr defaultRowHeight="12"/>
  <cols>
    <col min="1" max="3" width="9.140625" style="240"/>
    <col min="4" max="4" width="21.28515625" style="240" bestFit="1" customWidth="1"/>
    <col min="5" max="5" width="9.5703125" style="240" bestFit="1" customWidth="1"/>
    <col min="6" max="6" width="34.42578125" style="240" bestFit="1" customWidth="1"/>
    <col min="7" max="7" width="12.85546875" style="240" bestFit="1" customWidth="1"/>
    <col min="8" max="8" width="30.140625" style="240" bestFit="1" customWidth="1"/>
    <col min="9" max="16384" width="9.140625" style="240"/>
  </cols>
  <sheetData>
    <row r="4" spans="4:8" s="241" customFormat="1" ht="30" customHeight="1">
      <c r="D4" s="237" t="s">
        <v>2</v>
      </c>
      <c r="E4" s="238" t="s">
        <v>4378</v>
      </c>
      <c r="F4" s="239" t="s">
        <v>4398</v>
      </c>
      <c r="G4" s="239" t="s">
        <v>112</v>
      </c>
      <c r="H4" s="239" t="s">
        <v>4410</v>
      </c>
    </row>
    <row r="5" spans="4:8" ht="30" customHeight="1">
      <c r="D5" s="113" t="s">
        <v>4432</v>
      </c>
      <c r="E5" s="242" t="s">
        <v>4453</v>
      </c>
      <c r="F5" s="113" t="s">
        <v>4454</v>
      </c>
      <c r="G5" s="113" t="s">
        <v>4456</v>
      </c>
      <c r="H5" s="243" t="s">
        <v>4457</v>
      </c>
    </row>
    <row r="6" spans="4:8" ht="30" customHeight="1">
      <c r="D6" s="113" t="s">
        <v>4432</v>
      </c>
      <c r="E6" s="242" t="s">
        <v>4464</v>
      </c>
      <c r="F6" s="113" t="s">
        <v>4465</v>
      </c>
      <c r="G6" s="113" t="s">
        <v>4467</v>
      </c>
      <c r="H6" s="113" t="s">
        <v>4468</v>
      </c>
    </row>
    <row r="7" spans="4:8" ht="30" customHeight="1">
      <c r="D7" s="113" t="s">
        <v>4432</v>
      </c>
      <c r="E7" s="242" t="s">
        <v>4487</v>
      </c>
      <c r="F7" s="113" t="s">
        <v>4488</v>
      </c>
      <c r="G7" s="113" t="s">
        <v>4490</v>
      </c>
      <c r="H7" s="243" t="s">
        <v>4491</v>
      </c>
    </row>
    <row r="8" spans="4:8" ht="30" customHeight="1">
      <c r="D8" s="113" t="s">
        <v>4432</v>
      </c>
      <c r="E8" s="242" t="s">
        <v>4506</v>
      </c>
      <c r="F8" s="115" t="s">
        <v>4507</v>
      </c>
      <c r="G8" s="113" t="s">
        <v>4509</v>
      </c>
      <c r="H8" s="243" t="s">
        <v>4510</v>
      </c>
    </row>
    <row r="9" spans="4:8" ht="30" customHeight="1">
      <c r="D9" s="113" t="s">
        <v>4432</v>
      </c>
      <c r="E9" s="242" t="s">
        <v>4511</v>
      </c>
      <c r="F9" s="113" t="s">
        <v>4515</v>
      </c>
      <c r="G9" s="113" t="s">
        <v>4514</v>
      </c>
      <c r="H9" s="243" t="s">
        <v>4516</v>
      </c>
    </row>
    <row r="10" spans="4:8" ht="30" customHeight="1">
      <c r="D10" s="113"/>
      <c r="E10" s="242"/>
      <c r="F10" s="113"/>
      <c r="G10" s="113"/>
      <c r="H10" s="243"/>
    </row>
    <row r="11" spans="4:8" ht="30" customHeight="1">
      <c r="D11" s="114"/>
      <c r="E11" s="244"/>
      <c r="F11" s="114"/>
      <c r="G11" s="114"/>
      <c r="H11" s="245"/>
    </row>
    <row r="12" spans="4:8" ht="30" customHeight="1">
      <c r="D12" s="113"/>
      <c r="E12" s="242"/>
      <c r="F12" s="113"/>
      <c r="G12" s="113"/>
      <c r="H12" s="243"/>
    </row>
    <row r="13" spans="4:8" ht="30" customHeight="1">
      <c r="D13" s="113"/>
      <c r="E13" s="242"/>
      <c r="F13" s="113"/>
      <c r="G13" s="113"/>
      <c r="H13" s="243"/>
    </row>
    <row r="14" spans="4:8" ht="30" customHeight="1">
      <c r="D14" s="113"/>
      <c r="E14" s="242"/>
      <c r="F14" s="113"/>
      <c r="G14" s="113"/>
      <c r="H14" s="243"/>
    </row>
    <row r="15" spans="4:8" ht="30" customHeight="1">
      <c r="D15" s="113" t="s">
        <v>4432</v>
      </c>
      <c r="E15" s="242" t="s">
        <v>4583</v>
      </c>
      <c r="F15" s="113" t="s">
        <v>4584</v>
      </c>
      <c r="G15" s="113" t="s">
        <v>4587</v>
      </c>
      <c r="H15" s="113" t="s">
        <v>4588</v>
      </c>
    </row>
    <row r="16" spans="4:8" ht="30" customHeight="1">
      <c r="D16" s="113" t="s">
        <v>4432</v>
      </c>
      <c r="E16" s="242" t="s">
        <v>4589</v>
      </c>
      <c r="F16" s="113" t="s">
        <v>4593</v>
      </c>
      <c r="G16" s="113" t="s">
        <v>4592</v>
      </c>
      <c r="H16" s="243" t="s">
        <v>4594</v>
      </c>
    </row>
    <row r="17" spans="4:8" ht="30" customHeight="1">
      <c r="D17" s="113" t="s">
        <v>4432</v>
      </c>
      <c r="E17" s="242" t="s">
        <v>4602</v>
      </c>
      <c r="F17" s="113" t="s">
        <v>4603</v>
      </c>
      <c r="G17" s="113" t="s">
        <v>4605</v>
      </c>
      <c r="H17" s="113" t="s">
        <v>4606</v>
      </c>
    </row>
    <row r="18" spans="4:8" ht="30" customHeight="1">
      <c r="D18" s="113" t="s">
        <v>4432</v>
      </c>
      <c r="E18" s="113" t="s">
        <v>4607</v>
      </c>
      <c r="F18" s="113" t="s">
        <v>4608</v>
      </c>
      <c r="G18" s="113" t="s">
        <v>4610</v>
      </c>
      <c r="H18" s="113" t="s">
        <v>4611</v>
      </c>
    </row>
    <row r="19" spans="4:8" ht="30" customHeight="1"/>
    <row r="20" spans="4:8" ht="30" customHeight="1"/>
    <row r="21" spans="4:8" ht="30" customHeight="1"/>
    <row r="22" spans="4:8" ht="30" customHeight="1"/>
    <row r="23" spans="4:8" ht="30" customHeight="1"/>
    <row r="24" spans="4:8" ht="30" customHeight="1"/>
    <row r="25" spans="4:8" ht="30" customHeight="1"/>
    <row r="26" spans="4:8" ht="30" customHeight="1"/>
    <row r="27" spans="4:8" ht="30" customHeight="1"/>
    <row r="28" spans="4:8" ht="30" customHeight="1"/>
    <row r="29" spans="4:8" ht="30" customHeight="1"/>
    <row r="30" spans="4:8" ht="30" customHeight="1"/>
    <row r="31" spans="4:8" ht="30" customHeight="1"/>
    <row r="32" spans="4:8" ht="30" customHeight="1"/>
  </sheetData>
  <conditionalFormatting sqref="E4 E10:E18">
    <cfRule type="duplicateValues" dxfId="17" priority="20"/>
  </conditionalFormatting>
  <conditionalFormatting sqref="E5:E9">
    <cfRule type="duplicateValues" dxfId="16" priority="9"/>
  </conditionalFormatting>
  <conditionalFormatting sqref="F4 F10:F16">
    <cfRule type="duplicateValues" dxfId="15" priority="18"/>
  </conditionalFormatting>
  <conditionalFormatting sqref="F5">
    <cfRule type="duplicateValues" dxfId="14" priority="6"/>
  </conditionalFormatting>
  <conditionalFormatting sqref="F6">
    <cfRule type="duplicateValues" dxfId="13" priority="5"/>
  </conditionalFormatting>
  <conditionalFormatting sqref="F7">
    <cfRule type="duplicateValues" dxfId="12" priority="4"/>
  </conditionalFormatting>
  <conditionalFormatting sqref="F8">
    <cfRule type="duplicateValues" dxfId="11" priority="1"/>
  </conditionalFormatting>
  <conditionalFormatting sqref="F9 F7">
    <cfRule type="duplicateValues" dxfId="10" priority="3"/>
  </conditionalFormatting>
  <conditionalFormatting sqref="F9">
    <cfRule type="duplicateValues" dxfId="9" priority="2"/>
  </conditionalFormatting>
  <conditionalFormatting sqref="F10:F14 F4">
    <cfRule type="duplicateValues" dxfId="8" priority="19"/>
  </conditionalFormatting>
  <conditionalFormatting sqref="F15">
    <cfRule type="duplicateValues" dxfId="7" priority="15"/>
  </conditionalFormatting>
  <conditionalFormatting sqref="F16">
    <cfRule type="duplicateValues" dxfId="6" priority="14"/>
  </conditionalFormatting>
  <conditionalFormatting sqref="F17">
    <cfRule type="duplicateValues" dxfId="5" priority="12"/>
  </conditionalFormatting>
  <conditionalFormatting sqref="F18">
    <cfRule type="duplicateValues" dxfId="4" priority="13"/>
  </conditionalFormatting>
  <conditionalFormatting sqref="H4 H10:H18">
    <cfRule type="duplicateValues" dxfId="3" priority="10"/>
    <cfRule type="duplicateValues" dxfId="2" priority="11"/>
  </conditionalFormatting>
  <conditionalFormatting sqref="H5:H9">
    <cfRule type="duplicateValues" dxfId="1" priority="7"/>
    <cfRule type="duplicateValues" dxfId="0" priority="8"/>
  </conditionalFormatting>
  <dataValidations count="1">
    <dataValidation allowBlank="1" showInputMessage="1" showErrorMessage="1" sqref="D5:D1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2026-08-19T18:44:16Z</dcterms:modified>
  <cp:category/>
  <cp:contentStatus/>
</cp:coreProperties>
</file>