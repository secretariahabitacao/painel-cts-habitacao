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714" documentId="8_{DAC6C9CA-70D7-4111-A0A7-BC6755E560D9}" xr6:coauthVersionLast="47" xr6:coauthVersionMax="47" xr10:uidLastSave="{114DA847-723E-46C6-B5F6-6420E2F59F36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190" i="20"/>
  <c r="BD190" i="20"/>
  <c r="BE190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<sst xmlns="http://schemas.openxmlformats.org/spreadsheetml/2006/main" count="13113" uniqueCount="6992">
  <si>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</si>
  <si>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</si>
  <si>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</si>
  <si>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</si>
  <si>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</si>
  <si>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</si>
  <si>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</si>
  <si>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</si>
  <si>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</si>
  <si>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</si>
  <si>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</si>
  <si>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</si>
  <si>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</si>
  <si>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</si>
  <si>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</si>
  <si>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</si>
  <si>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</si>
  <si>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</si>
  <si>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</si>
  <si>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</si>
  <si>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</si>
  <si>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</si>
  <si>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</si>
  <si>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</si>
  <si>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</si>
  <si>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</si>
  <si>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</si>
  <si>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</si>
  <si>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</si>
  <si>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</si>
  <si>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</si>
  <si>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</si>
  <si>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</si>
  <si>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</si>
  <si>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</si>
  <si>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</si>
  <si>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</si>
  <si>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</si>
  <si>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</si>
  <si>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</si>
  <si>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</si>
  <si>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</si>
  <si>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</si>
  <si>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</si>
  <si>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</si>
  <si>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</si>
  <si>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</si>
  <si>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</si>
  <si>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</si>
  <si>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</si>
  <si>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</si>
  <si>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</si>
  <si>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</si>
  <si>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</si>
  <si>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</si>
  <si>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</si>
  <si>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</si>
  <si>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</si>
  <si>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</si>
  <si>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</si>
  <si>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</si>
  <si>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</si>
  <si>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</si>
  <si>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</si>
  <si>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</si>
  <si>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</si>
  <si>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</si>
  <si>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</si>
  <si>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</si>
  <si>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</si>
  <si>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</si>
  <si>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</si>
  <si>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</si>
  <si>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</si>
  <si>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</si>
  <si>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</si>
  <si>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</si>
  <si>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</si>
  <si>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</si>
  <si>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</si>
  <si>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</si>
  <si>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</si>
  <si>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</si>
  <si>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</si>
  <si>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</si>
  <si>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</si>
  <si>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</si>
  <si>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</si>
  <si>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</si>
  <si>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</si>
  <si>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</si>
  <si>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</si>
  <si>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</si>
  <si>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</si>
  <si>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</si>
  <si>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</si>
  <si>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</si>
  <si>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</si>
  <si>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</si>
  <si>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</si>
  <si>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</si>
  <si>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</si>
  <si>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</si>
  <si>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</si>
  <si>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</si>
  <si>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</si>
  <si>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</si>
  <si>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</si>
  <si>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</si>
  <si>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</si>
  <si>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</si>
  <si>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</si>
  <si>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</si>
  <si>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</si>
  <si>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</si>
  <si>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</si>
  <si>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</si>
  <si>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</si>
  <si>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</si>
  <si>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</si>
  <si>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</si>
  <si>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</si>
  <si>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</si>
  <si>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</si>
  <si>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</si>
  <si>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</si>
  <si>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</si>
  <si>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</si>
  <si>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</si>
  <si>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</si>
  <si>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</si>
  <si>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</si>
  <si>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</si>
  <si>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</si>
  <si>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</si>
  <si>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</si>
  <si>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</si>
  <si>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</si>
  <si>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</si>
  <si>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</si>
  <si>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</si>
  <si>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</si>
  <si>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</si>
  <si>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</si>
  <si>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</si>
  <si>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</si>
  <si>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</si>
  <si>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</si>
  <si>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</si>
  <si>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</si>
  <si>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</si>
  <si>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</si>
  <si>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</si>
  <si>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</si>
  <si>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</si>
  <si>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</si>
  <si>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</si>
  <si>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</si>
  <si>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</si>
  <si>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</si>
  <si>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</si>
  <si>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</si>
  <si>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</si>
  <si>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</si>
  <si>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</si>
  <si>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</si>
  <si>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</si>
  <si>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</si>
  <si>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</si>
  <si>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</si>
  <si>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</si>
  <si>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</si>
  <si>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</si>
  <si>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</si>
  <si>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</si>
  <si>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</si>
  <si>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</si>
  <si>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</si>
  <si>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</si>
  <si>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</si>
  <si>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</si>
  <si>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</si>
  <si>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</si>
  <si>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</si>
  <si>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</si>
  <si>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</si>
  <si>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</si>
  <si>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</si>
  <si>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</si>
  <si>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</si>
  <si>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</si>
  <si>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</si>
  <si>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</si>
  <si>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</si>
  <si>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</si>
  <si>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</si>
  <si>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</si>
  <si>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</si>
  <si>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</si>
  <si>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</si>
  <si>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</si>
  <si>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</si>
  <si>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</si>
  <si>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</si>
  <si>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</si>
  <si>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</si>
  <si>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</si>
  <si>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</si>
  <si>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</si>
  <si>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</si>
  <si>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</si>
  <si>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</si>
  <si>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</si>
  <si>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</si>
  <si>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</si>
  <si>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</si>
  <si>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</si>
  <si>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</si>
  <si>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</si>
  <si>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</si>
  <si>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</si>
  <si>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</si>
  <si>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</si>
  <si>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</si>
  <si>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</si>
  <si>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</si>
  <si>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</si>
  <si>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</si>
  <si>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</si>
  <si>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</si>
  <si>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</si>
  <si>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</si>
  <si>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</si>
  <si>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</si>
  <si>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</si>
  <si>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</si>
  <si>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</si>
  <si>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</si>
  <si>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</si>
  <si>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</si>
  <si>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</si>
  <si>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</si>
  <si>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</si>
  <si>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</si>
  <si>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</si>
  <si>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</si>
  <si>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</si>
  <si>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</si>
  <si>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</si>
  <si>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</si>
  <si>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</si>
  <si>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</si>
  <si>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</si>
  <si>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</si>
  <si>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</si>
  <si>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</si>
  <si>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</si>
  <si>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</si>
  <si>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</si>
  <si>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</si>
  <si>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</si>
  <si>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</si>
  <si>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</si>
  <si>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</si>
  <si>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</si>
  <si>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</si>
  <si>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</si>
  <si>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</si>
  <si>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</si>
  <si>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</si>
  <si>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</si>
  <si>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</si>
  <si>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</si>
  <si>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</si>
  <si>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</si>
  <si>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</si>
  <si>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</si>
  <si>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</si>
  <si>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</si>
  <si>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</si>
  <si>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</si>
  <si>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</si>
  <si>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</si>
  <si>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</si>
  <si>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</si>
  <si>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</si>
  <si>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</si>
  <si>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</si>
  <si>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</si>
  <si>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</si>
  <si>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</si>
  <si>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</si>
  <si>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</si>
  <si>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</si>
  <si>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</si>
  <si>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</si>
  <si>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</si>
  <si>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</si>
  <si>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</si>
  <si>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</si>
  <si>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</si>
  <si>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</si>
  <si>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</si>
  <si>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</si>
  <si>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</si>
  <si>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</si>
  <si>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</si>
  <si>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</si>
  <si>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</si>
  <si>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</si>
  <si>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</si>
  <si>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</si>
  <si>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</si>
  <si>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</si>
  <si>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</si>
  <si>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</si>
  <si>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</si>
  <si>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</si>
  <si>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</si>
  <si>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</si>
  <si>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</si>
  <si>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</si>
  <si>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</si>
  <si>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</si>
  <si>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</si>
  <si>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</si>
  <si>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</si>
  <si>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</si>
  <si>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</si>
  <si>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</si>
  <si>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</si>
  <si>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</si>
  <si>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</si>
  <si>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</si>
  <si>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</si>
  <si>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</si>
  <si>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</si>
  <si>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</si>
  <si>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</si>
  <si>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</si>
  <si>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</si>
  <si>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</si>
  <si>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</si>
  <si>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</si>
  <si>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</si>
  <si>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</si>
  <si>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</si>
  <si>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</si>
  <si>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</si>
  <si>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</si>
  <si>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</si>
  <si>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</si>
  <si>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</si>
  <si>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</si>
  <si>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</si>
  <si>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</si>
  <si>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</si>
  <si>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</si>
  <si>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</si>
  <si>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</si>
  <si>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</si>
  <si>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</si>
  <si>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</si>
  <si>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</si>
  <si>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</si>
  <si>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</si>
  <si>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</si>
  <si>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</si>
  <si>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</si>
  <si>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</si>
  <si>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</si>
  <si>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</si>
  <si>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</si>
  <si>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</si>
  <si>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</si>
  <si>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</si>
  <si>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</si>
  <si>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</si>
  <si>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</si>
  <si>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</si>
  <si>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</si>
  <si>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</si>
  <si>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</si>
  <si>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</si>
  <si>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</si>
  <si>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</si>
  <si>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</si>
  <si>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</si>
  <si>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</si>
  <si>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</si>
  <si>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</si>
  <si>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</si>
  <si>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</si>
  <si>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</si>
  <si>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</si>
  <si>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</si>
  <si>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</si>
  <si>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</si>
  <si>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</si>
  <si>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</si>
  <si>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</si>
  <si>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</si>
  <si>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</si>
  <si>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</si>
  <si>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</si>
  <si>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</si>
  <si>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</si>
  <si>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</si>
  <si>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</si>
  <si>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</si>
  <si>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</si>
  <si>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</si>
  <si>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</si>
  <si>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</si>
  <si>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</si>
  <si>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</si>
  <si>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</si>
  <si>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</si>
  <si>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</si>
  <si>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</si>
  <si>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</si>
  <si>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</si>
  <si>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</si>
  <si>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</si>
  <si>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</si>
  <si>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</si>
  <si>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</si>
  <si>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</si>
  <si>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</si>
  <si>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</si>
  <si>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</si>
  <si>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</si>
  <si>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</si>
  <si>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</si>
  <si>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</si>
  <si>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</si>
  <si>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</si>
  <si>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</si>
  <si>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</si>
  <si>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</si>
  <si>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</si>
  <si>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</si>
  <si>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</si>
  <si>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</si>
  <si>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</si>
  <si>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</si>
  <si>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</si>
  <si>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</si>
  <si>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</si>
  <si>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</si>
  <si>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</si>
  <si>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</si>
  <si>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</si>
  <si>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</si>
  <si>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</si>
  <si>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</si>
  <si>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</si>
  <si>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</si>
  <si>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</si>
  <si>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</si>
  <si>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</si>
  <si>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</si>
  <si>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</si>
  <si>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</si>
  <si>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</si>
  <si>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</si>
  <si>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</si>
  <si>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</si>
  <si>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</si>
  <si>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</si>
  <si>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</si>
  <si>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</si>
  <si>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</si>
  <si>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</si>
  <si>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</si>
  <si>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</si>
  <si>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</si>
  <si>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</si>
  <si>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</si>
  <si>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</si>
  <si>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</si>
  <si>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</si>
  <si>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</si>
  <si>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</si>
  <si>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</si>
  <si>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</si>
  <si>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</si>
  <si>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</si>
  <si>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</si>
  <si>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</si>
  <si>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</si>
  <si>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</si>
  <si>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</si>
  <si>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</si>
  <si>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</si>
  <si>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</si>
  <si>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</si>
  <si>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</si>
  <si>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</si>
  <si>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</si>
  <si>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</si>
  <si>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</si>
  <si>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</si>
  <si>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</si>
  <si>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</si>
  <si>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</si>
  <si>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</si>
  <si>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</si>
  <si>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</si>
  <si>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</si>
  <si>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</si>
  <si>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</si>
  <si>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</si>
  <si>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</si>
  <si>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</si>
  <si>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</si>
  <si>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</si>
  <si>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</si>
  <si>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</si>
  <si>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</si>
  <si>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</si>
  <si>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</si>
  <si>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</si>
  <si>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</si>
  <si>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</si>
  <si>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</si>
  <si>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</si>
  <si>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</si>
  <si>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</si>
  <si>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</si>
  <si>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</si>
  <si>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</si>
  <si>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</si>
  <si>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</si>
  <si>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</si>
  <si>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</si>
  <si>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</si>
  <si>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</si>
  <si>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</si>
  <si>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</si>
  <si>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</si>
  <si>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</si>
  <si>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</si>
  <si>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</si>
  <si>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</si>
  <si>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</si>
  <si>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</si>
  <si>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</si>
  <si>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</si>
  <si>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</si>
  <si>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</si>
  <si>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</si>
  <si>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</si>
  <si>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</si>
  <si>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</si>
  <si>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</si>
  <si>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</si>
  <si>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</si>
  <si>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</si>
  <si>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</si>
  <si>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</si>
  <si>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</si>
  <si>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</si>
  <si>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</si>
  <si>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</si>
  <si>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</si>
  <si>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</si>
  <si>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</si>
  <si>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</si>
  <si>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</si>
  <si>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</si>
  <si>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</si>
  <si>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</si>
  <si>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</si>
  <si>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</si>
  <si>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</si>
  <si>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</si>
  <si>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</si>
  <si>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</si>
  <si>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</si>
  <si>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</si>
  <si>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</si>
  <si>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</si>
  <si>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</si>
  <si>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</si>
  <si>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</si>
  <si>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</si>
  <si>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</si>
  <si>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</si>
  <si>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</si>
  <si>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</si>
  <si>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</si>
  <si>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</si>
  <si>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</si>
  <si>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</si>
  <si>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</si>
  <si>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</si>
  <si>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</si>
  <si>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</si>
  <si>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</si>
  <si>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</si>
  <si>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</si>
  <si>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</si>
  <si>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</si>
  <si>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</si>
  <si>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</si>
  <si>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</si>
  <si>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</si>
  <si>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</si>
  <si>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</si>
  <si>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</si>
  <si>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</si>
  <si>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</si>
  <si>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</si>
  <si>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</si>
  <si>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</si>
  <si>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</si>
  <si>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</si>
  <si>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</si>
  <si>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</si>
  <si>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</si>
  <si>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</si>
  <si>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</si>
  <si>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</si>
  <si>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</si>
  <si>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</si>
  <si>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</si>
  <si>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</si>
  <si>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</si>
  <si>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</si>
  <si>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</si>
  <si>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</si>
  <si>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</si>
  <si>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</si>
  <si>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</si>
  <si>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</si>
  <si>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</si>
  <si>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</si>
  <si>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</si>
  <si>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</si>
  <si>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</si>
  <si>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</si>
  <si>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</si>
  <si>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</si>
  <si>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</si>
  <si>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</si>
  <si>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</si>
  <si>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</si>
  <si>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</si>
  <si>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</si>
  <si>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</si>
  <si>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</si>
  <si>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</si>
  <si>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</si>
  <si>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</si>
  <si>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</si>
  <si>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</si>
  <si>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</si>
  <si>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</si>
  <si>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</si>
  <si>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</si>
  <si>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</si>
  <si>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</si>
  <si>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</si>
  <si>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</si>
  <si>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</si>
  <si>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</si>
  <si>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</si>
  <si>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</si>
  <si>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</si>
  <si>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</si>
  <si>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</si>
  <si>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</si>
  <si>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</si>
  <si>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</si>
  <si>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</si>
  <si>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</si>
  <si>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</si>
  <si>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</si>
  <si>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</si>
  <si>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</si>
  <si>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</si>
  <si>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</si>
  <si>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</si>
  <si>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</si>
  <si>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</si>
  <si>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</si>
  <si>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</si>
  <si>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</si>
  <si>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</si>
  <si>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</si>
  <si>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</si>
  <si>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</si>
  <si>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</si>
  <si>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</si>
  <si>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</si>
  <si>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</si>
  <si>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</si>
  <si>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</si>
  <si>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</si>
  <si>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</si>
  <si>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</si>
  <si>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</si>
  <si>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</si>
  <si>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</si>
  <si>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</si>
  <si>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</si>
  <si>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</si>
  <si>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</si>
  <si>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</si>
  <si>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</si>
  <si>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</si>
  <si>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</si>
  <si>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</si>
  <si>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</si>
  <si>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</si>
  <si>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</si>
  <si>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</si>
  <si>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</si>
  <si>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</si>
  <si>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</si>
  <si>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</si>
  <si>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</si>
  <si>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</si>
  <si>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</si>
  <si>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</si>
  <si>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</si>
  <si>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</si>
  <si>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</si>
  <si>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</si>
  <si>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</si>
  <si>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</si>
  <si>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</si>
  <si>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</si>
  <si>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</si>
  <si>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</si>
  <si>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</si>
  <si>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</si>
  <si>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</si>
  <si>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</si>
  <si>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</si>
  <si>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</si>
  <si>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</si>
  <si>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</si>
  <si>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</si>
  <si>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</si>
  <si>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</si>
  <si>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</si>
  <si>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</si>
  <si>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</si>
  <si>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</si>
  <si>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</si>
  <si>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</si>
  <si>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</si>
  <si>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</si>
  <si>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</si>
  <si>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</si>
  <si>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</si>
  <si>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</si>
  <si>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</si>
  <si>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</si>
  <si>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</si>
  <si>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</si>
  <si>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</si>
  <si>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</si>
  <si>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</si>
  <si>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</si>
  <si>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</si>
  <si>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</si>
  <si>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</si>
  <si>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</si>
  <si>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</si>
  <si>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</si>
  <si>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</si>
  <si>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</si>
  <si>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</si>
  <si>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</si>
  <si>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</si>
  <si>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</si>
  <si>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</si>
  <si>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</si>
  <si>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</si>
  <si>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</si>
  <si>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</si>
  <si>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</si>
  <si>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</si>
  <si>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</si>
  <si>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</si>
  <si>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</si>
  <si>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</si>
  <si>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</si>
  <si>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</si>
  <si>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</si>
  <si>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</si>
  <si>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</si>
  <si>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</si>
  <si>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</si>
  <si>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</si>
  <si>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</si>
  <si>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</si>
  <si>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</si>
  <si>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</si>
  <si>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</si>
  <si>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</si>
  <si>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</si>
  <si>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</si>
  <si>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</si>
  <si>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</si>
  <si>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</si>
  <si>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</si>
  <si>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</si>
  <si>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</si>
  <si>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</si>
  <si>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</si>
  <si>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</si>
  <si>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</si>
  <si>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</si>
  <si>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</si>
  <si>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</si>
  <si>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</si>
  <si>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</si>
  <si>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</si>
  <si>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</si>
  <si>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</si>
  <si>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</si>
  <si>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</si>
  <si>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</si>
  <si>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</si>
  <si>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</si>
  <si>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</si>
  <si>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</si>
  <si>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</si>
  <si>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</si>
  <si>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</si>
  <si>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</si>
  <si>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</si>
  <si>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</si>
  <si>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</si>
  <si>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</si>
  <si>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</si>
  <si>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</si>
  <si>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</si>
  <si>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</si>
  <si>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</si>
  <si>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</si>
  <si>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</si>
  <si>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</si>
  <si>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</si>
  <si>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</si>
  <si>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</si>
  <si>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</si>
  <si>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</si>
  <si>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</si>
  <si>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</si>
  <si>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</si>
  <si>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</si>
  <si>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</si>
  <si>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</si>
  <si>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</si>
  <si>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</si>
  <si>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</si>
  <si>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</si>
  <si>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</si>
  <si>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</si>
  <si>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</si>
  <si>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</si>
  <si>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</si>
  <si>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</si>
  <si>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</si>
  <si>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</si>
  <si>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</si>
  <si>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</si>
  <si>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</si>
  <si>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</si>
  <si>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</si>
  <si>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</si>
  <si>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</si>
  <si>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</si>
  <si>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</si>
  <si>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</si>
  <si>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</si>
  <si>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</si>
  <si>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</si>
  <si>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</si>
  <si>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</si>
  <si>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</si>
  <si>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</si>
  <si>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</si>
  <si>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</si>
  <si>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</si>
  <si>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</si>
  <si>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</si>
  <si>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</si>
  <si>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</si>
  <si>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</si>
  <si>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</si>
  <si>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</si>
  <si>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</si>
  <si>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</si>
  <si>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</si>
  <si>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</si>
  <si>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</si>
  <si>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</si>
  <si>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</si>
  <si>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</si>
  <si>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</si>
  <si>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</si>
  <si>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</si>
  <si>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</si>
  <si>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</si>
  <si>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</si>
  <si>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</si>
  <si>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</si>
  <si>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</si>
  <si>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</si>
  <si>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</si>
  <si>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</si>
  <si>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</si>
  <si>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</si>
  <si>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</si>
  <si>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</si>
  <si>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</si>
  <si>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</si>
  <si>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</si>
  <si>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</si>
  <si>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</si>
  <si>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</si>
  <si>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</si>
  <si>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</si>
  <si>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</si>
  <si>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</si>
  <si>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</si>
  <si>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</si>
  <si>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</si>
  <si>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</si>
  <si>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</si>
  <si>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</si>
  <si>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</si>
  <si>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</si>
  <si>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</si>
  <si>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</si>
  <si>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</si>
  <si>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</si>
  <si>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</si>
  <si>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</si>
  <si>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</si>
  <si>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</si>
  <si>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</si>
  <si>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</si>
  <si>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</si>
  <si>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</si>
  <si>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</si>
  <si>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</si>
  <si>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</si>
  <si>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</si>
  <si>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</si>
  <si>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</si>
  <si>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</si>
  <si>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</si>
  <si>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</si>
  <si>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</si>
  <si>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</si>
  <si>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</si>
  <si>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</si>
  <si>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</si>
  <si>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</si>
  <si>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</si>
  <si>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</si>
  <si>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</si>
  <si>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</si>
  <si>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</si>
  <si>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</si>
  <si>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</si>
  <si>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</si>
  <si>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</si>
  <si>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</si>
  <si>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</si>
  <si>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</si>
  <si>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</si>
  <si>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</si>
  <si>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</si>
  <si>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</si>
  <si>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</si>
  <si>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</si>
  <si>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</si>
  <si>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</si>
  <si>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</si>
  <si>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</si>
  <si>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</si>
  <si>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</si>
  <si>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</si>
  <si>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</si>
  <si>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</si>
  <si>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</si>
  <si>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</si>
  <si>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</si>
  <si>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</si>
  <si>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</si>
  <si>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</si>
  <si>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</si>
  <si>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</si>
  <si>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</si>
  <si>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</si>
  <si>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</si>
  <si>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</si>
  <si>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</si>
  <si>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</si>
  <si>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</si>
  <si>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</si>
  <si>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</si>
  <si>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</si>
  <si>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</si>
  <si>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</si>
  <si>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</si>
  <si>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</si>
  <si>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</si>
  <si>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</si>
  <si>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</si>
  <si>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</si>
  <si>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</si>
  <si>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</si>
  <si>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</si>
  <si>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</si>
  <si>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</si>
  <si>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</si>
  <si>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</si>
  <si>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</si>
  <si>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</si>
  <si>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</si>
  <si>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</si>
  <si>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</si>
  <si>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</si>
  <si>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</si>
  <si>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</si>
  <si>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</si>
  <si>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</si>
  <si>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</si>
  <si>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</si>
  <si>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</si>
  <si>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</si>
  <si>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</si>
  <si>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</si>
  <si>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</si>
  <si>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</si>
  <si>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</si>
  <si>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</si>
  <si>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</si>
  <si>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</si>
  <si>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</si>
  <si>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</si>
  <si>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</si>
  <si>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</si>
  <si>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</si>
  <si>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</si>
  <si>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</si>
  <si>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</si>
  <si>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</si>
  <si>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</si>
  <si>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</si>
  <si>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</si>
  <si>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</si>
  <si>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</si>
  <si>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</si>
  <si>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</si>
  <si>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</si>
  <si>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</si>
  <si>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</si>
  <si>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</si>
  <si>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</si>
  <si>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</si>
  <si>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</si>
  <si>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</si>
  <si>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</si>
  <si>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</si>
  <si>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</si>
  <si>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</si>
  <si>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</si>
  <si>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</si>
  <si>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</si>
  <si>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</si>
  <si>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</si>
  <si>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</si>
  <si>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</si>
  <si>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</si>
  <si>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</si>
  <si>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</si>
  <si>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</si>
  <si>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</si>
  <si>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</si>
  <si>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</si>
  <si>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</si>
  <si>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</si>
  <si>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</si>
  <si>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</si>
  <si>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</si>
  <si>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</si>
  <si>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</si>
  <si>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</si>
  <si>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</si>
  <si>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</si>
  <si>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</si>
  <si>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</si>
  <si>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</si>
  <si>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</si>
  <si>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</si>
  <si>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</si>
  <si>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</si>
  <si>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</si>
  <si>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</si>
  <si>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</si>
  <si>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</si>
  <si>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</si>
  <si>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</si>
  <si>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</si>
  <si>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</si>
  <si>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</si>
  <si>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</si>
  <si>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</si>
  <si>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</si>
  <si>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</si>
  <si>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</si>
  <si>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</si>
  <si>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</si>
  <si>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</si>
  <si>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</si>
  <si>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</si>
  <si>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</si>
  <si>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</si>
  <si>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</si>
  <si>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</si>
  <si>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</si>
  <si>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</si>
  <si>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</si>
  <si>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</si>
  <si>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</si>
  <si>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</si>
  <si>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</si>
  <si>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</si>
  <si>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</si>
  <si>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</si>
  <si>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</si>
  <si>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</si>
  <si>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</si>
  <si>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</si>
  <si>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</si>
  <si>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</si>
  <si>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</si>
  <si>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</si>
  <si>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</si>
  <si>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</si>
  <si>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</si>
  <si>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</si>
  <si>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</si>
  <si>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</si>
  <si>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</si>
  <si>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</si>
  <si>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</si>
  <si>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</si>
  <si>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</si>
  <si>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</si>
  <si>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</si>
  <si>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</si>
  <si>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</si>
  <si>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</si>
  <si>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</si>
  <si>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</si>
  <si>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</si>
  <si>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</si>
  <si>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</si>
  <si>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</si>
  <si>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</si>
  <si>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</si>
  <si>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</si>
  <si>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</si>
  <si>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</si>
  <si>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</si>
  <si>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</si>
  <si>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</si>
  <si>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</si>
  <si>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</si>
  <si>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</si>
  <si>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</si>
  <si>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</si>
  <si>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</si>
  <si>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</si>
  <si>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</si>
  <si>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</si>
  <si>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</si>
  <si>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</si>
  <si>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</si>
  <si>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</si>
  <si>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</si>
  <si>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</si>
  <si>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</si>
  <si>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</si>
  <si>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</si>
  <si>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</si>
  <si>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</si>
  <si>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</si>
  <si>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</si>
  <si>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</si>
  <si>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</si>
  <si>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</si>
  <si>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</si>
  <si>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</si>
  <si>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</si>
  <si>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</si>
  <si>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</si>
  <si>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</si>
  <si>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</si>
  <si>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</si>
  <si>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</si>
  <si>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</si>
  <si>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</si>
  <si>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</si>
  <si>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</si>
  <si>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</si>
  <si>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</si>
  <si>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</si>
  <si>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</si>
  <si>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</si>
  <si>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</si>
  <si>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</si>
  <si>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</si>
  <si>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</si>
  <si>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</si>
  <si>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</si>
  <si>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</si>
  <si>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</si>
  <si>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</si>
  <si>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</si>
  <si>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</si>
  <si>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</si>
  <si>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</si>
  <si>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</si>
  <si>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</si>
  <si>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</si>
  <si>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</si>
  <si>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</si>
  <si>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</si>
  <si>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</si>
  <si>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</si>
  <si>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</si>
  <si>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</si>
  <si>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</si>
  <si>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</si>
  <si>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</si>
  <si>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</si>
  <si>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</si>
  <si>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</si>
  <si>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</si>
  <si>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</si>
  <si>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</si>
  <si>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</si>
  <si>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</si>
  <si>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</si>
  <si>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</si>
  <si>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</si>
  <si>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</si>
  <si>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</si>
  <si>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</si>
  <si>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</si>
  <si>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</si>
  <si>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</si>
  <si>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</si>
  <si>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</si>
  <si>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</si>
  <si>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</si>
  <si>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</si>
  <si>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</si>
  <si>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</si>
  <si>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</si>
  <si>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</si>
  <si>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</si>
  <si>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</si>
  <si>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</si>
  <si>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</si>
  <si>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</si>
  <si>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</si>
  <si>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</si>
  <si>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</si>
  <si>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</si>
  <si>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</si>
  <si>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</si>
  <si>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</si>
  <si>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</si>
  <si>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</si>
  <si>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</si>
  <si>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</si>
  <si>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</si>
  <si>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</si>
  <si>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</si>
  <si>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</si>
  <si>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</si>
  <si>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</si>
  <si>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</si>
  <si>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</si>
  <si>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</si>
  <si>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</si>
  <si>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</si>
  <si>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</si>
  <si>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</si>
  <si>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</si>
  <si>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</si>
  <si>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</si>
  <si>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</si>
  <si>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</si>
  <si>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</si>
  <si>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</si>
  <si>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</si>
  <si>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</si>
  <si>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</si>
  <si>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</si>
  <si>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</si>
  <si>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</si>
  <si>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</si>
  <si>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</si>
  <si>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</si>
  <si>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</si>
  <si>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</si>
  <si>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</si>
  <si>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</si>
  <si>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</si>
  <si>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</si>
  <si>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</si>
  <si>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</si>
  <si>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</si>
  <si>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</si>
  <si>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</si>
  <si>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</si>
  <si>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</si>
  <si>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</si>
  <si>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</si>
  <si>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</si>
  <si>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</si>
  <si>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</si>
  <si>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</si>
  <si>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</si>
  <si>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</si>
  <si>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</si>
  <si>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</si>
  <si>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</si>
  <si>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</si>
  <si>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</si>
  <si>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</si>
  <si>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</si>
  <si>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</si>
  <si>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</si>
  <si>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</si>
  <si>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</si>
  <si>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</si>
  <si>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</si>
  <si>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</si>
  <si>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</si>
  <si>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</si>
  <si>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</si>
  <si>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</si>
  <si>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</si>
  <si>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</si>
  <si>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</si>
  <si>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</si>
  <si>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</si>
  <si>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</si>
  <si>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</si>
  <si>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</si>
  <si>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</si>
  <si>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</si>
  <si>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</si>
  <si>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</si>
  <si>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</si>
  <si>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</si>
  <si>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</si>
  <si>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</si>
  <si>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</si>
  <si>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</si>
  <si>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</si>
  <si>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</si>
  <si>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</si>
  <si>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</si>
  <si>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</si>
  <si>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</si>
  <si>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</si>
  <si>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</si>
  <si>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</si>
  <si>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</si>
  <si>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</si>
  <si>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</si>
  <si>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</si>
  <si>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</si>
  <si>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</si>
  <si>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</si>
  <si>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</si>
  <si>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</si>
  <si>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</si>
  <si>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</si>
  <si>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</si>
  <si>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</si>
  <si>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</si>
  <si>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</si>
  <si>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</si>
  <si>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</si>
  <si>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</si>
  <si>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</si>
  <si>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</si>
  <si>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</si>
  <si>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</si>
  <si>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</si>
  <si>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</si>
  <si>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</si>
  <si>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</si>
  <si>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</si>
  <si>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</si>
  <si>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</si>
  <si>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</si>
  <si>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</si>
  <si>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</si>
  <si>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</si>
  <si>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</si>
  <si>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</si>
  <si>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</si>
  <si>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</si>
  <si>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</si>
  <si>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</si>
  <si>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</si>
  <si>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</si>
  <si>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</si>
  <si>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</si>
  <si>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</si>
  <si>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</si>
  <si>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</si>
  <si>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</si>
  <si>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</si>
  <si>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</si>
  <si>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</si>
  <si>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</si>
  <si>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</si>
  <si>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</si>
  <si>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</si>
  <si>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</si>
  <si>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</si>
  <si>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</si>
  <si>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</si>
  <si>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</si>
  <si>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</si>
  <si>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</si>
  <si>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</si>
  <si>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</si>
  <si>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</si>
  <si>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</si>
  <si>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</si>
  <si>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</si>
  <si>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</si>
  <si>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</si>
  <si>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</si>
  <si>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</si>
  <si>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</si>
  <si>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</si>
  <si>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</si>
  <si>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</si>
  <si>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</si>
  <si>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</si>
  <si>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</si>
  <si>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</si>
  <si>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</si>
  <si>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</si>
  <si>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</si>
  <si>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</si>
  <si>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</si>
  <si>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</si>
  <si>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</si>
  <si>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</si>
  <si>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</si>
  <si>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</si>
  <si>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</si>
  <si>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</si>
  <si>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</si>
  <si>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</si>
  <si>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</si>
  <si>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</si>
  <si>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</si>
  <si>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</si>
  <si>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</si>
  <si>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</si>
  <si>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</si>
  <si>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</si>
  <si>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</si>
  <si>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</si>
  <si>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</si>
  <si>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</si>
  <si>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</si>
  <si>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</si>
  <si>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</si>
  <si>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</si>
  <si>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</si>
  <si>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</si>
  <si>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</si>
  <si>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</si>
  <si>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</si>
  <si>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</si>
  <si>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</si>
  <si>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</si>
  <si>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</si>
  <si>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</si>
  <si>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</si>
  <si>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</si>
  <si>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</si>
  <si>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</si>
  <si>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</si>
  <si>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</si>
  <si>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</si>
  <si>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</si>
  <si>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</si>
  <si>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</si>
  <si>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</si>
  <si>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</si>
  <si>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</si>
  <si>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</si>
  <si>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</si>
  <si>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</si>
  <si>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</si>
  <si>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</si>
  <si>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</si>
  <si>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</si>
  <si>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</si>
  <si>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</si>
  <si>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</si>
  <si>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</si>
  <si>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</si>
  <si>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</si>
  <si>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</si>
  <si>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</si>
  <si>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</si>
  <si>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</si>
  <si>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</si>
  <si>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</si>
  <si>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</si>
  <si>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</si>
  <si>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</si>
  <si>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</si>
  <si>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</si>
  <si>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</si>
  <si>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</si>
  <si>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</si>
  <si>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</si>
  <si>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</si>
  <si>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</si>
  <si>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</si>
  <si>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</si>
  <si>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</si>
  <si>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</si>
  <si>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</si>
  <si>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</si>
  <si>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</si>
  <si>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</si>
  <si>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</si>
  <si>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</si>
  <si>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</si>
  <si>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</si>
  <si>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</si>
  <si>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</si>
  <si>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</si>
  <si>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</si>
  <si>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</si>
  <si>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</si>
  <si>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</si>
  <si>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</si>
  <si>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</si>
  <si>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</si>
  <si>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</si>
  <si>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</si>
  <si>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</si>
  <si>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</si>
  <si>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</si>
  <si>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</si>
  <si>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</si>
  <si>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</si>
  <si>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</si>
  <si>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</si>
  <si>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</si>
  <si>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</si>
  <si>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</si>
  <si>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</si>
  <si>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</si>
  <si>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</si>
  <si>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</si>
  <si>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</si>
  <si>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</si>
  <si>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</si>
  <si>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</si>
  <si>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</si>
  <si>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</si>
  <si>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</si>
  <si>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</si>
  <si>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</si>
  <si>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</si>
  <si>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</si>
  <si>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</si>
  <si>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</si>
  <si>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</si>
  <si>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</si>
  <si>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</si>
  <si>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</si>
  <si>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</si>
  <si>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</si>
  <si>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</si>
  <si>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</si>
  <si>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</si>
  <si>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</si>
  <si>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</si>
  <si>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</si>
  <si>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</si>
  <si>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</si>
  <si>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</si>
  <si>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</si>
  <si>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</si>
  <si>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</si>
  <si>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</si>
  <si>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</si>
  <si>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</si>
  <si>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</si>
  <si>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</si>
  <si>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</si>
  <si>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</si>
  <si>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</si>
  <si>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</si>
  <si>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</si>
  <si>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</si>
  <si>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</si>
  <si>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</si>
  <si>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</si>
  <si>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</si>
  <si>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</si>
  <si>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</si>
  <si>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</si>
  <si>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</si>
  <si>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</si>
  <si>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</si>
  <si>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</si>
  <si>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</si>
  <si>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</si>
  <si>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</si>
  <si>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</si>
  <si>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</si>
  <si>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</si>
  <si>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</si>
  <si>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</si>
  <si>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</si>
  <si>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</si>
  <si>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</si>
  <si>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</si>
  <si>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</si>
  <si>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</si>
  <si>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</si>
  <si>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</si>
  <si>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</si>
  <si>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</si>
  <si>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</si>
  <si>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</si>
  <si>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</si>
  <si>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</si>
  <si>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</si>
  <si>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</si>
  <si>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</si>
  <si>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</si>
  <si>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</si>
  <si>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</si>
  <si>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</si>
  <si>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</si>
  <si>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</si>
  <si>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</si>
  <si>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</si>
  <si>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</si>
  <si>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</si>
  <si>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</si>
  <si>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</si>
  <si>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</si>
  <si>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</si>
  <si>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</si>
  <si>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</si>
  <si>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</si>
  <si>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</si>
  <si>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</si>
  <si>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</si>
  <si>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</si>
  <si>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</si>
  <si>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</si>
  <si>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</si>
  <si>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</si>
  <si>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</si>
  <si>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</si>
  <si>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</si>
  <si>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</si>
  <si>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</si>
  <si>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</si>
  <si>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</si>
  <si>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</si>
  <si>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</si>
  <si>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</si>
  <si>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</si>
  <si>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</si>
  <si>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</si>
  <si>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</si>
  <si>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</si>
  <si>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</si>
  <si>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</si>
  <si>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</si>
  <si>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</si>
  <si>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</si>
  <si>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</si>
  <si>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</si>
  <si>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</si>
  <si>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</si>
  <si>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</si>
  <si>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</si>
  <si>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</si>
  <si>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</si>
  <si>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</si>
  <si>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</si>
  <si>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</si>
  <si>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</si>
  <si>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</si>
  <si>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</si>
  <si>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</si>
  <si>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</si>
  <si>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</si>
  <si>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</si>
  <si>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</si>
  <si>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</si>
  <si>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</si>
  <si>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</si>
  <si>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</si>
  <si>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</si>
  <si>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</si>
  <si>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</si>
  <si>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</si>
  <si>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</si>
  <si>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</si>
  <si>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</si>
  <si>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</si>
  <si>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</si>
  <si>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</si>
  <si>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</si>
  <si>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</si>
  <si>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</si>
  <si>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</si>
  <si>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</si>
  <si>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</si>
  <si>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</si>
  <si>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</si>
  <si>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</si>
  <si>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</si>
  <si>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</si>
  <si>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</si>
  <si>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</si>
  <si>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</si>
  <si>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</si>
  <si>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</si>
  <si>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</si>
  <si>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</si>
  <si>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</si>
  <si>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</si>
  <si>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</si>
  <si>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</si>
  <si>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</si>
  <si>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</si>
  <si>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</si>
  <si>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</si>
  <si>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</si>
  <si>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</si>
  <si>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</si>
  <si>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</si>
  <si>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</si>
  <si>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</si>
  <si>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</si>
  <si>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</si>
  <si>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</si>
  <si>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</si>
  <si>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</si>
  <si>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</si>
  <si>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</si>
  <si>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</si>
  <si>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</si>
  <si>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</si>
  <si>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</si>
  <si>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</si>
  <si>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</si>
  <si>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</si>
  <si>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</si>
  <si>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</si>
  <si>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</si>
  <si>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</si>
  <si>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</si>
  <si>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</si>
  <si>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</si>
  <si>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</si>
  <si>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</si>
  <si>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</si>
  <si>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</si>
  <si>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</si>
  <si>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</si>
  <si>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</si>
  <si>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</si>
  <si>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</si>
  <si>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</si>
  <si>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</si>
  <si>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</si>
  <si>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</si>
  <si>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</si>
  <si>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</si>
  <si>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</si>
  <si>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</si>
  <si>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</si>
  <si>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</si>
  <si>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</si>
  <si>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</si>
  <si>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</si>
  <si>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</si>
  <si>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</si>
  <si>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</si>
  <si>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</si>
  <si>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</si>
  <si>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</si>
  <si>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</si>
  <si>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</si>
  <si>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</si>
  <si>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</si>
  <si>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</si>
  <si>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</si>
  <si>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</si>
  <si>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</si>
  <si>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</si>
  <si>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</si>
  <si>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</si>
  <si>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</si>
  <si>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</si>
  <si>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</si>
  <si>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</si>
  <si>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</si>
  <si>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</si>
  <si>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</si>
  <si>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</si>
  <si>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</si>
  <si>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</si>
  <si>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</si>
  <si>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</si>
  <si>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</si>
  <si>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</si>
  <si>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</si>
  <si>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</si>
  <si>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</si>
  <si>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</si>
  <si>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</si>
  <si>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</si>
  <si>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</si>
  <si>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</si>
  <si>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</si>
  <si>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</si>
  <si>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</si>
  <si>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</si>
  <si>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</si>
  <si>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</si>
  <si>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</si>
  <si>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</si>
  <si>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</si>
  <si>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</si>
  <si>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</si>
  <si>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</si>
  <si>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</si>
  <si>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</si>
  <si>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</si>
  <si>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</si>
  <si>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</si>
  <si>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</si>
  <si>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</si>
  <si>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</si>
  <si>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</si>
  <si>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</si>
  <si>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</si>
  <si>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</si>
  <si>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</si>
  <si>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</si>
  <si>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</si>
  <si>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</si>
  <si>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</si>
  <si>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</si>
  <si>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</si>
  <si>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</si>
  <si>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</si>
  <si>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</si>
  <si>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</si>
  <si>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</si>
  <si>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</si>
  <si>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</si>
  <si>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</si>
  <si>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</si>
  <si>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</si>
  <si>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</si>
  <si>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</si>
  <si>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</si>
  <si>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</si>
  <si>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</si>
  <si>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</si>
  <si>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</si>
  <si>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</si>
  <si>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</si>
  <si>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</si>
  <si>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</si>
  <si>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</si>
  <si>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</si>
  <si>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</si>
  <si>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</si>
  <si>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</si>
  <si>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</si>
  <si>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</si>
  <si>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</si>
  <si>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</si>
  <si>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</si>
  <si>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</si>
  <si>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</si>
  <si>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</si>
  <si>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</si>
  <si>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</si>
  <si>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</si>
  <si>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</si>
  <si>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</si>
  <si>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</si>
  <si>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</si>
  <si>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</si>
  <si>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</si>
  <si>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</si>
  <si>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</si>
  <si>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</si>
  <si>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</si>
  <si>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</si>
  <si>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</si>
  <si>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</si>
  <si>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</si>
  <si>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</si>
  <si>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</si>
  <si>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</si>
  <si>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</si>
  <si>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</si>
  <si>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</si>
  <si>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</si>
  <si>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</si>
  <si>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</si>
  <si>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</si>
  <si>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</si>
  <si>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</si>
  <si>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</si>
  <si>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</si>
  <si>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</si>
  <si>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</si>
  <si>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</si>
  <si>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</si>
  <si>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</si>
  <si>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</si>
  <si>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</si>
  <si>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</si>
  <si>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</si>
  <si>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</si>
  <si>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</si>
  <si>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</si>
  <si>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</si>
  <si>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</si>
  <si>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</si>
  <si>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</si>
  <si>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</si>
  <si>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</si>
  <si>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</si>
  <si>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</si>
  <si>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</si>
  <si>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</si>
  <si>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</si>
  <si>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</si>
  <si>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</si>
  <si>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</si>
  <si>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</si>
  <si>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</si>
  <si>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</si>
  <si>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</si>
  <si>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</si>
  <si>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</si>
  <si>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</si>
  <si>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</si>
  <si>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</si>
  <si>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</si>
  <si>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</si>
  <si>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</si>
  <si>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</si>
  <si>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</si>
  <si>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</si>
  <si>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</si>
  <si>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</si>
  <si>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</si>
  <si>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</si>
  <si>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</si>
  <si>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</si>
  <si>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</si>
  <si>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</si>
  <si>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</si>
  <si>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</si>
  <si>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</si>
  <si>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</si>
  <si>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</si>
  <si>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</si>
  <si>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</si>
  <si>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</si>
  <si>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</si>
  <si>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</si>
  <si>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</si>
  <si>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</si>
  <si>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</si>
  <si>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</si>
  <si>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</si>
  <si>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</si>
  <si>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</si>
  <si>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</si>
  <si>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</si>
  <si>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</si>
  <si>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</si>
  <si>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</si>
  <si>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</si>
  <si>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</si>
  <si>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</si>
  <si>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</si>
  <si>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</si>
  <si>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</si>
  <si>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</si>
  <si>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</si>
  <si>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</si>
  <si>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</si>
  <si>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</si>
  <si>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</si>
  <si>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</si>
  <si>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</si>
  <si>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</si>
  <si>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</si>
  <si>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</si>
  <si>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</si>
  <si>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</si>
  <si>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</si>
  <si>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</si>
  <si>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</si>
  <si>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</si>
  <si>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</si>
  <si>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</si>
  <si>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</si>
  <si>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</si>
  <si>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</si>
  <si>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</si>
  <si>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</si>
  <si>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</si>
  <si>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</si>
  <si>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</si>
  <si>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</si>
  <si>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</si>
  <si>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</si>
  <si>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</si>
  <si>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</si>
  <si>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</si>
  <si>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</si>
  <si>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</si>
  <si>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</si>
  <si>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</si>
  <si>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</si>
  <si>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</si>
  <si>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</si>
  <si>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</si>
  <si>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</si>
  <si>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</si>
  <si>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</si>
  <si>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</si>
  <si>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</si>
  <si>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</si>
  <si>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</si>
  <si>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</si>
  <si>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</si>
  <si>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</si>
  <si>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</si>
  <si>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</si>
  <si>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</si>
  <si>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</si>
  <si>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</si>
  <si>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</si>
  <si>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</si>
  <si>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</si>
  <si>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</si>
  <si>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</si>
  <si>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</si>
  <si>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</si>
  <si>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</si>
  <si>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</si>
  <si>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</si>
  <si>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</si>
  <si>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</si>
  <si>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</si>
  <si>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</si>
  <si>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</si>
  <si>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</si>
  <si>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</si>
  <si>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</si>
  <si>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</si>
  <si>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</si>
  <si>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</si>
  <si>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</si>
  <si>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</si>
  <si>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</si>
  <si>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</si>
  <si>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</si>
  <si>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</si>
  <si>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</si>
  <si>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</si>
  <si>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</si>
  <si>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</si>
  <si>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</si>
  <si>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</si>
  <si>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</si>
  <si>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</si>
  <si>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</si>
  <si>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</si>
  <si>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</si>
  <si>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</si>
  <si>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</si>
  <si>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</si>
  <si>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</si>
  <si>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</si>
  <si>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</si>
  <si>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</si>
  <si>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</si>
  <si>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</si>
  <si>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</si>
  <si>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</si>
  <si>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</si>
  <si>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</si>
  <si>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</si>
  <si>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</si>
  <si>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</si>
  <si>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</si>
  <si>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</si>
  <si>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</si>
  <si>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</si>
  <si>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</si>
  <si>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</si>
  <si>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</si>
  <si>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</si>
  <si>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</si>
  <si>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</si>
  <si>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</si>
  <si>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</si>
  <si>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</si>
  <si>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</si>
  <si>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</si>
  <si>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</si>
  <si>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</si>
  <si>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</si>
  <si>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</si>
  <si>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</si>
  <si>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</si>
  <si>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</si>
  <si>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</si>
  <si>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</si>
  <si>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</si>
  <si>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</si>
  <si>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</si>
  <si>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</si>
  <si>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</si>
  <si>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</si>
  <si>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</si>
  <si>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</si>
  <si>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</si>
  <si>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</si>
  <si>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</si>
  <si>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</si>
  <si>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</si>
  <si>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</si>
  <si>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</si>
  <si>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</si>
  <si>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</si>
  <si>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</si>
  <si>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</si>
  <si>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</si>
  <si>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</si>
  <si>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</si>
  <si>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</si>
  <si>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</si>
  <si>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</si>
  <si>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</si>
  <si>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</si>
  <si>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</si>
  <si>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</si>
  <si>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</si>
  <si>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</si>
  <si>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</si>
  <si>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</si>
  <si>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</si>
  <si>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</si>
  <si>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</si>
  <si>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</si>
  <si>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</si>
  <si>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</si>
  <si>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</si>
  <si>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</si>
  <si>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</si>
  <si>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</si>
  <si>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</si>
  <si>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</si>
  <si>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</si>
  <si>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</si>
  <si>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</si>
  <si>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</si>
  <si>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</si>
  <si>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</si>
  <si>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</si>
  <si>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</si>
  <si>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</si>
  <si>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</si>
  <si>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</si>
  <si>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</si>
  <si>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</si>
  <si>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</si>
  <si>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</si>
  <si>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</si>
  <si>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</si>
  <si>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</si>
  <si>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</si>
  <si>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</si>
  <si>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</si>
  <si>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</si>
  <si>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</si>
  <si>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</si>
  <si>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</si>
  <si>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</si>
  <si>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</si>
  <si>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</si>
  <si>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</si>
  <si>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</si>
  <si>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</si>
  <si>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</si>
  <si>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</si>
  <si>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</si>
  <si>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</si>
  <si>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</si>
  <si>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</si>
  <si>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</si>
  <si>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</si>
  <si>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</si>
  <si>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</si>
  <si>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</si>
  <si>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</si>
  <si>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</si>
  <si>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</si>
  <si>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</si>
  <si>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</si>
  <si>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</si>
  <si>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</si>
  <si>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</si>
  <si>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</si>
  <si>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</si>
  <si>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</si>
  <si>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</si>
  <si>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</si>
  <si>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</si>
  <si>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</si>
  <si>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</si>
  <si>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</si>
  <si>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</si>
  <si>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</si>
  <si>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</si>
  <si>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</si>
  <si>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</si>
  <si>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</si>
  <si>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</si>
  <si>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</si>
  <si>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</si>
  <si>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</si>
  <si>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</si>
  <si>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</si>
  <si>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</si>
  <si>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</si>
  <si>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</si>
  <si>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</si>
  <si>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</si>
  <si>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</si>
  <si>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</si>
  <si>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</si>
  <si>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</si>
  <si>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</si>
  <si>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</si>
  <si>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</si>
  <si>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</si>
  <si>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</si>
  <si>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</si>
  <si>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</si>
  <si>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</si>
  <si>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</si>
  <si>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</si>
  <si>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</si>
  <si>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</si>
  <si>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</si>
  <si>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</si>
  <si>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</si>
  <si>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</si>
  <si>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</si>
  <si>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</si>
  <si>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</si>
  <si>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</si>
  <si>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</si>
  <si>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</si>
  <si>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</si>
  <si>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</si>
  <si>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</si>
  <si>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</si>
  <si>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</si>
  <si>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</si>
  <si>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</si>
  <si>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</si>
  <si>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</si>
  <si>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</si>
  <si>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</si>
  <si>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</si>
  <si>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</si>
  <si>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</si>
  <si>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</si>
  <si>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</si>
  <si>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</si>
  <si>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</si>
  <si>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</si>
  <si>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</si>
  <si>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</si>
  <si>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</si>
  <si>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</si>
  <si>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</si>
  <si>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</si>
  <si>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</si>
  <si>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</si>
  <si>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</si>
  <si>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</si>
  <si>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</si>
  <si>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</si>
  <si>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</si>
  <si>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</si>
  <si>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</si>
  <si>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</si>
  <si>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</si>
  <si>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</si>
  <si>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</si>
  <si>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</si>
  <si>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</si>
  <si>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</si>
  <si>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</si>
  <si>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</si>
  <si>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</si>
  <si>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</si>
  <si>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</si>
  <si>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</si>
  <si>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</si>
  <si>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</si>
  <si>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</si>
  <si>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</si>
  <si>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</si>
  <si>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</si>
  <si>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</si>
  <si>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</si>
  <si>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</si>
  <si>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</si>
  <si>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</si>
  <si>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</si>
  <si>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</si>
  <si>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</si>
  <si>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</si>
  <si>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</si>
  <si>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</si>
  <si>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</si>
  <si>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</si>
  <si>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</si>
  <si>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</si>
  <si>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</si>
  <si>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</si>
  <si>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</si>
  <si>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</si>
  <si>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</si>
  <si>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</si>
  <si>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</si>
  <si>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</si>
  <si>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</si>
  <si>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</si>
  <si>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</si>
  <si>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</si>
  <si>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</si>
  <si>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</si>
  <si>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</si>
  <si>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</si>
  <si>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</si>
  <si>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</si>
  <si>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</si>
  <si>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</si>
  <si>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</si>
  <si>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</si>
  <si>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</si>
  <si>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</si>
  <si>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</si>
  <si>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</si>
  <si>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</si>
  <si>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</si>
  <si>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</si>
  <si>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</si>
  <si>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</si>
  <si>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</si>
  <si>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</si>
  <si>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</si>
  <si>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</si>
  <si>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</si>
  <si>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</si>
  <si>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</si>
  <si>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</si>
  <si>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</si>
  <si>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</si>
  <si>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</si>
  <si>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</si>
  <si>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</si>
  <si>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</si>
  <si>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</si>
  <si>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</si>
  <si>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</si>
  <si>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</si>
  <si>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</si>
  <si>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</si>
  <si>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</si>
  <si>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</si>
  <si>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</si>
  <si>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</si>
  <si>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</si>
  <si>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</si>
  <si>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</si>
  <si>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</si>
  <si>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</si>
  <si>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</si>
  <si>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</si>
  <si>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</si>
  <si>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</si>
  <si>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</si>
  <si>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</si>
  <si>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</si>
  <si>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</si>
  <si>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</si>
  <si>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</si>
  <si>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</si>
  <si>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</si>
  <si>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</si>
  <si>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</si>
  <si>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</si>
  <si>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</si>
  <si>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</si>
  <si>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</si>
  <si>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</si>
  <si>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</si>
  <si>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</si>
  <si>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</si>
  <si>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</si>
  <si>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</si>
  <si>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</si>
  <si>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</si>
  <si>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</si>
  <si>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</si>
  <si>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</si>
  <si>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</si>
  <si>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</si>
  <si>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</si>
  <si>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</si>
  <si>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</si>
  <si>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</si>
  <si>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</si>
  <si>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</si>
  <si>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</si>
  <si>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</si>
  <si>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</si>
  <si>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</si>
  <si>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</si>
  <si>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</si>
  <si>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</si>
  <si>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</si>
  <si>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</si>
  <si>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</si>
  <si>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</si>
  <si>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</si>
  <si>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</si>
  <si>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</si>
  <si>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</si>
  <si>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</si>
  <si>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</si>
  <si>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</si>
  <si>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</si>
  <si>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</si>
  <si>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</si>
  <si>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</si>
  <si>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</si>
  <si>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</si>
  <si>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</si>
  <si>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</si>
  <si>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</si>
  <si>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</si>
  <si>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</si>
  <si>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</si>
  <si>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</si>
  <si>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</si>
  <si>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</si>
  <si>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</si>
  <si>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</si>
  <si>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</si>
  <si>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</si>
  <si>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</si>
  <si>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</si>
  <si>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</si>
  <si>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</si>
  <si>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</si>
  <si>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</si>
  <si>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</si>
  <si>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</si>
  <si>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</si>
  <si>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</si>
  <si>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</si>
  <si>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</si>
  <si>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</si>
  <si>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</si>
  <si>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</si>
  <si>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</si>
  <si>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</si>
  <si>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</si>
  <si>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</si>
  <si>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</si>
  <si>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</si>
  <si>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</si>
  <si>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</si>
  <si>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</si>
  <si>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</si>
  <si>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</si>
  <si>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</si>
  <si>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</si>
  <si>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</si>
  <si>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</si>
  <si>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</si>
  <si>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</si>
  <si>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</si>
  <si>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</si>
  <si>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</si>
  <si>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</si>
  <si>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</si>
  <si>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</si>
  <si>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</si>
  <si>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</si>
  <si>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</si>
  <si>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</si>
  <si>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</si>
  <si>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</si>
  <si>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</si>
  <si>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</si>
  <si>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</si>
  <si>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</si>
  <si>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</si>
  <si>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</si>
  <si>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</si>
  <si>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</si>
  <si>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</si>
  <si>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</si>
  <si>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</si>
  <si>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</si>
  <si>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</si>
  <si>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</si>
  <si>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</si>
  <si>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</si>
  <si>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</si>
  <si>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</si>
  <si>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</si>
  <si>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</si>
  <si>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</si>
  <si>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</si>
  <si>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</si>
  <si>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</si>
  <si>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</si>
  <si>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</si>
  <si>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</si>
  <si>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</si>
  <si>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</si>
  <si>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</si>
  <si>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</si>
  <si>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</si>
  <si>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</si>
  <si>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</si>
  <si>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</si>
  <si>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</si>
  <si>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</si>
  <si>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</si>
  <si>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</si>
  <si>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</si>
  <si>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</si>
  <si>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</si>
  <si>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</si>
  <si>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</si>
  <si>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</si>
  <si>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</si>
  <si>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</si>
  <si>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</si>
  <si>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</si>
  <si>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</si>
  <si>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</si>
  <si>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</si>
  <si>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</si>
  <si>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</si>
  <si>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</si>
  <si>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</si>
  <si>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</si>
  <si>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</si>
  <si>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</si>
  <si>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</si>
  <si>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</si>
  <si>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</si>
  <si>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</si>
  <si>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</si>
  <si>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</si>
  <si>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</si>
  <si>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</si>
  <si>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</si>
  <si>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</si>
  <si>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</si>
  <si>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</si>
  <si>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</si>
  <si>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</si>
  <si>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</si>
  <si>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</si>
  <si>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</si>
  <si>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</si>
  <si>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</si>
  <si>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</si>
  <si>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</si>
  <si>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</si>
  <si>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</si>
  <si>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</si>
  <si>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</si>
  <si>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</si>
  <si>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</si>
  <si>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</si>
  <si>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</si>
  <si>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</si>
  <si>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</si>
  <si>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</si>
  <si>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</si>
  <si>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</si>
  <si>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</si>
  <si>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</si>
  <si>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</si>
  <si>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</si>
  <si>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</si>
  <si>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</si>
  <si>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</si>
  <si>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</si>
  <si>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</si>
  <si>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</si>
  <si>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</si>
  <si>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</si>
  <si>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</si>
  <si>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</si>
  <si>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</si>
  <si>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</si>
  <si>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</si>
  <si>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</si>
  <si>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</si>
  <si>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</si>
  <si>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</si>
  <si>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</si>
  <si>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</si>
  <si>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</si>
  <si>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</si>
  <si>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</si>
  <si>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</si>
  <si>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</si>
  <si>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</si>
  <si>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</si>
  <si>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</si>
  <si>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</si>
  <si>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</si>
  <si>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</si>
  <si>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</si>
  <si>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</si>
  <si>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</si>
  <si>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</si>
  <si>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</si>
  <si>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</si>
  <si>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</si>
  <si>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</si>
  <si>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</si>
  <si>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</si>
  <si>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</si>
  <si>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</si>
  <si>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</si>
  <si>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</si>
  <si>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</si>
  <si>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</si>
  <si>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</si>
  <si>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</si>
  <si>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</si>
  <si>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</si>
  <si>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</si>
  <si>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</si>
  <si>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</si>
  <si>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</si>
  <si>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</si>
  <si>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</si>
  <si>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</si>
  <si>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</si>
  <si>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</si>
  <si>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</si>
  <si>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</si>
  <si>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</si>
  <si>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</si>
  <si>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</si>
  <si>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</si>
  <si>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</si>
  <si>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</si>
  <si>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</si>
  <si>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</si>
  <si>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</si>
  <si>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</si>
  <si>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</si>
  <si>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</si>
  <si>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</si>
  <si>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</si>
  <si>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</si>
  <si>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</si>
  <si>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</si>
  <si>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</si>
  <si>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</si>
  <si>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</si>
  <si>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</si>
  <si>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</si>
  <si>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</si>
  <si>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</si>
  <si>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</si>
  <si>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</si>
  <si>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</si>
  <si>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</si>
  <si>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</si>
  <si>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</si>
  <si>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</si>
  <si>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</si>
  <si>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</si>
  <si>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</si>
  <si>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</si>
  <si>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</si>
  <si>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</si>
  <si>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</si>
  <si>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</si>
  <si>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</si>
  <si>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</si>
  <si>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</si>
  <si>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</si>
  <si>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</si>
  <si>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</si>
  <si>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</si>
  <si>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</si>
  <si>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</si>
  <si>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</si>
  <si>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</si>
  <si>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</si>
  <si>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</si>
  <si>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</si>
  <si>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</si>
  <si>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</si>
  <si>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</si>
  <si>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</si>
  <si>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</si>
  <si>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</si>
  <si>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</si>
  <si>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</si>
  <si>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</si>
  <si>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</si>
  <si>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</si>
  <si>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</si>
  <si>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</si>
  <si>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</si>
  <si>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</si>
  <si>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</si>
  <si>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</si>
  <si>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</si>
  <si>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</si>
  <si>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</si>
  <si>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</si>
  <si>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</si>
  <si>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</si>
  <si>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</si>
  <si>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</si>
  <si>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</si>
  <si>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</si>
  <si>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</si>
  <si>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</si>
  <si>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</si>
  <si>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</si>
  <si>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</si>
  <si>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</si>
  <si>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</si>
  <si>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</si>
  <si>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</si>
  <si>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</si>
  <si>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</si>
  <si>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</si>
  <si>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</si>
  <si>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</si>
  <si>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</si>
  <si>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</si>
  <si>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</si>
  <si>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</si>
  <si>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</si>
  <si>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</si>
  <si>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</si>
  <si>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</si>
  <si>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</si>
  <si>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</si>
  <si>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</si>
  <si>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</si>
  <si>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</si>
  <si>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</si>
  <si>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</si>
  <si>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</si>
  <si>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</si>
  <si>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</si>
  <si>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</si>
  <si>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</si>
  <si>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</si>
  <si>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</si>
  <si>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</si>
  <si>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</si>
  <si>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</si>
  <si>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</si>
  <si>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</si>
  <si>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</si>
  <si>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</si>
  <si>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</si>
  <si>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</si>
  <si>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</si>
  <si>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</si>
  <si>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</si>
  <si>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</si>
  <si>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</si>
  <si>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</si>
  <si>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</si>
  <si>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</si>
  <si>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</si>
  <si>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</si>
  <si>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</si>
  <si>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</si>
  <si>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</si>
  <si>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</si>
  <si>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</si>
  <si>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</si>
  <si>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</si>
  <si>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</si>
  <si>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</si>
  <si>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</si>
  <si>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</si>
  <si>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</si>
  <si>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</si>
  <si>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</si>
  <si>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</si>
  <si>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</si>
  <si>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</si>
  <si>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</si>
  <si>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</si>
  <si>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</si>
  <si>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</si>
  <si>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</si>
  <si>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</si>
  <si>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</si>
  <si>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</si>
  <si>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</si>
  <si>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</si>
  <si>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</si>
  <si>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</si>
  <si>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</si>
  <si>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</si>
  <si>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</si>
  <si>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</si>
  <si>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</si>
  <si>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</si>
  <si>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</si>
  <si>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</si>
  <si>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</si>
  <si>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</si>
  <si>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</si>
  <si>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</si>
  <si>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</si>
  <si>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</si>
  <si>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</si>
  <si>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</si>
  <si>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</si>
  <si>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</si>
  <si>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</si>
  <si>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</si>
  <si>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</si>
  <si>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</si>
  <si>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</si>
  <si>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</si>
  <si>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</si>
  <si>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</si>
  <si>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</si>
  <si>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</si>
  <si>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</si>
  <si>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</si>
  <si>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</si>
  <si>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</si>
  <si>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</si>
  <si>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</si>
  <si>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</si>
  <si>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</si>
  <si>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</si>
  <si>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</si>
  <si>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</si>
  <si>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</si>
  <si>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</si>
  <si>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</si>
  <si>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</si>
  <si>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</si>
  <si>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</si>
  <si>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</si>
  <si>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</si>
  <si>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</si>
  <si>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</si>
  <si>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</si>
  <si>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</si>
  <si>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</si>
  <si>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</si>
  <si>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</si>
  <si>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</si>
  <si>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</si>
  <si>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</si>
  <si>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</si>
  <si>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</si>
  <si>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</si>
  <si>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</si>
  <si>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</si>
  <si>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</si>
  <si>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</si>
  <si>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</si>
  <si>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</si>
  <si>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</si>
  <si>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</si>
  <si>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</si>
  <si>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</si>
  <si>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</si>
  <si>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</si>
  <si>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</si>
  <si>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</si>
  <si>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</si>
  <si>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</si>
  <si>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</si>
  <si>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</si>
  <si>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</si>
  <si>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</si>
  <si>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</si>
  <si>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</si>
  <si>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</si>
  <si>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</si>
  <si>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</si>
  <si>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</si>
  <si>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</si>
  <si>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</si>
  <si>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</si>
  <si>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</si>
  <si>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</si>
  <si>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</si>
  <si>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</si>
  <si>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</si>
  <si>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</si>
  <si>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</si>
  <si>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</si>
  <si>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</si>
  <si>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</si>
  <si>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</si>
  <si>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</si>
  <si>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</si>
  <si>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</si>
  <si>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</si>
  <si>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</si>
  <si>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</si>
  <si>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</si>
  <si>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</si>
  <si>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</si>
  <si>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</si>
  <si>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</si>
  <si>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</si>
  <si>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</si>
  <si>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</si>
  <si>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</si>
  <si>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</si>
  <si>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</si>
  <si>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</si>
  <si>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</si>
  <si>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</si>
  <si>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</si>
  <si>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</si>
  <si>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</si>
  <si>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</si>
  <si>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</si>
  <si>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</si>
  <si>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</si>
  <si>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</si>
  <si>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</si>
  <si>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</si>
  <si>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</si>
  <si>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</si>
  <si>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</si>
  <si>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</si>
  <si>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</si>
  <si>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</si>
  <si>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</si>
  <si>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</si>
  <si>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</si>
  <si>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</si>
  <si>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</si>
  <si>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</si>
  <si>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</si>
  <si>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</si>
  <si>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</si>
  <si>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</si>
  <si>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</si>
  <si>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</si>
  <si>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</si>
  <si>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</si>
  <si>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</si>
  <si>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</si>
  <si>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</si>
  <si>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</si>
  <si>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</si>
  <si>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</si>
  <si>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</si>
  <si>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</si>
  <si>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</si>
  <si>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</si>
  <si>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</si>
  <si>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</si>
  <si>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</si>
  <si>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</si>
  <si>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</si>
  <si>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</si>
  <si>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</si>
  <si>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</si>
  <si>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</si>
  <si>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</si>
  <si>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</si>
  <si>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</si>
  <si>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</si>
  <si>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</si>
  <si>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</si>
  <si>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</si>
  <si>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</si>
  <si>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</si>
  <si>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</si>
  <si>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</si>
  <si>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</si>
  <si>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</si>
  <si>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</si>
  <si>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</si>
  <si>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</si>
  <si>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</si>
  <si>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</si>
  <si>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</si>
  <si>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</si>
  <si>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</si>
  <si>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</si>
  <si>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</si>
  <si>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</si>
  <si>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</si>
  <si>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</si>
  <si>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</si>
  <si>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</si>
  <si>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</si>
  <si>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</si>
  <si>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</si>
  <si>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</si>
  <si>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</si>
  <si>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</si>
  <si>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</si>
  <si>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</si>
  <si>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</si>
  <si>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</si>
  <si>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</si>
  <si>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</si>
  <si>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</si>
  <si>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</si>
  <si>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</si>
  <si>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</si>
  <si>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</si>
  <si>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</si>
  <si>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</si>
  <si>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</si>
  <si>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</si>
  <si>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</si>
  <si>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</si>
  <si>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</si>
  <si>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</si>
  <si>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</si>
  <si>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</si>
  <si>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</si>
  <si>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</si>
  <si>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</si>
  <si>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</si>
  <si>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</si>
  <si>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</si>
  <si>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</si>
  <si>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</si>
  <si>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</si>
  <si>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</si>
  <si>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</si>
  <si>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</si>
  <si>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</si>
  <si>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</si>
  <si>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</si>
  <si>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</si>
  <si>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</si>
  <si>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</si>
  <si>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</si>
  <si>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</si>
  <si>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</si>
  <si>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</si>
  <si>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</si>
  <si>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</si>
  <si>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</si>
  <si>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</si>
  <si>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</si>
  <si>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</si>
  <si>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</si>
  <si>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</si>
  <si>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</si>
  <si>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</si>
  <si>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</si>
  <si>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</si>
  <si>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</si>
  <si>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</si>
  <si>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</si>
  <si>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</si>
  <si>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</si>
  <si>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</si>
  <si>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</si>
  <si>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</si>
  <si>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</si>
  <si>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</si>
  <si>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</si>
  <si>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</si>
  <si>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</si>
  <si>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</si>
  <si>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</si>
  <si>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</si>
  <si>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</si>
  <si>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</si>
  <si>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</si>
  <si>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</si>
  <si>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</si>
  <si>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</si>
  <si>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</si>
  <si>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</si>
  <si>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</si>
  <si>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</si>
  <si>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</si>
  <si>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</si>
  <si>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</si>
  <si>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</si>
  <si>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</si>
  <si>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</si>
  <si>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</si>
  <si>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</si>
  <si>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</si>
  <si>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</si>
  <si>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</si>
  <si>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</si>
  <si>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</si>
  <si>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</si>
  <si>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</si>
  <si>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</si>
  <si>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</si>
  <si>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</si>
  <si>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</si>
  <si>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</si>
  <si>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</si>
  <si>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</si>
  <si>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</si>
  <si>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</si>
  <si>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</si>
  <si>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</si>
  <si>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</si>
  <si>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</si>
  <si>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</si>
  <si>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</si>
  <si>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</si>
  <si>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</si>
  <si>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</si>
  <si>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</si>
  <si>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</si>
  <si>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</si>
  <si>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</si>
  <si>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</si>
  <si>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</si>
  <si>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</si>
  <si>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</si>
  <si>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</si>
  <si>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</si>
  <si>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</si>
  <si>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</si>
  <si>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</si>
  <si>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</si>
  <si>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</si>
  <si>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</si>
  <si>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</si>
  <si>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</si>
  <si>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</si>
  <si>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</si>
  <si>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</si>
  <si>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</si>
  <si>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</si>
  <si>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</si>
  <si>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</si>
  <si>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</si>
  <si>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</si>
  <si>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</si>
  <si>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</si>
  <si>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</si>
  <si>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</si>
  <si>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</si>
  <si>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</si>
  <si>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</si>
  <si>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</si>
  <si>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</si>
  <si>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</si>
  <si>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</si>
  <si>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</si>
  <si>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</si>
  <si>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</si>
  <si>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</si>
  <si>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</si>
  <si>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</si>
  <si>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</si>
  <si>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</si>
  <si>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</si>
  <si>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</si>
  <si>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</si>
  <si>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</si>
  <si>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</si>
  <si>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</si>
  <si>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</si>
  <si>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</si>
  <si>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</si>
  <si>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</si>
  <si>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</si>
  <si>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</si>
  <si>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</si>
  <si>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</si>
  <si>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</si>
  <si>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</si>
  <si>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</si>
  <si>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</si>
  <si>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</si>
  <si>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</si>
  <si>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</si>
  <si>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</si>
  <si>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</si>
  <si>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</si>
  <si>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</si>
  <si>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</si>
  <si>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</si>
  <si>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</si>
  <si>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</si>
  <si>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</si>
  <si>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</si>
  <si>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</si>
  <si>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</si>
  <si>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</si>
  <si>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</si>
  <si>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</si>
  <si>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</si>
  <si>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</si>
  <si>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</si>
  <si>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</si>
  <si>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</si>
  <si>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</si>
  <si>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</si>
  <si>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</si>
  <si>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</si>
  <si>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</si>
  <si>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</si>
  <si>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</si>
  <si>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</si>
  <si>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</si>
  <si>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</si>
  <si>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</si>
  <si>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</si>
  <si>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</si>
  <si>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</si>
  <si>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</si>
  <si>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</si>
  <si>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</si>
  <si>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</si>
  <si>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</si>
  <si>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</si>
  <si>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</si>
  <si>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</si>
  <si>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</si>
  <si>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</si>
  <si>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</si>
  <si>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</si>
  <si>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</si>
  <si>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</si>
  <si>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</si>
  <si>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</si>
  <si>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</si>
  <si>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</si>
  <si>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</si>
  <si>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</si>
  <si>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</si>
  <si>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</si>
  <si>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</si>
  <si>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</si>
  <si>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</si>
  <si>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</si>
  <si>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</si>
  <si>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</si>
  <si>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</si>
  <si>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</si>
  <si>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</si>
  <si>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</si>
  <si>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</si>
  <si>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</si>
  <si>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</si>
  <si>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</si>
  <si>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</si>
  <si>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</si>
  <si>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</si>
  <si>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</si>
  <si>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</si>
  <si>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</si>
  <si>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</si>
  <si>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</si>
  <si>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</si>
  <si>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</si>
  <si>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</si>
  <si>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</si>
  <si>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</si>
  <si>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</si>
  <si>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</si>
  <si>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</si>
  <si>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</si>
  <si>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</si>
  <si>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</si>
  <si>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</si>
  <si>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</si>
  <si>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</si>
  <si>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</si>
  <si>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</si>
  <si>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</si>
  <si>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</si>
  <si>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</si>
  <si>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</si>
  <si>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</si>
  <si>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</si>
  <si>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</si>
  <si>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</si>
  <si>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</si>
  <si>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</si>
  <si>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</si>
  <si>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</si>
  <si>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</si>
  <si>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</si>
  <si>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</si>
  <si>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</si>
  <si>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</si>
  <si>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</si>
  <si>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</si>
  <si>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</si>
  <si>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</si>
  <si>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</si>
  <si>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</si>
  <si>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</si>
  <si>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</si>
  <si>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</si>
  <si>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</si>
  <si>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</si>
  <si>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</si>
  <si>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</si>
  <si>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</si>
  <si>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</si>
  <si>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</si>
  <si>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</si>
  <si>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</si>
  <si>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</si>
  <si>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</si>
  <si>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</si>
  <si>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</si>
  <si>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</si>
  <si>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</si>
  <si>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</si>
  <si>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</si>
  <si>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</si>
  <si>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</si>
  <si>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</si>
  <si>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</si>
  <si>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</si>
  <si>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</si>
  <si>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</si>
  <si>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</si>
  <si>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</si>
  <si>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</si>
  <si>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</si>
  <si>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</si>
  <si>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</si>
  <si>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</si>
  <si>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</si>
  <si>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</si>
  <si>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</si>
  <si>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</si>
  <si>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</si>
  <si>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</si>
  <si>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</si>
  <si>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</si>
  <si>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</si>
  <si>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</si>
  <si>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</si>
  <si>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</si>
  <si>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</si>
  <si>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</si>
  <si>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</si>
  <si>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</si>
  <si>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</si>
  <si>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</si>
  <si>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</si>
  <si>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</si>
  <si>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</si>
  <si>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</si>
  <si>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</si>
  <si>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</si>
  <si>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</si>
  <si>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</si>
  <si>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</si>
  <si>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</si>
  <si>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</si>
  <si>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</si>
  <si>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</si>
  <si>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</si>
  <si>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</si>
  <si>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</si>
  <si>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</si>
  <si>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</si>
  <si>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</si>
  <si>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</si>
  <si>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</si>
  <si>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</si>
  <si>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</si>
  <si>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</si>
  <si>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</si>
  <si>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</si>
  <si>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</si>
  <si>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</si>
  <si>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</si>
  <si>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</si>
  <si>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</si>
  <si>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</si>
  <si>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</si>
  <si>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</si>
  <si>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</si>
  <si>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</si>
  <si>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</si>
  <si>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</si>
  <si>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</si>
  <si>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</si>
  <si>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</si>
  <si>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</si>
  <si>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</si>
  <si>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</si>
  <si>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</si>
  <si>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</si>
  <si>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</si>
  <si>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</si>
  <si>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</si>
  <si>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</si>
  <si>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</si>
  <si>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</si>
  <si>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</si>
  <si>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</si>
  <si>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</si>
  <si>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</si>
  <si>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</si>
  <si>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</si>
  <si>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</si>
  <si>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</si>
  <si>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</si>
  <si>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</si>
  <si>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</si>
  <si>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</si>
  <si>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</si>
  <si>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</si>
  <si>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</si>
  <si>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</si>
  <si>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</si>
  <si>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</si>
  <si>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</si>
  <si>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</si>
  <si>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</si>
  <si>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</si>
  <si>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</si>
  <si>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</si>
  <si>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</si>
  <si>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</si>
  <si>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</si>
  <si>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</si>
  <si>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</si>
  <si>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</si>
  <si>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</si>
  <si>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</si>
  <si>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</si>
  <si>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</si>
  <si>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</si>
  <si>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</si>
  <si>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</si>
  <si>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</si>
  <si>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</si>
  <si>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</si>
  <si>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</si>
  <si>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</si>
  <si>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</si>
  <si>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</si>
  <si>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</si>
  <si>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</si>
  <si>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</si>
  <si>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</si>
  <si>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</si>
  <si>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</si>
  <si>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</si>
  <si>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</si>
  <si>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</si>
  <si>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</si>
  <si>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</si>
  <si>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</si>
  <si>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</si>
  <si>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</si>
  <si>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</si>
  <si>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</si>
  <si>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</si>
  <si>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</si>
  <si>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</si>
  <si>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</si>
  <si>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</si>
  <si>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</si>
  <si>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</si>
  <si>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</si>
  <si>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</si>
  <si>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</si>
  <si>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</si>
  <si>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</si>
  <si>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</si>
  <si>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</si>
  <si>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</si>
  <si>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</si>
  <si>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</si>
  <si>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</si>
  <si>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</si>
  <si>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</si>
  <si>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</si>
  <si>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</si>
  <si>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</si>
  <si>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</si>
  <si>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</si>
  <si>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</si>
  <si>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</si>
  <si>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</si>
  <si>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</si>
  <si>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</si>
  <si>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</si>
  <si>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</si>
  <si>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</si>
  <si>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</si>
  <si>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</si>
  <si>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</si>
  <si>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</si>
  <si>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</si>
  <si>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</si>
  <si>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</si>
  <si>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</si>
  <si>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</si>
  <si>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</si>
  <si>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</si>
  <si>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</si>
  <si>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</si>
  <si>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</si>
  <si>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</si>
  <si>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</si>
  <si>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</si>
  <si>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</si>
  <si>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</si>
  <si>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</si>
  <si>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</si>
  <si>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</si>
  <si>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</si>
  <si>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</si>
  <si>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</si>
  <si>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</si>
  <si>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</si>
  <si>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</si>
  <si>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</si>
  <si>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</si>
  <si>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</si>
  <si>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</si>
  <si>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</si>
  <si>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</si>
  <si>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</si>
  <si>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</si>
  <si>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</si>
  <si>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</si>
  <si>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</si>
  <si>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</si>
  <si>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</si>
  <si>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</si>
  <si>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</si>
  <si>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</si>
  <si>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</si>
  <si>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</si>
  <si>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</si>
  <si>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</si>
  <si>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</si>
  <si>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</si>
  <si>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</si>
  <si>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</si>
  <si>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</si>
  <si>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</si>
  <si>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</si>
  <si>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</si>
  <si>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</si>
  <si>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</si>
  <si>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</si>
  <si>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</si>
  <si>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</si>
  <si>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</si>
  <si>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</si>
  <si>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</si>
  <si>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</si>
  <si>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</si>
  <si>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</si>
  <si>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</si>
  <si>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</si>
  <si>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</si>
  <si>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</si>
  <si>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</si>
  <si>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</si>
  <si>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</si>
  <si>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</si>
  <si>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</si>
  <si>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</si>
  <si>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</si>
  <si>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</si>
  <si>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</si>
  <si>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</si>
  <si>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</si>
  <si>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</si>
  <si>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</si>
  <si>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</si>
  <si>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</si>
  <si>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</si>
  <si>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</si>
  <si>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</si>
  <si>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</si>
  <si>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</si>
  <si>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</si>
  <si>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</si>
  <si>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</si>
  <si>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</si>
  <si>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</si>
  <si>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</si>
  <si>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</si>
  <si>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</si>
  <si>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</si>
  <si>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</si>
  <si>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</si>
  <si>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</si>
  <si>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</si>
  <si>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</si>
  <si>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</si>
  <si>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</si>
  <si>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</si>
  <si>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</si>
  <si>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</si>
  <si>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</si>
  <si>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</si>
  <si>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</si>
  <si>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</si>
  <si>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</si>
  <si>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</si>
  <si>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</si>
  <si>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</si>
  <si>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</si>
  <si>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</si>
  <si>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</si>
  <si>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</si>
  <si>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</si>
  <si>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</si>
  <si>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</si>
  <si>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</si>
  <si>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</si>
  <si>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</si>
  <si>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</si>
  <si>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</si>
  <si>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</si>
  <si>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</si>
  <si>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</si>
  <si>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</si>
  <si>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</si>
  <si>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</si>
  <si>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</si>
  <si>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</si>
  <si>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</si>
  <si>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</si>
  <si>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</si>
  <si>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</si>
  <si>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</si>
  <si>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</si>
  <si>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</si>
  <si>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</si>
  <si>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</si>
  <si>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</si>
  <si>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</si>
  <si>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</si>
  <si>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</si>
  <si>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</si>
  <si>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</si>
  <si>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</si>
  <si>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</si>
  <si>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</si>
  <si>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</si>
  <si>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</si>
  <si>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</si>
  <si>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</si>
  <si>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</si>
  <si>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</si>
  <si>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</si>
  <si>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</si>
  <si>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</si>
  <si>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</si>
  <si>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</si>
  <si>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</si>
  <si>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</si>
  <si>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</si>
  <si>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</si>
  <si>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</si>
  <si>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</si>
  <si>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</si>
  <si>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</si>
  <si>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</si>
  <si>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</si>
  <si>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</si>
  <si>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</si>
  <si>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</si>
  <si>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</si>
  <si>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</si>
  <si>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</si>
  <si>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</si>
  <si>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</si>
  <si>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</si>
  <si>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</si>
  <si>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</si>
  <si>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</si>
  <si>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</si>
  <si>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</si>
  <si>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</si>
  <si>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</si>
  <si>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</si>
  <si>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</si>
  <si>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</si>
  <si>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</si>
  <si>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</si>
  <si>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</si>
  <si>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</si>
  <si>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</si>
  <si>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</si>
  <si>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</si>
  <si>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</si>
  <si>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</si>
  <si>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</si>
  <si>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</si>
  <si>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</si>
  <si>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</si>
  <si>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</si>
  <si>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</si>
  <si>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</si>
  <si>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</si>
  <si>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</si>
  <si>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</si>
  <si>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</si>
  <si>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</si>
  <si>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</si>
  <si>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</si>
  <si>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</si>
  <si>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</si>
  <si>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</si>
  <si>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</si>
  <si>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</si>
  <si>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</si>
  <si>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</si>
  <si>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</si>
  <si>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</si>
  <si>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</si>
  <si>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</si>
  <si>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</si>
  <si>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</si>
  <si>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</si>
  <si>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</si>
  <si>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</si>
  <si>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</si>
  <si>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</si>
  <si>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</si>
  <si>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</si>
  <si>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</si>
  <si>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</si>
  <si>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</si>
  <si>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</si>
  <si>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</si>
  <si>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</si>
  <si>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</si>
  <si>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</si>
  <si>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</si>
  <si>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</si>
  <si>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</si>
  <si>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</si>
  <si>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</si>
  <si>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</si>
  <si>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</si>
  <si>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</si>
  <si>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</si>
  <si>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</si>
  <si>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</si>
  <si>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</si>
  <si>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</si>
  <si>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</si>
  <si>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</si>
  <si>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</si>
  <si>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</si>
  <si>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</si>
  <si>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</si>
  <si>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</si>
  <si>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</si>
  <si>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</si>
  <si>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</si>
  <si>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</si>
  <si>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</si>
  <si>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</si>
  <si>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</si>
  <si>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</si>
  <si>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</si>
  <si>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</si>
  <si>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</si>
  <si>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</si>
  <si>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</si>
  <si>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</si>
  <si>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</si>
  <si>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</si>
  <si>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</si>
  <si>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</si>
  <si>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</si>
  <si>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</si>
  <si>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</si>
  <si>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</si>
  <si>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</si>
  <si>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</si>
  <si>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</si>
  <si>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</si>
  <si>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</si>
  <si>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</si>
  <si>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</si>
  <si>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</si>
  <si>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</si>
  <si>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</si>
  <si>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</si>
  <si>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</si>
  <si>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</si>
  <si>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</si>
  <si>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</si>
  <si>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</si>
  <si>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</si>
  <si>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</si>
  <si>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</si>
  <si>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</si>
  <si>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</si>
  <si>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</si>
  <si>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</si>
  <si>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</si>
  <si>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</si>
  <si>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</si>
  <si>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</si>
  <si>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</si>
  <si>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</si>
  <si>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</si>
  <si>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</si>
  <si>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</si>
  <si>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</si>
  <si>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</si>
  <si>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</si>
  <si>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</si>
  <si>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</si>
  <si>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</si>
  <si>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</si>
  <si>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</si>
  <si>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</si>
  <si>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</si>
  <si>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</si>
  <si>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</si>
  <si>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</si>
  <si>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</si>
  <si>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</si>
  <si>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</si>
  <si>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</si>
  <si>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</si>
  <si>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</si>
  <si>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</si>
  <si>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</si>
  <si>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</si>
  <si>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</si>
  <si>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</si>
  <si>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</si>
  <si>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</si>
  <si>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</si>
  <si>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</si>
  <si>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</si>
  <si>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</si>
  <si>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</si>
  <si>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</si>
  <si>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</si>
  <si>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</si>
  <si>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</si>
  <si>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</si>
  <si>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</si>
  <si>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</si>
  <si>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</si>
  <si>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</si>
  <si>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</si>
  <si>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</si>
  <si>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</si>
  <si>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</si>
  <si>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</si>
  <si>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</si>
  <si>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</si>
  <si>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</si>
  <si>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</si>
  <si>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</si>
  <si>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</si>
  <si>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</si>
  <si>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</si>
  <si>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</si>
  <si>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</si>
  <si>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</si>
  <si>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</si>
  <si>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</si>
  <si>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</si>
  <si>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</si>
  <si>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</si>
  <si>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</si>
  <si>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</si>
  <si>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</si>
  <si>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</si>
  <si>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</si>
  <si>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</si>
  <si>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</si>
  <si>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</si>
  <si>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</si>
  <si>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</si>
  <si>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</si>
  <si>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</si>
  <si>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</si>
  <si>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</si>
  <si>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</si>
  <si>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</si>
  <si>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</si>
  <si>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</si>
  <si>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</si>
  <si>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</si>
  <si>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</si>
  <si>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</si>
  <si>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</si>
  <si>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</si>
  <si>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</si>
  <si>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</si>
  <si>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</si>
  <si>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</si>
  <si>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</si>
  <si>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</si>
  <si>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</si>
  <si>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</si>
  <si>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</si>
  <si>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</si>
  <si>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</si>
  <si>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</si>
  <si>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</si>
  <si>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</si>
  <si>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</si>
  <si>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</si>
  <si>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</si>
  <si>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</si>
  <si>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</si>
  <si>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</si>
  <si>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</si>
  <si>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</si>
  <si>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</si>
  <si>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</si>
  <si>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</si>
  <si>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</si>
  <si>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</si>
  <si>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</si>
  <si>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</si>
  <si>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</si>
  <si>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</si>
  <si>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</si>
  <si>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</si>
  <si>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</si>
  <si>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</si>
  <si>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</si>
  <si>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</si>
  <si>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</si>
  <si>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</si>
  <si>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</si>
  <si>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</si>
  <si>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</si>
  <si>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</si>
  <si>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</si>
  <si>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</si>
  <si>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</si>
  <si>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</si>
  <si>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</si>
  <si>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</si>
  <si>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</si>
  <si>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</si>
  <si>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</si>
  <si>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</si>
  <si>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</si>
  <si>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</si>
  <si>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</si>
  <si>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</si>
  <si>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</si>
  <si>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</si>
  <si>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</si>
  <si>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</si>
  <si>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</si>
  <si>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</si>
  <si>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</si>
  <si>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</si>
  <si>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</si>
  <si>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</si>
  <si>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</si>
  <si>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</si>
  <si>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</si>
  <si>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</si>
  <si>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</si>
  <si>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</si>
  <si>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</si>
  <si>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</si>
  <si>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</si>
  <si>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</si>
  <si>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</si>
  <si>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</si>
  <si>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</si>
  <si>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</si>
  <si>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</si>
  <si>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</si>
  <si>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</si>
  <si>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</si>
  <si>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</si>
  <si>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</si>
  <si>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</si>
  <si>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</si>
  <si>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</si>
  <si>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</si>
  <si>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</si>
  <si>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</si>
  <si>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</si>
  <si>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</si>
  <si>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</si>
  <si>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</si>
  <si>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</si>
  <si>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</si>
  <si>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</si>
  <si>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</si>
  <si>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</si>
  <si>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</si>
  <si>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</si>
  <si>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</si>
  <si>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</si>
  <si>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</si>
  <si>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</si>
  <si>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</si>
  <si>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</si>
  <si>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</si>
  <si>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</si>
  <si>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</si>
  <si>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</si>
  <si>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</si>
  <si>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</si>
  <si>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</si>
  <si>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</si>
  <si>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</si>
  <si>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</si>
  <si>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</si>
  <si>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</si>
  <si>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</si>
  <si>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</si>
  <si>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</si>
  <si>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</si>
  <si>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</si>
  <si>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</si>
  <si>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</si>
  <si>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</si>
  <si>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</si>
  <si>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</si>
  <si>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</si>
  <si>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</si>
  <si>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</si>
  <si>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</si>
  <si>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</si>
  <si>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</si>
  <si>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</si>
  <si>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</si>
  <si>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</si>
  <si>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</si>
  <si>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</si>
  <si>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</si>
  <si>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</si>
  <si>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</si>
  <si>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</si>
  <si>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</si>
  <si>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</si>
  <si>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</si>
  <si>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</si>
  <si>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</si>
  <si>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</si>
  <si>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</si>
  <si>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</si>
  <si>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</si>
  <si>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</si>
  <si>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</si>
  <si>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</si>
  <si>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</si>
  <si>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</si>
  <si>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</si>
  <si>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</si>
  <si>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</si>
  <si>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</si>
  <si>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</si>
  <si>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</si>
  <si>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</si>
  <si>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</si>
  <si>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</si>
  <si>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</si>
  <si>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</si>
  <si>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</si>
  <si>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</si>
  <si>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</si>
  <si>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</si>
  <si>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</si>
  <si>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</si>
  <si>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</si>
  <si>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</si>
  <si>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</si>
  <si>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</si>
  <si>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</si>
  <si>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</si>
  <si>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</si>
  <si>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</si>
  <si>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</si>
  <si>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</si>
  <si>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</si>
  <si>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</si>
  <si>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</si>
  <si>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</si>
  <si>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</si>
  <si>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</si>
  <si>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</si>
  <si>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</si>
  <si>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</si>
  <si>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</si>
  <si>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</si>
  <si>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</si>
  <si>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</si>
  <si>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</si>
  <si>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</si>
  <si>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</si>
  <si>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</si>
  <si>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</si>
  <si>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</si>
  <si>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</si>
  <si>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</si>
  <si>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</si>
  <si>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</si>
  <si>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</si>
  <si>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</si>
  <si>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</si>
  <si>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</si>
  <si>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</si>
  <si>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</si>
  <si>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</si>
  <si>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</si>
  <si>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</si>
  <si>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</si>
  <si>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</si>
  <si>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</si>
  <si>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</si>
  <si>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</si>
  <si>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</si>
  <si>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</si>
  <si>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</si>
  <si>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</si>
  <si>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</si>
  <si>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</si>
  <si>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</si>
  <si>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</si>
  <si>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</si>
  <si>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</si>
  <si>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</si>
  <si>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</si>
  <si>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</si>
  <si>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</si>
  <si>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</si>
  <si>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</si>
  <si>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</si>
  <si>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</si>
  <si>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</si>
  <si>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</si>
  <si>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</si>
  <si>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</si>
  <si>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</si>
  <si>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</si>
  <si>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</si>
  <si>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</si>
  <si>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</si>
  <si>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</si>
  <si>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</si>
  <si>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</si>
  <si>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</si>
  <si>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</si>
  <si>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</si>
  <si>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</si>
  <si>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</si>
  <si>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</si>
  <si>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</si>
  <si>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</si>
  <si>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</si>
  <si>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</si>
  <si>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</si>
  <si>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</si>
  <si>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</si>
  <si>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</si>
  <si>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</si>
  <si>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</si>
  <si>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</si>
  <si>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</si>
  <si>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</si>
  <si>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</si>
  <si>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</si>
  <si>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</si>
  <si>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</si>
  <si>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</si>
  <si>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</si>
  <si>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</si>
  <si>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</si>
  <si>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</si>
  <si>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</si>
  <si>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</si>
  <si>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</si>
  <si>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</si>
  <si>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</si>
  <si>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</si>
  <si>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</si>
  <si>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</si>
  <si>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</si>
  <si>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</si>
  <si>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</si>
  <si>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</si>
  <si>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</si>
  <si>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</si>
  <si>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</si>
  <si>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</si>
  <si>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</si>
  <si>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</si>
  <si>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</si>
  <si>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</si>
  <si>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</si>
  <si>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</si>
  <si>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</si>
  <si>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</si>
  <si>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</si>
  <si>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</si>
  <si>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</si>
  <si>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</si>
  <si>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</si>
  <si>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</si>
  <si>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</si>
  <si>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</si>
  <si>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</si>
  <si>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</si>
  <si>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</si>
  <si>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</si>
  <si>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</si>
  <si>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</si>
  <si>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</si>
  <si>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</si>
  <si>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</si>
  <si>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</si>
  <si>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</si>
  <si>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</si>
  <si>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</si>
  <si>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</si>
  <si>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</si>
  <si>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</si>
  <si>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</si>
  <si>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</si>
  <si>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</si>
  <si>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</si>
  <si>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</si>
  <si>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</si>
  <si>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</si>
  <si>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</si>
  <si>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</si>
  <si>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</si>
  <si>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</si>
  <si>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</si>
  <si>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</si>
  <si>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</si>
  <si>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</si>
  <si>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</si>
  <si>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</si>
  <si>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</si>
  <si>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</si>
  <si>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</si>
  <si>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</si>
  <si>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</si>
  <si>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</si>
  <si>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</si>
  <si>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</si>
  <si>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</si>
  <si>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</si>
  <si>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</si>
  <si>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</si>
  <si>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</si>
  <si>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</si>
  <si>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</si>
  <si>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</si>
  <si>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</si>
  <si>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</si>
  <si>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</si>
  <si>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</si>
  <si>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</si>
  <si>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</si>
  <si>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</si>
  <si>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</si>
  <si>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</si>
  <si>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</si>
  <si>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</si>
  <si>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</si>
  <si>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</si>
  <si>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</si>
  <si>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</si>
  <si>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</si>
  <si>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</si>
  <si>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</si>
  <si>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</si>
  <si>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</si>
  <si>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</si>
  <si>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</si>
  <si>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</si>
  <si>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</si>
  <si>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</si>
  <si>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</si>
  <si>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</si>
  <si>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</si>
  <si>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</si>
  <si>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</si>
  <si>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</si>
  <si>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</si>
  <si>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</si>
  <si>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</si>
  <si>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</si>
  <si>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</si>
  <si>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</si>
  <si>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</si>
  <si>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</si>
  <si>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</si>
  <si>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</si>
  <si>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</si>
  <si>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</si>
  <si>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</si>
  <si>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</si>
  <si>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</si>
  <si>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</si>
  <si>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</si>
  <si>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</si>
  <si>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</si>
  <si>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</si>
  <si>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</si>
  <si>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</si>
  <si>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</si>
  <si>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</si>
  <si>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</si>
  <si>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</si>
  <si>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</si>
  <si>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</si>
  <si>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</si>
  <si>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</si>
  <si>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</si>
  <si>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</si>
  <si>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</si>
  <si>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</si>
  <si>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</si>
  <si>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</si>
  <si>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</si>
  <si>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</si>
  <si>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</si>
  <si>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</si>
  <si>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</si>
  <si>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</si>
  <si>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</si>
  <si>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</si>
  <si>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</si>
  <si>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</si>
  <si>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</si>
  <si>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</si>
  <si>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</si>
  <si>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</si>
  <si>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</si>
  <si>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</si>
  <si>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</si>
  <si>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</si>
  <si>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</si>
  <si>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</si>
  <si>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</si>
  <si>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</si>
  <si>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</si>
  <si>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</si>
  <si>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</si>
  <si>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</si>
  <si>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</si>
  <si>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</si>
  <si>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</si>
  <si>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</si>
  <si>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</si>
  <si>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</si>
  <si>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</si>
  <si>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</si>
  <si>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</si>
  <si>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</si>
  <si>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</si>
  <si>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</si>
  <si>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</si>
  <si>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</si>
  <si>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</si>
  <si>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</si>
  <si>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</si>
  <si>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</si>
  <si>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</si>
  <si>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</si>
  <si>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</si>
  <si>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</si>
  <si>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</si>
  <si>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</si>
  <si>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</si>
  <si>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</si>
  <si>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</si>
  <si>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</si>
  <si>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</si>
  <si>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</si>
  <si>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</si>
  <si>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</si>
  <si>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</si>
  <si>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</si>
  <si>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</si>
  <si>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</si>
  <si>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</si>
  <si>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</si>
  <si>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</si>
  <si>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</si>
  <si>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</si>
  <si>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</si>
  <si>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</si>
  <si>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</si>
  <si>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</si>
  <si>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</si>
  <si>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</si>
  <si>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</si>
  <si>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</si>
  <si>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</si>
  <si>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</si>
  <si>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</si>
  <si>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</si>
  <si>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</si>
  <si>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</si>
  <si>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</si>
  <si>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</si>
  <si>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</si>
  <si>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</si>
  <si>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</si>
  <si>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</si>
  <si>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</si>
  <si>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</si>
  <si>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</si>
  <si>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</si>
  <si>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</si>
  <si>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</si>
  <si>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</si>
  <si>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</si>
  <si>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</si>
  <si>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</si>
  <si>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</si>
  <si>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</si>
  <si>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</si>
  <si>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</si>
  <si>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</si>
  <si>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</si>
  <si>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</si>
  <si>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</si>
  <si>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</si>
  <si>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</si>
  <si>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</si>
  <si>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</si>
  <si>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</si>
  <si>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</si>
  <si>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</si>
  <si>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</si>
  <si>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</si>
  <si>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</si>
  <si>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</si>
  <si>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</si>
  <si>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</si>
  <si>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</si>
  <si>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</si>
  <si>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</si>
  <si>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</si>
  <si>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</si>
  <si>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</si>
  <si>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</si>
  <si>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</si>
  <si>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</si>
  <si>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</si>
  <si>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</si>
  <si>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</si>
  <si>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</si>
  <si>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</si>
  <si>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</si>
  <si>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</si>
  <si>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</si>
  <si>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</si>
  <si>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</si>
  <si>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</si>
  <si>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</si>
  <si>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</si>
  <si>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</si>
  <si>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</si>
  <si>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</si>
  <si>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</si>
  <si>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</si>
  <si>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</si>
  <si>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</si>
  <si>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</si>
  <si>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</si>
  <si>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</si>
  <si>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</si>
  <si>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</si>
  <si>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</si>
  <si>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</si>
  <si>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</si>
  <si>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</si>
  <si>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</si>
  <si>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</si>
  <si>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</si>
  <si>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</si>
  <si>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</si>
  <si>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</si>
  <si>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</si>
  <si>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</si>
  <si>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</si>
  <si>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</si>
  <si>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</si>
  <si>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</si>
  <si>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</si>
  <si>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</si>
  <si>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</si>
  <si>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</si>
  <si>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</si>
  <si>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</si>
  <si>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</si>
  <si>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</si>
  <si>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</si>
  <si>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</si>
  <si>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</si>
  <si>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</si>
  <si>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</si>
  <si>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</si>
  <si>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</si>
  <si>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</si>
  <si>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</si>
  <si>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</si>
  <si>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</si>
  <si>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</si>
  <si>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</si>
  <si>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</si>
  <si>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</si>
  <si>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</si>
  <si>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</si>
  <si>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</si>
  <si>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</si>
  <si>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</si>
  <si>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</si>
  <si>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</si>
  <si>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</si>
  <si>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</si>
  <si>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</si>
  <si>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</si>
  <si>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</si>
  <si>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</si>
  <si>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</si>
  <si>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</si>
  <si>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</si>
  <si>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</si>
  <si>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</si>
  <si>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</si>
  <si>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</si>
  <si>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</si>
  <si>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</si>
  <si>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</si>
  <si>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</si>
  <si>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</si>
  <si>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</si>
  <si>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</si>
  <si>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</si>
  <si>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</si>
  <si>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</si>
  <si>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</si>
  <si>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</si>
  <si>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</si>
  <si>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</si>
  <si>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</si>
  <si>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</si>
  <si>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</si>
  <si>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</si>
  <si>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</si>
  <si>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</si>
  <si>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</si>
  <si>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</si>
  <si>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</si>
  <si>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</si>
  <si>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</si>
  <si>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</si>
  <si>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</si>
  <si>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</si>
  <si>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</si>
  <si>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</si>
  <si>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</si>
  <si>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</si>
  <si>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</si>
  <si>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</si>
  <si>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</si>
  <si>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</si>
  <si>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</si>
  <si>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</si>
  <si>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</si>
  <si>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</si>
  <si>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</si>
  <si>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</si>
  <si>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</si>
  <si>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</si>
  <si>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</si>
  <si>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</si>
  <si>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</si>
  <si>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</si>
  <si>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</si>
  <si>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</si>
  <si>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</si>
  <si>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</si>
  <si>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</si>
  <si>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</si>
  <si>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</si>
  <si>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</si>
  <si>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</si>
  <si>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</si>
  <si>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</si>
  <si>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</si>
  <si>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</si>
  <si>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</si>
  <si>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</si>
  <si>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</si>
  <si>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</si>
  <si>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</si>
  <si>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</si>
  <si>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</si>
  <si>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</si>
  <si>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</si>
  <si>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</si>
  <si>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</si>
  <si>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</si>
  <si>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</si>
  <si>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</si>
  <si>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</si>
  <si>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</si>
  <si>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</si>
  <si>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</si>
  <si>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</si>
  <si>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</si>
  <si>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</si>
  <si>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</si>
  <si>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</si>
  <si>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</si>
  <si>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</si>
  <si>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</si>
  <si>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</si>
  <si>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</si>
  <si>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</si>
  <si>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</si>
  <si>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</si>
  <si>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</si>
  <si>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</si>
  <si>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</si>
  <si>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</si>
  <si>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</si>
  <si>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</si>
  <si>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</si>
  <si>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</si>
  <si>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</si>
  <si>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</si>
  <si>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</si>
  <si>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</si>
  <si>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</si>
  <si>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</si>
  <si>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</si>
  <si>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</si>
  <si>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</si>
  <si>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</si>
  <si>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</si>
  <si>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</si>
  <si>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</si>
  <si>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</si>
  <si>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</si>
  <si>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</si>
  <si>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</si>
  <si>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</si>
  <si>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</si>
  <si>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</si>
  <si>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</si>
  <si>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</si>
  <si>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</si>
  <si>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</si>
  <si>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</si>
  <si>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</si>
  <si>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</si>
  <si>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</si>
  <si>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</si>
  <si>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</si>
  <si>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</si>
  <si>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</si>
  <si>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</si>
  <si>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</si>
  <si>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</si>
  <si>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</si>
  <si>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</si>
  <si>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</si>
  <si>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</si>
  <si>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</si>
  <si>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</si>
  <si>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</si>
  <si>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</si>
  <si>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</si>
  <si>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</si>
  <si>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</si>
  <si>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</si>
  <si>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</si>
  <si>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</si>
  <si>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</si>
  <si>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</si>
  <si>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</si>
  <si>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</si>
  <si>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</si>
  <si>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</si>
  <si>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</si>
  <si>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</si>
  <si>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</si>
  <si>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</si>
  <si>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</si>
  <si>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</si>
  <si>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</si>
  <si>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</si>
  <si>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</si>
  <si>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</si>
  <si>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</si>
  <si>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</si>
  <si>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</si>
  <si>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</si>
  <si>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</si>
  <si>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</si>
  <si>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</si>
  <si>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</si>
  <si>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</si>
  <si>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</si>
  <si>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</si>
  <si>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</si>
  <si>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</si>
  <si>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</si>
  <si>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</si>
  <si>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</si>
  <si>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</si>
  <si>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</si>
  <si>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</si>
  <si>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</si>
  <si>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</si>
  <si>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</si>
  <si>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</si>
  <si>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</si>
  <si>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</si>
  <si>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</si>
  <si>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</si>
  <si>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</si>
  <si>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</si>
  <si>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</si>
  <si>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</si>
  <si>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</si>
  <si>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</si>
  <si>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</si>
  <si>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</si>
  <si>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</si>
  <si>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</si>
  <si>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</si>
  <si>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</si>
  <si>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</si>
  <si>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</si>
  <si>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</si>
  <si>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</si>
  <si>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</si>
  <si>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</si>
  <si>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</si>
  <si>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</si>
  <si>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</si>
  <si>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</si>
  <si>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</si>
  <si>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</si>
  <si>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</si>
  <si>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</si>
  <si>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</si>
  <si>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</si>
  <si>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</si>
  <si>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</si>
  <si>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</si>
  <si>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</si>
  <si>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</si>
  <si>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</si>
  <si>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</si>
  <si>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</si>
  <si>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</si>
  <si>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</si>
  <si>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</si>
  <si>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</si>
  <si>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</si>
  <si>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</si>
  <si>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</si>
  <si>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</si>
  <si>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</si>
  <si>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</si>
  <si>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</si>
  <si>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</si>
  <si>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</si>
  <si>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</si>
  <si>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</si>
  <si>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</si>
  <si>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</si>
  <si>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</si>
  <si>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</si>
  <si>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</si>
  <si>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</si>
  <si>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</si>
  <si>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</si>
  <si>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</si>
  <si>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</si>
  <si>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</si>
  <si>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</si>
  <si>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</si>
  <si>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</si>
  <si>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</si>
  <si>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</si>
  <si>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</si>
  <si>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</si>
  <si>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</si>
  <si>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</si>
  <si>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</si>
  <si>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</si>
  <si>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</si>
  <si>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</si>
  <si>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</si>
  <si>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</si>
  <si>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</si>
  <si>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</si>
  <si>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</si>
  <si>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</si>
  <si>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</si>
  <si>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</si>
  <si>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</si>
  <si>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</si>
  <si>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</si>
  <si>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</si>
  <si>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</si>
  <si>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</si>
  <si>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</si>
  <si>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</si>
  <si>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</si>
  <si>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</si>
  <si>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</si>
  <si>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</si>
  <si>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</si>
  <si>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</si>
  <si>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</si>
  <si>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</si>
  <si>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</si>
  <si>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</si>
  <si>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</si>
  <si>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</si>
  <si>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</si>
  <si>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</si>
  <si>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</si>
  <si>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</si>
  <si>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</si>
  <si>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</si>
  <si>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</si>
  <si>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</si>
  <si>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</si>
  <si>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</si>
  <si>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</si>
  <si>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</si>
  <si>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</si>
  <si>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</si>
  <si>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</si>
  <si>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</si>
  <si>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</si>
  <si>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</si>
  <si>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</si>
  <si>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</si>
  <si>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</si>
  <si>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</si>
  <si>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</si>
  <si>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</si>
  <si>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</si>
  <si>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</si>
  <si>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</si>
  <si>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</si>
  <si>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</si>
  <si>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</si>
  <si>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</si>
  <si>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</si>
  <si>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</si>
  <si>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</si>
  <si>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</si>
  <si>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</si>
  <si>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</si>
  <si>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</si>
  <si>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</si>
  <si>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</si>
  <si>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</si>
  <si>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</si>
  <si>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</si>
  <si>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</si>
  <si>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</si>
  <si>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</si>
  <si>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</si>
  <si>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</si>
  <si>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</si>
  <si>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</si>
  <si>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</si>
  <si>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</si>
  <si>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</si>
  <si>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</si>
  <si>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</si>
  <si>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</si>
  <si>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</si>
  <si>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</si>
  <si>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</si>
  <si>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</si>
  <si>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</si>
  <si>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</si>
  <si>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</si>
  <si>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</si>
  <si>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</si>
  <si>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</si>
  <si>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</si>
  <si>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</si>
  <si>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</si>
  <si>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</si>
  <si>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</si>
  <si>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</si>
  <si>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</si>
  <si>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</si>
  <si>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</si>
  <si>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</si>
  <si>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</si>
  <si>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</si>
  <si>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</si>
  <si>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</si>
  <si>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</si>
  <si>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</si>
  <si>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</si>
  <si>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</si>
  <si>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</si>
  <si>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</si>
  <si>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</si>
  <si>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</si>
  <si>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</si>
  <si>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</si>
  <si>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</si>
  <si>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</si>
  <si>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</si>
  <si>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</si>
  <si>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</si>
  <si>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</si>
  <si>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</si>
  <si>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</si>
  <si>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</si>
  <si>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</si>
  <si>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</si>
  <si>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</si>
  <si>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</si>
  <si>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</si>
  <si>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</si>
  <si>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</si>
  <si>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</si>
  <si>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</si>
  <si>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</si>
  <si>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</si>
  <si>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</si>
  <si>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</si>
  <si>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</si>
  <si>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</si>
  <si>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</si>
  <si>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</si>
  <si>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</si>
  <si>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</si>
  <si>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</si>
  <si>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</si>
  <si>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</si>
  <si>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</si>
  <si>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</si>
  <si>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</si>
  <si>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</si>
  <si>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</si>
  <si>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</si>
  <si>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002/0081/C</t>
  </si>
  <si>
    <t>ROSEMEIRE NOVAIS DE SOUSA</t>
  </si>
  <si>
    <t>32.143.072-4</t>
  </si>
  <si>
    <t>301.371.628-20</t>
  </si>
  <si>
    <t>6014.2026/0004271-7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</si>
  <si>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</si>
  <si>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</si>
  <si>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</si>
  <si>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</si>
  <si>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</si>
  <si>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</si>
  <si>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</si>
  <si>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</si>
  <si>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</si>
  <si>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</si>
  <si>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</si>
  <si>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</si>
  <si>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</si>
  <si>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</si>
  <si>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</si>
  <si>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</si>
  <si>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</si>
  <si>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</si>
  <si>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</si>
  <si>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</si>
  <si>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</si>
  <si>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</si>
  <si>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</si>
  <si>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</si>
  <si>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</si>
  <si>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</si>
  <si>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</si>
  <si>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</si>
  <si>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</si>
  <si>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</si>
  <si>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</si>
  <si>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</si>
  <si>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</si>
  <si>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</si>
  <si>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</si>
  <si>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</si>
  <si>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</si>
  <si>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</si>
  <si>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</si>
  <si>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</si>
  <si>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</si>
  <si>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</si>
  <si>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</si>
  <si>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</si>
  <si>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</si>
  <si>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</si>
  <si>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</si>
  <si>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</si>
  <si>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</si>
  <si>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</si>
  <si>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</si>
  <si>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</si>
  <si>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</si>
  <si>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</si>
  <si>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</si>
  <si>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</si>
  <si>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</si>
  <si>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</si>
  <si>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</si>
  <si>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</si>
  <si>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</si>
  <si>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</si>
  <si>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</si>
  <si>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</si>
  <si>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</si>
  <si>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</si>
  <si>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</si>
  <si>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</si>
  <si>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</si>
  <si>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</si>
  <si>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</si>
  <si>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</si>
  <si>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</si>
  <si>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</si>
  <si>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</si>
  <si>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</si>
  <si>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</si>
  <si>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</si>
  <si>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</si>
  <si>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</si>
  <si>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</si>
  <si>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</si>
  <si>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</si>
  <si>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</si>
  <si>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</si>
  <si>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</si>
  <si>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</si>
  <si>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</si>
  <si>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</si>
  <si>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</si>
  <si>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</si>
  <si>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</si>
  <si>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</si>
  <si>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</si>
  <si>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</si>
  <si>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</si>
  <si>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</si>
  <si>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</si>
  <si>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</si>
  <si>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</si>
  <si>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</si>
  <si>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</si>
  <si>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</si>
  <si>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</si>
  <si>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</si>
  <si>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</si>
  <si>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</si>
  <si>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</si>
  <si>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</si>
  <si>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002/0105/A</t>
  </si>
  <si>
    <t>SILVIO PEREIRA  DE SOUZA</t>
  </si>
  <si>
    <t>36.420.488-6</t>
  </si>
  <si>
    <t>289.777.425-87</t>
  </si>
  <si>
    <t>6014.2026/0004993-2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</si>
  <si>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</si>
  <si>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</si>
  <si>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</si>
  <si>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</si>
  <si>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</si>
  <si>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</si>
  <si>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</si>
  <si>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</si>
  <si>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</si>
  <si>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</si>
  <si>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</si>
  <si>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</si>
  <si>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</si>
  <si>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</si>
  <si>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</si>
  <si>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</si>
  <si>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</si>
  <si>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</si>
  <si>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</si>
  <si>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</si>
  <si>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</si>
  <si>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</si>
  <si>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</si>
  <si>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</si>
  <si>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</si>
  <si>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</si>
  <si>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</si>
  <si>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</si>
  <si>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</si>
  <si>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</si>
  <si>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</si>
  <si>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</si>
  <si>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</si>
  <si>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</si>
  <si>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</si>
  <si>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</si>
  <si>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</si>
  <si>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</si>
  <si>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</si>
  <si>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</si>
  <si>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</si>
  <si>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</si>
  <si>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</si>
  <si>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</si>
  <si>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</si>
  <si>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</si>
  <si>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</si>
  <si>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</si>
  <si>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</si>
  <si>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</si>
  <si>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</si>
  <si>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</si>
  <si>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</si>
  <si>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</si>
  <si>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</si>
  <si>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</si>
  <si>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</si>
  <si>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</si>
  <si>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</si>
  <si>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</si>
  <si>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</si>
  <si>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</si>
  <si>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</si>
  <si>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</si>
  <si>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</si>
  <si>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</si>
  <si>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</si>
  <si>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</si>
  <si>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</si>
  <si>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</si>
  <si>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</si>
  <si>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</si>
  <si>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</si>
  <si>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</si>
  <si>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</si>
  <si>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</si>
  <si>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</si>
  <si>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</si>
  <si>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</si>
  <si>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</si>
  <si>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</si>
  <si>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</si>
  <si>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</si>
  <si>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</si>
  <si>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</si>
  <si>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</si>
  <si>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</si>
  <si>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</si>
  <si>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</si>
  <si>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</si>
  <si>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</si>
  <si>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</si>
  <si>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</si>
  <si>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</si>
  <si>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</si>
  <si>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</si>
  <si>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</si>
  <si>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</si>
  <si>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</si>
  <si>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</si>
  <si>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</si>
  <si>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</si>
  <si>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</si>
  <si>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</si>
  <si>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</si>
  <si>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</si>
  <si>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</si>
  <si>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</si>
  <si>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</si>
  <si>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</si>
  <si>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</si>
  <si>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</si>
  <si>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</si>
  <si>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</si>
  <si>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</si>
  <si>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</si>
  <si>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</si>
  <si>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</si>
  <si>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</si>
  <si>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</si>
  <si>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</si>
  <si>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</si>
  <si>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</si>
  <si>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</si>
  <si>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</si>
  <si>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</si>
  <si>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</si>
  <si>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</si>
  <si>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</si>
  <si>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</si>
  <si>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</si>
  <si>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</si>
  <si>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</si>
  <si>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</si>
  <si>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</si>
  <si>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</si>
  <si>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</si>
  <si>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</si>
  <si>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</si>
  <si>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</si>
  <si>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</si>
  <si>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</si>
  <si>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</si>
  <si>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</si>
  <si>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</si>
  <si>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</si>
  <si>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</si>
  <si>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</si>
  <si>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</si>
  <si>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</si>
  <si>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</si>
  <si>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</si>
  <si>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</si>
  <si>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</si>
  <si>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</si>
  <si>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</si>
  <si>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</si>
  <si>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</si>
  <si>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</si>
  <si>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</si>
  <si>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</si>
  <si>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</si>
  <si>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</si>
  <si>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</si>
  <si>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</si>
  <si>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</si>
  <si>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</si>
  <si>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</si>
  <si>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</si>
  <si>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</si>
  <si>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</si>
  <si>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</si>
  <si>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</si>
  <si>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</si>
  <si>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</si>
  <si>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</si>
  <si>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</si>
  <si>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</si>
  <si>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</si>
  <si>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</si>
  <si>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</si>
  <si>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</si>
  <si>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</si>
  <si>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</si>
  <si>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</si>
  <si>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</si>
  <si>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</si>
  <si>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</si>
  <si>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</si>
  <si>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</si>
  <si>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</si>
  <si>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</si>
  <si>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</si>
  <si>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</si>
  <si>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</si>
  <si>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</si>
  <si>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</si>
  <si>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</si>
  <si>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</si>
  <si>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</si>
  <si>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</si>
  <si>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</si>
  <si>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</si>
  <si>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</si>
  <si>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</si>
  <si>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</si>
  <si>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</si>
  <si>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</si>
  <si>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</si>
  <si>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</si>
  <si>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</si>
  <si>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</si>
  <si>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</si>
  <si>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</si>
  <si>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002/0146/A</t>
  </si>
  <si>
    <t xml:space="preserve">CRISTIANA DE MIRANDA </t>
  </si>
  <si>
    <t>128.222.008-07</t>
  </si>
  <si>
    <t>002/0147/A</t>
  </si>
  <si>
    <t>JOSILENE SILVA TRAJANO</t>
  </si>
  <si>
    <t>37.837508-8</t>
  </si>
  <si>
    <t>336.469.668-31</t>
  </si>
  <si>
    <t>6014.2026/0004478-7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</si>
  <si>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</si>
  <si>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</si>
  <si>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</si>
  <si>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</si>
  <si>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</si>
  <si>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</si>
  <si>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002/0148/C</t>
  </si>
  <si>
    <t xml:space="preserve">LUIS MACHADO MARQUES DA SILVA </t>
  </si>
  <si>
    <t>53.368.658-1</t>
  </si>
  <si>
    <t>613.655.304-00</t>
  </si>
  <si>
    <t>6014.2026/0004510-4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</si>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</sst>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  <numFmt numFmtId="172" formatCode="dd/mm/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0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171" fontId="38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2" fontId="39" fillId="0" borderId="0" xfId="0" applyNumberFormat="1" applyFont="1" applyAlignment="1">
      <alignment horizontal="center" vertical="center"/>
    </xf>
    <xf numFmtId="172" fontId="42" fillId="11" borderId="11" xfId="1" applyNumberFormat="1" applyFont="1" applyFill="1" applyBorder="1" applyAlignment="1">
      <alignment horizontal="center" vertical="center" wrapText="1"/>
    </xf>
    <xf numFmtId="172" fontId="41" fillId="0" borderId="18" xfId="0" applyNumberFormat="1" applyFont="1" applyBorder="1" applyAlignment="1">
      <alignment horizontal="center" vertical="center"/>
    </xf>
    <xf numFmtId="172" fontId="41" fillId="0" borderId="18" xfId="0" applyNumberFormat="1" applyFont="1" applyBorder="1" applyAlignment="1">
      <alignment horizontal="center" vertical="center" wrapText="1"/>
    </xf>
    <xf numFmtId="172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8" fontId="38" fillId="22" borderId="18" xfId="0" applyNumberFormat="1" applyFont="1" applyFill="1" applyBorder="1" applyAlignment="1">
      <alignment horizontal="center" vertical="center"/>
    </xf>
    <xf numFmtId="168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2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9" fontId="38" fillId="29" borderId="18" xfId="0" applyNumberFormat="1" applyFont="1" applyFill="1" applyBorder="1" applyAlignment="1">
      <alignment horizontal="center" vertical="center"/>
    </xf>
    <xf numFmtId="168" fontId="38" fillId="29" borderId="18" xfId="0" applyNumberFormat="1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9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170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2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2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2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2" fontId="43" fillId="0" borderId="1" xfId="0" applyNumberFormat="1" applyFont="1" applyBorder="1" applyAlignment="1">
      <alignment horizontal="center" vertical="center"/>
    </xf>
    <xf numFmtId="169" fontId="51" fillId="0" borderId="1" xfId="0" applyNumberFormat="1" applyFont="1" applyBorder="1" applyAlignment="1">
      <alignment horizontal="center" vertical="center"/>
    </xf>
    <xf numFmtId="172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9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172" fontId="43" fillId="0" borderId="4" xfId="0" applyNumberFormat="1" applyFont="1" applyBorder="1" applyAlignment="1">
      <alignment horizontal="center" vertical="center"/>
    </xf>
    <xf numFmtId="169" fontId="51" fillId="0" borderId="4" xfId="0" applyNumberFormat="1" applyFont="1" applyBorder="1" applyAlignment="1">
      <alignment horizontal="center" vertical="center"/>
    </xf>
    <xf numFmtId="168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4" t="s">
        <v>0</v>
      </c>
      <c r="B1" s="274"/>
      <c r="C1" s="59"/>
      <c r="D1" s="59"/>
      <c r="E1" s="274" t="s">
        <v>1</v>
      </c>
      <c r="F1" s="274"/>
    </row>
    <row r="2" spans="1:6">
      <c r="A2" s="60" t="s">
        <v>2</v>
      </c>
      <c r="B2" s="60" t="s">
        <v>3</v>
      </c>
      <c r="E2" s="58" t="s">
        <v>2</v>
      </c>
      <c r="F2" s="58" t="s">
        <v>3</v>
      </c>
    </row>
    <row r="3" spans="1:6">
      <c r="A3" s="8" t="s">
        <v>4</v>
      </c>
      <c r="B3" s="11">
        <v>39</v>
      </c>
      <c r="E3" s="8" t="s">
        <v>4</v>
      </c>
      <c r="F3" s="11">
        <v>54</v>
      </c>
    </row>
    <row r="4" spans="1:6">
      <c r="A4" s="8" t="s">
        <v>5</v>
      </c>
      <c r="B4" s="11">
        <v>15</v>
      </c>
      <c r="E4" s="8" t="s">
        <v>6</v>
      </c>
      <c r="F4" s="11">
        <v>13</v>
      </c>
    </row>
    <row r="5" spans="1:6">
      <c r="A5" s="8" t="s">
        <v>7</v>
      </c>
      <c r="B5" s="11">
        <v>7</v>
      </c>
      <c r="E5" s="8" t="s">
        <v>7</v>
      </c>
      <c r="F5" s="11">
        <v>15</v>
      </c>
    </row>
    <row r="6" spans="1:6">
      <c r="A6" s="8" t="s">
        <v>8</v>
      </c>
      <c r="B6" s="11">
        <v>2</v>
      </c>
      <c r="E6" s="8" t="s">
        <v>8</v>
      </c>
      <c r="F6" s="11">
        <v>9</v>
      </c>
    </row>
    <row r="7" spans="1:6">
      <c r="A7" s="8" t="s">
        <v>9</v>
      </c>
      <c r="B7" s="11">
        <v>0</v>
      </c>
      <c r="E7" s="8" t="s">
        <v>9</v>
      </c>
      <c r="F7" s="11">
        <v>9</v>
      </c>
    </row>
    <row r="8" spans="1:6">
      <c r="A8" s="8" t="s">
        <v>10</v>
      </c>
      <c r="B8" s="11">
        <v>15</v>
      </c>
      <c r="E8" s="8" t="s">
        <v>10</v>
      </c>
      <c r="F8" s="11">
        <v>21</v>
      </c>
    </row>
    <row r="9" spans="1:6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>
      <c r="A16" s="1" t="s">
        <v>84</v>
      </c>
      <c r="C16" s="3">
        <v>15</v>
      </c>
      <c r="D16" s="3">
        <v>403</v>
      </c>
      <c r="E16" s="3" t="s">
        <v>85</v>
      </c>
    </row>
    <row r="17" spans="1:7">
      <c r="A17" s="1" t="s">
        <v>9</v>
      </c>
      <c r="C17" s="3"/>
      <c r="D17" s="3">
        <v>404</v>
      </c>
      <c r="E17" s="3" t="s">
        <v>86</v>
      </c>
    </row>
    <row r="18" spans="1:7">
      <c r="A18" s="1" t="s">
        <v>87</v>
      </c>
      <c r="C18" s="3"/>
      <c r="D18" s="3">
        <v>501</v>
      </c>
      <c r="E18" s="3" t="s">
        <v>88</v>
      </c>
    </row>
    <row r="19" spans="1:7">
      <c r="A19" s="1" t="s">
        <v>89</v>
      </c>
      <c r="D19" s="3">
        <v>502</v>
      </c>
      <c r="E19" s="3" t="s">
        <v>90</v>
      </c>
    </row>
    <row r="20" spans="1:7">
      <c r="A20" s="1" t="s">
        <v>8</v>
      </c>
      <c r="D20" s="3">
        <v>503</v>
      </c>
      <c r="E20" s="3" t="s">
        <v>91</v>
      </c>
    </row>
    <row r="21" spans="1:7">
      <c r="A21" s="1" t="s">
        <v>92</v>
      </c>
      <c r="D21" s="3">
        <v>504</v>
      </c>
      <c r="E21" s="3" t="s">
        <v>28</v>
      </c>
    </row>
    <row r="22" spans="1:7">
      <c r="A22" s="1" t="s">
        <v>93</v>
      </c>
      <c r="E22" s="3" t="s">
        <v>94</v>
      </c>
      <c r="G22" s="3"/>
    </row>
    <row r="23" spans="1:7">
      <c r="A23" s="1" t="s">
        <v>95</v>
      </c>
      <c r="E23" s="3" t="s">
        <v>96</v>
      </c>
    </row>
    <row r="24" spans="1:7">
      <c r="A24" s="1" t="s">
        <v>97</v>
      </c>
    </row>
    <row r="25" spans="1:7">
      <c r="A25" s="1" t="s">
        <v>10</v>
      </c>
      <c r="G25" s="5"/>
    </row>
    <row r="26" spans="1:7">
      <c r="A26" s="1" t="s">
        <v>98</v>
      </c>
      <c r="G26" s="3"/>
    </row>
    <row r="27" spans="1:7">
      <c r="A27" s="1" t="s">
        <v>99</v>
      </c>
      <c r="G27" s="3"/>
    </row>
    <row r="28" spans="1:7">
      <c r="A28" s="1" t="s">
        <v>100</v>
      </c>
      <c r="G28" s="3"/>
    </row>
    <row r="29" spans="1:7">
      <c r="A29" s="1" t="s">
        <v>101</v>
      </c>
      <c r="G29" s="3"/>
    </row>
    <row r="30" spans="1:7">
      <c r="A30" s="1" t="s">
        <v>102</v>
      </c>
      <c r="G30" s="3"/>
    </row>
    <row r="31" spans="1:7">
      <c r="A31" s="1" t="s">
        <v>103</v>
      </c>
    </row>
    <row r="32" spans="1:7">
      <c r="A32" s="1" t="s">
        <v>104</v>
      </c>
    </row>
    <row r="33" spans="1:1">
      <c r="A33" s="1" t="s">
        <v>105</v>
      </c>
    </row>
    <row r="34" spans="1:1">
      <c r="A34" s="1" t="s">
        <v>106</v>
      </c>
    </row>
    <row r="35" spans="1:1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108</v>
      </c>
      <c r="B1" s="56" t="s">
        <v>109</v>
      </c>
    </row>
    <row r="2" spans="1:3" ht="24.95" customHeight="1">
      <c r="A2" s="57" t="s">
        <v>23</v>
      </c>
      <c r="B2" s="57" t="e">
        <f>COUNTIF(#REF!,'QUANT COND'!A2)</f>
        <v>#REF!</v>
      </c>
    </row>
    <row r="3" spans="1:3" ht="24.95" customHeight="1">
      <c r="A3" s="57" t="s">
        <v>30</v>
      </c>
      <c r="B3" s="57" t="e">
        <f>COUNTIF(#REF!,'QUANT COND'!A3)</f>
        <v>#REF!</v>
      </c>
    </row>
    <row r="4" spans="1:3" ht="24.95" customHeight="1">
      <c r="A4" s="57" t="s">
        <v>38</v>
      </c>
      <c r="B4" s="57" t="e">
        <f>COUNTIF(#REF!,'QUANT COND'!A4)</f>
        <v>#REF!</v>
      </c>
      <c r="C4" s="55"/>
    </row>
    <row r="5" spans="1:3" ht="24.95" customHeight="1">
      <c r="A5" s="57" t="s">
        <v>45</v>
      </c>
      <c r="B5" s="57" t="e">
        <f>COUNTIF(#REF!,'QUANT COND'!A5)</f>
        <v>#REF!</v>
      </c>
    </row>
    <row r="6" spans="1:3" ht="24.95" customHeight="1">
      <c r="A6" s="57" t="s">
        <v>50</v>
      </c>
      <c r="B6" s="57" t="e">
        <f>COUNTIF(#REF!,'QUANT COND'!A6)</f>
        <v>#REF!</v>
      </c>
    </row>
    <row r="7" spans="1:3" ht="24.95" customHeight="1">
      <c r="A7" s="57" t="s">
        <v>56</v>
      </c>
      <c r="B7" s="57" t="e">
        <f>COUNTIF(#REF!,'QUANT COND'!A7)</f>
        <v>#REF!</v>
      </c>
    </row>
    <row r="8" spans="1:3" ht="24.95" customHeight="1">
      <c r="A8" s="57" t="s">
        <v>61</v>
      </c>
      <c r="B8" s="57" t="e">
        <f>COUNTIF(#REF!,'QUANT COND'!A8)</f>
        <v>#REF!</v>
      </c>
    </row>
    <row r="9" spans="1:3" ht="24.95" customHeight="1">
      <c r="A9" s="57" t="s">
        <v>65</v>
      </c>
      <c r="B9" s="57" t="e">
        <f>COUNTIF(#REF!,'QUANT COND'!A9)</f>
        <v>#REF!</v>
      </c>
    </row>
    <row r="10" spans="1:3" ht="24.95" customHeight="1">
      <c r="A10" s="57" t="s">
        <v>68</v>
      </c>
      <c r="B10" s="57" t="e">
        <f>COUNTIF(#REF!,'QUANT COND'!A10)</f>
        <v>#REF!</v>
      </c>
    </row>
    <row r="11" spans="1:3" ht="24.95" customHeight="1">
      <c r="A11" s="57" t="s">
        <v>71</v>
      </c>
      <c r="B11" s="57" t="e">
        <f>COUNTIF(#REF!,'QUANT COND'!A11)</f>
        <v>#REF!</v>
      </c>
    </row>
    <row r="12" spans="1:3" ht="24.95" customHeight="1">
      <c r="A12" s="57" t="s">
        <v>74</v>
      </c>
      <c r="B12" s="57" t="e">
        <f>COUNTIF(#REF!,'QUANT COND'!A12)</f>
        <v>#REF!</v>
      </c>
    </row>
    <row r="13" spans="1:3" ht="24.95" customHeight="1">
      <c r="A13" s="57" t="s">
        <v>77</v>
      </c>
      <c r="B13" s="57" t="e">
        <f>COUNTIF(#REF!,'QUANT COND'!A13)</f>
        <v>#REF!</v>
      </c>
    </row>
    <row r="14" spans="1:3" ht="24.95" customHeight="1">
      <c r="A14" s="57" t="s">
        <v>80</v>
      </c>
      <c r="B14" s="57" t="e">
        <f>COUNTIF(#REF!,'QUANT COND'!A14)</f>
        <v>#REF!</v>
      </c>
    </row>
    <row r="15" spans="1:3" ht="24.95" customHeight="1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6" t="s">
        <v>110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8"/>
    </row>
    <row r="2" spans="1:27" ht="50.25" customHeight="1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5" t="s">
        <v>206</v>
      </c>
      <c r="P51" s="275"/>
      <c r="Q51" s="275"/>
      <c r="R51" s="275"/>
      <c r="S51" s="275"/>
      <c r="T51" s="275"/>
      <c r="U51" s="275"/>
    </row>
    <row r="52" spans="1:21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7" priority="5" stopIfTrue="1"/>
  </conditionalFormatting>
  <conditionalFormatting sqref="A3:A128">
    <cfRule type="duplicateValues" dxfId="236" priority="4" stopIfTrue="1"/>
  </conditionalFormatting>
  <conditionalFormatting sqref="A3:A626">
    <cfRule type="duplicateValues" dxfId="235" priority="1" stopIfTrue="1"/>
  </conditionalFormatting>
  <conditionalFormatting sqref="B2684">
    <cfRule type="duplicateValues" dxfId="234" priority="3" stopIfTrue="1"/>
  </conditionalFormatting>
  <conditionalFormatting sqref="C689">
    <cfRule type="duplicateValues" dxfId="23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N37785"/>
  <sheetViews>
    <sheetView showGridLines="0" tabSelected="1" topLeftCell="A10" zoomScale="85" zoomScaleNormal="85" workbookViewId="0">
      <pane xSplit="6" ySplit="4" topLeftCell="AO226" activePane="bottomRight" state="frozen"/>
      <selection pane="bottomRight" activeCell="AQ226" sqref="AQ226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9" t="s">
        <v>4371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1"/>
      <c r="P12" s="266" t="s">
        <v>4372</v>
      </c>
      <c r="Q12" s="266"/>
      <c r="R12" s="266"/>
      <c r="S12" s="266"/>
      <c r="T12" s="266"/>
      <c r="U12" s="267"/>
      <c r="V12" s="266"/>
      <c r="W12" s="266"/>
      <c r="X12" s="266"/>
      <c r="Y12" s="267"/>
      <c r="Z12" s="266"/>
      <c r="AA12" s="268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72" t="s">
        <v>4374</v>
      </c>
      <c r="BC12" s="273"/>
      <c r="BD12" s="264"/>
      <c r="BE12" s="265"/>
      <c r="BF12" s="265"/>
      <c r="BG12" s="265"/>
      <c r="BH12" s="265"/>
      <c r="BI12" s="265"/>
      <c r="BJ12" s="265"/>
      <c r="BK12" s="265"/>
      <c r="BL12" s="265"/>
      <c r="BM12" s="265"/>
    </row>
    <row r="13" spans="1:87" s="118" customFormat="1" ht="48" customHeight="1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hidden="1" customHeight="1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77" si="0">IF(AY14-KD14=0,"",AY14-O14)</f>
        <v/>
      </c>
      <c r="BD14" s="131" t="str">
        <f t="shared" ref="BD14:BD77" si="1">IF(AND(AI14&lt;&gt;"SIM",AI14="UH"),"AA","INDENIZAÇÃO")</f>
        <v>INDENIZAÇÃO</v>
      </c>
      <c r="BE14" s="131" t="str">
        <f t="shared" ref="BE14:BE77" si="2">IF(AND(AY14&lt;&gt;"AGUARDANDO",AY14&lt;&gt;"",N14="AUXÍLIO ALUGUEL ATÉ INDENIZAÇÃO"),"SIM","NÃO")</f>
        <v>NÃO</v>
      </c>
      <c r="BN14" s="191"/>
      <c r="CI14" s="191"/>
    </row>
    <row r="15" spans="1:87" s="131" customFormat="1" ht="30" hidden="1" customHeight="1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hidden="1" customHeight="1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hidden="1" customHeight="1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hidden="1" customHeight="1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hidden="1" customHeight="1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hidden="1" customHeight="1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hidden="1" customHeight="1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hidden="1" customHeight="1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hidden="1" customHeight="1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hidden="1" customHeight="1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hidden="1" customHeight="1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hidden="1" customHeight="1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hidden="1" customHeight="1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hidden="1" customHeight="1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hidden="1" customHeight="1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hidden="1" customHeight="1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hidden="1" customHeight="1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3">
        <v>46218</v>
      </c>
      <c r="AZ31" s="137" t="s">
        <v>4370</v>
      </c>
      <c r="BA31" s="137" t="s">
        <v>4445</v>
      </c>
      <c r="BB31" s="141" t="s">
        <v>4442</v>
      </c>
      <c r="BC31" s="197">
        <f>IF(AY31-KD31=0,"",AY31-O31)</f>
        <v>126</v>
      </c>
      <c r="BD31" s="131" t="str">
        <f>IF(AND(AI31&lt;&gt;"SIM",AI31="UH"),"AA","INDENIZAÇÃO")</f>
        <v>INDENIZAÇÃO</v>
      </c>
      <c r="BE31" s="131" t="str">
        <f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hidden="1" customHeight="1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>IF(AY32-KD32=0,"",AY32-O32)</f>
        <v>203</v>
      </c>
      <c r="BD32" s="222" t="str">
        <f>IF(AND(AI32&lt;&gt;"SIM",AI32="UH"),"AA","INDENIZAÇÃO")</f>
        <v>INDENIZAÇÃO</v>
      </c>
      <c r="BE32" s="222" t="str">
        <f>IF(AND(AY32&lt;&gt;"AGUARDANDO",AY32&lt;&gt;"",N32="AUXÍLIO ALUGUEL ATÉ INDENIZAÇÃO"),"SIM","NÃO")</f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hidden="1" customHeight="1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>IF(AY33-KD33=0,"",AY33-O33)</f>
        <v>156</v>
      </c>
      <c r="BD33" s="131" t="str">
        <f>IF(AND(AI33&lt;&gt;"SIM",AI33="UH"),"AA","INDENIZAÇÃO")</f>
        <v>INDENIZAÇÃO</v>
      </c>
      <c r="BE33" s="131" t="str">
        <f>IF(AND(AY33&lt;&gt;"AGUARDANDO",AY33&lt;&gt;"",N33="AUXÍLIO ALUGUEL ATÉ INDENIZAÇÃO"),"SIM","NÃO")</f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hidden="1" customHeight="1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>IF(AY34-KD34=0,"",AY34-O34)</f>
        <v>156</v>
      </c>
      <c r="BD34" s="131" t="str">
        <f>IF(AND(AI34&lt;&gt;"SIM",AI34="UH"),"AA","INDENIZAÇÃO")</f>
        <v>INDENIZAÇÃO</v>
      </c>
      <c r="BE34" s="131" t="str">
        <f>IF(AND(AY34&lt;&gt;"AGUARDANDO",AY34&lt;&gt;"",N34="AUXÍLIO ALUGUEL ATÉ INDENIZAÇÃO"),"SIM","NÃO")</f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hidden="1" customHeight="1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>IF(AY35-KD35=0,"",AY35-O35)</f>
        <v>124</v>
      </c>
      <c r="BD35" s="131" t="str">
        <f>IF(AND(AI35&lt;&gt;"SIM",AI35="UH"),"AA","INDENIZAÇÃO")</f>
        <v>INDENIZAÇÃO</v>
      </c>
      <c r="BE35" s="131" t="str">
        <f>IF(AND(AY35&lt;&gt;"AGUARDANDO",AY35&lt;&gt;"",N35="AUXÍLIO ALUGUEL ATÉ INDENIZAÇÃO"),"SIM","NÃO")</f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hidden="1" customHeight="1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>IF(AY36-KD36=0,"",AY36-O36)</f>
        <v>129</v>
      </c>
      <c r="BD36" s="131" t="str">
        <f>IF(AND(AI36&lt;&gt;"SIM",AI36="UH"),"AA","INDENIZAÇÃO")</f>
        <v>INDENIZAÇÃO</v>
      </c>
      <c r="BE36" s="131" t="str">
        <f>IF(AND(AY36&lt;&gt;"AGUARDANDO",AY36&lt;&gt;"",N36="AUXÍLIO ALUGUEL ATÉ INDENIZAÇÃO"),"SIM","NÃO")</f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hidden="1" customHeight="1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>IF(AY37-KD37=0,"",AY37-O37)</f>
        <v>129</v>
      </c>
      <c r="BD37" s="222" t="str">
        <f>IF(AND(AI37&lt;&gt;"SIM",AI37="UH"),"AA","INDENIZAÇÃO")</f>
        <v>INDENIZAÇÃO</v>
      </c>
      <c r="BE37" s="222" t="str">
        <f>IF(AND(AY37&lt;&gt;"AGUARDANDO",AY37&lt;&gt;"",N37="AUXÍLIO ALUGUEL ATÉ INDENIZAÇÃO"),"SIM","NÃO")</f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hidden="1" customHeight="1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>IF(AY38-KD38=0,"",AY38-O38)</f>
        <v>129</v>
      </c>
      <c r="BD38" s="222" t="str">
        <f>IF(AND(AI38&lt;&gt;"SIM",AI38="UH"),"AA","INDENIZAÇÃO")</f>
        <v>INDENIZAÇÃO</v>
      </c>
      <c r="BE38" s="222" t="str">
        <f>IF(AND(AY38&lt;&gt;"AGUARDANDO",AY38&lt;&gt;"",N38="AUXÍLIO ALUGUEL ATÉ INDENIZAÇÃO"),"SIM","NÃO")</f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hidden="1" customHeight="1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>IF(AY39-KD39=0,"",AY39-O39)</f>
        <v/>
      </c>
      <c r="BD39" s="131" t="str">
        <f>IF(AND(AI39&lt;&gt;"SIM",AI39="UH"),"AA","INDENIZAÇÃO")</f>
        <v>INDENIZAÇÃO</v>
      </c>
      <c r="BE39" s="131" t="str">
        <f>IF(AND(AY39&lt;&gt;"AGUARDANDO",AY39&lt;&gt;"",N39="AUXÍLIO ALUGUEL ATÉ INDENIZAÇÃO"),"SIM","NÃO")</f>
        <v>NÃO</v>
      </c>
      <c r="BF39" s="131"/>
      <c r="BG39" s="199"/>
      <c r="BH39" s="199"/>
      <c r="BN39" s="182"/>
      <c r="CI39" s="182"/>
    </row>
    <row r="40" spans="1:87" s="141" customFormat="1" ht="30" hidden="1" customHeight="1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>IF(AY40-KD40=0,"",AY40-O40)</f>
        <v>159</v>
      </c>
      <c r="BD40" s="222" t="str">
        <f>IF(AND(AI40&lt;&gt;"SIM",AI40="UH"),"AA","INDENIZAÇÃO")</f>
        <v>INDENIZAÇÃO</v>
      </c>
      <c r="BE40" s="222" t="str">
        <f>IF(AND(AY40&lt;&gt;"AGUARDANDO",AY40&lt;&gt;"",N40="AUXÍLIO ALUGUEL ATÉ INDENIZAÇÃO"),"SIM","NÃO")</f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hidden="1" customHeight="1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>IF(AY41-KD41=0,"",AY41-O41)</f>
        <v>129</v>
      </c>
      <c r="BD41" s="131" t="str">
        <f>IF(AND(AI41&lt;&gt;"SIM",AI41="UH"),"AA","INDENIZAÇÃO")</f>
        <v>INDENIZAÇÃO</v>
      </c>
      <c r="BE41" s="131" t="str">
        <f>IF(AND(AY41&lt;&gt;"AGUARDANDO",AY41&lt;&gt;"",N41="AUXÍLIO ALUGUEL ATÉ INDENIZAÇÃO"),"SIM","NÃO")</f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hidden="1" customHeight="1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>IF(AY42-KD42=0,"",AY42-O42)</f>
        <v/>
      </c>
      <c r="BD42" s="131" t="str">
        <f>IF(AND(AI42&lt;&gt;"SIM",AI42="UH"),"AA","INDENIZAÇÃO")</f>
        <v>INDENIZAÇÃO</v>
      </c>
      <c r="BE42" s="131" t="str">
        <f>IF(AND(AY42&lt;&gt;"AGUARDANDO",AY42&lt;&gt;"",N42="AUXÍLIO ALUGUEL ATÉ INDENIZAÇÃO"),"SIM","NÃO")</f>
        <v>NÃO</v>
      </c>
      <c r="BF42" s="131"/>
      <c r="BG42" s="199"/>
      <c r="BH42" s="199"/>
      <c r="BN42" s="182"/>
      <c r="CI42" s="182"/>
    </row>
    <row r="43" spans="1:87" s="141" customFormat="1" ht="30" hidden="1" customHeight="1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>IF(AY43-KD43=0,"",AY43-O43)</f>
        <v/>
      </c>
      <c r="BD43" s="131" t="str">
        <f>IF(AND(AI43&lt;&gt;"SIM",AI43="UH"),"AA","INDENIZAÇÃO")</f>
        <v>INDENIZAÇÃO</v>
      </c>
      <c r="BE43" s="131" t="str">
        <f>IF(AND(AY43&lt;&gt;"AGUARDANDO",AY43&lt;&gt;"",N43="AUXÍLIO ALUGUEL ATÉ INDENIZAÇÃO"),"SIM","NÃO")</f>
        <v>NÃO</v>
      </c>
      <c r="BF43" s="131"/>
      <c r="BG43" s="131"/>
      <c r="BH43" s="131"/>
      <c r="BK43" s="199"/>
      <c r="BN43" s="182"/>
      <c r="CI43" s="182"/>
    </row>
    <row r="44" spans="1:87" s="141" customFormat="1" ht="30" hidden="1" customHeight="1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>IF(AY44-KD44=0,"",AY44-O44)</f>
        <v>159</v>
      </c>
      <c r="BD44" s="131" t="str">
        <f>IF(AND(AI44&lt;&gt;"SIM",AI44="UH"),"AA","INDENIZAÇÃO")</f>
        <v>INDENIZAÇÃO</v>
      </c>
      <c r="BE44" s="131" t="str">
        <f>IF(AND(AY44&lt;&gt;"AGUARDANDO",AY44&lt;&gt;"",N44="AUXÍLIO ALUGUEL ATÉ INDENIZAÇÃO"),"SIM","NÃO")</f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hidden="1" customHeight="1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>IF(AY45-KD45=0,"",AY45-O45)</f>
        <v>159</v>
      </c>
      <c r="BD45" s="131" t="str">
        <f>IF(AND(AI45&lt;&gt;"SIM",AI45="UH"),"AA","INDENIZAÇÃO")</f>
        <v>INDENIZAÇÃO</v>
      </c>
      <c r="BE45" s="131" t="str">
        <f>IF(AND(AY45&lt;&gt;"AGUARDANDO",AY45&lt;&gt;"",N45="AUXÍLIO ALUGUEL ATÉ INDENIZAÇÃO"),"SIM","NÃO")</f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hidden="1" customHeight="1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>IF(AY46-KD46=0,"",AY46-O46)</f>
        <v>123</v>
      </c>
      <c r="BD46" s="131" t="str">
        <f>IF(AND(AI46&lt;&gt;"SIM",AI46="UH"),"AA","INDENIZAÇÃO")</f>
        <v>INDENIZAÇÃO</v>
      </c>
      <c r="BE46" s="131" t="str">
        <f>IF(AND(AY46&lt;&gt;"AGUARDANDO",AY46&lt;&gt;"",N46="AUXÍLIO ALUGUEL ATÉ INDENIZAÇÃO"),"SIM","NÃO")</f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hidden="1" customHeight="1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>IF(AY47-KD47=0,"",AY47-O47)</f>
        <v>79</v>
      </c>
      <c r="BD47" s="131" t="str">
        <f>IF(AND(AI47&lt;&gt;"SIM",AI47="UH"),"AA","INDENIZAÇÃO")</f>
        <v>INDENIZAÇÃO</v>
      </c>
      <c r="BE47" s="131" t="str">
        <f>IF(AND(AY47&lt;&gt;"AGUARDANDO",AY47&lt;&gt;"",N47="AUXÍLIO ALUGUEL ATÉ INDENIZAÇÃO"),"SIM","NÃO")</f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hidden="1" customHeight="1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>IF(AY48-KD48=0,"",AY48-O48)</f>
        <v/>
      </c>
      <c r="BD48" s="131" t="str">
        <f>IF(AND(AI48&lt;&gt;"SIM",AI48="UH"),"AA","INDENIZAÇÃO")</f>
        <v>INDENIZAÇÃO</v>
      </c>
      <c r="BE48" s="131" t="str">
        <f>IF(AND(AY48&lt;&gt;"AGUARDANDO",AY48&lt;&gt;"",N48="AUXÍLIO ALUGUEL ATÉ INDENIZAÇÃO"),"SIM","NÃO")</f>
        <v>NÃO</v>
      </c>
      <c r="BF48" s="131"/>
      <c r="BG48" s="131"/>
      <c r="BH48" s="131"/>
      <c r="BK48" s="199"/>
      <c r="BN48" s="182"/>
      <c r="CI48" s="182"/>
    </row>
    <row r="49" spans="1:87" s="141" customFormat="1" ht="30" hidden="1" customHeight="1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>IF(AY49-KD49=0,"",AY49-O49)</f>
        <v/>
      </c>
      <c r="BD49" s="131" t="str">
        <f>IF(AND(AI49&lt;&gt;"SIM",AI49="UH"),"AA","INDENIZAÇÃO")</f>
        <v>INDENIZAÇÃO</v>
      </c>
      <c r="BE49" s="131" t="str">
        <f>IF(AND(AY49&lt;&gt;"AGUARDANDO",AY49&lt;&gt;"",N49="AUXÍLIO ALUGUEL ATÉ INDENIZAÇÃO"),"SIM","NÃO")</f>
        <v>NÃO</v>
      </c>
      <c r="BF49" s="131"/>
      <c r="BG49" s="131"/>
      <c r="BH49" s="131"/>
      <c r="BK49" s="199"/>
      <c r="BN49" s="182"/>
      <c r="CI49" s="182"/>
    </row>
    <row r="50" spans="1:87" s="141" customFormat="1" ht="30" hidden="1" customHeight="1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>IF(AY50-KD50=0,"",AY50-O50)</f>
        <v/>
      </c>
      <c r="BD50" s="131" t="str">
        <f>IF(AND(AI50&lt;&gt;"SIM",AI50="UH"),"AA","INDENIZAÇÃO")</f>
        <v>INDENIZAÇÃO</v>
      </c>
      <c r="BE50" s="131" t="str">
        <f>IF(AND(AY50&lt;&gt;"AGUARDANDO",AY50&lt;&gt;"",N50="AUXÍLIO ALUGUEL ATÉ INDENIZAÇÃO"),"SIM","NÃO")</f>
        <v>NÃO</v>
      </c>
      <c r="BF50" s="131"/>
      <c r="BG50" s="131"/>
      <c r="BH50" s="131"/>
      <c r="BK50" s="199"/>
      <c r="BN50" s="182"/>
      <c r="CI50" s="182"/>
    </row>
    <row r="51" spans="1:87" s="141" customFormat="1" ht="30" hidden="1" customHeight="1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>IF(AY51-KD51=0,"",AY51-O51)</f>
        <v>78</v>
      </c>
      <c r="BD51" s="131" t="str">
        <f>IF(AND(AI51&lt;&gt;"SIM",AI51="UH"),"AA","INDENIZAÇÃO")</f>
        <v>INDENIZAÇÃO</v>
      </c>
      <c r="BE51" s="131" t="str">
        <f>IF(AND(AY51&lt;&gt;"AGUARDANDO",AY51&lt;&gt;"",N51="AUXÍLIO ALUGUEL ATÉ INDENIZAÇÃO"),"SIM","NÃO")</f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hidden="1" customHeight="1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>IF(AY52-KD52=0,"",AY52-O52)</f>
        <v/>
      </c>
      <c r="BD52" s="131" t="str">
        <f>IF(AND(AI52&lt;&gt;"SIM",AI52="UH"),"AA","INDENIZAÇÃO")</f>
        <v>INDENIZAÇÃO</v>
      </c>
      <c r="BE52" s="131" t="str">
        <f>IF(AND(AY52&lt;&gt;"AGUARDANDO",AY52&lt;&gt;"",N52="AUXÍLIO ALUGUEL ATÉ INDENIZAÇÃO"),"SIM","NÃO")</f>
        <v>NÃO</v>
      </c>
      <c r="BF52" s="131"/>
      <c r="BG52" s="199"/>
      <c r="BH52" s="199"/>
      <c r="BN52" s="182"/>
      <c r="CI52" s="182"/>
    </row>
    <row r="53" spans="1:87" s="141" customFormat="1" ht="30" hidden="1" customHeight="1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>IF(AY53-KD53=0,"",AY53-O53)</f>
        <v/>
      </c>
      <c r="BD53" s="131" t="str">
        <f>IF(AND(AI53&lt;&gt;"SIM",AI53="UH"),"AA","INDENIZAÇÃO")</f>
        <v>INDENIZAÇÃO</v>
      </c>
      <c r="BE53" s="131" t="str">
        <f>IF(AND(AY53&lt;&gt;"AGUARDANDO",AY53&lt;&gt;"",N53="AUXÍLIO ALUGUEL ATÉ INDENIZAÇÃO"),"SIM","NÃO")</f>
        <v>NÃO</v>
      </c>
      <c r="BF53" s="131"/>
      <c r="BG53" s="199"/>
      <c r="BH53" s="199"/>
      <c r="BN53" s="182"/>
      <c r="CI53" s="182"/>
    </row>
    <row r="54" spans="1:87" s="141" customFormat="1" ht="30" hidden="1" customHeight="1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>IF(AY54-KD54=0,"",AY54-O54)</f>
        <v/>
      </c>
      <c r="BD54" s="131" t="str">
        <f>IF(AND(AI54&lt;&gt;"SIM",AI54="UH"),"AA","INDENIZAÇÃO")</f>
        <v>INDENIZAÇÃO</v>
      </c>
      <c r="BE54" s="131" t="str">
        <f>IF(AND(AY54&lt;&gt;"AGUARDANDO",AY54&lt;&gt;"",N54="AUXÍLIO ALUGUEL ATÉ INDENIZAÇÃO"),"SIM","NÃO")</f>
        <v>NÃO</v>
      </c>
      <c r="BF54" s="131"/>
      <c r="BG54" s="199"/>
      <c r="BH54" s="199"/>
      <c r="BN54" s="182"/>
      <c r="CI54" s="182"/>
    </row>
    <row r="55" spans="1:87" s="141" customFormat="1" ht="30" hidden="1" customHeight="1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>IF(AY55-KD55=0,"",AY55-O55)</f>
        <v>123</v>
      </c>
      <c r="BD55" s="131" t="str">
        <f>IF(AND(AI55&lt;&gt;"SIM",AI55="UH"),"AA","INDENIZAÇÃO")</f>
        <v>INDENIZAÇÃO</v>
      </c>
      <c r="BE55" s="131" t="str">
        <f>IF(AND(AY55&lt;&gt;"AGUARDANDO",AY55&lt;&gt;"",N55="AUXÍLIO ALUGUEL ATÉ INDENIZAÇÃO"),"SIM","NÃO")</f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hidden="1" customHeight="1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>IF(AY56-KD56=0,"",AY56-O56)</f>
        <v/>
      </c>
      <c r="BD56" s="131" t="str">
        <f>IF(AND(AI56&lt;&gt;"SIM",AI56="UH"),"AA","INDENIZAÇÃO")</f>
        <v>INDENIZAÇÃO</v>
      </c>
      <c r="BE56" s="131" t="str">
        <f>IF(AND(AY56&lt;&gt;"AGUARDANDO",AY56&lt;&gt;"",N56="AUXÍLIO ALUGUEL ATÉ INDENIZAÇÃO"),"SIM","NÃO")</f>
        <v>NÃO</v>
      </c>
      <c r="BF56" s="131"/>
      <c r="BG56" s="199"/>
      <c r="BH56" s="199"/>
      <c r="BN56" s="182"/>
      <c r="CI56" s="182"/>
    </row>
    <row r="57" spans="1:87" s="141" customFormat="1" ht="30" hidden="1" customHeight="1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>IF(AY57-KD57=0,"",AY57-O57)</f>
        <v/>
      </c>
      <c r="BD57" s="131" t="str">
        <f>IF(AND(AI57&lt;&gt;"SIM",AI57="UH"),"AA","INDENIZAÇÃO")</f>
        <v>INDENIZAÇÃO</v>
      </c>
      <c r="BE57" s="131" t="str">
        <f>IF(AND(AY57&lt;&gt;"AGUARDANDO",AY57&lt;&gt;"",N57="AUXÍLIO ALUGUEL ATÉ INDENIZAÇÃO"),"SIM","NÃO")</f>
        <v>NÃO</v>
      </c>
      <c r="BF57" s="131"/>
      <c r="BG57" s="131"/>
      <c r="BH57" s="131"/>
      <c r="BK57" s="199"/>
      <c r="BN57" s="182"/>
      <c r="CI57" s="182"/>
    </row>
    <row r="58" spans="1:87" s="141" customFormat="1" ht="30" hidden="1" customHeight="1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3">
        <v>46218</v>
      </c>
      <c r="AZ58" s="137" t="s">
        <v>4370</v>
      </c>
      <c r="BA58" s="137" t="s">
        <v>4445</v>
      </c>
      <c r="BB58" s="141" t="s">
        <v>4442</v>
      </c>
      <c r="BC58" s="197">
        <f>IF(AY58-KD58=0,"",AY58-O58)</f>
        <v>142</v>
      </c>
      <c r="BD58" s="131" t="str">
        <f>IF(AND(AI58&lt;&gt;"SIM",AI58="UH"),"AA","INDENIZAÇÃO")</f>
        <v>INDENIZAÇÃO</v>
      </c>
      <c r="BE58" s="131" t="str">
        <f>IF(AND(AY58&lt;&gt;"AGUARDANDO",AY58&lt;&gt;"",N58="AUXÍLIO ALUGUEL ATÉ INDENIZAÇÃO"),"SIM","NÃO")</f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hidden="1" customHeight="1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>IF(AY59-KD59=0,"",AY59-O59)</f>
        <v/>
      </c>
      <c r="BD59" s="131" t="str">
        <f>IF(AND(AI59&lt;&gt;"SIM",AI59="UH"),"AA","INDENIZAÇÃO")</f>
        <v>INDENIZAÇÃO</v>
      </c>
      <c r="BE59" s="131" t="str">
        <f>IF(AND(AY59&lt;&gt;"AGUARDANDO",AY59&lt;&gt;"",N59="AUXÍLIO ALUGUEL ATÉ INDENIZAÇÃO"),"SIM","NÃO")</f>
        <v>NÃO</v>
      </c>
      <c r="BF59" s="131"/>
      <c r="BG59" s="131"/>
      <c r="BH59" s="131"/>
      <c r="BK59" s="199"/>
      <c r="BN59" s="182"/>
      <c r="CI59" s="182"/>
    </row>
    <row r="60" spans="1:87" s="141" customFormat="1" ht="30" hidden="1" customHeight="1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>IF(AY60-KD60=0,"",AY60-O60)</f>
        <v/>
      </c>
      <c r="BD60" s="131" t="str">
        <f>IF(AND(AI60&lt;&gt;"SIM",AI60="UH"),"AA","INDENIZAÇÃO")</f>
        <v>INDENIZAÇÃO</v>
      </c>
      <c r="BE60" s="131" t="str">
        <f>IF(AND(AY60&lt;&gt;"AGUARDANDO",AY60&lt;&gt;"",N60="AUXÍLIO ALUGUEL ATÉ INDENIZAÇÃO"),"SIM","NÃO")</f>
        <v>NÃO</v>
      </c>
      <c r="BF60" s="131"/>
      <c r="BG60" s="199"/>
      <c r="BH60" s="199"/>
      <c r="BN60" s="182"/>
      <c r="CI60" s="182"/>
    </row>
    <row r="61" spans="1:87" s="141" customFormat="1" ht="30" hidden="1" customHeight="1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>IF(AY61-KD61=0,"",AY61-O61)</f>
        <v/>
      </c>
      <c r="BD61" s="131" t="str">
        <f>IF(AND(AI61&lt;&gt;"SIM",AI61="UH"),"AA","INDENIZAÇÃO")</f>
        <v>INDENIZAÇÃO</v>
      </c>
      <c r="BE61" s="131" t="str">
        <f>IF(AND(AY61&lt;&gt;"AGUARDANDO",AY61&lt;&gt;"",N61="AUXÍLIO ALUGUEL ATÉ INDENIZAÇÃO"),"SIM","NÃO")</f>
        <v>NÃO</v>
      </c>
      <c r="BF61" s="131"/>
      <c r="BG61" s="199"/>
      <c r="BH61" s="199"/>
      <c r="BN61" s="182"/>
      <c r="CI61" s="182"/>
    </row>
    <row r="62" spans="1:87" s="141" customFormat="1" ht="30" hidden="1" customHeight="1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>IF(AY62-KD62=0,"",AY62-O62)</f>
        <v/>
      </c>
      <c r="BD62" s="131" t="str">
        <f>IF(AND(AI62&lt;&gt;"SIM",AI62="UH"),"AA","INDENIZAÇÃO")</f>
        <v>INDENIZAÇÃO</v>
      </c>
      <c r="BE62" s="131" t="str">
        <f>IF(AND(AY62&lt;&gt;"AGUARDANDO",AY62&lt;&gt;"",N62="AUXÍLIO ALUGUEL ATÉ INDENIZAÇÃO"),"SIM","NÃO")</f>
        <v>NÃO</v>
      </c>
      <c r="BF62" s="131"/>
      <c r="BG62" s="199"/>
      <c r="BH62" s="199"/>
      <c r="BN62" s="182"/>
      <c r="CI62" s="182"/>
    </row>
    <row r="63" spans="1:87" s="141" customFormat="1" ht="30" hidden="1" customHeight="1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>IF(AY63-KD63=0,"",AY63-O63)</f>
        <v/>
      </c>
      <c r="BD63" s="131" t="str">
        <f>IF(AND(AI63&lt;&gt;"SIM",AI63="UH"),"AA","INDENIZAÇÃO")</f>
        <v>INDENIZAÇÃO</v>
      </c>
      <c r="BE63" s="131" t="str">
        <f>IF(AND(AY63&lt;&gt;"AGUARDANDO",AY63&lt;&gt;"",N63="AUXÍLIO ALUGUEL ATÉ INDENIZAÇÃO"),"SIM","NÃO")</f>
        <v>NÃO</v>
      </c>
      <c r="BF63" s="131"/>
      <c r="BG63" s="199"/>
      <c r="BH63" s="199"/>
      <c r="BN63" s="182"/>
      <c r="CI63" s="182"/>
    </row>
    <row r="64" spans="1:87" s="141" customFormat="1" ht="30" hidden="1" customHeight="1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>IF(AY64-KD64=0,"",AY64-O64)</f>
        <v/>
      </c>
      <c r="BD64" s="131" t="str">
        <f>IF(AND(AI64&lt;&gt;"SIM",AI64="UH"),"AA","INDENIZAÇÃO")</f>
        <v>INDENIZAÇÃO</v>
      </c>
      <c r="BE64" s="131" t="str">
        <f>IF(AND(AY64&lt;&gt;"AGUARDANDO",AY64&lt;&gt;"",N64="AUXÍLIO ALUGUEL ATÉ INDENIZAÇÃO"),"SIM","NÃO")</f>
        <v>NÃO</v>
      </c>
      <c r="BF64" s="131"/>
      <c r="BG64" s="199"/>
      <c r="BH64" s="199"/>
      <c r="BN64" s="182"/>
      <c r="CI64" s="182"/>
    </row>
    <row r="65" spans="1:87" s="141" customFormat="1" ht="30" hidden="1" customHeight="1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>IF(AY65-KD65=0,"",AY65-O65)</f>
        <v/>
      </c>
      <c r="BD65" s="131" t="str">
        <f>IF(AND(AI65&lt;&gt;"SIM",AI65="UH"),"AA","INDENIZAÇÃO")</f>
        <v>INDENIZAÇÃO</v>
      </c>
      <c r="BE65" s="131" t="str">
        <f>IF(AND(AY65&lt;&gt;"AGUARDANDO",AY65&lt;&gt;"",N65="AUXÍLIO ALUGUEL ATÉ INDENIZAÇÃO"),"SIM","NÃO")</f>
        <v>NÃO</v>
      </c>
      <c r="BF65" s="131"/>
      <c r="BG65" s="199"/>
      <c r="BH65" s="199"/>
      <c r="BN65" s="182"/>
      <c r="CI65" s="182"/>
    </row>
    <row r="66" spans="1:87" s="141" customFormat="1" ht="30" hidden="1" customHeight="1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>IF(AY66-KD66=0,"",AY66-O66)</f>
        <v/>
      </c>
      <c r="BD66" s="131" t="str">
        <f>IF(AND(AI66&lt;&gt;"SIM",AI66="UH"),"AA","INDENIZAÇÃO")</f>
        <v>INDENIZAÇÃO</v>
      </c>
      <c r="BE66" s="131" t="str">
        <f>IF(AND(AY66&lt;&gt;"AGUARDANDO",AY66&lt;&gt;"",N66="AUXÍLIO ALUGUEL ATÉ INDENIZAÇÃO"),"SIM","NÃO")</f>
        <v>NÃO</v>
      </c>
      <c r="BF66" s="131"/>
      <c r="BG66" s="199"/>
      <c r="BH66" s="199"/>
      <c r="BN66" s="182"/>
      <c r="CI66" s="182"/>
    </row>
    <row r="67" spans="1:87" s="141" customFormat="1" ht="30" hidden="1" customHeight="1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>IF(AY67-KD67=0,"",AY67-O67)</f>
        <v/>
      </c>
      <c r="BD67" s="131" t="str">
        <f>IF(AND(AI67&lt;&gt;"SIM",AI67="UH"),"AA","INDENIZAÇÃO")</f>
        <v>INDENIZAÇÃO</v>
      </c>
      <c r="BE67" s="131" t="str">
        <f>IF(AND(AY67&lt;&gt;"AGUARDANDO",AY67&lt;&gt;"",N67="AUXÍLIO ALUGUEL ATÉ INDENIZAÇÃO"),"SIM","NÃO")</f>
        <v>NÃO</v>
      </c>
      <c r="BF67" s="131"/>
      <c r="BG67" s="131"/>
      <c r="BH67" s="131"/>
      <c r="BK67" s="199"/>
      <c r="BN67" s="182"/>
      <c r="CI67" s="182"/>
    </row>
    <row r="68" spans="1:87" s="141" customFormat="1" ht="30" hidden="1" customHeight="1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>IF(AY68-KD68=0,"",AY68-O68)</f>
        <v/>
      </c>
      <c r="BD68" s="131" t="str">
        <f>IF(AND(AI68&lt;&gt;"SIM",AI68="UH"),"AA","INDENIZAÇÃO")</f>
        <v>INDENIZAÇÃO</v>
      </c>
      <c r="BE68" s="131" t="str">
        <f>IF(AND(AY68&lt;&gt;"AGUARDANDO",AY68&lt;&gt;"",N68="AUXÍLIO ALUGUEL ATÉ INDENIZAÇÃO"),"SIM","NÃO")</f>
        <v>NÃO</v>
      </c>
      <c r="BF68" s="131"/>
      <c r="BG68" s="199"/>
      <c r="BH68" s="199"/>
      <c r="BN68" s="182"/>
      <c r="CI68" s="182"/>
    </row>
    <row r="69" spans="1:87" s="141" customFormat="1" ht="30" hidden="1" customHeight="1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>IF(AY69-KD69=0,"",AY69-O69)</f>
        <v/>
      </c>
      <c r="BD69" s="131" t="str">
        <f>IF(AND(AI69&lt;&gt;"SIM",AI69="UH"),"AA","INDENIZAÇÃO")</f>
        <v>INDENIZAÇÃO</v>
      </c>
      <c r="BE69" s="131" t="str">
        <f>IF(AND(AY69&lt;&gt;"AGUARDANDO",AY69&lt;&gt;"",N69="AUXÍLIO ALUGUEL ATÉ INDENIZAÇÃO"),"SIM","NÃO")</f>
        <v>NÃO</v>
      </c>
      <c r="BF69" s="131"/>
      <c r="BG69" s="199"/>
      <c r="BH69" s="199"/>
      <c r="BN69" s="182"/>
      <c r="CI69" s="182"/>
    </row>
    <row r="70" spans="1:87" s="141" customFormat="1" ht="30" hidden="1" customHeight="1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>IF(AY70-KD70=0,"",AY70-O70)</f>
        <v/>
      </c>
      <c r="BD70" s="131" t="str">
        <f>IF(AND(AI70&lt;&gt;"SIM",AI70="UH"),"AA","INDENIZAÇÃO")</f>
        <v>INDENIZAÇÃO</v>
      </c>
      <c r="BE70" s="131" t="str">
        <f>IF(AND(AY70&lt;&gt;"AGUARDANDO",AY70&lt;&gt;"",N70="AUXÍLIO ALUGUEL ATÉ INDENIZAÇÃO"),"SIM","NÃO")</f>
        <v>NÃO</v>
      </c>
      <c r="BF70" s="131"/>
      <c r="BG70" s="199"/>
      <c r="BH70" s="199"/>
      <c r="BN70" s="182"/>
      <c r="CI70" s="182"/>
    </row>
    <row r="71" spans="1:87" s="141" customFormat="1" ht="30" hidden="1" customHeight="1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>IF(AY71-KD71=0,"",AY71-O71)</f>
        <v/>
      </c>
      <c r="BD71" s="131" t="str">
        <f>IF(AND(AI71&lt;&gt;"SIM",AI71="UH"),"AA","INDENIZAÇÃO")</f>
        <v>INDENIZAÇÃO</v>
      </c>
      <c r="BE71" s="131" t="str">
        <f>IF(AND(AY71&lt;&gt;"AGUARDANDO",AY71&lt;&gt;"",N71="AUXÍLIO ALUGUEL ATÉ INDENIZAÇÃO"),"SIM","NÃO")</f>
        <v>NÃO</v>
      </c>
      <c r="BF71" s="131"/>
      <c r="BG71" s="199"/>
      <c r="BH71" s="199"/>
      <c r="BN71" s="182"/>
      <c r="CI71" s="182"/>
    </row>
    <row r="72" spans="1:87" s="141" customFormat="1" ht="30" hidden="1" customHeight="1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>IF(AY72-KD72=0,"",AY72-O72)</f>
        <v/>
      </c>
      <c r="BD72" s="131" t="str">
        <f>IF(AND(AI72&lt;&gt;"SIM",AI72="UH"),"AA","INDENIZAÇÃO")</f>
        <v>INDENIZAÇÃO</v>
      </c>
      <c r="BE72" s="131" t="str">
        <f>IF(AND(AY72&lt;&gt;"AGUARDANDO",AY72&lt;&gt;"",N72="AUXÍLIO ALUGUEL ATÉ INDENIZAÇÃO"),"SIM","NÃO")</f>
        <v>NÃO</v>
      </c>
      <c r="BF72" s="131"/>
      <c r="BG72" s="199"/>
      <c r="BH72" s="199"/>
      <c r="BN72" s="182"/>
      <c r="CI72" s="182"/>
    </row>
    <row r="73" spans="1:87" s="141" customFormat="1" ht="30" hidden="1" customHeight="1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>IF(AY73-KD73=0,"",AY73-O73)</f>
        <v/>
      </c>
      <c r="BD73" s="131" t="str">
        <f>IF(AND(AI73&lt;&gt;"SIM",AI73="UH"),"AA","INDENIZAÇÃO")</f>
        <v>INDENIZAÇÃO</v>
      </c>
      <c r="BE73" s="131" t="str">
        <f>IF(AND(AY73&lt;&gt;"AGUARDANDO",AY73&lt;&gt;"",N73="AUXÍLIO ALUGUEL ATÉ INDENIZAÇÃO"),"SIM","NÃO")</f>
        <v>NÃO</v>
      </c>
      <c r="BF73" s="131"/>
      <c r="BG73" s="199"/>
      <c r="BH73" s="199"/>
      <c r="BN73" s="182"/>
      <c r="CI73" s="182"/>
    </row>
    <row r="74" spans="1:87" s="141" customFormat="1" ht="30" hidden="1" customHeight="1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>IF(AY74-KD74=0,"",AY74-O74)</f>
        <v/>
      </c>
      <c r="BD74" s="131" t="str">
        <f>IF(AND(AI74&lt;&gt;"SIM",AI74="UH"),"AA","INDENIZAÇÃO")</f>
        <v>INDENIZAÇÃO</v>
      </c>
      <c r="BE74" s="131" t="str">
        <f>IF(AND(AY74&lt;&gt;"AGUARDANDO",AY74&lt;&gt;"",N74="AUXÍLIO ALUGUEL ATÉ INDENIZAÇÃO"),"SIM","NÃO")</f>
        <v>NÃO</v>
      </c>
      <c r="BF74" s="131"/>
      <c r="BG74" s="131"/>
      <c r="BH74" s="131"/>
      <c r="BK74" s="199"/>
      <c r="BN74" s="182"/>
      <c r="CI74" s="182"/>
    </row>
    <row r="75" spans="1:87" s="141" customFormat="1" ht="30" hidden="1" customHeight="1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>IF(AY75-KD75=0,"",AY75-O75)</f>
        <v/>
      </c>
      <c r="BD75" s="131" t="str">
        <f>IF(AND(AI75&lt;&gt;"SIM",AI75="UH"),"AA","INDENIZAÇÃO")</f>
        <v>INDENIZAÇÃO</v>
      </c>
      <c r="BE75" s="131" t="str">
        <f>IF(AND(AY75&lt;&gt;"AGUARDANDO",AY75&lt;&gt;"",N75="AUXÍLIO ALUGUEL ATÉ INDENIZAÇÃO"),"SIM","NÃO")</f>
        <v>NÃO</v>
      </c>
      <c r="BF75" s="131"/>
      <c r="BG75" s="199"/>
      <c r="BH75" s="199"/>
      <c r="BN75" s="182"/>
      <c r="CI75" s="182"/>
    </row>
    <row r="76" spans="1:87" s="141" customFormat="1" ht="30" hidden="1" customHeight="1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>IF(AY76-KD76=0,"",AY76-O76)</f>
        <v/>
      </c>
      <c r="BD76" s="131" t="str">
        <f>IF(AND(AI76&lt;&gt;"SIM",AI76="UH"),"AA","INDENIZAÇÃO")</f>
        <v>INDENIZAÇÃO</v>
      </c>
      <c r="BE76" s="131" t="str">
        <f>IF(AND(AY76&lt;&gt;"AGUARDANDO",AY76&lt;&gt;"",N76="AUXÍLIO ALUGUEL ATÉ INDENIZAÇÃO"),"SIM","NÃO")</f>
        <v>NÃO</v>
      </c>
      <c r="BF76" s="131"/>
      <c r="BG76" s="199"/>
      <c r="BH76" s="199"/>
      <c r="BN76" s="182"/>
      <c r="CI76" s="182"/>
    </row>
    <row r="77" spans="1:87" s="141" customFormat="1" ht="30" hidden="1" customHeight="1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>IF(AY77-KD77=0,"",AY77-O77)</f>
        <v/>
      </c>
      <c r="BD77" s="131" t="str">
        <f>IF(AND(AI77&lt;&gt;"SIM",AI77="UH"),"AA","INDENIZAÇÃO")</f>
        <v>INDENIZAÇÃO</v>
      </c>
      <c r="BE77" s="131" t="str">
        <f>IF(AND(AY77&lt;&gt;"AGUARDANDO",AY77&lt;&gt;"",N77="AUXÍLIO ALUGUEL ATÉ INDENIZAÇÃO"),"SIM","NÃO")</f>
        <v>NÃO</v>
      </c>
      <c r="BF77" s="131"/>
      <c r="BG77" s="199"/>
      <c r="BH77" s="199"/>
      <c r="BN77" s="182"/>
      <c r="CI77" s="182"/>
    </row>
    <row r="78" spans="1:87" s="141" customFormat="1" ht="30" hidden="1" customHeight="1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>IF(AY78-KD78=0,"",AY78-O78)</f>
        <v/>
      </c>
      <c r="BD78" s="131" t="str">
        <f>IF(AND(AI78&lt;&gt;"SIM",AI78="UH"),"AA","INDENIZAÇÃO")</f>
        <v>INDENIZAÇÃO</v>
      </c>
      <c r="BE78" s="131" t="str">
        <f>IF(AND(AY78&lt;&gt;"AGUARDANDO",AY78&lt;&gt;"",N78="AUXÍLIO ALUGUEL ATÉ INDENIZAÇÃO"),"SIM","NÃO")</f>
        <v>NÃO</v>
      </c>
      <c r="BF78" s="131"/>
      <c r="BG78" s="199"/>
      <c r="BH78" s="199"/>
      <c r="BN78" s="182"/>
      <c r="CI78" s="182"/>
    </row>
    <row r="79" spans="1:87" s="141" customFormat="1" ht="30" hidden="1" customHeight="1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>IF(AY79-KD79=0,"",AY79-O79)</f>
        <v/>
      </c>
      <c r="BD79" s="131" t="str">
        <f>IF(AND(AI79&lt;&gt;"SIM",AI79="UH"),"AA","INDENIZAÇÃO")</f>
        <v>INDENIZAÇÃO</v>
      </c>
      <c r="BE79" s="131" t="str">
        <f>IF(AND(AY79&lt;&gt;"AGUARDANDO",AY79&lt;&gt;"",N79="AUXÍLIO ALUGUEL ATÉ INDENIZAÇÃO"),"SIM","NÃO")</f>
        <v>NÃO</v>
      </c>
      <c r="BF79" s="131"/>
      <c r="BG79" s="199"/>
      <c r="BH79" s="199"/>
      <c r="BN79" s="182"/>
      <c r="CI79" s="182"/>
    </row>
    <row r="80" spans="1:87" s="141" customFormat="1" ht="30" hidden="1" customHeight="1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>IF(AY80-KD80=0,"",AY80-O80)</f>
        <v/>
      </c>
      <c r="BD80" s="131" t="str">
        <f>IF(AND(AI80&lt;&gt;"SIM",AI80="UH"),"AA","INDENIZAÇÃO")</f>
        <v>INDENIZAÇÃO</v>
      </c>
      <c r="BE80" s="131" t="str">
        <f>IF(AND(AY80&lt;&gt;"AGUARDANDO",AY80&lt;&gt;"",N80="AUXÍLIO ALUGUEL ATÉ INDENIZAÇÃO"),"SIM","NÃO")</f>
        <v>NÃO</v>
      </c>
      <c r="BF80" s="131"/>
      <c r="BG80" s="199"/>
      <c r="BH80" s="199"/>
      <c r="BN80" s="182"/>
      <c r="CI80" s="182"/>
    </row>
    <row r="81" spans="1:87" s="141" customFormat="1" ht="30" hidden="1" customHeight="1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>IF(AY81-KD81=0,"",AY81-O81)</f>
        <v/>
      </c>
      <c r="BD81" s="131" t="str">
        <f>IF(AND(AI81&lt;&gt;"SIM",AI81="UH"),"AA","INDENIZAÇÃO")</f>
        <v>INDENIZAÇÃO</v>
      </c>
      <c r="BE81" s="131" t="str">
        <f>IF(AND(AY81&lt;&gt;"AGUARDANDO",AY81&lt;&gt;"",N81="AUXÍLIO ALUGUEL ATÉ INDENIZAÇÃO"),"SIM","NÃO")</f>
        <v>NÃO</v>
      </c>
      <c r="BF81" s="131"/>
      <c r="BG81" s="199"/>
      <c r="BH81" s="199"/>
      <c r="BN81" s="182"/>
      <c r="CI81" s="182"/>
    </row>
    <row r="82" spans="1:87" s="141" customFormat="1" ht="30" hidden="1" customHeight="1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>IF(AY82-KD82=0,"",AY82-O82)</f>
        <v>56</v>
      </c>
      <c r="BD82" s="131" t="str">
        <f>IF(AND(AI82&lt;&gt;"SIM",AI82="UH"),"AA","INDENIZAÇÃO")</f>
        <v>INDENIZAÇÃO</v>
      </c>
      <c r="BE82" s="131" t="str">
        <f>IF(AND(AY82&lt;&gt;"AGUARDANDO",AY82&lt;&gt;"",N82="AUXÍLIO ALUGUEL ATÉ INDENIZAÇÃO"),"SIM","NÃO")</f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hidden="1" customHeight="1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>IF(AY83-KD83=0,"",AY83-O83)</f>
        <v>123</v>
      </c>
      <c r="BD83" s="131" t="str">
        <f>IF(AND(AI83&lt;&gt;"SIM",AI83="UH"),"AA","INDENIZAÇÃO")</f>
        <v>INDENIZAÇÃO</v>
      </c>
      <c r="BE83" s="131" t="str">
        <f>IF(AND(AY83&lt;&gt;"AGUARDANDO",AY83&lt;&gt;"",N83="AUXÍLIO ALUGUEL ATÉ INDENIZAÇÃO"),"SIM","NÃO")</f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hidden="1" customHeight="1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>IF(AY84-KD84=0,"",AY84-O84)</f>
        <v/>
      </c>
      <c r="BD84" s="131" t="str">
        <f>IF(AND(AI84&lt;&gt;"SIM",AI84="UH"),"AA","INDENIZAÇÃO")</f>
        <v>INDENIZAÇÃO</v>
      </c>
      <c r="BE84" s="131" t="str">
        <f>IF(AND(AY84&lt;&gt;"AGUARDANDO",AY84&lt;&gt;"",N84="AUXÍLIO ALUGUEL ATÉ INDENIZAÇÃO"),"SIM","NÃO")</f>
        <v>NÃO</v>
      </c>
      <c r="BF84" s="131"/>
      <c r="BG84" s="199"/>
      <c r="BH84" s="199"/>
      <c r="BN84" s="182"/>
      <c r="CI84" s="182"/>
    </row>
    <row r="85" spans="1:87" s="141" customFormat="1" ht="30" hidden="1" customHeight="1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3">
        <v>46220</v>
      </c>
      <c r="AZ85" s="137" t="s">
        <v>4370</v>
      </c>
      <c r="BA85" s="137" t="s">
        <v>4445</v>
      </c>
      <c r="BB85" s="141" t="s">
        <v>4442</v>
      </c>
      <c r="BC85" s="197">
        <f>IF(AY85-KD85=0,"",AY85-O85)</f>
        <v>144</v>
      </c>
      <c r="BD85" s="131" t="str">
        <f>IF(AND(AI85&lt;&gt;"SIM",AI85="UH"),"AA","INDENIZAÇÃO")</f>
        <v>INDENIZAÇÃO</v>
      </c>
      <c r="BE85" s="131" t="str">
        <f>IF(AND(AY85&lt;&gt;"AGUARDANDO",AY85&lt;&gt;"",N85="AUXÍLIO ALUGUEL ATÉ INDENIZAÇÃO"),"SIM","NÃO")</f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hidden="1" customHeight="1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3">
        <v>46220</v>
      </c>
      <c r="AZ86" s="137" t="s">
        <v>4370</v>
      </c>
      <c r="BA86" s="137" t="s">
        <v>4445</v>
      </c>
      <c r="BB86" s="141" t="s">
        <v>4442</v>
      </c>
      <c r="BC86" s="197">
        <f>IF(AY86-KD86=0,"",AY86-O86)</f>
        <v>130</v>
      </c>
      <c r="BD86" s="131" t="str">
        <f>IF(AND(AI86&lt;&gt;"SIM",AI86="UH"),"AA","INDENIZAÇÃO")</f>
        <v>INDENIZAÇÃO</v>
      </c>
      <c r="BE86" s="131" t="str">
        <f>IF(AND(AY86&lt;&gt;"AGUARDANDO",AY86&lt;&gt;"",N86="AUXÍLIO ALUGUEL ATÉ INDENIZAÇÃO"),"SIM","NÃO")</f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hidden="1" customHeight="1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>IF(AY87-KD87=0,"",AY87-O87)</f>
        <v/>
      </c>
      <c r="BD87" s="131" t="str">
        <f>IF(AND(AI87&lt;&gt;"SIM",AI87="UH"),"AA","INDENIZAÇÃO")</f>
        <v>INDENIZAÇÃO</v>
      </c>
      <c r="BE87" s="131" t="str">
        <f>IF(AND(AY87&lt;&gt;"AGUARDANDO",AY87&lt;&gt;"",N87="AUXÍLIO ALUGUEL ATÉ INDENIZAÇÃO"),"SIM","NÃO")</f>
        <v>NÃO</v>
      </c>
      <c r="BF87" s="131"/>
      <c r="BG87" s="199"/>
      <c r="BH87" s="199"/>
      <c r="BN87" s="182"/>
      <c r="CI87" s="182"/>
    </row>
    <row r="88" spans="1:87" s="141" customFormat="1" ht="30" hidden="1" customHeight="1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>IF(AY88-KD88=0,"",AY88-O88)</f>
        <v/>
      </c>
      <c r="BD88" s="131" t="str">
        <f>IF(AND(AI88&lt;&gt;"SIM",AI88="UH"),"AA","INDENIZAÇÃO")</f>
        <v>INDENIZAÇÃO</v>
      </c>
      <c r="BE88" s="131" t="str">
        <f>IF(AND(AY88&lt;&gt;"AGUARDANDO",AY88&lt;&gt;"",N88="AUXÍLIO ALUGUEL ATÉ INDENIZAÇÃO"),"SIM","NÃO")</f>
        <v>NÃO</v>
      </c>
      <c r="BF88" s="131"/>
      <c r="BG88" s="199"/>
      <c r="BH88" s="199"/>
      <c r="BN88" s="182"/>
      <c r="CI88" s="182"/>
    </row>
    <row r="89" spans="1:87" s="141" customFormat="1" ht="30" hidden="1" customHeight="1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>IF(AY89-KD89=0,"",AY89-O89)</f>
        <v/>
      </c>
      <c r="BD89" s="131" t="str">
        <f>IF(AND(AI89&lt;&gt;"SIM",AI89="UH"),"AA","INDENIZAÇÃO")</f>
        <v>INDENIZAÇÃO</v>
      </c>
      <c r="BE89" s="131" t="str">
        <f>IF(AND(AY89&lt;&gt;"AGUARDANDO",AY89&lt;&gt;"",N89="AUXÍLIO ALUGUEL ATÉ INDENIZAÇÃO"),"SIM","NÃO")</f>
        <v>NÃO</v>
      </c>
      <c r="BF89" s="131"/>
      <c r="BG89" s="199"/>
      <c r="BH89" s="199"/>
      <c r="BN89" s="182"/>
      <c r="CI89" s="182"/>
    </row>
    <row r="90" spans="1:87" s="141" customFormat="1" ht="30" hidden="1" customHeight="1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>IF(AY90-KD90=0,"",AY90-O90)</f>
        <v/>
      </c>
      <c r="BD90" s="131" t="str">
        <f>IF(AND(AI90&lt;&gt;"SIM",AI90="UH"),"AA","INDENIZAÇÃO")</f>
        <v>INDENIZAÇÃO</v>
      </c>
      <c r="BE90" s="131" t="str">
        <f>IF(AND(AY90&lt;&gt;"AGUARDANDO",AY90&lt;&gt;"",N90="AUXÍLIO ALUGUEL ATÉ INDENIZAÇÃO"),"SIM","NÃO")</f>
        <v>NÃO</v>
      </c>
      <c r="BF90" s="131"/>
      <c r="BG90" s="199"/>
      <c r="BH90" s="199"/>
      <c r="BN90" s="182"/>
      <c r="CI90" s="182"/>
    </row>
    <row r="91" spans="1:87" s="141" customFormat="1" ht="30" hidden="1" customHeight="1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>IF(AY91-KD91=0,"",AY91-O91)</f>
        <v/>
      </c>
      <c r="BD91" s="131" t="str">
        <f>IF(AND(AI91&lt;&gt;"SIM",AI91="UH"),"AA","INDENIZAÇÃO")</f>
        <v>INDENIZAÇÃO</v>
      </c>
      <c r="BE91" s="131" t="str">
        <f>IF(AND(AY91&lt;&gt;"AGUARDANDO",AY91&lt;&gt;"",N91="AUXÍLIO ALUGUEL ATÉ INDENIZAÇÃO"),"SIM","NÃO")</f>
        <v>NÃO</v>
      </c>
      <c r="BF91" s="131"/>
      <c r="BG91" s="199"/>
      <c r="BH91" s="199"/>
      <c r="BN91" s="182"/>
      <c r="CI91" s="182"/>
    </row>
    <row r="92" spans="1:87" s="141" customFormat="1" ht="30" hidden="1" customHeight="1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>IF(AY92-KD92=0,"",AY92-O92)</f>
        <v/>
      </c>
      <c r="BD92" s="131" t="str">
        <f>IF(AND(AI92&lt;&gt;"SIM",AI92="UH"),"AA","INDENIZAÇÃO")</f>
        <v>INDENIZAÇÃO</v>
      </c>
      <c r="BE92" s="131" t="str">
        <f>IF(AND(AY92&lt;&gt;"AGUARDANDO",AY92&lt;&gt;"",N92="AUXÍLIO ALUGUEL ATÉ INDENIZAÇÃO"),"SIM","NÃO")</f>
        <v>NÃO</v>
      </c>
      <c r="BF92" s="131"/>
      <c r="BG92" s="199"/>
      <c r="BH92" s="199"/>
      <c r="BN92" s="182"/>
      <c r="CI92" s="182"/>
    </row>
    <row r="93" spans="1:87" s="141" customFormat="1" ht="30" hidden="1" customHeight="1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>IF(AY93-KD93=0,"",AY93-O93)</f>
        <v/>
      </c>
      <c r="BD93" s="131" t="str">
        <f>IF(AND(AI93&lt;&gt;"SIM",AI93="UH"),"AA","INDENIZAÇÃO")</f>
        <v>INDENIZAÇÃO</v>
      </c>
      <c r="BE93" s="131" t="str">
        <f>IF(AND(AY93&lt;&gt;"AGUARDANDO",AY93&lt;&gt;"",N93="AUXÍLIO ALUGUEL ATÉ INDENIZAÇÃO"),"SIM","NÃO")</f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hidden="1" customHeight="1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>IF(AY94-KD94=0,"",AY94-O94)</f>
        <v/>
      </c>
      <c r="BD94" s="131" t="str">
        <f>IF(AND(AI94&lt;&gt;"SIM",AI94="UH"),"AA","INDENIZAÇÃO")</f>
        <v>INDENIZAÇÃO</v>
      </c>
      <c r="BE94" s="131" t="str">
        <f>IF(AND(AY94&lt;&gt;"AGUARDANDO",AY94&lt;&gt;"",N94="AUXÍLIO ALUGUEL ATÉ INDENIZAÇÃO"),"SIM","NÃO")</f>
        <v>NÃO</v>
      </c>
      <c r="BF94" s="131"/>
      <c r="BG94" s="199"/>
      <c r="BH94" s="199"/>
      <c r="BN94" s="182"/>
      <c r="CI94" s="182"/>
    </row>
    <row r="95" spans="1:87" s="141" customFormat="1" ht="30" hidden="1" customHeight="1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>IF(AY95-KD95=0,"",AY95-O95)</f>
        <v/>
      </c>
      <c r="BD95" s="131" t="str">
        <f>IF(AND(AI95&lt;&gt;"SIM",AI95="UH"),"AA","INDENIZAÇÃO")</f>
        <v>INDENIZAÇÃO</v>
      </c>
      <c r="BE95" s="131" t="str">
        <f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hidden="1" customHeight="1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>IF(AY96-KD96=0,"",AY96-O96)</f>
        <v/>
      </c>
      <c r="BD96" s="131" t="str">
        <f>IF(AND(AI96&lt;&gt;"SIM",AI96="UH"),"AA","INDENIZAÇÃO")</f>
        <v>INDENIZAÇÃO</v>
      </c>
      <c r="BE96" s="131" t="str">
        <f>IF(AND(AY96&lt;&gt;"AGUARDANDO",AY96&lt;&gt;"",N96="AUXÍLIO ALUGUEL ATÉ INDENIZAÇÃO"),"SIM","NÃO")</f>
        <v>NÃO</v>
      </c>
      <c r="BF96" s="131"/>
      <c r="BG96" s="199"/>
      <c r="BH96" s="199"/>
      <c r="BN96" s="182"/>
      <c r="CI96" s="182"/>
    </row>
    <row r="97" spans="1:87" s="141" customFormat="1" ht="30" hidden="1" customHeight="1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>IF(AY97-KD97=0,"",AY97-O97)</f>
        <v/>
      </c>
      <c r="BD97" s="131" t="str">
        <f>IF(AND(AI97&lt;&gt;"SIM",AI97="UH"),"AA","INDENIZAÇÃO")</f>
        <v>INDENIZAÇÃO</v>
      </c>
      <c r="BE97" s="131" t="str">
        <f>IF(AND(AY97&lt;&gt;"AGUARDANDO",AY97&lt;&gt;"",N97="AUXÍLIO ALUGUEL ATÉ INDENIZAÇÃO"),"SIM","NÃO")</f>
        <v>NÃO</v>
      </c>
      <c r="BF97" s="131"/>
      <c r="BG97" s="131"/>
      <c r="BH97" s="131"/>
      <c r="BK97" s="199"/>
      <c r="BN97" s="182"/>
      <c r="CI97" s="182"/>
    </row>
    <row r="98" spans="1:87" s="141" customFormat="1" ht="30" hidden="1" customHeight="1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>IF(AY98-KD98=0,"",AY98-O98)</f>
        <v/>
      </c>
      <c r="BD98" s="131" t="str">
        <f>IF(AND(AI98&lt;&gt;"SIM",AI98="UH"),"AA","INDENIZAÇÃO")</f>
        <v>INDENIZAÇÃO</v>
      </c>
      <c r="BE98" s="131" t="str">
        <f>IF(AND(AY98&lt;&gt;"AGUARDANDO",AY98&lt;&gt;"",N98="AUXÍLIO ALUGUEL ATÉ INDENIZAÇÃO"),"SIM","NÃO")</f>
        <v>NÃO</v>
      </c>
      <c r="BF98" s="131"/>
      <c r="BG98" s="199"/>
      <c r="BH98" s="199"/>
      <c r="BN98" s="182"/>
      <c r="CI98" s="182"/>
    </row>
    <row r="99" spans="1:87" s="141" customFormat="1" ht="30" hidden="1" customHeight="1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>IF(AY99-KD99=0,"",AY99-O99)</f>
        <v/>
      </c>
      <c r="BD99" s="131" t="str">
        <f>IF(AND(AI99&lt;&gt;"SIM",AI99="UH"),"AA","INDENIZAÇÃO")</f>
        <v>INDENIZAÇÃO</v>
      </c>
      <c r="BE99" s="131" t="str">
        <f>IF(AND(AY99&lt;&gt;"AGUARDANDO",AY99&lt;&gt;"",N99="AUXÍLIO ALUGUEL ATÉ INDENIZAÇÃO"),"SIM","NÃO")</f>
        <v>NÃO</v>
      </c>
      <c r="BF99" s="131"/>
      <c r="BG99" s="131"/>
      <c r="BH99" s="131"/>
      <c r="BN99" s="182"/>
      <c r="CI99" s="182"/>
    </row>
    <row r="100" spans="1:87" s="141" customFormat="1" ht="30" hidden="1" customHeight="1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>IF(AY100-KD100=0,"",AY100-O100)</f>
        <v/>
      </c>
      <c r="BD100" s="131" t="str">
        <f>IF(AND(AI100&lt;&gt;"SIM",AI100="UH"),"AA","INDENIZAÇÃO")</f>
        <v>INDENIZAÇÃO</v>
      </c>
      <c r="BE100" s="131" t="str">
        <f>IF(AND(AY100&lt;&gt;"AGUARDANDO",AY100&lt;&gt;"",N100="AUXÍLIO ALUGUEL ATÉ INDENIZAÇÃO"),"SIM","NÃO")</f>
        <v>NÃO</v>
      </c>
      <c r="BF100" s="131"/>
      <c r="BG100" s="199"/>
      <c r="BH100" s="199"/>
      <c r="BN100" s="182"/>
      <c r="CI100" s="182"/>
    </row>
    <row r="101" spans="1:87" s="141" customFormat="1" ht="30" hidden="1" customHeight="1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>IF(AY101-KD101=0,"",AY101-O101)</f>
        <v/>
      </c>
      <c r="BD101" s="131" t="str">
        <f>IF(AND(AI101&lt;&gt;"SIM",AI101="UH"),"AA","INDENIZAÇÃO")</f>
        <v>INDENIZAÇÃO</v>
      </c>
      <c r="BE101" s="131" t="str">
        <f>IF(AND(AY101&lt;&gt;"AGUARDANDO",AY101&lt;&gt;"",N101="AUXÍLIO ALUGUEL ATÉ INDENIZAÇÃO"),"SIM","NÃO")</f>
        <v>NÃO</v>
      </c>
      <c r="BF101" s="131"/>
      <c r="BG101" s="199"/>
      <c r="BH101" s="199"/>
      <c r="BN101" s="182"/>
      <c r="CI101" s="182"/>
    </row>
    <row r="102" spans="1:87" s="141" customFormat="1" ht="30" hidden="1" customHeight="1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>IF(AY102-KD102=0,"",AY102-O102)</f>
        <v/>
      </c>
      <c r="BD102" s="131" t="str">
        <f>IF(AND(AI102&lt;&gt;"SIM",AI102="UH"),"AA","INDENIZAÇÃO")</f>
        <v>INDENIZAÇÃO</v>
      </c>
      <c r="BE102" s="131" t="str">
        <f>IF(AND(AY102&lt;&gt;"AGUARDANDO",AY102&lt;&gt;"",N102="AUXÍLIO ALUGUEL ATÉ INDENIZAÇÃO"),"SIM","NÃO")</f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hidden="1" customHeight="1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>IF(AY103-KD103=0,"",AY103-O103)</f>
        <v/>
      </c>
      <c r="BD103" s="131" t="str">
        <f>IF(AND(AI103&lt;&gt;"SIM",AI103="UH"),"AA","INDENIZAÇÃO")</f>
        <v>INDENIZAÇÃO</v>
      </c>
      <c r="BE103" s="131" t="str">
        <f>IF(AND(AY103&lt;&gt;"AGUARDANDO",AY103&lt;&gt;"",N103="AUXÍLIO ALUGUEL ATÉ INDENIZAÇÃO"),"SIM","NÃO")</f>
        <v>NÃO</v>
      </c>
      <c r="BF103" s="131"/>
      <c r="BG103" s="199"/>
      <c r="BH103" s="199"/>
      <c r="BN103" s="182"/>
      <c r="CI103" s="182"/>
    </row>
    <row r="104" spans="1:87" s="141" customFormat="1" ht="30" hidden="1" customHeight="1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>IF(AY104-KD104=0,"",AY104-O104)</f>
        <v/>
      </c>
      <c r="BD104" s="131" t="str">
        <f>IF(AND(AI104&lt;&gt;"SIM",AI104="UH"),"AA","INDENIZAÇÃO")</f>
        <v>INDENIZAÇÃO</v>
      </c>
      <c r="BE104" s="131" t="str">
        <f>IF(AND(AY104&lt;&gt;"AGUARDANDO",AY104&lt;&gt;"",N104="AUXÍLIO ALUGUEL ATÉ INDENIZAÇÃO"),"SIM","NÃO")</f>
        <v>NÃO</v>
      </c>
      <c r="BF104" s="131"/>
      <c r="BG104" s="199"/>
      <c r="BH104" s="199"/>
      <c r="BN104" s="182"/>
      <c r="CI104" s="182"/>
    </row>
    <row r="105" spans="1:87" s="141" customFormat="1" ht="30" hidden="1" customHeight="1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>IF(AY105-KD105=0,"",AY105-O105)</f>
        <v/>
      </c>
      <c r="BD105" s="131" t="str">
        <f>IF(AND(AI105&lt;&gt;"SIM",AI105="UH"),"AA","INDENIZAÇÃO")</f>
        <v>INDENIZAÇÃO</v>
      </c>
      <c r="BE105" s="131" t="str">
        <f>IF(AND(AY105&lt;&gt;"AGUARDANDO",AY105&lt;&gt;"",N105="AUXÍLIO ALUGUEL ATÉ INDENIZAÇÃO"),"SIM","NÃO")</f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hidden="1" customHeight="1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>IF(AY106-KD106=0,"",AY106-O106)</f>
        <v/>
      </c>
      <c r="BD106" s="131" t="str">
        <f>IF(AND(AI106&lt;&gt;"SIM",AI106="UH"),"AA","INDENIZAÇÃO")</f>
        <v>INDENIZAÇÃO</v>
      </c>
      <c r="BE106" s="131" t="str">
        <f>IF(AND(AY106&lt;&gt;"AGUARDANDO",AY106&lt;&gt;"",N106="AUXÍLIO ALUGUEL ATÉ INDENIZAÇÃO"),"SIM","NÃO")</f>
        <v>NÃO</v>
      </c>
      <c r="BF106" s="131"/>
      <c r="BG106" s="199"/>
      <c r="BH106" s="199"/>
      <c r="BN106" s="182"/>
      <c r="CI106" s="182"/>
    </row>
    <row r="107" spans="1:87" s="141" customFormat="1" ht="30" hidden="1" customHeight="1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>IF(AY107-KD107=0,"",AY107-O107)</f>
        <v/>
      </c>
      <c r="BD107" s="131" t="str">
        <f>IF(AND(AI107&lt;&gt;"SIM",AI107="UH"),"AA","INDENIZAÇÃO")</f>
        <v>INDENIZAÇÃO</v>
      </c>
      <c r="BE107" s="131" t="str">
        <f>IF(AND(AY107&lt;&gt;"AGUARDANDO",AY107&lt;&gt;"",N107="AUXÍLIO ALUGUEL ATÉ INDENIZAÇÃO"),"SIM","NÃO")</f>
        <v>NÃO</v>
      </c>
      <c r="BF107" s="131"/>
      <c r="BG107" s="199"/>
      <c r="BH107" s="199"/>
      <c r="BN107" s="182"/>
      <c r="CI107" s="182"/>
    </row>
    <row r="108" spans="1:87" s="141" customFormat="1" ht="30" hidden="1" customHeight="1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>IF(AY108-KD108=0,"",AY108-O108)</f>
        <v/>
      </c>
      <c r="BD108" s="131" t="str">
        <f>IF(AND(AI108&lt;&gt;"SIM",AI108="UH"),"AA","INDENIZAÇÃO")</f>
        <v>INDENIZAÇÃO</v>
      </c>
      <c r="BE108" s="131" t="str">
        <f>IF(AND(AY108&lt;&gt;"AGUARDANDO",AY108&lt;&gt;"",N108="AUXÍLIO ALUGUEL ATÉ INDENIZAÇÃO"),"SIM","NÃO")</f>
        <v>NÃO</v>
      </c>
      <c r="BF108" s="131"/>
      <c r="BG108" s="199"/>
      <c r="BH108" s="199"/>
      <c r="BN108" s="182"/>
      <c r="CI108" s="182"/>
    </row>
    <row r="109" spans="1:87" s="141" customFormat="1" ht="30" hidden="1" customHeight="1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>IF(AY109-KD109=0,"",AY109-O109)</f>
        <v/>
      </c>
      <c r="BD109" s="131" t="str">
        <f>IF(AND(AI109&lt;&gt;"SIM",AI109="UH"),"AA","INDENIZAÇÃO")</f>
        <v>INDENIZAÇÃO</v>
      </c>
      <c r="BE109" s="131" t="str">
        <f>IF(AND(AY109&lt;&gt;"AGUARDANDO",AY109&lt;&gt;"",N109="AUXÍLIO ALUGUEL ATÉ INDENIZAÇÃO"),"SIM","NÃO")</f>
        <v>NÃO</v>
      </c>
      <c r="BF109" s="131"/>
      <c r="BG109" s="199"/>
      <c r="BH109" s="199"/>
      <c r="BN109" s="182"/>
      <c r="CI109" s="182"/>
    </row>
    <row r="110" spans="1:87" s="141" customFormat="1" ht="30" hidden="1" customHeight="1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>IF(AY110-KD110=0,"",AY110-O110)</f>
        <v/>
      </c>
      <c r="BD110" s="131" t="str">
        <f>IF(AND(AI110&lt;&gt;"SIM",AI110="UH"),"AA","INDENIZAÇÃO")</f>
        <v>INDENIZAÇÃO</v>
      </c>
      <c r="BE110" s="131" t="str">
        <f>IF(AND(AY110&lt;&gt;"AGUARDANDO",AY110&lt;&gt;"",N110="AUXÍLIO ALUGUEL ATÉ INDENIZAÇÃO"),"SIM","NÃO")</f>
        <v>NÃO</v>
      </c>
      <c r="BF110" s="131"/>
      <c r="BG110" s="199"/>
      <c r="BH110" s="199"/>
      <c r="BN110" s="182"/>
      <c r="CI110" s="182"/>
    </row>
    <row r="111" spans="1:87" s="141" customFormat="1" ht="30" hidden="1" customHeight="1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>IF(AY111-KD111=0,"",AY111-O111)</f>
        <v/>
      </c>
      <c r="BD111" s="131" t="str">
        <f>IF(AND(AI111&lt;&gt;"SIM",AI111="UH"),"AA","INDENIZAÇÃO")</f>
        <v>INDENIZAÇÃO</v>
      </c>
      <c r="BE111" s="131" t="str">
        <f>IF(AND(AY111&lt;&gt;"AGUARDANDO",AY111&lt;&gt;"",N111="AUXÍLIO ALUGUEL ATÉ INDENIZAÇÃO"),"SIM","NÃO")</f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hidden="1" customHeight="1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>IF(AY112-KD112=0,"",AY112-O112)</f>
        <v/>
      </c>
      <c r="BD112" s="131" t="str">
        <f>IF(AND(AI112&lt;&gt;"SIM",AI112="UH"),"AA","INDENIZAÇÃO")</f>
        <v>INDENIZAÇÃO</v>
      </c>
      <c r="BE112" s="131" t="str">
        <f>IF(AND(AY112&lt;&gt;"AGUARDANDO",AY112&lt;&gt;"",N112="AUXÍLIO ALUGUEL ATÉ INDENIZAÇÃO"),"SIM","NÃO")</f>
        <v>NÃO</v>
      </c>
      <c r="BF112" s="131"/>
      <c r="BG112" s="199"/>
      <c r="BH112" s="199"/>
      <c r="BN112" s="182"/>
      <c r="CI112" s="182"/>
    </row>
    <row r="113" spans="1:87" s="141" customFormat="1" ht="30" hidden="1" customHeight="1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>IF(AY113-KD113=0,"",AY113-O113)</f>
        <v/>
      </c>
      <c r="BD113" s="131" t="str">
        <f>IF(AND(AI113&lt;&gt;"SIM",AI113="UH"),"AA","INDENIZAÇÃO")</f>
        <v>INDENIZAÇÃO</v>
      </c>
      <c r="BE113" s="131" t="str">
        <f>IF(AND(AY113&lt;&gt;"AGUARDANDO",AY113&lt;&gt;"",N113="AUXÍLIO ALUGUEL ATÉ INDENIZAÇÃO"),"SIM","NÃO")</f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hidden="1" customHeight="1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>IF(AY114-KD114=0,"",AY114-O114)</f>
        <v/>
      </c>
      <c r="BD114" s="131" t="str">
        <f>IF(AND(AI114&lt;&gt;"SIM",AI114="UH"),"AA","INDENIZAÇÃO")</f>
        <v>INDENIZAÇÃO</v>
      </c>
      <c r="BE114" s="131" t="str">
        <f>IF(AND(AY114&lt;&gt;"AGUARDANDO",AY114&lt;&gt;"",N114="AUXÍLIO ALUGUEL ATÉ INDENIZAÇÃO"),"SIM","NÃO")</f>
        <v>NÃO</v>
      </c>
      <c r="BF114" s="131"/>
      <c r="BG114" s="199"/>
      <c r="BH114" s="199"/>
      <c r="BN114" s="182"/>
      <c r="CI114" s="182"/>
    </row>
    <row r="115" spans="1:87" s="141" customFormat="1" ht="30" hidden="1" customHeight="1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>IF(AY115-KD115=0,"",AY115-O115)</f>
        <v/>
      </c>
      <c r="BD115" s="131" t="str">
        <f>IF(AND(AI115&lt;&gt;"SIM",AI115="UH"),"AA","INDENIZAÇÃO")</f>
        <v>INDENIZAÇÃO</v>
      </c>
      <c r="BE115" s="131" t="str">
        <f>IF(AND(AY115&lt;&gt;"AGUARDANDO",AY115&lt;&gt;"",N115="AUXÍLIO ALUGUEL ATÉ INDENIZAÇÃO"),"SIM","NÃO")</f>
        <v>NÃO</v>
      </c>
      <c r="BF115" s="131"/>
      <c r="BG115" s="199"/>
      <c r="BH115" s="199"/>
      <c r="BN115" s="182"/>
      <c r="CI115" s="182"/>
    </row>
    <row r="116" spans="1:87" s="141" customFormat="1" ht="30" hidden="1" customHeight="1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>IF(AY116-KD116=0,"",AY116-O116)</f>
        <v/>
      </c>
      <c r="BD116" s="131" t="str">
        <f>IF(AND(AI116&lt;&gt;"SIM",AI116="UH"),"AA","INDENIZAÇÃO")</f>
        <v>INDENIZAÇÃO</v>
      </c>
      <c r="BE116" s="131" t="str">
        <f>IF(AND(AY116&lt;&gt;"AGUARDANDO",AY116&lt;&gt;"",N116="AUXÍLIO ALUGUEL ATÉ INDENIZAÇÃO"),"SIM","NÃO")</f>
        <v>NÃO</v>
      </c>
      <c r="BF116" s="131"/>
      <c r="BG116" s="199"/>
      <c r="BH116" s="199"/>
      <c r="BN116" s="182"/>
      <c r="CI116" s="182"/>
    </row>
    <row r="117" spans="1:87" s="141" customFormat="1" ht="30" hidden="1" customHeight="1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>IF(AY117-KD117=0,"",AY117-O117)</f>
        <v/>
      </c>
      <c r="BD117" s="131" t="str">
        <f>IF(AND(AI117&lt;&gt;"SIM",AI117="UH"),"AA","INDENIZAÇÃO")</f>
        <v>INDENIZAÇÃO</v>
      </c>
      <c r="BE117" s="131" t="str">
        <f>IF(AND(AY117&lt;&gt;"AGUARDANDO",AY117&lt;&gt;"",N117="AUXÍLIO ALUGUEL ATÉ INDENIZAÇÃO"),"SIM","NÃO")</f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hidden="1" customHeight="1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>IF(AY118-KD118=0,"",AY118-O118)</f>
        <v/>
      </c>
      <c r="BD118" s="131" t="str">
        <f>IF(AND(AI118&lt;&gt;"SIM",AI118="UH"),"AA","INDENIZAÇÃO")</f>
        <v>INDENIZAÇÃO</v>
      </c>
      <c r="BE118" s="131" t="str">
        <f>IF(AND(AY118&lt;&gt;"AGUARDANDO",AY118&lt;&gt;"",N118="AUXÍLIO ALUGUEL ATÉ INDENIZAÇÃO"),"SIM","NÃO")</f>
        <v>NÃO</v>
      </c>
      <c r="BF118" s="131"/>
      <c r="BG118" s="199"/>
      <c r="BH118" s="199"/>
      <c r="BN118" s="182"/>
      <c r="CI118" s="182"/>
    </row>
    <row r="119" spans="1:87" s="141" customFormat="1" ht="30" hidden="1" customHeight="1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>IF(AY119-KD119=0,"",AY119-O119)</f>
        <v/>
      </c>
      <c r="BD119" s="131" t="str">
        <f>IF(AND(AI119&lt;&gt;"SIM",AI119="UH"),"AA","INDENIZAÇÃO")</f>
        <v>INDENIZAÇÃO</v>
      </c>
      <c r="BE119" s="131" t="str">
        <f>IF(AND(AY119&lt;&gt;"AGUARDANDO",AY119&lt;&gt;"",N119="AUXÍLIO ALUGUEL ATÉ INDENIZAÇÃO"),"SIM","NÃO")</f>
        <v>NÃO</v>
      </c>
      <c r="BF119" s="131"/>
      <c r="BG119" s="199"/>
      <c r="BH119" s="199"/>
      <c r="BN119" s="182"/>
      <c r="CI119" s="182"/>
    </row>
    <row r="120" spans="1:87" s="141" customFormat="1" ht="30" hidden="1" customHeight="1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>IF(AY120-KD120=0,"",AY120-O120)</f>
        <v/>
      </c>
      <c r="BD120" s="131" t="str">
        <f>IF(AND(AI120&lt;&gt;"SIM",AI120="UH"),"AA","INDENIZAÇÃO")</f>
        <v>INDENIZAÇÃO</v>
      </c>
      <c r="BE120" s="131" t="str">
        <f>IF(AND(AY120&lt;&gt;"AGUARDANDO",AY120&lt;&gt;"",N120="AUXÍLIO ALUGUEL ATÉ INDENIZAÇÃO"),"SIM","NÃO")</f>
        <v>NÃO</v>
      </c>
      <c r="BF120" s="131"/>
      <c r="BG120" s="199"/>
      <c r="BH120" s="199"/>
      <c r="BN120" s="182"/>
      <c r="CI120" s="182"/>
    </row>
    <row r="121" spans="1:87" s="141" customFormat="1" ht="30" hidden="1" customHeight="1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>IF(AY121-KD121=0,"",AY121-O121)</f>
        <v/>
      </c>
      <c r="BD121" s="131" t="str">
        <f>IF(AND(AI121&lt;&gt;"SIM",AI121="UH"),"AA","INDENIZAÇÃO")</f>
        <v>INDENIZAÇÃO</v>
      </c>
      <c r="BE121" s="131" t="str">
        <f>IF(AND(AY121&lt;&gt;"AGUARDANDO",AY121&lt;&gt;"",N121="AUXÍLIO ALUGUEL ATÉ INDENIZAÇÃO"),"SIM","NÃO")</f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hidden="1" customHeight="1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>IF(AY122-KD122=0,"",AY122-O122)</f>
        <v/>
      </c>
      <c r="BD122" s="131" t="str">
        <f>IF(AND(AI122&lt;&gt;"SIM",AI122="UH"),"AA","INDENIZAÇÃO")</f>
        <v>INDENIZAÇÃO</v>
      </c>
      <c r="BE122" s="131" t="str">
        <f>IF(AND(AY122&lt;&gt;"AGUARDANDO",AY122&lt;&gt;"",N122="AUXÍLIO ALUGUEL ATÉ INDENIZAÇÃO"),"SIM","NÃO")</f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hidden="1" customHeight="1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>IF(AY123-KD123=0,"",AY123-O123)</f>
        <v/>
      </c>
      <c r="BD123" s="131" t="str">
        <f>IF(AND(AI123&lt;&gt;"SIM",AI123="UH"),"AA","INDENIZAÇÃO")</f>
        <v>INDENIZAÇÃO</v>
      </c>
      <c r="BE123" s="131" t="str">
        <f>IF(AND(AY123&lt;&gt;"AGUARDANDO",AY123&lt;&gt;"",N123="AUXÍLIO ALUGUEL ATÉ INDENIZAÇÃO"),"SIM","NÃO")</f>
        <v>NÃO</v>
      </c>
      <c r="BF123" s="131"/>
      <c r="BG123" s="199"/>
      <c r="BH123" s="199"/>
      <c r="BN123" s="182"/>
      <c r="CI123" s="182"/>
    </row>
    <row r="124" spans="1:87" s="141" customFormat="1" ht="30" hidden="1" customHeight="1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>IF(AY124-KD124=0,"",AY124-O124)</f>
        <v/>
      </c>
      <c r="BD124" s="131" t="str">
        <f>IF(AND(AI124&lt;&gt;"SIM",AI124="UH"),"AA","INDENIZAÇÃO")</f>
        <v>INDENIZAÇÃO</v>
      </c>
      <c r="BE124" s="131" t="str">
        <f>IF(AND(AY124&lt;&gt;"AGUARDANDO",AY124&lt;&gt;"",N124="AUXÍLIO ALUGUEL ATÉ INDENIZAÇÃO"),"SIM","NÃO")</f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hidden="1" customHeight="1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>IF(AY125-KD125=0,"",AY125-O125)</f>
        <v/>
      </c>
      <c r="BD125" s="131" t="str">
        <f>IF(AND(AI125&lt;&gt;"SIM",AI125="UH"),"AA","INDENIZAÇÃO")</f>
        <v>INDENIZAÇÃO</v>
      </c>
      <c r="BE125" s="131" t="str">
        <f>IF(AND(AY125&lt;&gt;"AGUARDANDO",AY125&lt;&gt;"",N125="AUXÍLIO ALUGUEL ATÉ INDENIZAÇÃO"),"SIM","NÃO")</f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hidden="1" customHeight="1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>IF(AY126-KD126=0,"",AY126-O126)</f>
        <v/>
      </c>
      <c r="BD126" s="131" t="str">
        <f>IF(AND(AI126&lt;&gt;"SIM",AI126="UH"),"AA","INDENIZAÇÃO")</f>
        <v>INDENIZAÇÃO</v>
      </c>
      <c r="BE126" s="131" t="str">
        <f>IF(AND(AY126&lt;&gt;"AGUARDANDO",AY126&lt;&gt;"",N126="AUXÍLIO ALUGUEL ATÉ INDENIZAÇÃO"),"SIM","NÃO")</f>
        <v>NÃO</v>
      </c>
      <c r="BF126" s="131"/>
      <c r="BG126" s="199"/>
      <c r="BH126" s="199"/>
      <c r="BN126" s="182"/>
      <c r="CI126" s="182"/>
    </row>
    <row r="127" spans="1:87" s="141" customFormat="1" ht="30" hidden="1" customHeight="1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>IF(AY127-KD127=0,"",AY127-O127)</f>
        <v/>
      </c>
      <c r="BD127" s="131" t="str">
        <f>IF(AND(AI127&lt;&gt;"SIM",AI127="UH"),"AA","INDENIZAÇÃO")</f>
        <v>INDENIZAÇÃO</v>
      </c>
      <c r="BE127" s="131" t="str">
        <f>IF(AND(AY127&lt;&gt;"AGUARDANDO",AY127&lt;&gt;"",N127="AUXÍLIO ALUGUEL ATÉ INDENIZAÇÃO"),"SIM","NÃO")</f>
        <v>NÃO</v>
      </c>
      <c r="BF127" s="131"/>
      <c r="BG127" s="199"/>
      <c r="BH127" s="199"/>
      <c r="BN127" s="182"/>
      <c r="CI127" s="182"/>
    </row>
    <row r="128" spans="1:87" s="141" customFormat="1" ht="30" hidden="1" customHeight="1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>IF(AY128-KD128=0,"",AY128-O128)</f>
        <v/>
      </c>
      <c r="BD128" s="131" t="str">
        <f>IF(AND(AI128&lt;&gt;"SIM",AI128="UH"),"AA","INDENIZAÇÃO")</f>
        <v>INDENIZAÇÃO</v>
      </c>
      <c r="BE128" s="131" t="str">
        <f>IF(AND(AY128&lt;&gt;"AGUARDANDO",AY128&lt;&gt;"",N128="AUXÍLIO ALUGUEL ATÉ INDENIZAÇÃO"),"SIM","NÃO")</f>
        <v>NÃO</v>
      </c>
      <c r="BF128" s="131"/>
      <c r="BG128" s="199"/>
      <c r="BH128" s="199"/>
      <c r="BN128" s="182"/>
      <c r="CI128" s="182"/>
    </row>
    <row r="129" spans="1:87" s="141" customFormat="1" ht="30" hidden="1" customHeight="1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>IF(AY129-KD129=0,"",AY129-O129)</f>
        <v/>
      </c>
      <c r="BD129" s="131" t="str">
        <f>IF(AND(AI129&lt;&gt;"SIM",AI129="UH"),"AA","INDENIZAÇÃO")</f>
        <v>INDENIZAÇÃO</v>
      </c>
      <c r="BE129" s="131" t="str">
        <f>IF(AND(AY129&lt;&gt;"AGUARDANDO",AY129&lt;&gt;"",N129="AUXÍLIO ALUGUEL ATÉ INDENIZAÇÃO"),"SIM","NÃO")</f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hidden="1" customHeight="1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>IF(AY130-KD130=0,"",AY130-O130)</f>
        <v/>
      </c>
      <c r="BD130" s="131" t="str">
        <f>IF(AND(AI130&lt;&gt;"SIM",AI130="UH"),"AA","INDENIZAÇÃO")</f>
        <v>INDENIZAÇÃO</v>
      </c>
      <c r="BE130" s="131" t="str">
        <f>IF(AND(AY130&lt;&gt;"AGUARDANDO",AY130&lt;&gt;"",N130="AUXÍLIO ALUGUEL ATÉ INDENIZAÇÃO"),"SIM","NÃO")</f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hidden="1" customHeight="1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>IF(AY131-KD131=0,"",AY131-O131)</f>
        <v/>
      </c>
      <c r="BD131" s="131" t="str">
        <f>IF(AND(AI131&lt;&gt;"SIM",AI131="UH"),"AA","INDENIZAÇÃO")</f>
        <v>INDENIZAÇÃO</v>
      </c>
      <c r="BE131" s="131" t="str">
        <f>IF(AND(AY131&lt;&gt;"AGUARDANDO",AY131&lt;&gt;"",N131="AUXÍLIO ALUGUEL ATÉ INDENIZAÇÃO"),"SIM","NÃO")</f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hidden="1" customHeight="1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>IF(AY132-KD132=0,"",AY132-O132)</f>
        <v/>
      </c>
      <c r="BD132" s="131" t="str">
        <f>IF(AND(AI132&lt;&gt;"SIM",AI132="UH"),"AA","INDENIZAÇÃO")</f>
        <v>INDENIZAÇÃO</v>
      </c>
      <c r="BE132" s="131" t="str">
        <f>IF(AND(AY132&lt;&gt;"AGUARDANDO",AY132&lt;&gt;"",N132="AUXÍLIO ALUGUEL ATÉ INDENIZAÇÃO"),"SIM","NÃO")</f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hidden="1" customHeight="1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>IF(AY133-KD133=0,"",AY133-O133)</f>
        <v/>
      </c>
      <c r="BD133" s="131" t="str">
        <f>IF(AND(AI133&lt;&gt;"SIM",AI133="UH"),"AA","INDENIZAÇÃO")</f>
        <v>INDENIZAÇÃO</v>
      </c>
      <c r="BE133" s="131" t="str">
        <f>IF(AND(AY133&lt;&gt;"AGUARDANDO",AY133&lt;&gt;"",N133="AUXÍLIO ALUGUEL ATÉ INDENIZAÇÃO"),"SIM","NÃO")</f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hidden="1" customHeight="1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>IF(AY134-KD134=0,"",AY134-O134)</f>
        <v/>
      </c>
      <c r="BD134" s="131" t="str">
        <f>IF(AND(AI134&lt;&gt;"SIM",AI134="UH"),"AA","INDENIZAÇÃO")</f>
        <v>INDENIZAÇÃO</v>
      </c>
      <c r="BE134" s="131" t="str">
        <f>IF(AND(AY134&lt;&gt;"AGUARDANDO",AY134&lt;&gt;"",N134="AUXÍLIO ALUGUEL ATÉ INDENIZAÇÃO"),"SIM","NÃO")</f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hidden="1" customHeight="1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>IF(AY135-KD135=0,"",AY135-O135)</f>
        <v/>
      </c>
      <c r="BD135" s="131" t="str">
        <f>IF(AND(AI135&lt;&gt;"SIM",AI135="UH"),"AA","INDENIZAÇÃO")</f>
        <v>INDENIZAÇÃO</v>
      </c>
      <c r="BE135" s="131" t="str">
        <f>IF(AND(AY135&lt;&gt;"AGUARDANDO",AY135&lt;&gt;"",N135="AUXÍLIO ALUGUEL ATÉ INDENIZAÇÃO"),"SIM","NÃO")</f>
        <v>NÃO</v>
      </c>
      <c r="BF135" s="131"/>
      <c r="BG135" s="199"/>
      <c r="BH135" s="199"/>
      <c r="BN135" s="182"/>
      <c r="CI135" s="182"/>
    </row>
    <row r="136" spans="1:87" s="141" customFormat="1" ht="30" hidden="1" customHeight="1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>IF(AY136-KD136=0,"",AY136-O136)</f>
        <v/>
      </c>
      <c r="BD136" s="131" t="str">
        <f>IF(AND(AI136&lt;&gt;"SIM",AI136="UH"),"AA","INDENIZAÇÃO")</f>
        <v>INDENIZAÇÃO</v>
      </c>
      <c r="BE136" s="131" t="str">
        <f>IF(AND(AY136&lt;&gt;"AGUARDANDO",AY136&lt;&gt;"",N136="AUXÍLIO ALUGUEL ATÉ INDENIZAÇÃO"),"SIM","NÃO")</f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hidden="1" customHeight="1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>IF(AY137-KD137=0,"",AY137-O137)</f>
        <v/>
      </c>
      <c r="BD137" s="131" t="str">
        <f>IF(AND(AI137&lt;&gt;"SIM",AI137="UH"),"AA","INDENIZAÇÃO")</f>
        <v>INDENIZAÇÃO</v>
      </c>
      <c r="BE137" s="131" t="str">
        <f>IF(AND(AY137&lt;&gt;"AGUARDANDO",AY137&lt;&gt;"",N137="AUXÍLIO ALUGUEL ATÉ INDENIZAÇÃO"),"SIM","NÃO")</f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hidden="1" customHeight="1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>IF(AY138-KD138=0,"",AY138-O138)</f>
        <v/>
      </c>
      <c r="BD138" s="131" t="str">
        <f>IF(AND(AI138&lt;&gt;"SIM",AI138="UH"),"AA","INDENIZAÇÃO")</f>
        <v>INDENIZAÇÃO</v>
      </c>
      <c r="BE138" s="131" t="str">
        <f>IF(AND(AY138&lt;&gt;"AGUARDANDO",AY138&lt;&gt;"",N138="AUXÍLIO ALUGUEL ATÉ INDENIZAÇÃO"),"SIM","NÃO")</f>
        <v>NÃO</v>
      </c>
      <c r="BF138" s="131"/>
      <c r="BG138" s="199"/>
      <c r="BH138" s="199"/>
      <c r="BN138" s="182"/>
      <c r="CI138" s="182"/>
    </row>
    <row r="139" spans="1:87" s="141" customFormat="1" ht="30" hidden="1" customHeight="1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>IF(AY139-KD139=0,"",AY139-O139)</f>
        <v/>
      </c>
      <c r="BD139" s="131" t="str">
        <f>IF(AND(AI139&lt;&gt;"SIM",AI139="UH"),"AA","INDENIZAÇÃO")</f>
        <v>INDENIZAÇÃO</v>
      </c>
      <c r="BE139" s="131" t="str">
        <f>IF(AND(AY139&lt;&gt;"AGUARDANDO",AY139&lt;&gt;"",N139="AUXÍLIO ALUGUEL ATÉ INDENIZAÇÃO"),"SIM","NÃO")</f>
        <v>NÃO</v>
      </c>
      <c r="BF139" s="131"/>
      <c r="BG139" s="199"/>
      <c r="BH139" s="199"/>
      <c r="BN139" s="182"/>
      <c r="CI139" s="182"/>
    </row>
    <row r="140" spans="1:87" s="141" customFormat="1" ht="30" hidden="1" customHeight="1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>IF(AY140-KD140=0,"",AY140-O140)</f>
        <v/>
      </c>
      <c r="BD140" s="131" t="str">
        <f>IF(AND(AI140&lt;&gt;"SIM",AI140="UH"),"AA","INDENIZAÇÃO")</f>
        <v>INDENIZAÇÃO</v>
      </c>
      <c r="BE140" s="131" t="str">
        <f>IF(AND(AY140&lt;&gt;"AGUARDANDO",AY140&lt;&gt;"",N140="AUXÍLIO ALUGUEL ATÉ INDENIZAÇÃO"),"SIM","NÃO")</f>
        <v>NÃO</v>
      </c>
      <c r="BF140" s="131"/>
      <c r="BG140" s="199"/>
      <c r="BH140" s="199"/>
      <c r="BN140" s="182"/>
      <c r="CI140" s="182"/>
    </row>
    <row r="141" spans="1:87" s="141" customFormat="1" ht="30" hidden="1" customHeight="1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>IF(AY141-KD141=0,"",AY141-O141)</f>
        <v/>
      </c>
      <c r="BD141" s="131" t="str">
        <f>IF(AND(AI141&lt;&gt;"SIM",AI141="UH"),"AA","INDENIZAÇÃO")</f>
        <v>INDENIZAÇÃO</v>
      </c>
      <c r="BE141" s="131" t="str">
        <f>IF(AND(AY141&lt;&gt;"AGUARDANDO",AY141&lt;&gt;"",N141="AUXÍLIO ALUGUEL ATÉ INDENIZAÇÃO"),"SIM","NÃO")</f>
        <v>NÃO</v>
      </c>
      <c r="BF141" s="131"/>
      <c r="BG141" s="199"/>
      <c r="BH141" s="199"/>
      <c r="BN141" s="182"/>
      <c r="CI141" s="182"/>
    </row>
    <row r="142" spans="1:87" s="141" customFormat="1" ht="30" hidden="1" customHeight="1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>IF(AY142-KD142=0,"",AY142-O142)</f>
        <v/>
      </c>
      <c r="BD142" s="131" t="str">
        <f>IF(AND(AI142&lt;&gt;"SIM",AI142="UH"),"AA","INDENIZAÇÃO")</f>
        <v>INDENIZAÇÃO</v>
      </c>
      <c r="BE142" s="131" t="str">
        <f>IF(AND(AY142&lt;&gt;"AGUARDANDO",AY142&lt;&gt;"",N142="AUXÍLIO ALUGUEL ATÉ INDENIZAÇÃO"),"SIM","NÃO")</f>
        <v>NÃO</v>
      </c>
      <c r="BF142" s="131"/>
      <c r="BG142" s="199"/>
      <c r="BH142" s="199"/>
      <c r="BN142" s="182"/>
      <c r="CI142" s="182"/>
    </row>
    <row r="143" spans="1:87" s="141" customFormat="1" ht="30" hidden="1" customHeight="1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>IF(AY143-KD143=0,"",AY143-O143)</f>
        <v/>
      </c>
      <c r="BD143" s="131" t="str">
        <f>IF(AND(AI143&lt;&gt;"SIM",AI143="UH"),"AA","INDENIZAÇÃO")</f>
        <v>INDENIZAÇÃO</v>
      </c>
      <c r="BE143" s="131" t="str">
        <f>IF(AND(AY143&lt;&gt;"AGUARDANDO",AY143&lt;&gt;"",N143="AUXÍLIO ALUGUEL ATÉ INDENIZAÇÃO"),"SIM","NÃO")</f>
        <v>NÃO</v>
      </c>
      <c r="BF143" s="131"/>
      <c r="BG143" s="199"/>
      <c r="BH143" s="199"/>
      <c r="BN143" s="182"/>
      <c r="CI143" s="182"/>
    </row>
    <row r="144" spans="1:87" s="141" customFormat="1" ht="30" hidden="1" customHeight="1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>IF(AY144-KD144=0,"",AY144-O144)</f>
        <v/>
      </c>
      <c r="BD144" s="131" t="str">
        <f>IF(AND(AI144&lt;&gt;"SIM",AI144="UH"),"AA","INDENIZAÇÃO")</f>
        <v>INDENIZAÇÃO</v>
      </c>
      <c r="BE144" s="131" t="str">
        <f>IF(AND(AY144&lt;&gt;"AGUARDANDO",AY144&lt;&gt;"",N144="AUXÍLIO ALUGUEL ATÉ INDENIZAÇÃO"),"SIM","NÃO")</f>
        <v>NÃO</v>
      </c>
      <c r="BF144" s="131"/>
      <c r="BG144" s="199"/>
      <c r="BH144" s="199"/>
      <c r="BN144" s="182"/>
      <c r="CI144" s="182"/>
    </row>
    <row r="145" spans="1:87" s="141" customFormat="1" ht="30" hidden="1" customHeight="1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>IF(AY145-KD145=0,"",AY145-O145)</f>
        <v/>
      </c>
      <c r="BD145" s="131" t="str">
        <f>IF(AND(AI145&lt;&gt;"SIM",AI145="UH"),"AA","INDENIZAÇÃO")</f>
        <v>INDENIZAÇÃO</v>
      </c>
      <c r="BE145" s="131" t="str">
        <f>IF(AND(AY145&lt;&gt;"AGUARDANDO",AY145&lt;&gt;"",N145="AUXÍLIO ALUGUEL ATÉ INDENIZAÇÃO"),"SIM","NÃO")</f>
        <v>NÃO</v>
      </c>
      <c r="BF145" s="131"/>
      <c r="BG145" s="199"/>
      <c r="BH145" s="199"/>
      <c r="BN145" s="182"/>
      <c r="CI145" s="182"/>
    </row>
    <row r="146" spans="1:87" s="141" customFormat="1" ht="30" hidden="1" customHeight="1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>IF(AY146-KD146=0,"",AY146-O146)</f>
        <v/>
      </c>
      <c r="BD146" s="131" t="str">
        <f>IF(AND(AI146&lt;&gt;"SIM",AI146="UH"),"AA","INDENIZAÇÃO")</f>
        <v>INDENIZAÇÃO</v>
      </c>
      <c r="BE146" s="131" t="str">
        <f>IF(AND(AY146&lt;&gt;"AGUARDANDO",AY146&lt;&gt;"",N146="AUXÍLIO ALUGUEL ATÉ INDENIZAÇÃO"),"SIM","NÃO")</f>
        <v>NÃO</v>
      </c>
      <c r="BF146" s="131"/>
      <c r="BG146" s="199"/>
      <c r="BH146" s="199"/>
      <c r="BN146" s="182"/>
      <c r="CI146" s="182"/>
    </row>
    <row r="147" spans="1:87" s="141" customFormat="1" ht="30" hidden="1" customHeight="1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>IF(AY147-KD147=0,"",AY147-O147)</f>
        <v/>
      </c>
      <c r="BD147" s="131" t="str">
        <f>IF(AND(AI147&lt;&gt;"SIM",AI147="UH"),"AA","INDENIZAÇÃO")</f>
        <v>INDENIZAÇÃO</v>
      </c>
      <c r="BE147" s="131" t="str">
        <f>IF(AND(AY147&lt;&gt;"AGUARDANDO",AY147&lt;&gt;"",N147="AUXÍLIO ALUGUEL ATÉ INDENIZAÇÃO"),"SIM","NÃO")</f>
        <v>NÃO</v>
      </c>
      <c r="BF147" s="131"/>
      <c r="BG147" s="199"/>
      <c r="BH147" s="199"/>
      <c r="BN147" s="182"/>
      <c r="CI147" s="182"/>
    </row>
    <row r="148" spans="1:87" s="141" customFormat="1" ht="30" hidden="1" customHeight="1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>IF(AY148-KD148=0,"",AY148-O148)</f>
        <v/>
      </c>
      <c r="BD148" s="131" t="str">
        <f>IF(AND(AI148&lt;&gt;"SIM",AI148="UH"),"AA","INDENIZAÇÃO")</f>
        <v>INDENIZAÇÃO</v>
      </c>
      <c r="BE148" s="131" t="str">
        <f>IF(AND(AY148&lt;&gt;"AGUARDANDO",AY148&lt;&gt;"",N148="AUXÍLIO ALUGUEL ATÉ INDENIZAÇÃO"),"SIM","NÃO")</f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hidden="1" customHeight="1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>IF(AY149-KD149=0,"",AY149-O149)</f>
        <v/>
      </c>
      <c r="BD149" s="131" t="str">
        <f>IF(AND(AI149&lt;&gt;"SIM",AI149="UH"),"AA","INDENIZAÇÃO")</f>
        <v>INDENIZAÇÃO</v>
      </c>
      <c r="BE149" s="131" t="str">
        <f>IF(AND(AY149&lt;&gt;"AGUARDANDO",AY149&lt;&gt;"",N149="AUXÍLIO ALUGUEL ATÉ INDENIZAÇÃO"),"SIM","NÃO")</f>
        <v>NÃO</v>
      </c>
      <c r="BF149" s="131"/>
      <c r="BG149" s="131"/>
      <c r="BH149" s="131"/>
      <c r="BN149" s="182"/>
      <c r="CI149" s="182"/>
    </row>
    <row r="150" spans="1:87" s="141" customFormat="1" ht="30" hidden="1" customHeight="1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>IF(AY150-KD150=0,"",AY150-O150)</f>
        <v/>
      </c>
      <c r="BD150" s="131" t="str">
        <f>IF(AND(AI150&lt;&gt;"SIM",AI150="UH"),"AA","INDENIZAÇÃO")</f>
        <v>INDENIZAÇÃO</v>
      </c>
      <c r="BE150" s="131" t="str">
        <f>IF(AND(AY150&lt;&gt;"AGUARDANDO",AY150&lt;&gt;"",N150="AUXÍLIO ALUGUEL ATÉ INDENIZAÇÃO"),"SIM","NÃO")</f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hidden="1" customHeight="1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>IF(AY151-KD151=0,"",AY151-O151)</f>
        <v/>
      </c>
      <c r="BD151" s="131" t="str">
        <f>IF(AND(AI151&lt;&gt;"SIM",AI151="UH"),"AA","INDENIZAÇÃO")</f>
        <v>INDENIZAÇÃO</v>
      </c>
      <c r="BE151" s="131" t="str">
        <f>IF(AND(AY151&lt;&gt;"AGUARDANDO",AY151&lt;&gt;"",N151="AUXÍLIO ALUGUEL ATÉ INDENIZAÇÃO"),"SIM","NÃO")</f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hidden="1" customHeight="1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>IF(AY152-KD152=0,"",AY152-O152)</f>
        <v/>
      </c>
      <c r="BD152" s="131" t="str">
        <f>IF(AND(AI152&lt;&gt;"SIM",AI152="UH"),"AA","INDENIZAÇÃO")</f>
        <v>INDENIZAÇÃO</v>
      </c>
      <c r="BE152" s="131" t="str">
        <f>IF(AND(AY152&lt;&gt;"AGUARDANDO",AY152&lt;&gt;"",N152="AUXÍLIO ALUGUEL ATÉ INDENIZAÇÃO"),"SIM","NÃO")</f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hidden="1" customHeight="1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>IF(AY153-KD153=0,"",AY153-O153)</f>
        <v/>
      </c>
      <c r="BD153" s="131" t="str">
        <f>IF(AND(AI153&lt;&gt;"SIM",AI153="UH"),"AA","INDENIZAÇÃO")</f>
        <v>INDENIZAÇÃO</v>
      </c>
      <c r="BE153" s="131" t="str">
        <f>IF(AND(AY153&lt;&gt;"AGUARDANDO",AY153&lt;&gt;"",N153="AUXÍLIO ALUGUEL ATÉ INDENIZAÇÃO"),"SIM","NÃO")</f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hidden="1" customHeight="1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>IF(AY154-KD154=0,"",AY154-O154)</f>
        <v/>
      </c>
      <c r="BD154" s="131" t="str">
        <f>IF(AND(AI154&lt;&gt;"SIM",AI154="UH"),"AA","INDENIZAÇÃO")</f>
        <v>INDENIZAÇÃO</v>
      </c>
      <c r="BE154" s="131" t="str">
        <f>IF(AND(AY154&lt;&gt;"AGUARDANDO",AY154&lt;&gt;"",N154="AUXÍLIO ALUGUEL ATÉ INDENIZAÇÃO"),"SIM","NÃO")</f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hidden="1" customHeight="1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>IF(AY155-KD155=0,"",AY155-O155)</f>
        <v/>
      </c>
      <c r="BD155" s="131" t="str">
        <f>IF(AND(AI155&lt;&gt;"SIM",AI155="UH"),"AA","INDENIZAÇÃO")</f>
        <v>INDENIZAÇÃO</v>
      </c>
      <c r="BE155" s="131" t="str">
        <f>IF(AND(AY155&lt;&gt;"AGUARDANDO",AY155&lt;&gt;"",N155="AUXÍLIO ALUGUEL ATÉ INDENIZAÇÃO"),"SIM","NÃO")</f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hidden="1" customHeight="1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>IF(AY156-KD156=0,"",AY156-O156)</f>
        <v/>
      </c>
      <c r="BD156" s="131" t="str">
        <f>IF(AND(AI156&lt;&gt;"SIM",AI156="UH"),"AA","INDENIZAÇÃO")</f>
        <v>INDENIZAÇÃO</v>
      </c>
      <c r="BE156" s="131" t="str">
        <f>IF(AND(AY156&lt;&gt;"AGUARDANDO",AY156&lt;&gt;"",N156="AUXÍLIO ALUGUEL ATÉ INDENIZAÇÃO"),"SIM","NÃO")</f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hidden="1" customHeight="1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>IF(AY157-KD157=0,"",AY157-O157)</f>
        <v/>
      </c>
      <c r="BD157" s="131" t="str">
        <f>IF(AND(AI157&lt;&gt;"SIM",AI157="UH"),"AA","INDENIZAÇÃO")</f>
        <v>INDENIZAÇÃO</v>
      </c>
      <c r="BE157" s="131" t="str">
        <f>IF(AND(AY157&lt;&gt;"AGUARDANDO",AY157&lt;&gt;"",N157="AUXÍLIO ALUGUEL ATÉ INDENIZAÇÃO"),"SIM","NÃO")</f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hidden="1" customHeight="1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>IF(AY158-KD158=0,"",AY158-O158)</f>
        <v/>
      </c>
      <c r="BD158" s="131" t="str">
        <f>IF(AND(AI158&lt;&gt;"SIM",AI158="UH"),"AA","INDENIZAÇÃO")</f>
        <v>INDENIZAÇÃO</v>
      </c>
      <c r="BE158" s="131" t="str">
        <f>IF(AND(AY158&lt;&gt;"AGUARDANDO",AY158&lt;&gt;"",N158="AUXÍLIO ALUGUEL ATÉ INDENIZAÇÃO"),"SIM","NÃO")</f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hidden="1" customHeight="1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>IF(AY159-KD159=0,"",AY159-O159)</f>
        <v/>
      </c>
      <c r="BD159" s="131" t="str">
        <f>IF(AND(AI159&lt;&gt;"SIM",AI159="UH"),"AA","INDENIZAÇÃO")</f>
        <v>INDENIZAÇÃO</v>
      </c>
      <c r="BE159" s="131" t="str">
        <f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hidden="1" customHeight="1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>IF(AY160-KD160=0,"",AY160-O160)</f>
        <v/>
      </c>
      <c r="BD160" s="131" t="str">
        <f>IF(AND(AI160&lt;&gt;"SIM",AI160="UH"),"AA","INDENIZAÇÃO")</f>
        <v>INDENIZAÇÃO</v>
      </c>
      <c r="BE160" s="131" t="str">
        <f>IF(AND(AY160&lt;&gt;"AGUARDANDO",AY160&lt;&gt;"",N160="AUXÍLIO ALUGUEL ATÉ INDENIZAÇÃO"),"SIM","NÃO")</f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hidden="1" customHeight="1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>IF(AY161-KD161=0,"",AY161-O161)</f>
        <v/>
      </c>
      <c r="BD161" s="131" t="str">
        <f>IF(AND(AI161&lt;&gt;"SIM",AI161="UH"),"AA","INDENIZAÇÃO")</f>
        <v>INDENIZAÇÃO</v>
      </c>
      <c r="BE161" s="131" t="str">
        <f>IF(AND(AY161&lt;&gt;"AGUARDANDO",AY161&lt;&gt;"",N161="AUXÍLIO ALUGUEL ATÉ INDENIZAÇÃO"),"SIM","NÃO")</f>
        <v>NÃO</v>
      </c>
      <c r="BF161" s="131"/>
      <c r="BG161" s="199"/>
      <c r="BH161" s="199"/>
      <c r="BN161" s="182"/>
      <c r="CI161" s="182"/>
    </row>
    <row r="162" spans="1:91" s="141" customFormat="1" ht="30" hidden="1" customHeight="1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>IF(AY162-KD162=0,"",AY162-O162)</f>
        <v/>
      </c>
      <c r="BD162" s="131" t="str">
        <f>IF(AND(AI162&lt;&gt;"SIM",AI162="UH"),"AA","INDENIZAÇÃO")</f>
        <v>INDENIZAÇÃO</v>
      </c>
      <c r="BE162" s="131" t="str">
        <f>IF(AND(AY162&lt;&gt;"AGUARDANDO",AY162&lt;&gt;"",N162="AUXÍLIO ALUGUEL ATÉ INDENIZAÇÃO"),"SIM","NÃO")</f>
        <v>NÃO</v>
      </c>
      <c r="BF162" s="131"/>
      <c r="BG162" s="199"/>
      <c r="BH162" s="199"/>
      <c r="BN162" s="182"/>
      <c r="CI162" s="182"/>
    </row>
    <row r="163" spans="1:91" s="141" customFormat="1" ht="30" hidden="1" customHeight="1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>IF(AY163-KD163=0,"",AY163-O163)</f>
        <v/>
      </c>
      <c r="BD163" s="131" t="str">
        <f>IF(AND(AI163&lt;&gt;"SIM",AI163="UH"),"AA","INDENIZAÇÃO")</f>
        <v>INDENIZAÇÃO</v>
      </c>
      <c r="BE163" s="131" t="str">
        <f>IF(AND(AY163&lt;&gt;"AGUARDANDO",AY163&lt;&gt;"",N163="AUXÍLIO ALUGUEL ATÉ INDENIZAÇÃO"),"SIM","NÃO")</f>
        <v>NÃO</v>
      </c>
      <c r="BF163" s="131"/>
      <c r="BG163" s="199"/>
      <c r="BH163" s="199"/>
      <c r="BN163" s="182"/>
      <c r="CI163" s="182"/>
    </row>
    <row r="164" spans="1:91" s="141" customFormat="1" ht="30" hidden="1" customHeight="1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>IF(AY164-KD164=0,"",AY164-O164)</f>
        <v/>
      </c>
      <c r="BD164" s="131" t="str">
        <f>IF(AND(AI164&lt;&gt;"SIM",AI164="UH"),"AA","INDENIZAÇÃO")</f>
        <v>INDENIZAÇÃO</v>
      </c>
      <c r="BE164" s="131" t="str">
        <f>IF(AND(AY164&lt;&gt;"AGUARDANDO",AY164&lt;&gt;"",N164="AUXÍLIO ALUGUEL ATÉ INDENIZAÇÃO"),"SIM","NÃO")</f>
        <v>NÃO</v>
      </c>
      <c r="BF164" s="131"/>
      <c r="BG164" s="199"/>
      <c r="BH164" s="199"/>
      <c r="BN164" s="182"/>
      <c r="CI164" s="182"/>
    </row>
    <row r="165" spans="1:91" s="141" customFormat="1" ht="30" hidden="1" customHeight="1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>IF(AY165-KD165=0,"",AY165-O165)</f>
        <v/>
      </c>
      <c r="BD165" s="131" t="str">
        <f>IF(AND(AI165&lt;&gt;"SIM",AI165="UH"),"AA","INDENIZAÇÃO")</f>
        <v>INDENIZAÇÃO</v>
      </c>
      <c r="BE165" s="131" t="str">
        <f>IF(AND(AY165&lt;&gt;"AGUARDANDO",AY165&lt;&gt;"",N165="AUXÍLIO ALUGUEL ATÉ INDENIZAÇÃO"),"SIM","NÃO")</f>
        <v>NÃO</v>
      </c>
      <c r="BG165" s="199"/>
      <c r="BH165" s="199"/>
      <c r="BN165" s="182"/>
      <c r="CI165" s="182"/>
    </row>
    <row r="166" spans="1:91" s="141" customFormat="1" ht="30" hidden="1" customHeight="1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>IF(AY166-KD166=0,"",AY166-O166)</f>
        <v/>
      </c>
      <c r="BD166" s="131" t="str">
        <f>IF(AND(AI166&lt;&gt;"SIM",AI166="UH"),"AA","INDENIZAÇÃO")</f>
        <v>INDENIZAÇÃO</v>
      </c>
      <c r="BE166" s="131" t="str">
        <f>IF(AND(AY166&lt;&gt;"AGUARDANDO",AY166&lt;&gt;"",N166="AUXÍLIO ALUGUEL ATÉ INDENIZAÇÃO"),"SIM","NÃO")</f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hidden="1" customHeight="1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>IF(AY167-KD167=0,"",AY167-O167)</f>
        <v/>
      </c>
      <c r="BD167" s="131" t="str">
        <f>IF(AND(AI167&lt;&gt;"SIM",AI167="UH"),"AA","INDENIZAÇÃO")</f>
        <v>INDENIZAÇÃO</v>
      </c>
      <c r="BE167" s="131" t="str">
        <f>IF(AND(AY167&lt;&gt;"AGUARDANDO",AY167&lt;&gt;"",N167="AUXÍLIO ALUGUEL ATÉ INDENIZAÇÃO"),"SIM","NÃO")</f>
        <v>NÃO</v>
      </c>
      <c r="BF167" s="131"/>
      <c r="BG167" s="199"/>
      <c r="BH167" s="199"/>
      <c r="BN167" s="182"/>
      <c r="CI167" s="182"/>
    </row>
    <row r="168" spans="1:91" s="141" customFormat="1" ht="30" hidden="1" customHeight="1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>IF(AY168-KD168=0,"",AY168-O168)</f>
        <v/>
      </c>
      <c r="BD168" s="131" t="str">
        <f>IF(AND(AI168&lt;&gt;"SIM",AI168="UH"),"AA","INDENIZAÇÃO")</f>
        <v>INDENIZAÇÃO</v>
      </c>
      <c r="BE168" s="131" t="str">
        <f>IF(AND(AY168&lt;&gt;"AGUARDANDO",AY168&lt;&gt;"",N168="AUXÍLIO ALUGUEL ATÉ INDENIZAÇÃO"),"SIM","NÃO")</f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hidden="1" customHeight="1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>IF(AY169-KD169=0,"",AY169-O169)</f>
        <v/>
      </c>
      <c r="BD169" s="131" t="str">
        <f>IF(AND(AI169&lt;&gt;"SIM",AI169="UH"),"AA","INDENIZAÇÃO")</f>
        <v>INDENIZAÇÃO</v>
      </c>
      <c r="BE169" s="131" t="str">
        <f>IF(AND(AY169&lt;&gt;"AGUARDANDO",AY169&lt;&gt;"",N169="AUXÍLIO ALUGUEL ATÉ INDENIZAÇÃO"),"SIM","NÃO")</f>
        <v>NÃO</v>
      </c>
      <c r="BG169" s="199"/>
      <c r="BH169" s="199"/>
      <c r="BN169" s="182"/>
      <c r="CI169" s="182"/>
    </row>
    <row r="170" spans="1:91" s="141" customFormat="1" ht="30" hidden="1" customHeight="1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>IF(AY170-KD170=0,"",AY170-O170)</f>
        <v/>
      </c>
      <c r="BD170" s="131" t="str">
        <f>IF(AND(AI170&lt;&gt;"SIM",AI170="UH"),"AA","INDENIZAÇÃO")</f>
        <v>INDENIZAÇÃO</v>
      </c>
      <c r="BE170" s="131" t="str">
        <f>IF(AND(AY170&lt;&gt;"AGUARDANDO",AY170&lt;&gt;"",N170="AUXÍLIO ALUGUEL ATÉ INDENIZAÇÃO"),"SIM","NÃO")</f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hidden="1" customHeight="1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>IF(AY171-KD171=0,"",AY171-O171)</f>
        <v/>
      </c>
      <c r="BD171" s="131" t="str">
        <f>IF(AND(AI171&lt;&gt;"SIM",AI171="UH"),"AA","INDENIZAÇÃO")</f>
        <v>INDENIZAÇÃO</v>
      </c>
      <c r="BE171" s="131" t="str">
        <f>IF(AND(AY171&lt;&gt;"AGUARDANDO",AY171&lt;&gt;"",N171="AUXÍLIO ALUGUEL ATÉ INDENIZAÇÃO"),"SIM","NÃO")</f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hidden="1" customHeight="1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>IF(AY172-KD172=0,"",AY172-O172)</f>
        <v/>
      </c>
      <c r="BD172" s="131" t="str">
        <f>IF(AND(AI172&lt;&gt;"SIM",AI172="UH"),"AA","INDENIZAÇÃO")</f>
        <v>INDENIZAÇÃO</v>
      </c>
      <c r="BE172" s="131" t="str">
        <f>IF(AND(AY172&lt;&gt;"AGUARDANDO",AY172&lt;&gt;"",N172="AUXÍLIO ALUGUEL ATÉ INDENIZAÇÃO"),"SIM","NÃO")</f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hidden="1" customHeight="1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>IF(AY173-KD173=0,"",AY173-O173)</f>
        <v/>
      </c>
      <c r="BD173" s="131" t="str">
        <f>IF(AND(AI173&lt;&gt;"SIM",AI173="UH"),"AA","INDENIZAÇÃO")</f>
        <v>INDENIZAÇÃO</v>
      </c>
      <c r="BE173" s="131" t="str">
        <f>IF(AND(AY173&lt;&gt;"AGUARDANDO",AY173&lt;&gt;"",N173="AUXÍLIO ALUGUEL ATÉ INDENIZAÇÃO"),"SIM","NÃO")</f>
        <v>NÃO</v>
      </c>
      <c r="BF173" s="131"/>
      <c r="BG173" s="199"/>
      <c r="BH173" s="199"/>
      <c r="BN173" s="182"/>
      <c r="CI173" s="182"/>
    </row>
    <row r="174" spans="1:91" s="141" customFormat="1" ht="30" hidden="1" customHeight="1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>IF(AY174-KD174=0,"",AY174-O174)</f>
        <v/>
      </c>
      <c r="BD174" s="131" t="str">
        <f>IF(AND(AI174&lt;&gt;"SIM",AI174="UH"),"AA","INDENIZAÇÃO")</f>
        <v>INDENIZAÇÃO</v>
      </c>
      <c r="BE174" s="131" t="str">
        <f>IF(AND(AY174&lt;&gt;"AGUARDANDO",AY174&lt;&gt;"",N174="AUXÍLIO ALUGUEL ATÉ INDENIZAÇÃO"),"SIM","NÃO")</f>
        <v>NÃO</v>
      </c>
      <c r="BF174" s="131"/>
      <c r="BG174" s="199"/>
      <c r="BH174" s="199"/>
      <c r="BN174" s="182"/>
      <c r="CI174" s="182"/>
    </row>
    <row r="175" spans="1:91" s="141" customFormat="1" ht="30" hidden="1" customHeight="1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>IF(AY175-KD175=0,"",AY175-O175)</f>
        <v/>
      </c>
      <c r="BD175" s="131" t="str">
        <f>IF(AND(AI175&lt;&gt;"SIM",AI175="UH"),"AA","INDENIZAÇÃO")</f>
        <v>INDENIZAÇÃO</v>
      </c>
      <c r="BE175" s="131" t="str">
        <f>IF(AND(AY175&lt;&gt;"AGUARDANDO",AY175&lt;&gt;"",N175="AUXÍLIO ALUGUEL ATÉ INDENIZAÇÃO"),"SIM","NÃO")</f>
        <v>NÃO</v>
      </c>
      <c r="BF175" s="131"/>
      <c r="BG175" s="199"/>
      <c r="BH175" s="199"/>
      <c r="BN175" s="182"/>
      <c r="CI175" s="182"/>
    </row>
    <row r="176" spans="1:91" s="141" customFormat="1" ht="30" hidden="1" customHeight="1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>IF(AY176-KD176=0,"",AY176-O176)</f>
        <v/>
      </c>
      <c r="BD176" s="131" t="str">
        <f>IF(AND(AI176&lt;&gt;"SIM",AI176="UH"),"AA","INDENIZAÇÃO")</f>
        <v>INDENIZAÇÃO</v>
      </c>
      <c r="BE176" s="131" t="str">
        <f>IF(AND(AY176&lt;&gt;"AGUARDANDO",AY176&lt;&gt;"",N176="AUXÍLIO ALUGUEL ATÉ INDENIZAÇÃO"),"SIM","NÃO")</f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hidden="1" customHeight="1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>IF(AY177-KD177=0,"",AY177-O177)</f>
        <v/>
      </c>
      <c r="BD177" s="131" t="str">
        <f>IF(AND(AI177&lt;&gt;"SIM",AI177="UH"),"AA","INDENIZAÇÃO")</f>
        <v>INDENIZAÇÃO</v>
      </c>
      <c r="BE177" s="131" t="str">
        <f>IF(AND(AY177&lt;&gt;"AGUARDANDO",AY177&lt;&gt;"",N177="AUXÍLIO ALUGUEL ATÉ INDENIZAÇÃO"),"SIM","NÃO")</f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hidden="1" customHeight="1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>IF(AY178-KD178=0,"",AY178-O178)</f>
        <v/>
      </c>
      <c r="BD178" s="131" t="str">
        <f>IF(AND(AI178&lt;&gt;"SIM",AI178="UH"),"AA","INDENIZAÇÃO")</f>
        <v>INDENIZAÇÃO</v>
      </c>
      <c r="BE178" s="131" t="str">
        <f>IF(AND(AY178&lt;&gt;"AGUARDANDO",AY178&lt;&gt;"",N178="AUXÍLIO ALUGUEL ATÉ INDENIZAÇÃO"),"SIM","NÃO")</f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hidden="1" customHeight="1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>IF(AY179-KD179=0,"",AY179-O179)</f>
        <v/>
      </c>
      <c r="BD179" s="131" t="str">
        <f>IF(AND(AI179&lt;&gt;"SIM",AI179="UH"),"AA","INDENIZAÇÃO")</f>
        <v>INDENIZAÇÃO</v>
      </c>
      <c r="BE179" s="131" t="str">
        <f>IF(AND(AY179&lt;&gt;"AGUARDANDO",AY179&lt;&gt;"",N179="AUXÍLIO ALUGUEL ATÉ INDENIZAÇÃO"),"SIM","NÃO")</f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hidden="1" customHeight="1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>IF(AY180-KD180=0,"",AY180-O180)</f>
        <v/>
      </c>
      <c r="BD180" s="131" t="str">
        <f>IF(AND(AI180&lt;&gt;"SIM",AI180="UH"),"AA","INDENIZAÇÃO")</f>
        <v>INDENIZAÇÃO</v>
      </c>
      <c r="BE180" s="131" t="str">
        <f>IF(AND(AY180&lt;&gt;"AGUARDANDO",AY180&lt;&gt;"",N180="AUXÍLIO ALUGUEL ATÉ INDENIZAÇÃO"),"SIM","NÃO")</f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hidden="1" customHeight="1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>IF(AY181-KD181=0,"",AY181-O181)</f>
        <v/>
      </c>
      <c r="BD181" s="131" t="str">
        <f>IF(AND(AI181&lt;&gt;"SIM",AI181="UH"),"AA","INDENIZAÇÃO")</f>
        <v>INDENIZAÇÃO</v>
      </c>
      <c r="BE181" s="131" t="str">
        <f>IF(AND(AY181&lt;&gt;"AGUARDANDO",AY181&lt;&gt;"",N181="AUXÍLIO ALUGUEL ATÉ INDENIZAÇÃO"),"SIM","NÃO")</f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hidden="1" customHeight="1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>IF(AY182-KD182=0,"",AY182-O182)</f>
        <v/>
      </c>
      <c r="BD182" s="131" t="str">
        <f>IF(AND(AI182&lt;&gt;"SIM",AI182="UH"),"AA","INDENIZAÇÃO")</f>
        <v>INDENIZAÇÃO</v>
      </c>
      <c r="BE182" s="131" t="str">
        <f>IF(AND(AY182&lt;&gt;"AGUARDANDO",AY182&lt;&gt;"",N182="AUXÍLIO ALUGUEL ATÉ INDENIZAÇÃO"),"SIM","NÃO")</f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hidden="1" customHeight="1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>IF(AY183-KD183=0,"",AY183-O183)</f>
        <v/>
      </c>
      <c r="BD183" s="131" t="str">
        <f>IF(AND(AI183&lt;&gt;"SIM",AI183="UH"),"AA","INDENIZAÇÃO")</f>
        <v>INDENIZAÇÃO</v>
      </c>
      <c r="BE183" s="131" t="str">
        <f>IF(AND(AY183&lt;&gt;"AGUARDANDO",AY183&lt;&gt;"",N183="AUXÍLIO ALUGUEL ATÉ INDENIZAÇÃO"),"SIM","NÃO")</f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hidden="1" customHeight="1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>IF(AY184-KD184=0,"",AY184-O184)</f>
        <v/>
      </c>
      <c r="BD184" s="131" t="str">
        <f>IF(AND(AI184&lt;&gt;"SIM",AI184="UH"),"AA","INDENIZAÇÃO")</f>
        <v>INDENIZAÇÃO</v>
      </c>
      <c r="BE184" s="131" t="str">
        <f>IF(AND(AY184&lt;&gt;"AGUARDANDO",AY184&lt;&gt;"",N184="AUXÍLIO ALUGUEL ATÉ INDENIZAÇÃO"),"SIM","NÃO")</f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hidden="1" customHeight="1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>IF(AY185-KD185=0,"",AY185-O185)</f>
        <v/>
      </c>
      <c r="BD185" s="131" t="str">
        <f>IF(AND(AI185&lt;&gt;"SIM",AI185="UH"),"AA","INDENIZAÇÃO")</f>
        <v>INDENIZAÇÃO</v>
      </c>
      <c r="BE185" s="131" t="str">
        <f>IF(AND(AY185&lt;&gt;"AGUARDANDO",AY185&lt;&gt;"",N185="AUXÍLIO ALUGUEL ATÉ INDENIZAÇÃO"),"SIM","NÃO")</f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hidden="1" customHeight="1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>IF(AY186-KD186=0,"",AY186-O186)</f>
        <v>52</v>
      </c>
      <c r="BD186" s="131" t="str">
        <f>IF(AND(AI186&lt;&gt;"SIM",AI186="UH"),"AA","INDENIZAÇÃO")</f>
        <v>INDENIZAÇÃO</v>
      </c>
      <c r="BE186" s="131" t="str">
        <f>IF(AND(AY186&lt;&gt;"AGUARDANDO",AY186&lt;&gt;"",N186="AUXÍLIO ALUGUEL ATÉ INDENIZAÇÃO"),"SIM","NÃO")</f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hidden="1" customHeight="1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>IF(AY187-KD187=0,"",AY187-O187)</f>
        <v/>
      </c>
      <c r="BD187" s="131" t="str">
        <f>IF(AND(AI187&lt;&gt;"SIM",AI187="UH"),"AA","INDENIZAÇÃO")</f>
        <v>INDENIZAÇÃO</v>
      </c>
      <c r="BE187" s="131" t="str">
        <f>IF(AND(AY187&lt;&gt;"AGUARDANDO",AY187&lt;&gt;"",N187="AUXÍLIO ALUGUEL ATÉ INDENIZAÇÃO"),"SIM","NÃO")</f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hidden="1" customHeight="1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>IF(AY188-KD188=0,"",AY188-O188)</f>
        <v>56</v>
      </c>
      <c r="BD188" s="131" t="str">
        <f>IF(AND(AI188&lt;&gt;"SIM",AI188="UH"),"AA","INDENIZAÇÃO")</f>
        <v>INDENIZAÇÃO</v>
      </c>
      <c r="BE188" s="131" t="str">
        <f>IF(AND(AY188&lt;&gt;"AGUARDANDO",AY188&lt;&gt;"",N188="AUXÍLIO ALUGUEL ATÉ INDENIZAÇÃO"),"SIM","NÃO")</f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hidden="1" customHeight="1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>IF(AY189-KD189=0,"",AY189-O189)</f>
        <v>119</v>
      </c>
      <c r="BD189" s="131" t="str">
        <f>IF(AND(AI189&lt;&gt;"SIM",AI189="UH"),"AA","INDENIZAÇÃO")</f>
        <v>INDENIZAÇÃO</v>
      </c>
      <c r="BE189" s="131" t="str">
        <f>IF(AND(AY189&lt;&gt;"AGUARDANDO",AY189&lt;&gt;"",N189="AUXÍLIO ALUGUEL ATÉ INDENIZAÇÃO"),"SIM","NÃO")</f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hidden="1" customHeight="1">
      <c r="A190" s="131">
        <v>176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46168</v>
      </c>
      <c r="P190" s="136" t="s">
        <v>4361</v>
      </c>
      <c r="Q190" s="136" t="s">
        <v>4361</v>
      </c>
      <c r="R190" s="136" t="s">
        <v>4361</v>
      </c>
      <c r="S190" s="136" t="s">
        <v>4361</v>
      </c>
      <c r="T190" s="136" t="s">
        <v>4361</v>
      </c>
      <c r="U190" s="136" t="s">
        <v>4361</v>
      </c>
      <c r="V190" s="136" t="s">
        <v>4361</v>
      </c>
      <c r="W190" s="136" t="s">
        <v>4361</v>
      </c>
      <c r="X190" s="136" t="s">
        <v>4361</v>
      </c>
      <c r="Y190" s="136" t="s">
        <v>4361</v>
      </c>
      <c r="Z190" s="136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4534</v>
      </c>
      <c r="AG190" s="204">
        <v>48141.45</v>
      </c>
      <c r="AH190" s="204">
        <v>60000</v>
      </c>
      <c r="AI190" s="141" t="s">
        <v>4344</v>
      </c>
      <c r="AJ190" s="132" t="s">
        <v>4616</v>
      </c>
      <c r="AK190" s="141">
        <v>153086025</v>
      </c>
      <c r="AL190" s="141" t="s">
        <v>4442</v>
      </c>
      <c r="AM190" s="141" t="s">
        <v>4442</v>
      </c>
      <c r="AN190" s="141" t="s">
        <v>4442</v>
      </c>
      <c r="AP190" s="132" t="s">
        <v>5049</v>
      </c>
      <c r="AQ190" s="141" t="s">
        <v>4442</v>
      </c>
      <c r="AR190" s="141" t="s">
        <v>4442</v>
      </c>
      <c r="AS190" s="141" t="s">
        <v>4442</v>
      </c>
      <c r="AT190" s="137" t="s">
        <v>4370</v>
      </c>
      <c r="AU190" s="137"/>
      <c r="AV190" s="137"/>
      <c r="AW190" s="137"/>
      <c r="AX190" s="137"/>
      <c r="AY190" s="137"/>
      <c r="AZ190" s="137"/>
      <c r="BA190" s="137" t="s">
        <v>4339</v>
      </c>
      <c r="BC190" s="197" t="str">
        <f>IF(AY190-KD190=0,"",AY190-O190)</f>
        <v/>
      </c>
      <c r="BD190" s="131" t="str">
        <f>IF(AND(AI190&lt;&gt;"SIM",AI190="UH"),"AA","INDENIZAÇÃO")</f>
        <v>INDENIZAÇÃO</v>
      </c>
      <c r="BE190" s="131" t="str">
        <f>IF(AND(AY190&lt;&gt;"AGUARDANDO",AY190&lt;&gt;"",N190="AUXÍLIO ALUGUEL ATÉ INDENIZAÇÃO"),"SIM","NÃO")</f>
        <v>NÃO</v>
      </c>
      <c r="BG190" s="199"/>
      <c r="BH190" s="199"/>
      <c r="BN190" s="182"/>
      <c r="CI190" s="182"/>
      <c r="CN190" s="182"/>
    </row>
    <row r="191" spans="1:92" s="141" customFormat="1" ht="30" hidden="1" customHeight="1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5050</v>
      </c>
      <c r="G191" s="131"/>
      <c r="H191" s="131"/>
      <c r="I191" s="131"/>
      <c r="J191" s="132" t="s">
        <v>5051</v>
      </c>
      <c r="K191" s="132"/>
      <c r="L191" s="132" t="s">
        <v>5052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>IF(AY191-KD191=0,"",AY191-O191)</f>
        <v/>
      </c>
      <c r="BD191" s="131" t="str">
        <f>IF(AND(AI191&lt;&gt;"SIM",AI191="UH"),"AA","INDENIZAÇÃO")</f>
        <v>INDENIZAÇÃO</v>
      </c>
      <c r="BE191" s="131" t="str">
        <f>IF(AND(AY191&lt;&gt;"AGUARDANDO",AY191&lt;&gt;"",N191="AUXÍLIO ALUGUEL ATÉ INDENIZAÇÃO"),"SIM","NÃO")</f>
        <v>NÃO</v>
      </c>
      <c r="BG191" s="199"/>
      <c r="BH191" s="199"/>
      <c r="BN191" s="182"/>
      <c r="CI191" s="182"/>
      <c r="CN191" s="182"/>
    </row>
    <row r="192" spans="1:92" s="141" customFormat="1" ht="30" hidden="1" customHeight="1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5053</v>
      </c>
      <c r="G192" s="131" t="s">
        <v>4339</v>
      </c>
      <c r="H192" s="131" t="s">
        <v>4340</v>
      </c>
      <c r="I192" s="131" t="s">
        <v>4624</v>
      </c>
      <c r="J192" s="132" t="s">
        <v>5054</v>
      </c>
      <c r="K192" s="132"/>
      <c r="L192" s="132" t="s">
        <v>5055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>IF(AY192-KD192=0,"",AY192-O192)</f>
        <v/>
      </c>
      <c r="BD192" s="131" t="str">
        <f>IF(AND(AI192&lt;&gt;"SIM",AI192="UH"),"AA","INDENIZAÇÃO")</f>
        <v>INDENIZAÇÃO</v>
      </c>
      <c r="BE192" s="131" t="str">
        <f>IF(AND(AY192&lt;&gt;"AGUARDANDO",AY192&lt;&gt;"",N192="AUXÍLIO ALUGUEL ATÉ INDENIZAÇÃO"),"SIM","NÃO")</f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hidden="1" customHeight="1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5056</v>
      </c>
      <c r="G193" s="131" t="s">
        <v>4339</v>
      </c>
      <c r="H193" s="131" t="s">
        <v>4340</v>
      </c>
      <c r="I193" s="131" t="s">
        <v>4624</v>
      </c>
      <c r="J193" s="132" t="s">
        <v>5057</v>
      </c>
      <c r="K193" s="132" t="s">
        <v>5058</v>
      </c>
      <c r="L193" s="132" t="s">
        <v>5059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5060</v>
      </c>
      <c r="AC193" s="132" t="s">
        <v>5061</v>
      </c>
      <c r="AD193" s="132" t="s">
        <v>5062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5063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>IF(AY193-KD193=0,"",AY193-O193)</f>
        <v>46199</v>
      </c>
      <c r="BD193" s="131" t="str">
        <f>IF(AND(AI193&lt;&gt;"SIM",AI193="UH"),"AA","INDENIZAÇÃO")</f>
        <v>INDENIZAÇÃO</v>
      </c>
      <c r="BE193" s="131" t="str">
        <f>IF(AND(AY193&lt;&gt;"AGUARDANDO",AY193&lt;&gt;"",N193="AUXÍLIO ALUGUEL ATÉ INDENIZAÇÃO"),"SIM","NÃO")</f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hidden="1" customHeight="1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5064</v>
      </c>
      <c r="G194" s="131"/>
      <c r="H194" s="131"/>
      <c r="I194" s="131"/>
      <c r="J194" s="132" t="s">
        <v>5065</v>
      </c>
      <c r="K194" s="132"/>
      <c r="L194" s="132" t="s">
        <v>5066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>IF(AY194-KD194=0,"",AY194-O194)</f>
        <v/>
      </c>
      <c r="BD194" s="131" t="str">
        <f>IF(AND(AI194&lt;&gt;"SIM",AI194="UH"),"AA","INDENIZAÇÃO")</f>
        <v>INDENIZAÇÃO</v>
      </c>
      <c r="BE194" s="131" t="str">
        <f>IF(AND(AY194&lt;&gt;"AGUARDANDO",AY194&lt;&gt;"",N194="AUXÍLIO ALUGUEL ATÉ INDENIZAÇÃO"),"SIM","NÃO")</f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hidden="1" customHeight="1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5067</v>
      </c>
      <c r="G195" s="131"/>
      <c r="H195" s="131"/>
      <c r="I195" s="131"/>
      <c r="J195" s="132" t="s">
        <v>5068</v>
      </c>
      <c r="K195" s="132"/>
      <c r="L195" s="132" t="s">
        <v>5069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>IF(AY195-KD195=0,"",AY195-O195)</f>
        <v/>
      </c>
      <c r="BD195" s="131" t="str">
        <f>IF(AND(AI195&lt;&gt;"SIM",AI195="UH"),"AA","INDENIZAÇÃO")</f>
        <v>INDENIZAÇÃO</v>
      </c>
      <c r="BE195" s="131" t="str">
        <f>IF(AND(AY195&lt;&gt;"AGUARDANDO",AY195&lt;&gt;"",N195="AUXÍLIO ALUGUEL ATÉ INDENIZAÇÃO"),"SIM","NÃO")</f>
        <v>NÃO</v>
      </c>
      <c r="BG195" s="199"/>
      <c r="BH195" s="199"/>
      <c r="BN195" s="182"/>
      <c r="CI195" s="182"/>
      <c r="CN195" s="182"/>
    </row>
    <row r="196" spans="1:92" s="141" customFormat="1" ht="30" hidden="1" customHeight="1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5070</v>
      </c>
      <c r="G196" s="131"/>
      <c r="H196" s="131"/>
      <c r="I196" s="131"/>
      <c r="J196" s="132" t="s">
        <v>5071</v>
      </c>
      <c r="K196" s="132"/>
      <c r="L196" s="132" t="s">
        <v>5072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>IF(AY196-KD196=0,"",AY196-O196)</f>
        <v/>
      </c>
      <c r="BD196" s="131" t="str">
        <f>IF(AND(AI196&lt;&gt;"SIM",AI196="UH"),"AA","INDENIZAÇÃO")</f>
        <v>INDENIZAÇÃO</v>
      </c>
      <c r="BE196" s="131" t="str">
        <f>IF(AND(AY196&lt;&gt;"AGUARDANDO",AY196&lt;&gt;"",N196="AUXÍLIO ALUGUEL ATÉ INDENIZAÇÃO"),"SIM","NÃO")</f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hidden="1" customHeight="1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5073</v>
      </c>
      <c r="G197" s="131"/>
      <c r="H197" s="131"/>
      <c r="I197" s="198"/>
      <c r="J197" s="132" t="s">
        <v>5074</v>
      </c>
      <c r="K197" s="132"/>
      <c r="L197" s="132" t="s">
        <v>5075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>IF(AY197-KD197=0,"",AY197-O197)</f>
        <v/>
      </c>
      <c r="BD197" s="131" t="str">
        <f>IF(AND(AI197&lt;&gt;"SIM",AI197="UH"),"AA","INDENIZAÇÃO")</f>
        <v>INDENIZAÇÃO</v>
      </c>
      <c r="BE197" s="131" t="str">
        <f>IF(AND(AY197&lt;&gt;"AGUARDANDO",AY197&lt;&gt;"",N197="AUXÍLIO ALUGUEL ATÉ INDENIZAÇÃO"),"SIM","NÃO")</f>
        <v>NÃO</v>
      </c>
      <c r="BF197" s="131"/>
      <c r="BG197" s="131"/>
      <c r="BH197" s="131"/>
      <c r="BN197" s="182"/>
      <c r="CI197" s="182"/>
    </row>
    <row r="198" spans="1:92" s="141" customFormat="1" ht="30" hidden="1" customHeight="1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5076</v>
      </c>
      <c r="G198" s="131"/>
      <c r="H198" s="131"/>
      <c r="I198" s="131"/>
      <c r="J198" s="132" t="s">
        <v>5077</v>
      </c>
      <c r="K198" s="132"/>
      <c r="L198" s="132" t="s">
        <v>5078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>IF(AY198-KD198=0,"",AY198-O198)</f>
        <v/>
      </c>
      <c r="BD198" s="131" t="str">
        <f>IF(AND(AI198&lt;&gt;"SIM",AI198="UH"),"AA","INDENIZAÇÃO")</f>
        <v>INDENIZAÇÃO</v>
      </c>
      <c r="BE198" s="131" t="str">
        <f>IF(AND(AY198&lt;&gt;"AGUARDANDO",AY198&lt;&gt;"",N198="AUXÍLIO ALUGUEL ATÉ INDENIZAÇÃO"),"SIM","NÃO")</f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hidden="1" customHeight="1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5079</v>
      </c>
      <c r="G199" s="131"/>
      <c r="H199" s="131"/>
      <c r="I199" s="131"/>
      <c r="J199" s="132" t="s">
        <v>5080</v>
      </c>
      <c r="K199" s="132"/>
      <c r="L199" s="132" t="s">
        <v>5081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>IF(AY199-KD199=0,"",AY199-O199)</f>
        <v/>
      </c>
      <c r="BD199" s="131" t="str">
        <f>IF(AND(AI199&lt;&gt;"SIM",AI199="UH"),"AA","INDENIZAÇÃO")</f>
        <v>INDENIZAÇÃO</v>
      </c>
      <c r="BE199" s="131" t="str">
        <f>IF(AND(AY199&lt;&gt;"AGUARDANDO",AY199&lt;&gt;"",N199="AUXÍLIO ALUGUEL ATÉ INDENIZAÇÃO"),"SIM","NÃO")</f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hidden="1" customHeight="1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5082</v>
      </c>
      <c r="G200" s="131" t="s">
        <v>4339</v>
      </c>
      <c r="H200" s="131" t="s">
        <v>4340</v>
      </c>
      <c r="I200" s="131" t="s">
        <v>4624</v>
      </c>
      <c r="J200" s="132" t="s">
        <v>5083</v>
      </c>
      <c r="K200" s="132"/>
      <c r="L200" s="132" t="s">
        <v>5084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>IF(AY200-KD200=0,"",AY200-O200)</f>
        <v/>
      </c>
      <c r="BD200" s="131" t="str">
        <f>IF(AND(AI200&lt;&gt;"SIM",AI200="UH"),"AA","INDENIZAÇÃO")</f>
        <v>INDENIZAÇÃO</v>
      </c>
      <c r="BE200" s="131" t="str">
        <f>IF(AND(AY200&lt;&gt;"AGUARDANDO",AY200&lt;&gt;"",N200="AUXÍLIO ALUGUEL ATÉ INDENIZAÇÃO"),"SIM","NÃO")</f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hidden="1" customHeight="1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5085</v>
      </c>
      <c r="G201" s="131"/>
      <c r="H201" s="131"/>
      <c r="I201" s="131"/>
      <c r="J201" s="132" t="s">
        <v>5086</v>
      </c>
      <c r="K201" s="132"/>
      <c r="L201" s="132" t="s">
        <v>5087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>IF(AY201-KD201=0,"",AY201-O201)</f>
        <v/>
      </c>
      <c r="BD201" s="131" t="str">
        <f>IF(AND(AI201&lt;&gt;"SIM",AI201="UH"),"AA","INDENIZAÇÃO")</f>
        <v>INDENIZAÇÃO</v>
      </c>
      <c r="BE201" s="131" t="str">
        <f>IF(AND(AY201&lt;&gt;"AGUARDANDO",AY201&lt;&gt;"",N201="AUXÍLIO ALUGUEL ATÉ INDENIZAÇÃO"),"SIM","NÃO")</f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hidden="1" customHeight="1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5088</v>
      </c>
      <c r="G202" s="131"/>
      <c r="H202" s="131"/>
      <c r="I202" s="131"/>
      <c r="J202" s="132" t="s">
        <v>5089</v>
      </c>
      <c r="K202" s="132"/>
      <c r="L202" s="132" t="s">
        <v>5090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>IF(AY202-KD202=0,"",AY202-O202)</f>
        <v/>
      </c>
      <c r="BD202" s="131" t="str">
        <f>IF(AND(AI202&lt;&gt;"SIM",AI202="UH"),"AA","INDENIZAÇÃO")</f>
        <v>INDENIZAÇÃO</v>
      </c>
      <c r="BE202" s="131" t="str">
        <f>IF(AND(AY202&lt;&gt;"AGUARDANDO",AY202&lt;&gt;"",N202="AUXÍLIO ALUGUEL ATÉ INDENIZAÇÃO"),"SIM","NÃO")</f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hidden="1" customHeight="1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5091</v>
      </c>
      <c r="G203" s="131"/>
      <c r="H203" s="131"/>
      <c r="I203" s="131"/>
      <c r="J203" s="132" t="s">
        <v>5092</v>
      </c>
      <c r="K203" s="132"/>
      <c r="L203" s="132" t="s">
        <v>5093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>IF(AY203-KD203=0,"",AY203-O203)</f>
        <v/>
      </c>
      <c r="BD203" s="131" t="str">
        <f>IF(AND(AI203&lt;&gt;"SIM",AI203="UH"),"AA","INDENIZAÇÃO")</f>
        <v>INDENIZAÇÃO</v>
      </c>
      <c r="BE203" s="131" t="str">
        <f>IF(AND(AY203&lt;&gt;"AGUARDANDO",AY203&lt;&gt;"",N203="AUXÍLIO ALUGUEL ATÉ INDENIZAÇÃO"),"SIM","NÃO")</f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hidden="1" customHeight="1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5094</v>
      </c>
      <c r="G204" s="131" t="s">
        <v>4339</v>
      </c>
      <c r="H204" s="131" t="s">
        <v>4340</v>
      </c>
      <c r="I204" s="131" t="s">
        <v>4350</v>
      </c>
      <c r="J204" s="132" t="s">
        <v>5095</v>
      </c>
      <c r="K204" s="132" t="s">
        <v>5096</v>
      </c>
      <c r="L204" s="132" t="s">
        <v>5097</v>
      </c>
      <c r="M204" s="131" t="s">
        <v>4342</v>
      </c>
      <c r="N204" s="131" t="s">
        <v>4343</v>
      </c>
      <c r="O204" s="199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B204" s="132" t="s">
        <v>5095</v>
      </c>
      <c r="AC204" s="132" t="s">
        <v>5096</v>
      </c>
      <c r="AD204" s="132" t="s">
        <v>5097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1"/>
      <c r="AK204" s="131"/>
      <c r="AO204" s="201"/>
      <c r="AP204" s="132"/>
      <c r="AU204" s="199"/>
      <c r="AX204" s="136"/>
      <c r="AY204" s="136"/>
      <c r="BC204" s="197" t="str">
        <f>IF(AY204-KD204=0,"",AY204-O204)</f>
        <v/>
      </c>
      <c r="BD204" s="131" t="str">
        <f>IF(AND(AI204&lt;&gt;"SIM",AI204="UH"),"AA","INDENIZAÇÃO")</f>
        <v>INDENIZAÇÃO</v>
      </c>
      <c r="BE204" s="131" t="str">
        <f>IF(AND(AY204&lt;&gt;"AGUARDANDO",AY204&lt;&gt;"",N204="AUXÍLIO ALUGUEL ATÉ INDENIZAÇÃO"),"SIM","NÃO")</f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hidden="1" customHeight="1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5098</v>
      </c>
      <c r="G205" s="131" t="s">
        <v>4339</v>
      </c>
      <c r="H205" s="131" t="s">
        <v>4340</v>
      </c>
      <c r="I205" s="131" t="s">
        <v>4350</v>
      </c>
      <c r="J205" s="132" t="s">
        <v>5099</v>
      </c>
      <c r="K205" s="132" t="s">
        <v>5100</v>
      </c>
      <c r="L205" s="132" t="s">
        <v>5101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5099</v>
      </c>
      <c r="AC205" s="132" t="s">
        <v>5100</v>
      </c>
      <c r="AD205" s="132" t="s">
        <v>5101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5102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>IF(AY205-KD205=0,"",AY205-O205)</f>
        <v>123</v>
      </c>
      <c r="BD205" s="131" t="str">
        <f>IF(AND(AI205&lt;&gt;"SIM",AI205="UH"),"AA","INDENIZAÇÃO")</f>
        <v>INDENIZAÇÃO</v>
      </c>
      <c r="BE205" s="131" t="str">
        <f>IF(AND(AY205&lt;&gt;"AGUARDANDO",AY205&lt;&gt;"",N205="AUXÍLIO ALUGUEL ATÉ INDENIZAÇÃO"),"SIM","NÃO")</f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hidden="1" customHeight="1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5103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>IF(AY206-KD206=0,"",AY206-O206)</f>
        <v/>
      </c>
      <c r="BD206" s="131" t="str">
        <f>IF(AND(AI206&lt;&gt;"SIM",AI206="UH"),"AA","INDENIZAÇÃO")</f>
        <v>INDENIZAÇÃO</v>
      </c>
      <c r="BE206" s="131" t="str">
        <f>IF(AND(AY206&lt;&gt;"AGUARDANDO",AY206&lt;&gt;"",N206="AUXÍLIO ALUGUEL ATÉ INDENIZAÇÃO"),"SIM","NÃO")</f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hidden="1" customHeight="1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5104</v>
      </c>
      <c r="G207" s="131"/>
      <c r="H207" s="131"/>
      <c r="I207" s="131"/>
      <c r="J207" s="132" t="s">
        <v>5105</v>
      </c>
      <c r="K207" s="132"/>
      <c r="L207" s="132" t="s">
        <v>5106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>IF(AY207-KD207=0,"",AY207-O207)</f>
        <v/>
      </c>
      <c r="BD207" s="131" t="str">
        <f>IF(AND(AI207&lt;&gt;"SIM",AI207="UH"),"AA","INDENIZAÇÃO")</f>
        <v>INDENIZAÇÃO</v>
      </c>
      <c r="BE207" s="131" t="str">
        <f>IF(AND(AY207&lt;&gt;"AGUARDANDO",AY207&lt;&gt;"",N207="AUXÍLIO ALUGUEL ATÉ INDENIZAÇÃO"),"SIM","NÃO")</f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hidden="1" customHeight="1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5107</v>
      </c>
      <c r="G208" s="131"/>
      <c r="H208" s="131"/>
      <c r="I208" s="131"/>
      <c r="J208" s="132" t="s">
        <v>5108</v>
      </c>
      <c r="K208" s="132"/>
      <c r="L208" s="132" t="s">
        <v>5109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>IF(AY208-KD208=0,"",AY208-O208)</f>
        <v/>
      </c>
      <c r="BD208" s="131" t="str">
        <f>IF(AND(AI208&lt;&gt;"SIM",AI208="UH"),"AA","INDENIZAÇÃO")</f>
        <v>INDENIZAÇÃO</v>
      </c>
      <c r="BE208" s="131" t="str">
        <f>IF(AND(AY208&lt;&gt;"AGUARDANDO",AY208&lt;&gt;"",N208="AUXÍLIO ALUGUEL ATÉ INDENIZAÇÃO"),"SIM","NÃO")</f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hidden="1" customHeight="1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5110</v>
      </c>
      <c r="G209" s="131"/>
      <c r="H209" s="131"/>
      <c r="I209" s="131"/>
      <c r="J209" s="132" t="s">
        <v>5111</v>
      </c>
      <c r="K209" s="132"/>
      <c r="L209" s="132" t="s">
        <v>5112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>IF(AY209-KD209=0,"",AY209-O209)</f>
        <v/>
      </c>
      <c r="BD209" s="131" t="str">
        <f>IF(AND(AI209&lt;&gt;"SIM",AI209="UH"),"AA","INDENIZAÇÃO")</f>
        <v>INDENIZAÇÃO</v>
      </c>
      <c r="BE209" s="131" t="str">
        <f>IF(AND(AY209&lt;&gt;"AGUARDANDO",AY209&lt;&gt;"",N209="AUXÍLIO ALUGUEL ATÉ INDENIZAÇÃO"),"SIM","NÃO")</f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hidden="1" customHeight="1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5113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>IF(AY210-KD210=0,"",AY210-O210)</f>
        <v/>
      </c>
      <c r="BD210" s="131" t="str">
        <f>IF(AND(AI210&lt;&gt;"SIM",AI210="UH"),"AA","INDENIZAÇÃO")</f>
        <v>INDENIZAÇÃO</v>
      </c>
      <c r="BE210" s="131" t="str">
        <f>IF(AND(AY210&lt;&gt;"AGUARDANDO",AY210&lt;&gt;"",N210="AUXÍLIO ALUGUEL ATÉ INDENIZAÇÃO"),"SIM","NÃO")</f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hidden="1" customHeight="1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5114</v>
      </c>
      <c r="G211" s="131"/>
      <c r="H211" s="131"/>
      <c r="I211" s="131"/>
      <c r="J211" s="132" t="s">
        <v>5115</v>
      </c>
      <c r="K211" s="132"/>
      <c r="L211" s="132" t="s">
        <v>5116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>IF(AY211-KD211=0,"",AY211-O211)</f>
        <v/>
      </c>
      <c r="BD211" s="131" t="str">
        <f>IF(AND(AI211&lt;&gt;"SIM",AI211="UH"),"AA","INDENIZAÇÃO")</f>
        <v>INDENIZAÇÃO</v>
      </c>
      <c r="BE211" s="131" t="str">
        <f>IF(AND(AY211&lt;&gt;"AGUARDANDO",AY211&lt;&gt;"",N211="AUXÍLIO ALUGUEL ATÉ INDENIZAÇÃO"),"SIM","NÃO")</f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hidden="1" customHeight="1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5117</v>
      </c>
      <c r="G212" s="131"/>
      <c r="H212" s="131"/>
      <c r="I212" s="131"/>
      <c r="J212" s="132" t="s">
        <v>5118</v>
      </c>
      <c r="K212" s="132"/>
      <c r="L212" s="132" t="s">
        <v>5119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>IF(AY212-KD212=0,"",AY212-O212)</f>
        <v/>
      </c>
      <c r="BD212" s="131" t="str">
        <f>IF(AND(AI212&lt;&gt;"SIM",AI212="UH"),"AA","INDENIZAÇÃO")</f>
        <v>INDENIZAÇÃO</v>
      </c>
      <c r="BE212" s="131" t="str">
        <f>IF(AND(AY212&lt;&gt;"AGUARDANDO",AY212&lt;&gt;"",N212="AUXÍLIO ALUGUEL ATÉ INDENIZAÇÃO"),"SIM","NÃO")</f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hidden="1" customHeight="1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5120</v>
      </c>
      <c r="G213" s="131" t="s">
        <v>4339</v>
      </c>
      <c r="H213" s="131" t="s">
        <v>4340</v>
      </c>
      <c r="I213" s="131" t="s">
        <v>4624</v>
      </c>
      <c r="J213" s="132" t="s">
        <v>5121</v>
      </c>
      <c r="K213" s="132"/>
      <c r="L213" s="132" t="s">
        <v>5122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>IF(AY213-KD213=0,"",AY213-O213)</f>
        <v/>
      </c>
      <c r="BD213" s="131" t="str">
        <f>IF(AND(AI213&lt;&gt;"SIM",AI213="UH"),"AA","INDENIZAÇÃO")</f>
        <v>INDENIZAÇÃO</v>
      </c>
      <c r="BE213" s="131" t="str">
        <f>IF(AND(AY213&lt;&gt;"AGUARDANDO",AY213&lt;&gt;"",N213="AUXÍLIO ALUGUEL ATÉ INDENIZAÇÃO"),"SIM","NÃO")</f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hidden="1" customHeight="1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5123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>IF(AY214-KD214=0,"",AY214-O214)</f>
        <v/>
      </c>
      <c r="BD214" s="131" t="str">
        <f>IF(AND(AI214&lt;&gt;"SIM",AI214="UH"),"AA","INDENIZAÇÃO")</f>
        <v>INDENIZAÇÃO</v>
      </c>
      <c r="BE214" s="131" t="str">
        <f>IF(AND(AY214&lt;&gt;"AGUARDANDO",AY214&lt;&gt;"",N214="AUXÍLIO ALUGUEL ATÉ INDENIZAÇÃO"),"SIM","NÃO")</f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hidden="1" customHeight="1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5124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>IF(AY215-KD215=0,"",AY215-O215)</f>
        <v/>
      </c>
      <c r="BD215" s="131" t="str">
        <f>IF(AND(AI215&lt;&gt;"SIM",AI215="UH"),"AA","INDENIZAÇÃO")</f>
        <v>INDENIZAÇÃO</v>
      </c>
      <c r="BE215" s="131" t="str">
        <f>IF(AND(AY215&lt;&gt;"AGUARDANDO",AY215&lt;&gt;"",N215="AUXÍLIO ALUGUEL ATÉ INDENIZAÇÃO"),"SIM","NÃO")</f>
        <v>NÃO</v>
      </c>
      <c r="BN215" s="182"/>
      <c r="CI215" s="182"/>
    </row>
    <row r="216" spans="1:92" s="141" customFormat="1" ht="30" hidden="1" customHeight="1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5125</v>
      </c>
      <c r="G216" s="131"/>
      <c r="H216" s="131"/>
      <c r="I216" s="131"/>
      <c r="J216" s="132" t="s">
        <v>5126</v>
      </c>
      <c r="K216" s="132"/>
      <c r="L216" s="132" t="s">
        <v>5127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>IF(AY216-KD216=0,"",AY216-O216)</f>
        <v/>
      </c>
      <c r="BD216" s="131" t="str">
        <f>IF(AND(AI216&lt;&gt;"SIM",AI216="UH"),"AA","INDENIZAÇÃO")</f>
        <v>INDENIZAÇÃO</v>
      </c>
      <c r="BE216" s="131" t="str">
        <f>IF(AND(AY216&lt;&gt;"AGUARDANDO",AY216&lt;&gt;"",N216="AUXÍLIO ALUGUEL ATÉ INDENIZAÇÃO"),"SIM","NÃO")</f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hidden="1" customHeight="1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5128</v>
      </c>
      <c r="G217" s="131"/>
      <c r="H217" s="131"/>
      <c r="I217" s="131"/>
      <c r="J217" s="132" t="s">
        <v>5129</v>
      </c>
      <c r="K217" s="132"/>
      <c r="L217" s="132" t="s">
        <v>5130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>IF(AY217-KD217=0,"",AY217-O217)</f>
        <v/>
      </c>
      <c r="BD217" s="131" t="str">
        <f>IF(AND(AI217&lt;&gt;"SIM",AI217="UH"),"AA","INDENIZAÇÃO")</f>
        <v>INDENIZAÇÃO</v>
      </c>
      <c r="BE217" s="131" t="str">
        <f>IF(AND(AY217&lt;&gt;"AGUARDANDO",AY217&lt;&gt;"",N217="AUXÍLIO ALUGUEL ATÉ INDENIZAÇÃO"),"SIM","NÃO")</f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hidden="1" customHeight="1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5131</v>
      </c>
      <c r="G218" s="131" t="s">
        <v>4339</v>
      </c>
      <c r="H218" s="131" t="s">
        <v>4340</v>
      </c>
      <c r="I218" s="131" t="s">
        <v>4350</v>
      </c>
      <c r="J218" s="132" t="s">
        <v>5132</v>
      </c>
      <c r="K218" s="132" t="s">
        <v>5133</v>
      </c>
      <c r="L218" s="132" t="s">
        <v>5134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5132</v>
      </c>
      <c r="AC218" s="132" t="s">
        <v>5133</v>
      </c>
      <c r="AD218" s="132" t="s">
        <v>5134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5135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3">
        <v>46220</v>
      </c>
      <c r="AZ218" s="137" t="s">
        <v>4370</v>
      </c>
      <c r="BA218" s="137" t="s">
        <v>4445</v>
      </c>
      <c r="BB218" s="141" t="s">
        <v>4442</v>
      </c>
      <c r="BC218" s="197">
        <f>IF(AY218-KD218=0,"",AY218-O218)</f>
        <v>144</v>
      </c>
      <c r="BD218" s="131" t="str">
        <f>IF(AND(AI218&lt;&gt;"SIM",AI218="UH"),"AA","INDENIZAÇÃO")</f>
        <v>INDENIZAÇÃO</v>
      </c>
      <c r="BE218" s="131" t="str">
        <f>IF(AND(AY218&lt;&gt;"AGUARDANDO",AY218&lt;&gt;"",N218="AUXÍLIO ALUGUEL ATÉ INDENIZAÇÃO"),"SIM","NÃO")</f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hidden="1" customHeight="1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5136</v>
      </c>
      <c r="G219" s="131" t="s">
        <v>4339</v>
      </c>
      <c r="H219" s="131" t="s">
        <v>4340</v>
      </c>
      <c r="I219" s="131" t="s">
        <v>4350</v>
      </c>
      <c r="J219" s="132" t="s">
        <v>5137</v>
      </c>
      <c r="K219" s="132" t="s">
        <v>5138</v>
      </c>
      <c r="L219" s="132" t="s">
        <v>5139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5137</v>
      </c>
      <c r="AC219" s="132" t="s">
        <v>5138</v>
      </c>
      <c r="AD219" s="132" t="s">
        <v>5139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5140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3">
        <v>46220</v>
      </c>
      <c r="AZ219" s="137" t="s">
        <v>4370</v>
      </c>
      <c r="BA219" s="137" t="s">
        <v>4445</v>
      </c>
      <c r="BB219" s="141" t="s">
        <v>4442</v>
      </c>
      <c r="BC219" s="197">
        <f>IF(AY219-KD219=0,"",AY219-O219)</f>
        <v>144</v>
      </c>
      <c r="BD219" s="131" t="str">
        <f>IF(AND(AI219&lt;&gt;"SIM",AI219="UH"),"AA","INDENIZAÇÃO")</f>
        <v>INDENIZAÇÃO</v>
      </c>
      <c r="BE219" s="131" t="str">
        <f>IF(AND(AY219&lt;&gt;"AGUARDANDO",AY219&lt;&gt;"",N219="AUXÍLIO ALUGUEL ATÉ INDENIZAÇÃO"),"SIM","NÃO")</f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hidden="1" customHeight="1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5141</v>
      </c>
      <c r="G220" s="131"/>
      <c r="H220" s="131"/>
      <c r="I220" s="131"/>
      <c r="J220" s="132" t="s">
        <v>5142</v>
      </c>
      <c r="K220" s="132"/>
      <c r="L220" s="132" t="s">
        <v>5143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>IF(AY220-KD220=0,"",AY220-O220)</f>
        <v/>
      </c>
      <c r="BD220" s="131" t="str">
        <f>IF(AND(AI220&lt;&gt;"SIM",AI220="UH"),"AA","INDENIZAÇÃO")</f>
        <v>INDENIZAÇÃO</v>
      </c>
      <c r="BE220" s="131" t="str">
        <f>IF(AND(AY220&lt;&gt;"AGUARDANDO",AY220&lt;&gt;"",N220="AUXÍLIO ALUGUEL ATÉ INDENIZAÇÃO"),"SIM","NÃO")</f>
        <v>NÃO</v>
      </c>
      <c r="BG220" s="199"/>
      <c r="BH220" s="199"/>
      <c r="BN220" s="182"/>
      <c r="CI220" s="182"/>
    </row>
    <row r="221" spans="1:92" s="141" customFormat="1" ht="30" hidden="1" customHeight="1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5144</v>
      </c>
      <c r="G221" s="131"/>
      <c r="H221" s="131"/>
      <c r="I221" s="131"/>
      <c r="J221" s="132" t="s">
        <v>5145</v>
      </c>
      <c r="K221" s="132"/>
      <c r="L221" s="132" t="s">
        <v>5146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>IF(AY221-KD221=0,"",AY221-O221)</f>
        <v/>
      </c>
      <c r="BD221" s="131" t="str">
        <f>IF(AND(AI221&lt;&gt;"SIM",AI221="UH"),"AA","INDENIZAÇÃO")</f>
        <v>INDENIZAÇÃO</v>
      </c>
      <c r="BE221" s="131" t="str">
        <f>IF(AND(AY221&lt;&gt;"AGUARDANDO",AY221&lt;&gt;"",N221="AUXÍLIO ALUGUEL ATÉ INDENIZAÇÃO"),"SIM","NÃO")</f>
        <v>NÃO</v>
      </c>
      <c r="BG221" s="199"/>
      <c r="BH221" s="199"/>
      <c r="BN221" s="182"/>
      <c r="CI221" s="182"/>
    </row>
    <row r="222" spans="1:92" s="141" customFormat="1" ht="30" hidden="1" customHeight="1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5147</v>
      </c>
      <c r="G222" s="131"/>
      <c r="H222" s="131"/>
      <c r="I222" s="131"/>
      <c r="J222" s="132" t="s">
        <v>5148</v>
      </c>
      <c r="K222" s="132"/>
      <c r="L222" s="132" t="s">
        <v>5149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>IF(AY222-KD222=0,"",AY222-O222)</f>
        <v/>
      </c>
      <c r="BD222" s="131" t="str">
        <f>IF(AND(AI222&lt;&gt;"SIM",AI222="UH"),"AA","INDENIZAÇÃO")</f>
        <v>INDENIZAÇÃO</v>
      </c>
      <c r="BE222" s="131" t="str">
        <f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hidden="1" customHeight="1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5150</v>
      </c>
      <c r="G223" s="131"/>
      <c r="H223" s="131"/>
      <c r="I223" s="131"/>
      <c r="J223" s="132" t="s">
        <v>5151</v>
      </c>
      <c r="K223" s="132"/>
      <c r="L223" s="132" t="s">
        <v>5152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>IF(AY223-KD223=0,"",AY223-O223)</f>
        <v/>
      </c>
      <c r="BD223" s="131" t="str">
        <f>IF(AND(AI223&lt;&gt;"SIM",AI223="UH"),"AA","INDENIZAÇÃO")</f>
        <v>INDENIZAÇÃO</v>
      </c>
      <c r="BE223" s="131" t="str">
        <f>IF(AND(AY223&lt;&gt;"AGUARDANDO",AY223&lt;&gt;"",N223="AUXÍLIO ALUGUEL ATÉ INDENIZAÇÃO"),"SIM","NÃO")</f>
        <v>NÃO</v>
      </c>
      <c r="BG223" s="199"/>
      <c r="BH223" s="199"/>
      <c r="BN223" s="182"/>
      <c r="CI223" s="182"/>
    </row>
    <row r="224" spans="1:92" s="141" customFormat="1" ht="30" hidden="1" customHeight="1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5153</v>
      </c>
      <c r="G224" s="131"/>
      <c r="H224" s="131"/>
      <c r="I224" s="131"/>
      <c r="J224" s="132" t="s">
        <v>5154</v>
      </c>
      <c r="K224" s="132"/>
      <c r="L224" s="132" t="s">
        <v>5155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>IF(AY224-KD224=0,"",AY224-O224)</f>
        <v/>
      </c>
      <c r="BD224" s="131" t="str">
        <f>IF(AND(AI224&lt;&gt;"SIM",AI224="UH"),"AA","INDENIZAÇÃO")</f>
        <v>INDENIZAÇÃO</v>
      </c>
      <c r="BE224" s="131" t="str">
        <f>IF(AND(AY224&lt;&gt;"AGUARDANDO",AY224&lt;&gt;"",N224="AUXÍLIO ALUGUEL ATÉ INDENIZAÇÃO"),"SIM","NÃO")</f>
        <v>NÃO</v>
      </c>
      <c r="BG224" s="199"/>
      <c r="BH224" s="199"/>
      <c r="BN224" s="182"/>
      <c r="CI224" s="182"/>
    </row>
    <row r="225" spans="1:92" s="141" customFormat="1" ht="30" hidden="1" customHeight="1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5156</v>
      </c>
      <c r="G225" s="131"/>
      <c r="H225" s="131"/>
      <c r="I225" s="131"/>
      <c r="J225" s="132" t="s">
        <v>5157</v>
      </c>
      <c r="K225" s="132"/>
      <c r="L225" s="132" t="s">
        <v>5158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>IF(AY225-KD225=0,"",AY225-O225)</f>
        <v/>
      </c>
      <c r="BD225" s="131" t="str">
        <f>IF(AND(AI225&lt;&gt;"SIM",AI225="UH"),"AA","INDENIZAÇÃO")</f>
        <v>INDENIZAÇÃO</v>
      </c>
      <c r="BE225" s="131" t="str">
        <f>IF(AND(AY225&lt;&gt;"AGUARDANDO",AY225&lt;&gt;"",N225="AUXÍLIO ALUGUEL ATÉ INDENIZAÇÃO"),"SIM","NÃO")</f>
        <v>NÃO</v>
      </c>
      <c r="BG225" s="199"/>
      <c r="BH225" s="199"/>
      <c r="BN225" s="182"/>
      <c r="CI225" s="182"/>
    </row>
    <row r="226" spans="1:92" s="141" customFormat="1" ht="30" customHeight="1">
      <c r="A226" s="131">
        <v>212</v>
      </c>
      <c r="B226" s="131" t="s">
        <v>4432</v>
      </c>
      <c r="C226" s="131">
        <v>2</v>
      </c>
      <c r="D226" s="131" t="s">
        <v>4433</v>
      </c>
      <c r="E226" s="131" t="s">
        <v>4433</v>
      </c>
      <c r="F226" s="210" t="s">
        <v>5159</v>
      </c>
      <c r="G226" s="131" t="s">
        <v>4339</v>
      </c>
      <c r="H226" s="131" t="s">
        <v>4340</v>
      </c>
      <c r="I226" s="131" t="s">
        <v>4350</v>
      </c>
      <c r="J226" s="132" t="s">
        <v>5160</v>
      </c>
      <c r="K226" s="132" t="s">
        <v>5161</v>
      </c>
      <c r="L226" s="132" t="s">
        <v>5162</v>
      </c>
      <c r="M226" s="131" t="s">
        <v>4342</v>
      </c>
      <c r="N226" s="131" t="s">
        <v>4343</v>
      </c>
      <c r="O226" s="199">
        <v>46191</v>
      </c>
      <c r="P226" s="136" t="s">
        <v>4361</v>
      </c>
      <c r="Q226" s="136" t="s">
        <v>4361</v>
      </c>
      <c r="R226" s="136" t="s">
        <v>4361</v>
      </c>
      <c r="S226" s="136" t="s">
        <v>4361</v>
      </c>
      <c r="T226" s="136" t="s">
        <v>4361</v>
      </c>
      <c r="U226" s="136" t="s">
        <v>4361</v>
      </c>
      <c r="V226" s="136" t="s">
        <v>4361</v>
      </c>
      <c r="W226" s="136" t="s">
        <v>4361</v>
      </c>
      <c r="X226" s="136" t="s">
        <v>4361</v>
      </c>
      <c r="Y226" s="136" t="s">
        <v>4361</v>
      </c>
      <c r="Z226" s="136" t="s">
        <v>4361</v>
      </c>
      <c r="AB226" s="132" t="s">
        <v>5160</v>
      </c>
      <c r="AC226" s="132" t="s">
        <v>5161</v>
      </c>
      <c r="AD226" s="132" t="s">
        <v>5162</v>
      </c>
      <c r="AE226" s="131" t="s">
        <v>4350</v>
      </c>
      <c r="AF226" s="141" t="s">
        <v>4534</v>
      </c>
      <c r="AG226" s="196">
        <v>79089.039999999994</v>
      </c>
      <c r="AH226" s="196">
        <v>79089.039999999994</v>
      </c>
      <c r="AI226" s="131" t="s">
        <v>4344</v>
      </c>
      <c r="AJ226" s="132" t="s">
        <v>4616</v>
      </c>
      <c r="AK226" s="131">
        <v>147146502</v>
      </c>
      <c r="AL226" s="131" t="s">
        <v>4442</v>
      </c>
      <c r="AM226" s="141" t="s">
        <v>4442</v>
      </c>
      <c r="AN226" s="141" t="s">
        <v>4443</v>
      </c>
      <c r="AP226" s="132" t="s">
        <v>5163</v>
      </c>
      <c r="AQ226" s="141" t="s">
        <v>4442</v>
      </c>
      <c r="AR226" s="141" t="s">
        <v>4370</v>
      </c>
      <c r="BC226" s="197" t="str">
        <f>IF(AY226-KD226=0,"",AY226-O226)</f>
        <v/>
      </c>
      <c r="BD226" s="131" t="str">
        <f>IF(AND(AI226&lt;&gt;"SIM",AI226="UH"),"AA","INDENIZAÇÃO")</f>
        <v>INDENIZAÇÃO</v>
      </c>
      <c r="BE226" s="131" t="str">
        <f>IF(AND(AY226&lt;&gt;"AGUARDANDO",AY226&lt;&gt;"",N226="AUXÍLIO ALUGUEL ATÉ INDENIZAÇÃO"),"SIM","NÃO")</f>
        <v>NÃO</v>
      </c>
      <c r="BG226" s="199"/>
      <c r="BH226" s="199"/>
      <c r="BN226" s="182"/>
      <c r="CI226" s="182"/>
    </row>
    <row r="227" spans="1:92" s="141" customFormat="1" ht="30" hidden="1" customHeight="1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5164</v>
      </c>
      <c r="G227" s="131" t="s">
        <v>4339</v>
      </c>
      <c r="H227" s="131" t="s">
        <v>4340</v>
      </c>
      <c r="I227" s="131" t="s">
        <v>4350</v>
      </c>
      <c r="J227" s="132" t="s">
        <v>5165</v>
      </c>
      <c r="K227" s="132" t="s">
        <v>5166</v>
      </c>
      <c r="L227" s="132" t="s">
        <v>5167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5165</v>
      </c>
      <c r="AC227" s="132" t="s">
        <v>5166</v>
      </c>
      <c r="AD227" s="132" t="s">
        <v>5167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5168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>IF(AY227-KD227=0,"",AY227-O227)</f>
        <v>65</v>
      </c>
      <c r="BD227" s="131" t="str">
        <f>IF(AND(AI227&lt;&gt;"SIM",AI227="UH"),"AA","INDENIZAÇÃO")</f>
        <v>INDENIZAÇÃO</v>
      </c>
      <c r="BE227" s="131" t="str">
        <f>IF(AND(AY227&lt;&gt;"AGUARDANDO",AY227&lt;&gt;"",N227="AUXÍLIO ALUGUEL ATÉ INDENIZAÇÃO"),"SIM","NÃO")</f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hidden="1" customHeight="1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5169</v>
      </c>
      <c r="G228" s="131"/>
      <c r="H228" s="131"/>
      <c r="I228" s="131"/>
      <c r="J228" s="132" t="s">
        <v>5170</v>
      </c>
      <c r="K228" s="132"/>
      <c r="L228" s="132" t="s">
        <v>5171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>IF(AY228-KD228=0,"",AY228-O228)</f>
        <v/>
      </c>
      <c r="BD228" s="131" t="str">
        <f>IF(AND(AI228&lt;&gt;"SIM",AI228="UH"),"AA","INDENIZAÇÃO")</f>
        <v>INDENIZAÇÃO</v>
      </c>
      <c r="BE228" s="131" t="str">
        <f>IF(AND(AY228&lt;&gt;"AGUARDANDO",AY228&lt;&gt;"",N228="AUXÍLIO ALUGUEL ATÉ INDENIZAÇÃO"),"SIM","NÃO")</f>
        <v>NÃO</v>
      </c>
      <c r="BG228" s="199"/>
      <c r="BH228" s="199"/>
      <c r="BN228" s="182"/>
      <c r="CI228" s="182"/>
    </row>
    <row r="229" spans="1:92" s="141" customFormat="1" ht="30" hidden="1" customHeight="1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5172</v>
      </c>
      <c r="G229" s="131"/>
      <c r="H229" s="131"/>
      <c r="I229" s="131"/>
      <c r="J229" s="132" t="s">
        <v>5173</v>
      </c>
      <c r="K229" s="132"/>
      <c r="L229" s="132" t="s">
        <v>5174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>IF(AY229-KD229=0,"",AY229-O229)</f>
        <v/>
      </c>
      <c r="BD229" s="131" t="str">
        <f>IF(AND(AI229&lt;&gt;"SIM",AI229="UH"),"AA","INDENIZAÇÃO")</f>
        <v>INDENIZAÇÃO</v>
      </c>
      <c r="BE229" s="131" t="str">
        <f>IF(AND(AY229&lt;&gt;"AGUARDANDO",AY229&lt;&gt;"",N229="AUXÍLIO ALUGUEL ATÉ INDENIZAÇÃO"),"SIM","NÃO")</f>
        <v>NÃO</v>
      </c>
      <c r="BG229" s="199"/>
      <c r="BH229" s="199"/>
      <c r="BN229" s="182"/>
      <c r="CI229" s="182"/>
    </row>
    <row r="230" spans="1:92" s="141" customFormat="1" ht="30" hidden="1" customHeight="1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5175</v>
      </c>
      <c r="G230" s="131"/>
      <c r="H230" s="131"/>
      <c r="I230" s="131"/>
      <c r="J230" s="132" t="s">
        <v>5176</v>
      </c>
      <c r="K230" s="132"/>
      <c r="L230" s="132" t="s">
        <v>5177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>IF(AY230-KD230=0,"",AY230-O230)</f>
        <v/>
      </c>
      <c r="BD230" s="131" t="str">
        <f>IF(AND(AI230&lt;&gt;"SIM",AI230="UH"),"AA","INDENIZAÇÃO")</f>
        <v>INDENIZAÇÃO</v>
      </c>
      <c r="BE230" s="131" t="str">
        <f>IF(AND(AY230&lt;&gt;"AGUARDANDO",AY230&lt;&gt;"",N230="AUXÍLIO ALUGUEL ATÉ INDENIZAÇÃO"),"SIM","NÃO")</f>
        <v>NÃO</v>
      </c>
      <c r="BG230" s="199"/>
      <c r="BH230" s="199"/>
      <c r="BN230" s="182"/>
      <c r="CI230" s="182"/>
    </row>
    <row r="231" spans="1:92" s="141" customFormat="1" ht="30" hidden="1" customHeight="1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5178</v>
      </c>
      <c r="G231" s="131"/>
      <c r="H231" s="131"/>
      <c r="I231" s="198"/>
      <c r="J231" s="132" t="s">
        <v>5179</v>
      </c>
      <c r="K231" s="132"/>
      <c r="L231" s="132" t="s">
        <v>5180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>IF(AY231-KD231=0,"",AY231-O231)</f>
        <v/>
      </c>
      <c r="BD231" s="131" t="str">
        <f>IF(AND(AI231&lt;&gt;"SIM",AI231="UH"),"AA","INDENIZAÇÃO")</f>
        <v>INDENIZAÇÃO</v>
      </c>
      <c r="BE231" s="131" t="str">
        <f>IF(AND(AY231&lt;&gt;"AGUARDANDO",AY231&lt;&gt;"",N231="AUXÍLIO ALUGUEL ATÉ INDENIZAÇÃO"),"SIM","NÃO")</f>
        <v>NÃO</v>
      </c>
      <c r="BG231" s="199"/>
      <c r="BH231" s="199"/>
      <c r="BN231" s="182"/>
      <c r="CI231" s="182"/>
    </row>
    <row r="232" spans="1:92" s="141" customFormat="1" ht="30" hidden="1" customHeight="1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5181</v>
      </c>
      <c r="G232" s="131" t="s">
        <v>4339</v>
      </c>
      <c r="H232" s="131" t="s">
        <v>4349</v>
      </c>
      <c r="I232" s="198"/>
      <c r="J232" s="132" t="s">
        <v>5182</v>
      </c>
      <c r="K232" s="132"/>
      <c r="L232" s="132" t="s">
        <v>5183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>IF(AY232-KD232=0,"",AY232-O232)</f>
        <v/>
      </c>
      <c r="BD232" s="131" t="str">
        <f>IF(AND(AI232&lt;&gt;"SIM",AI232="UH"),"AA","INDENIZAÇÃO")</f>
        <v>INDENIZAÇÃO</v>
      </c>
      <c r="BE232" s="131" t="str">
        <f>IF(AND(AY232&lt;&gt;"AGUARDANDO",AY232&lt;&gt;"",N232="AUXÍLIO ALUGUEL ATÉ INDENIZAÇÃO"),"SIM","NÃO")</f>
        <v>NÃO</v>
      </c>
      <c r="BG232" s="199"/>
      <c r="BH232" s="199"/>
      <c r="BN232" s="182"/>
      <c r="CI232" s="182"/>
    </row>
    <row r="233" spans="1:92" s="141" customFormat="1" ht="30" hidden="1" customHeight="1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5184</v>
      </c>
      <c r="G233" s="131"/>
      <c r="H233" s="131"/>
      <c r="I233" s="198"/>
      <c r="J233" s="132" t="s">
        <v>5185</v>
      </c>
      <c r="K233" s="132"/>
      <c r="L233" s="132" t="s">
        <v>5186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>IF(AY233-KD233=0,"",AY233-O233)</f>
        <v/>
      </c>
      <c r="BD233" s="131" t="str">
        <f>IF(AND(AI233&lt;&gt;"SIM",AI233="UH"),"AA","INDENIZAÇÃO")</f>
        <v>INDENIZAÇÃO</v>
      </c>
      <c r="BE233" s="131" t="str">
        <f>IF(AND(AY233&lt;&gt;"AGUARDANDO",AY233&lt;&gt;"",N233="AUXÍLIO ALUGUEL ATÉ INDENIZAÇÃO"),"SIM","NÃO")</f>
        <v>NÃO</v>
      </c>
      <c r="BG233" s="199"/>
      <c r="BH233" s="199"/>
      <c r="BN233" s="182"/>
      <c r="CI233" s="182"/>
    </row>
    <row r="234" spans="1:92" s="141" customFormat="1" ht="30" hidden="1" customHeight="1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5187</v>
      </c>
      <c r="G234" s="131"/>
      <c r="H234" s="131"/>
      <c r="I234" s="131"/>
      <c r="J234" s="132" t="s">
        <v>5188</v>
      </c>
      <c r="K234" s="132"/>
      <c r="L234" s="132" t="s">
        <v>5189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>IF(AY234-KD234=0,"",AY234-O234)</f>
        <v/>
      </c>
      <c r="BD234" s="131" t="str">
        <f>IF(AND(AI234&lt;&gt;"SIM",AI234="UH"),"AA","INDENIZAÇÃO")</f>
        <v>INDENIZAÇÃO</v>
      </c>
      <c r="BE234" s="131" t="str">
        <f>IF(AND(AY234&lt;&gt;"AGUARDANDO",AY234&lt;&gt;"",N234="AUXÍLIO ALUGUEL ATÉ INDENIZAÇÃO"),"SIM","NÃO")</f>
        <v>NÃO</v>
      </c>
      <c r="BG234" s="199"/>
      <c r="BH234" s="199"/>
      <c r="BN234" s="182"/>
      <c r="CI234" s="182"/>
    </row>
    <row r="235" spans="1:92" s="141" customFormat="1" ht="30" hidden="1" customHeight="1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5190</v>
      </c>
      <c r="G235" s="131"/>
      <c r="H235" s="131"/>
      <c r="I235" s="131"/>
      <c r="J235" s="132" t="s">
        <v>5191</v>
      </c>
      <c r="K235" s="132"/>
      <c r="L235" s="132" t="s">
        <v>5192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>IF(AY235-KD235=0,"",AY235-O235)</f>
        <v/>
      </c>
      <c r="BD235" s="131" t="str">
        <f>IF(AND(AI235&lt;&gt;"SIM",AI235="UH"),"AA","INDENIZAÇÃO")</f>
        <v>INDENIZAÇÃO</v>
      </c>
      <c r="BE235" s="131" t="str">
        <f>IF(AND(AY235&lt;&gt;"AGUARDANDO",AY235&lt;&gt;"",N235="AUXÍLIO ALUGUEL ATÉ INDENIZAÇÃO"),"SIM","NÃO")</f>
        <v>NÃO</v>
      </c>
      <c r="BG235" s="199"/>
      <c r="BH235" s="199"/>
      <c r="BN235" s="182"/>
      <c r="CI235" s="182"/>
    </row>
    <row r="236" spans="1:92" s="141" customFormat="1" ht="30" hidden="1" customHeight="1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5193</v>
      </c>
      <c r="G236" s="131"/>
      <c r="H236" s="131"/>
      <c r="I236" s="131"/>
      <c r="J236" s="132" t="s">
        <v>5194</v>
      </c>
      <c r="K236" s="132"/>
      <c r="L236" s="132" t="s">
        <v>5195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>IF(AY236-KD236=0,"",AY236-O236)</f>
        <v/>
      </c>
      <c r="BD236" s="131" t="str">
        <f>IF(AND(AI236&lt;&gt;"SIM",AI236="UH"),"AA","INDENIZAÇÃO")</f>
        <v>INDENIZAÇÃO</v>
      </c>
      <c r="BE236" s="131" t="str">
        <f>IF(AND(AY236&lt;&gt;"AGUARDANDO",AY236&lt;&gt;"",N236="AUXÍLIO ALUGUEL ATÉ INDENIZAÇÃO"),"SIM","NÃO")</f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hidden="1" customHeight="1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5196</v>
      </c>
      <c r="G237" s="131"/>
      <c r="H237" s="131"/>
      <c r="I237" s="131"/>
      <c r="J237" s="132" t="s">
        <v>5197</v>
      </c>
      <c r="K237" s="132"/>
      <c r="L237" s="132" t="s">
        <v>5198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>IF(AY237-KD237=0,"",AY237-O237)</f>
        <v/>
      </c>
      <c r="BD237" s="131" t="str">
        <f>IF(AND(AI237&lt;&gt;"SIM",AI237="UH"),"AA","INDENIZAÇÃO")</f>
        <v>INDENIZAÇÃO</v>
      </c>
      <c r="BE237" s="131" t="str">
        <f>IF(AND(AY237&lt;&gt;"AGUARDANDO",AY237&lt;&gt;"",N237="AUXÍLIO ALUGUEL ATÉ INDENIZAÇÃO"),"SIM","NÃO")</f>
        <v>NÃO</v>
      </c>
      <c r="BG237" s="199"/>
      <c r="BH237" s="199"/>
      <c r="BN237" s="182"/>
      <c r="CI237" s="182"/>
      <c r="CN237" s="182"/>
    </row>
    <row r="238" spans="1:92" s="141" customFormat="1" ht="30" hidden="1" customHeight="1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5199</v>
      </c>
      <c r="G238" s="131" t="s">
        <v>4339</v>
      </c>
      <c r="H238" s="131" t="s">
        <v>4349</v>
      </c>
      <c r="I238" s="131"/>
      <c r="J238" s="132" t="s">
        <v>5200</v>
      </c>
      <c r="K238" s="132"/>
      <c r="L238" s="132" t="s">
        <v>5201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>IF(AY238-KD238=0,"",AY238-O238)</f>
        <v/>
      </c>
      <c r="BD238" s="131" t="str">
        <f>IF(AND(AI238&lt;&gt;"SIM",AI238="UH"),"AA","INDENIZAÇÃO")</f>
        <v>INDENIZAÇÃO</v>
      </c>
      <c r="BE238" s="131" t="str">
        <f>IF(AND(AY238&lt;&gt;"AGUARDANDO",AY238&lt;&gt;"",N238="AUXÍLIO ALUGUEL ATÉ INDENIZAÇÃO"),"SIM","NÃO")</f>
        <v>NÃO</v>
      </c>
      <c r="BG238" s="199"/>
      <c r="BH238" s="199"/>
      <c r="BN238" s="182"/>
      <c r="CI238" s="182"/>
      <c r="CN238" s="182"/>
    </row>
    <row r="239" spans="1:92" s="141" customFormat="1" ht="30" hidden="1" customHeight="1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5202</v>
      </c>
      <c r="G239" s="131"/>
      <c r="H239" s="131"/>
      <c r="I239" s="198"/>
      <c r="J239" s="132" t="s">
        <v>5203</v>
      </c>
      <c r="K239" s="132"/>
      <c r="L239" s="132" t="s">
        <v>5204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>IF(AY239-KD239=0,"",AY239-O239)</f>
        <v/>
      </c>
      <c r="BD239" s="131" t="str">
        <f>IF(AND(AI239&lt;&gt;"SIM",AI239="UH"),"AA","INDENIZAÇÃO")</f>
        <v>INDENIZAÇÃO</v>
      </c>
      <c r="BE239" s="131" t="str">
        <f>IF(AND(AY239&lt;&gt;"AGUARDANDO",AY239&lt;&gt;"",N239="AUXÍLIO ALUGUEL ATÉ INDENIZAÇÃO"),"SIM","NÃO")</f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hidden="1" customHeight="1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5205</v>
      </c>
      <c r="G240" s="131"/>
      <c r="H240" s="131"/>
      <c r="I240" s="198"/>
      <c r="J240" s="132" t="s">
        <v>5206</v>
      </c>
      <c r="K240" s="132"/>
      <c r="L240" s="132" t="s">
        <v>5207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>IF(AY240-KD240=0,"",AY240-O240)</f>
        <v/>
      </c>
      <c r="BD240" s="131" t="str">
        <f>IF(AND(AI240&lt;&gt;"SIM",AI240="UH"),"AA","INDENIZAÇÃO")</f>
        <v>INDENIZAÇÃO</v>
      </c>
      <c r="BE240" s="131" t="str">
        <f>IF(AND(AY240&lt;&gt;"AGUARDANDO",AY240&lt;&gt;"",N240="AUXÍLIO ALUGUEL ATÉ INDENIZAÇÃO"),"SIM","NÃO")</f>
        <v>NÃO</v>
      </c>
      <c r="BG240" s="199"/>
      <c r="BH240" s="199"/>
      <c r="BN240" s="182"/>
      <c r="CI240" s="182"/>
    </row>
    <row r="241" spans="1:91" s="141" customFormat="1" ht="30" hidden="1" customHeight="1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5208</v>
      </c>
      <c r="G241" s="131"/>
      <c r="H241" s="131"/>
      <c r="I241" s="131"/>
      <c r="J241" s="132" t="s">
        <v>5209</v>
      </c>
      <c r="K241" s="132"/>
      <c r="L241" s="132" t="s">
        <v>5210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>IF(AY241-KD241=0,"",AY241-O241)</f>
        <v/>
      </c>
      <c r="BD241" s="131" t="str">
        <f>IF(AND(AI241&lt;&gt;"SIM",AI241="UH"),"AA","INDENIZAÇÃO")</f>
        <v>INDENIZAÇÃO</v>
      </c>
      <c r="BE241" s="131" t="str">
        <f>IF(AND(AY241&lt;&gt;"AGUARDANDO",AY241&lt;&gt;"",N241="AUXÍLIO ALUGUEL ATÉ INDENIZAÇÃO"),"SIM","NÃO")</f>
        <v>NÃO</v>
      </c>
      <c r="BG241" s="199"/>
      <c r="BH241" s="199"/>
      <c r="BN241" s="182"/>
      <c r="CI241" s="182"/>
    </row>
    <row r="242" spans="1:91" ht="30" hidden="1" customHeight="1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5211</v>
      </c>
      <c r="G242" s="131"/>
      <c r="H242" s="131"/>
      <c r="I242" s="131"/>
      <c r="J242" s="132" t="s">
        <v>5212</v>
      </c>
      <c r="K242" s="132"/>
      <c r="L242" s="132" t="s">
        <v>5213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>IF(AY242-KD242=0,"",AY242-O242)</f>
        <v/>
      </c>
      <c r="BD242" s="131" t="str">
        <f>IF(AND(AI242&lt;&gt;"SIM",AI242="UH"),"AA","INDENIZAÇÃO")</f>
        <v>INDENIZAÇÃO</v>
      </c>
      <c r="BE242" s="131" t="str">
        <f>IF(AND(AY242&lt;&gt;"AGUARDANDO",AY242&lt;&gt;"",N242="AUXÍLIO ALUGUEL ATÉ INDENIZAÇÃO"),"SIM","NÃO")</f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hidden="1" customHeight="1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5214</v>
      </c>
      <c r="G243" s="131"/>
      <c r="H243" s="131"/>
      <c r="I243" s="131"/>
      <c r="J243" s="132" t="s">
        <v>5215</v>
      </c>
      <c r="K243" s="132"/>
      <c r="L243" s="132" t="s">
        <v>5216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>IF(AY243-KD243=0,"",AY243-O243)</f>
        <v/>
      </c>
      <c r="BD243" s="131" t="str">
        <f>IF(AND(AI243&lt;&gt;"SIM",AI243="UH"),"AA","INDENIZAÇÃO")</f>
        <v>INDENIZAÇÃO</v>
      </c>
      <c r="BE243" s="131" t="str">
        <f>IF(AND(AY243&lt;&gt;"AGUARDANDO",AY243&lt;&gt;"",N243="AUXÍLIO ALUGUEL ATÉ INDENIZAÇÃO"),"SIM","NÃO")</f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hidden="1" customHeight="1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5217</v>
      </c>
      <c r="G244" s="131" t="s">
        <v>4339</v>
      </c>
      <c r="H244" s="131" t="s">
        <v>4349</v>
      </c>
      <c r="I244" s="131"/>
      <c r="J244" s="132" t="s">
        <v>5218</v>
      </c>
      <c r="K244" s="132"/>
      <c r="L244" s="132" t="s">
        <v>5219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>IF(AY244-KD244=0,"",AY244-O244)</f>
        <v/>
      </c>
      <c r="BD244" s="131" t="str">
        <f>IF(AND(AI244&lt;&gt;"SIM",AI244="UH"),"AA","INDENIZAÇÃO")</f>
        <v>INDENIZAÇÃO</v>
      </c>
      <c r="BE244" s="131" t="str">
        <f>IF(AND(AY244&lt;&gt;"AGUARDANDO",AY244&lt;&gt;"",N244="AUXÍLIO ALUGUEL ATÉ INDENIZAÇÃO"),"SIM","NÃO")</f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hidden="1" customHeight="1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5220</v>
      </c>
      <c r="G245" s="131"/>
      <c r="H245" s="131"/>
      <c r="I245" s="131"/>
      <c r="J245" s="132" t="s">
        <v>5221</v>
      </c>
      <c r="K245" s="132"/>
      <c r="L245" s="132" t="s">
        <v>5222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>IF(AY245-KD245=0,"",AY245-O245)</f>
        <v/>
      </c>
      <c r="BD245" s="131" t="str">
        <f>IF(AND(AI245&lt;&gt;"SIM",AI245="UH"),"AA","INDENIZAÇÃO")</f>
        <v>INDENIZAÇÃO</v>
      </c>
      <c r="BE245" s="131" t="str">
        <f>IF(AND(AY245&lt;&gt;"AGUARDANDO",AY245&lt;&gt;"",N245="AUXÍLIO ALUGUEL ATÉ INDENIZAÇÃO"),"SIM","NÃO")</f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hidden="1" customHeight="1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5223</v>
      </c>
      <c r="G246" s="131"/>
      <c r="H246" s="131"/>
      <c r="I246" s="131"/>
      <c r="J246" s="132" t="s">
        <v>5224</v>
      </c>
      <c r="K246" s="132"/>
      <c r="L246" s="132" t="s">
        <v>5225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>IF(AY246-KD246=0,"",AY246-O246)</f>
        <v/>
      </c>
      <c r="BD246" s="131" t="str">
        <f>IF(AND(AI246&lt;&gt;"SIM",AI246="UH"),"AA","INDENIZAÇÃO")</f>
        <v>INDENIZAÇÃO</v>
      </c>
      <c r="BE246" s="131" t="str">
        <f>IF(AND(AY246&lt;&gt;"AGUARDANDO",AY246&lt;&gt;"",N246="AUXÍLIO ALUGUEL ATÉ INDENIZAÇÃO"),"SIM","NÃO")</f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hidden="1" customHeight="1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5226</v>
      </c>
      <c r="G247" s="131"/>
      <c r="H247" s="131"/>
      <c r="I247" s="131"/>
      <c r="J247" s="132" t="s">
        <v>5227</v>
      </c>
      <c r="K247" s="132"/>
      <c r="L247" s="132" t="s">
        <v>5228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>IF(AY247-KD247=0,"",AY247-O247)</f>
        <v/>
      </c>
      <c r="BD247" s="131" t="str">
        <f>IF(AND(AI247&lt;&gt;"SIM",AI247="UH"),"AA","INDENIZAÇÃO")</f>
        <v>INDENIZAÇÃO</v>
      </c>
      <c r="BE247" s="131" t="str">
        <f>IF(AND(AY247&lt;&gt;"AGUARDANDO",AY247&lt;&gt;"",N247="AUXÍLIO ALUGUEL ATÉ INDENIZAÇÃO"),"SIM","NÃO")</f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hidden="1" customHeight="1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5229</v>
      </c>
      <c r="G248" s="131" t="s">
        <v>4339</v>
      </c>
      <c r="H248" s="131" t="s">
        <v>4349</v>
      </c>
      <c r="I248" s="131"/>
      <c r="J248" s="132" t="s">
        <v>5230</v>
      </c>
      <c r="K248" s="132"/>
      <c r="L248" s="132" t="s">
        <v>5231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>IF(AY248-KD248=0,"",AY248-O248)</f>
        <v/>
      </c>
      <c r="BD248" s="131" t="str">
        <f>IF(AND(AI248&lt;&gt;"SIM",AI248="UH"),"AA","INDENIZAÇÃO")</f>
        <v>INDENIZAÇÃO</v>
      </c>
      <c r="BE248" s="131" t="str">
        <f>IF(AND(AY248&lt;&gt;"AGUARDANDO",AY248&lt;&gt;"",N248="AUXÍLIO ALUGUEL ATÉ INDENIZAÇÃO"),"SIM","NÃO")</f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hidden="1" customHeight="1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5232</v>
      </c>
      <c r="G249" s="131"/>
      <c r="H249" s="131"/>
      <c r="I249" s="198"/>
      <c r="J249" s="132" t="s">
        <v>5233</v>
      </c>
      <c r="K249" s="132"/>
      <c r="L249" s="132" t="s">
        <v>5234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>IF(AY249-KD249=0,"",AY249-O249)</f>
        <v/>
      </c>
      <c r="BD249" s="131" t="str">
        <f>IF(AND(AI249&lt;&gt;"SIM",AI249="UH"),"AA","INDENIZAÇÃO")</f>
        <v>INDENIZAÇÃO</v>
      </c>
      <c r="BE249" s="131" t="str">
        <f>IF(AND(AY249&lt;&gt;"AGUARDANDO",AY249&lt;&gt;"",N249="AUXÍLIO ALUGUEL ATÉ INDENIZAÇÃO"),"SIM","NÃO")</f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hidden="1" customHeight="1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5235</v>
      </c>
      <c r="G250" s="131"/>
      <c r="H250" s="131"/>
      <c r="I250" s="198"/>
      <c r="J250" s="132" t="s">
        <v>5236</v>
      </c>
      <c r="K250" s="132"/>
      <c r="L250" s="132" t="s">
        <v>5237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>IF(AY250-KD250=0,"",AY250-O250)</f>
        <v/>
      </c>
      <c r="BD250" s="131" t="str">
        <f>IF(AND(AI250&lt;&gt;"SIM",AI250="UH"),"AA","INDENIZAÇÃO")</f>
        <v>INDENIZAÇÃO</v>
      </c>
      <c r="BE250" s="131" t="str">
        <f>IF(AND(AY250&lt;&gt;"AGUARDANDO",AY250&lt;&gt;"",N250="AUXÍLIO ALUGUEL ATÉ INDENIZAÇÃO"),"SIM","NÃO")</f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hidden="1" customHeight="1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5238</v>
      </c>
      <c r="G251" s="131"/>
      <c r="H251" s="131"/>
      <c r="I251" s="131"/>
      <c r="J251" s="132" t="s">
        <v>5239</v>
      </c>
      <c r="K251" s="132"/>
      <c r="L251" s="132" t="s">
        <v>5240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>IF(AY251-KD251=0,"",AY251-O251)</f>
        <v/>
      </c>
      <c r="BD251" s="131" t="str">
        <f>IF(AND(AI251&lt;&gt;"SIM",AI251="UH"),"AA","INDENIZAÇÃO")</f>
        <v>INDENIZAÇÃO</v>
      </c>
      <c r="BE251" s="131" t="str">
        <f>IF(AND(AY251&lt;&gt;"AGUARDANDO",AY251&lt;&gt;"",N251="AUXÍLIO ALUGUEL ATÉ INDENIZAÇÃO"),"SIM","NÃO")</f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hidden="1" customHeight="1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5241</v>
      </c>
      <c r="G252" s="131"/>
      <c r="H252" s="131"/>
      <c r="I252" s="198"/>
      <c r="J252" s="132" t="s">
        <v>5242</v>
      </c>
      <c r="K252" s="132"/>
      <c r="L252" s="132" t="s">
        <v>5243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>IF(AY252-KD252=0,"",AY252-O252)</f>
        <v/>
      </c>
      <c r="BD252" s="131" t="str">
        <f>IF(AND(AI252&lt;&gt;"SIM",AI252="UH"),"AA","INDENIZAÇÃO")</f>
        <v>INDENIZAÇÃO</v>
      </c>
      <c r="BE252" s="131" t="str">
        <f>IF(AND(AY252&lt;&gt;"AGUARDANDO",AY252&lt;&gt;"",N252="AUXÍLIO ALUGUEL ATÉ INDENIZAÇÃO"),"SIM","NÃO")</f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hidden="1" customHeight="1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5244</v>
      </c>
      <c r="G253" s="131"/>
      <c r="H253" s="131"/>
      <c r="I253" s="198"/>
      <c r="J253" s="132" t="s">
        <v>5245</v>
      </c>
      <c r="K253" s="132"/>
      <c r="L253" s="132" t="s">
        <v>5246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>IF(AY253-KD253=0,"",AY253-O253)</f>
        <v/>
      </c>
      <c r="BD253" s="131" t="str">
        <f>IF(AND(AI253&lt;&gt;"SIM",AI253="UH"),"AA","INDENIZAÇÃO")</f>
        <v>INDENIZAÇÃO</v>
      </c>
      <c r="BE253" s="131" t="str">
        <f>IF(AND(AY253&lt;&gt;"AGUARDANDO",AY253&lt;&gt;"",N253="AUXÍLIO ALUGUEL ATÉ INDENIZAÇÃO"),"SIM","NÃO")</f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hidden="1" customHeight="1">
      <c r="A254" s="131">
        <v>240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0" t="s">
        <v>5247</v>
      </c>
      <c r="G254" s="131" t="s">
        <v>4339</v>
      </c>
      <c r="H254" s="131" t="s">
        <v>4340</v>
      </c>
      <c r="I254" s="198" t="s">
        <v>4624</v>
      </c>
      <c r="J254" s="132" t="s">
        <v>5248</v>
      </c>
      <c r="K254" s="132" t="s">
        <v>5249</v>
      </c>
      <c r="L254" s="132" t="s">
        <v>5250</v>
      </c>
      <c r="M254" s="131" t="s">
        <v>4342</v>
      </c>
      <c r="N254" s="131" t="s">
        <v>4</v>
      </c>
      <c r="O254" s="199">
        <v>46160</v>
      </c>
      <c r="P254" s="136"/>
      <c r="Q254" s="131"/>
      <c r="R254" s="136"/>
      <c r="S254" s="136"/>
      <c r="T254" s="136"/>
      <c r="U254" s="136"/>
      <c r="V254" s="136"/>
      <c r="W254" s="136"/>
      <c r="X254" s="136"/>
      <c r="Y254" s="136"/>
      <c r="Z254" s="136"/>
      <c r="AA254" s="141"/>
      <c r="AB254" s="132" t="s">
        <v>5251</v>
      </c>
      <c r="AC254" s="132" t="s">
        <v>5252</v>
      </c>
      <c r="AD254" s="132" t="s">
        <v>5253</v>
      </c>
      <c r="AE254" s="131" t="s">
        <v>4341</v>
      </c>
      <c r="AF254" s="141" t="s">
        <v>4534</v>
      </c>
      <c r="AG254" s="196">
        <v>34583.550000000003</v>
      </c>
      <c r="AH254" s="196">
        <v>34583.550000000003</v>
      </c>
      <c r="AI254" s="131" t="s">
        <v>4344</v>
      </c>
      <c r="AJ254" s="132" t="s">
        <v>4616</v>
      </c>
      <c r="AK254" s="131">
        <v>157080825</v>
      </c>
      <c r="AL254" s="141" t="s">
        <v>4442</v>
      </c>
      <c r="AM254" s="141" t="s">
        <v>4442</v>
      </c>
      <c r="AN254" s="141" t="s">
        <v>4442</v>
      </c>
      <c r="AO254" s="201"/>
      <c r="AP254" s="132" t="s">
        <v>5254</v>
      </c>
      <c r="AQ254" s="141" t="s">
        <v>4442</v>
      </c>
      <c r="AR254" s="141" t="s">
        <v>4442</v>
      </c>
      <c r="AS254" s="141" t="s">
        <v>4442</v>
      </c>
      <c r="AT254" s="137" t="s">
        <v>4370</v>
      </c>
      <c r="AU254" s="137"/>
      <c r="AV254" s="137"/>
      <c r="AW254" s="137"/>
      <c r="AX254" s="137"/>
      <c r="AY254" s="137"/>
      <c r="AZ254" s="137"/>
      <c r="BA254" s="137" t="s">
        <v>4339</v>
      </c>
      <c r="BB254" s="141"/>
      <c r="BC254" s="197" t="str">
        <f>IF(AY254-KD254=0,"",AY254-O254)</f>
        <v/>
      </c>
      <c r="BD254" s="131" t="str">
        <f>IF(AND(AI254&lt;&gt;"SIM",AI254="UH"),"AA","INDENIZAÇÃO")</f>
        <v>INDENIZAÇÃO</v>
      </c>
      <c r="BE254" s="131" t="str">
        <f>IF(AND(AY254&lt;&gt;"AGUARDANDO",AY254&lt;&gt;"",N254="AUXÍLIO ALUGUEL ATÉ INDENIZAÇÃO"),"SIM","NÃO")</f>
        <v>NÃO</v>
      </c>
      <c r="BF254" s="141"/>
      <c r="BG254" s="199"/>
      <c r="BH254" s="199"/>
      <c r="BI254" s="141"/>
      <c r="BJ254" s="141"/>
      <c r="BK254" s="141"/>
      <c r="BL254" s="141"/>
      <c r="BM254" s="141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hidden="1" customHeight="1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5255</v>
      </c>
      <c r="G255" s="131" t="s">
        <v>4339</v>
      </c>
      <c r="H255" s="131" t="s">
        <v>4340</v>
      </c>
      <c r="I255" s="198" t="s">
        <v>4624</v>
      </c>
      <c r="J255" s="132" t="s">
        <v>5256</v>
      </c>
      <c r="K255" s="132"/>
      <c r="L255" s="132" t="s">
        <v>5257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>IF(AY255-KD255=0,"",AY255-O255)</f>
        <v/>
      </c>
      <c r="BD255" s="131" t="str">
        <f>IF(AND(AI255&lt;&gt;"SIM",AI255="UH"),"AA","INDENIZAÇÃO")</f>
        <v>INDENIZAÇÃO</v>
      </c>
      <c r="BE255" s="131" t="str">
        <f>IF(AND(AY255&lt;&gt;"AGUARDANDO",AY255&lt;&gt;"",N255="AUXÍLIO ALUGUEL ATÉ INDENIZAÇÃO"),"SIM","NÃO")</f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hidden="1" customHeight="1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5258</v>
      </c>
      <c r="G256" s="131"/>
      <c r="H256" s="131"/>
      <c r="I256" s="198"/>
      <c r="J256" s="132" t="s">
        <v>5259</v>
      </c>
      <c r="K256" s="132"/>
      <c r="L256" s="132" t="s">
        <v>5260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>IF(AY256-KD256=0,"",AY256-O256)</f>
        <v/>
      </c>
      <c r="BD256" s="131" t="str">
        <f>IF(AND(AI256&lt;&gt;"SIM",AI256="UH"),"AA","INDENIZAÇÃO")</f>
        <v>INDENIZAÇÃO</v>
      </c>
      <c r="BE256" s="131" t="str">
        <f>IF(AND(AY256&lt;&gt;"AGUARDANDO",AY256&lt;&gt;"",N256="AUXÍLIO ALUGUEL ATÉ INDENIZAÇÃO"),"SIM","NÃO")</f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hidden="1" customHeight="1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5261</v>
      </c>
      <c r="G257" s="131"/>
      <c r="H257" s="131"/>
      <c r="I257" s="131"/>
      <c r="J257" s="132" t="s">
        <v>5262</v>
      </c>
      <c r="K257" s="132"/>
      <c r="L257" s="132" t="s">
        <v>5263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>IF(AY257-KD257=0,"",AY257-O257)</f>
        <v/>
      </c>
      <c r="BD257" s="131" t="str">
        <f>IF(AND(AI257&lt;&gt;"SIM",AI257="UH"),"AA","INDENIZAÇÃO")</f>
        <v>INDENIZAÇÃO</v>
      </c>
      <c r="BE257" s="131" t="str">
        <f>IF(AND(AY257&lt;&gt;"AGUARDANDO",AY257&lt;&gt;"",N257="AUXÍLIO ALUGUEL ATÉ INDENIZAÇÃO"),"SIM","NÃO")</f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hidden="1" customHeight="1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5264</v>
      </c>
      <c r="G258" s="131"/>
      <c r="H258" s="131"/>
      <c r="I258" s="198"/>
      <c r="J258" s="132" t="s">
        <v>5265</v>
      </c>
      <c r="K258" s="132"/>
      <c r="L258" s="132" t="s">
        <v>5266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>IF(AY258-KD258=0,"",AY258-O258)</f>
        <v/>
      </c>
      <c r="BD258" s="131" t="str">
        <f>IF(AND(AI258&lt;&gt;"SIM",AI258="UH"),"AA","INDENIZAÇÃO")</f>
        <v>INDENIZAÇÃO</v>
      </c>
      <c r="BE258" s="131" t="str">
        <f>IF(AND(AY258&lt;&gt;"AGUARDANDO",AY258&lt;&gt;"",N258="AUXÍLIO ALUGUEL ATÉ INDENIZAÇÃO"),"SIM","NÃO")</f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hidden="1" customHeight="1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5267</v>
      </c>
      <c r="G259" s="131"/>
      <c r="H259" s="131"/>
      <c r="I259" s="198"/>
      <c r="J259" s="132" t="s">
        <v>5268</v>
      </c>
      <c r="K259" s="132"/>
      <c r="L259" s="132" t="s">
        <v>5269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>IF(AY259-KD259=0,"",AY259-O259)</f>
        <v/>
      </c>
      <c r="BD259" s="131" t="str">
        <f>IF(AND(AI259&lt;&gt;"SIM",AI259="UH"),"AA","INDENIZAÇÃO")</f>
        <v>INDENIZAÇÃO</v>
      </c>
      <c r="BE259" s="131" t="str">
        <f>IF(AND(AY259&lt;&gt;"AGUARDANDO",AY259&lt;&gt;"",N259="AUXÍLIO ALUGUEL ATÉ INDENIZAÇÃO"),"SIM","NÃO")</f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hidden="1" customHeight="1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5270</v>
      </c>
      <c r="G260" s="131" t="s">
        <v>4339</v>
      </c>
      <c r="H260" s="131" t="s">
        <v>4340</v>
      </c>
      <c r="I260" s="198" t="s">
        <v>4624</v>
      </c>
      <c r="J260" s="132" t="s">
        <v>5271</v>
      </c>
      <c r="K260" s="132"/>
      <c r="L260" s="132" t="s">
        <v>5272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>IF(AY260-KD260=0,"",AY260-O260)</f>
        <v/>
      </c>
      <c r="BD260" s="131" t="str">
        <f>IF(AND(AI260&lt;&gt;"SIM",AI260="UH"),"AA","INDENIZAÇÃO")</f>
        <v>INDENIZAÇÃO</v>
      </c>
      <c r="BE260" s="131" t="str">
        <f>IF(AND(AY260&lt;&gt;"AGUARDANDO",AY260&lt;&gt;"",N260="AUXÍLIO ALUGUEL ATÉ INDENIZAÇÃO"),"SIM","NÃO")</f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hidden="1" customHeight="1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5273</v>
      </c>
      <c r="G261" s="131"/>
      <c r="H261" s="131"/>
      <c r="I261" s="131"/>
      <c r="J261" s="132" t="s">
        <v>5274</v>
      </c>
      <c r="K261" s="132"/>
      <c r="L261" s="132" t="s">
        <v>5275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>IF(AY261-KD261=0,"",AY261-O261)</f>
        <v/>
      </c>
      <c r="BD261" s="131" t="str">
        <f>IF(AND(AI261&lt;&gt;"SIM",AI261="UH"),"AA","INDENIZAÇÃO")</f>
        <v>INDENIZAÇÃO</v>
      </c>
      <c r="BE261" s="131" t="str">
        <f>IF(AND(AY261&lt;&gt;"AGUARDANDO",AY261&lt;&gt;"",N261="AUXÍLIO ALUGUEL ATÉ INDENIZAÇÃO"),"SIM","NÃO")</f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hidden="1" customHeight="1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5276</v>
      </c>
      <c r="G262" s="131"/>
      <c r="H262" s="131"/>
      <c r="I262" s="131"/>
      <c r="J262" s="132" t="s">
        <v>5277</v>
      </c>
      <c r="K262" s="132"/>
      <c r="L262" s="132" t="s">
        <v>5278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>IF(AY262-KD262=0,"",AY262-O262)</f>
        <v/>
      </c>
      <c r="BD262" s="131" t="str">
        <f>IF(AND(AI262&lt;&gt;"SIM",AI262="UH"),"AA","INDENIZAÇÃO")</f>
        <v>INDENIZAÇÃO</v>
      </c>
      <c r="BE262" s="131" t="str">
        <f>IF(AND(AY262&lt;&gt;"AGUARDANDO",AY262&lt;&gt;"",N262="AUXÍLIO ALUGUEL ATÉ INDENIZAÇÃO"),"SIM","NÃO")</f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hidden="1" customHeight="1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5279</v>
      </c>
      <c r="G263" s="131"/>
      <c r="H263" s="131"/>
      <c r="I263" s="131"/>
      <c r="J263" s="132" t="s">
        <v>5280</v>
      </c>
      <c r="K263" s="132"/>
      <c r="L263" s="132" t="s">
        <v>5281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>IF(AY263-KD263=0,"",AY263-O263)</f>
        <v/>
      </c>
      <c r="BD263" s="131" t="str">
        <f>IF(AND(AI263&lt;&gt;"SIM",AI263="UH"),"AA","INDENIZAÇÃO")</f>
        <v>INDENIZAÇÃO</v>
      </c>
      <c r="BE263" s="131" t="str">
        <f>IF(AND(AY263&lt;&gt;"AGUARDANDO",AY263&lt;&gt;"",N263="AUXÍLIO ALUGUEL ATÉ INDENIZAÇÃO"),"SIM","NÃO")</f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hidden="1" customHeight="1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5282</v>
      </c>
      <c r="G264" s="131"/>
      <c r="H264" s="131"/>
      <c r="I264" s="131"/>
      <c r="J264" s="132" t="s">
        <v>5283</v>
      </c>
      <c r="K264" s="132"/>
      <c r="L264" s="132" t="s">
        <v>5284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>IF(AY264-KD264=0,"",AY264-O264)</f>
        <v/>
      </c>
      <c r="BD264" s="131" t="str">
        <f>IF(AND(AI264&lt;&gt;"SIM",AI264="UH"),"AA","INDENIZAÇÃO")</f>
        <v>INDENIZAÇÃO</v>
      </c>
      <c r="BE264" s="131" t="str">
        <f>IF(AND(AY264&lt;&gt;"AGUARDANDO",AY264&lt;&gt;"",N264="AUXÍLIO ALUGUEL ATÉ INDENIZAÇÃO"),"SIM","NÃO")</f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hidden="1" customHeight="1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5285</v>
      </c>
      <c r="G265" s="131" t="s">
        <v>4348</v>
      </c>
      <c r="H265" s="131" t="s">
        <v>4349</v>
      </c>
      <c r="I265" s="131"/>
      <c r="J265" s="132" t="s">
        <v>5286</v>
      </c>
      <c r="K265" s="132"/>
      <c r="L265" s="132" t="s">
        <v>5287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>IF(AY265-KD265=0,"",AY265-O265)</f>
        <v/>
      </c>
      <c r="BD265" s="131" t="str">
        <f>IF(AND(AI265&lt;&gt;"SIM",AI265="UH"),"AA","INDENIZAÇÃO")</f>
        <v>INDENIZAÇÃO</v>
      </c>
      <c r="BE265" s="131" t="str">
        <f>IF(AND(AY265&lt;&gt;"AGUARDANDO",AY265&lt;&gt;"",N265="AUXÍLIO ALUGUEL ATÉ INDENIZAÇÃO"),"SIM","NÃO")</f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hidden="1" customHeight="1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5288</v>
      </c>
      <c r="G266" s="131" t="s">
        <v>4339</v>
      </c>
      <c r="H266" s="131" t="s">
        <v>4357</v>
      </c>
      <c r="I266" s="131" t="s">
        <v>4350</v>
      </c>
      <c r="J266" s="132" t="s">
        <v>5289</v>
      </c>
      <c r="K266" s="132" t="s">
        <v>5290</v>
      </c>
      <c r="L266" s="132" t="s">
        <v>5291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5289</v>
      </c>
      <c r="AC266" s="132" t="s">
        <v>5290</v>
      </c>
      <c r="AD266" s="132" t="s">
        <v>5291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5292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3">
        <v>46198</v>
      </c>
      <c r="AZ266" s="137" t="s">
        <v>4370</v>
      </c>
      <c r="BA266" s="137" t="s">
        <v>4339</v>
      </c>
      <c r="BB266" s="141" t="s">
        <v>4442</v>
      </c>
      <c r="BC266" s="197">
        <f>IF(AY266-KD266=0,"",AY266-O266)</f>
        <v>122</v>
      </c>
      <c r="BD266" s="131" t="str">
        <f>IF(AND(AI266&lt;&gt;"SIM",AI266="UH"),"AA","INDENIZAÇÃO")</f>
        <v>INDENIZAÇÃO</v>
      </c>
      <c r="BE266" s="131" t="str">
        <f>IF(AND(AY266&lt;&gt;"AGUARDANDO",AY266&lt;&gt;"",N266="AUXÍLIO ALUGUEL ATÉ INDENIZAÇÃO"),"SIM","NÃO")</f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hidden="1" customHeight="1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5293</v>
      </c>
      <c r="G267" s="131" t="s">
        <v>4339</v>
      </c>
      <c r="H267" s="131" t="s">
        <v>4340</v>
      </c>
      <c r="I267" s="131" t="s">
        <v>4624</v>
      </c>
      <c r="J267" s="132" t="s">
        <v>5294</v>
      </c>
      <c r="K267" s="132"/>
      <c r="L267" s="132" t="s">
        <v>5295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>IF(AY267-KD267=0,"",AY267-O267)</f>
        <v/>
      </c>
      <c r="BD267" s="131" t="str">
        <f>IF(AND(AI267&lt;&gt;"SIM",AI267="UH"),"AA","INDENIZAÇÃO")</f>
        <v>INDENIZAÇÃO</v>
      </c>
      <c r="BE267" s="131" t="str">
        <f>IF(AND(AY267&lt;&gt;"AGUARDANDO",AY267&lt;&gt;"",N267="AUXÍLIO ALUGUEL ATÉ INDENIZAÇÃO"),"SIM","NÃO")</f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hidden="1" customHeight="1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5296</v>
      </c>
      <c r="G268" s="131"/>
      <c r="H268" s="131"/>
      <c r="I268" s="131"/>
      <c r="J268" s="132" t="s">
        <v>5297</v>
      </c>
      <c r="K268" s="132"/>
      <c r="L268" s="132" t="s">
        <v>5298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>IF(AY268-KD268=0,"",AY268-O268)</f>
        <v/>
      </c>
      <c r="BD268" s="131" t="str">
        <f>IF(AND(AI268&lt;&gt;"SIM",AI268="UH"),"AA","INDENIZAÇÃO")</f>
        <v>INDENIZAÇÃO</v>
      </c>
      <c r="BE268" s="131" t="str">
        <f>IF(AND(AY268&lt;&gt;"AGUARDANDO",AY268&lt;&gt;"",N268="AUXÍLIO ALUGUEL ATÉ INDENIZAÇÃO"),"SIM","NÃO")</f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hidden="1" customHeight="1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5299</v>
      </c>
      <c r="G269" s="131"/>
      <c r="H269" s="131"/>
      <c r="I269" s="131"/>
      <c r="J269" s="132" t="s">
        <v>5300</v>
      </c>
      <c r="K269" s="132"/>
      <c r="L269" s="132" t="s">
        <v>5301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>IF(AY269-KD269=0,"",AY269-O269)</f>
        <v/>
      </c>
      <c r="BD269" s="131" t="str">
        <f>IF(AND(AI269&lt;&gt;"SIM",AI269="UH"),"AA","INDENIZAÇÃO")</f>
        <v>INDENIZAÇÃO</v>
      </c>
      <c r="BE269" s="131" t="str">
        <f>IF(AND(AY269&lt;&gt;"AGUARDANDO",AY269&lt;&gt;"",N269="AUXÍLIO ALUGUEL ATÉ INDENIZAÇÃO"),"SIM","NÃO")</f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hidden="1" customHeight="1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5302</v>
      </c>
      <c r="G270" s="131"/>
      <c r="H270" s="131"/>
      <c r="I270" s="131"/>
      <c r="J270" s="132" t="s">
        <v>5303</v>
      </c>
      <c r="K270" s="132"/>
      <c r="L270" s="132" t="s">
        <v>5304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>IF(AY270-KD270=0,"",AY270-O270)</f>
        <v/>
      </c>
      <c r="BD270" s="131" t="str">
        <f>IF(AND(AI270&lt;&gt;"SIM",AI270="UH"),"AA","INDENIZAÇÃO")</f>
        <v>INDENIZAÇÃO</v>
      </c>
      <c r="BE270" s="131" t="str">
        <f>IF(AND(AY270&lt;&gt;"AGUARDANDO",AY270&lt;&gt;"",N270="AUXÍLIO ALUGUEL ATÉ INDENIZAÇÃO"),"SIM","NÃO")</f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hidden="1" customHeight="1">
      <c r="A271" s="131">
        <v>257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0" t="s">
        <v>5305</v>
      </c>
      <c r="G271" s="131" t="s">
        <v>4339</v>
      </c>
      <c r="H271" s="131" t="s">
        <v>4340</v>
      </c>
      <c r="I271" s="131" t="s">
        <v>4350</v>
      </c>
      <c r="J271" s="132" t="s">
        <v>5306</v>
      </c>
      <c r="K271" s="132" t="s">
        <v>5307</v>
      </c>
      <c r="L271" s="132" t="s">
        <v>5308</v>
      </c>
      <c r="M271" s="131" t="s">
        <v>4342</v>
      </c>
      <c r="N271" s="131" t="s">
        <v>4343</v>
      </c>
      <c r="O271" s="199">
        <v>46181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32" t="s">
        <v>5306</v>
      </c>
      <c r="AC271" s="132" t="s">
        <v>5307</v>
      </c>
      <c r="AD271" s="132" t="s">
        <v>5308</v>
      </c>
      <c r="AE271" s="131" t="s">
        <v>4350</v>
      </c>
      <c r="AF271" s="141" t="s">
        <v>4342</v>
      </c>
      <c r="AG271" s="196">
        <v>40422.89</v>
      </c>
      <c r="AH271" s="196">
        <v>60000</v>
      </c>
      <c r="AI271" s="131" t="s">
        <v>4344</v>
      </c>
      <c r="AJ271" s="132" t="s">
        <v>4616</v>
      </c>
      <c r="AK271" s="131">
        <v>146312316</v>
      </c>
      <c r="AL271" s="141" t="s">
        <v>4442</v>
      </c>
      <c r="AM271" s="141" t="s">
        <v>4442</v>
      </c>
      <c r="AN271" s="141" t="s">
        <v>4442</v>
      </c>
      <c r="AO271" s="256" t="s">
        <v>5309</v>
      </c>
      <c r="AP271" s="132" t="s">
        <v>5310</v>
      </c>
      <c r="AQ271" s="141" t="s">
        <v>4442</v>
      </c>
      <c r="AR271" s="137" t="s">
        <v>4370</v>
      </c>
      <c r="AS271" s="137"/>
      <c r="AT271" s="137"/>
      <c r="AU271" s="137"/>
      <c r="AV271" s="137"/>
      <c r="AW271" s="137"/>
      <c r="AX271" s="137"/>
      <c r="AY271" s="137"/>
      <c r="AZ271" s="137"/>
      <c r="BA271" s="137" t="s">
        <v>4339</v>
      </c>
      <c r="BB271" s="141"/>
      <c r="BC271" s="197" t="str">
        <f>IF(AY271-KD271=0,"",AY271-O271)</f>
        <v/>
      </c>
      <c r="BD271" s="131" t="str">
        <f>IF(AND(AI271&lt;&gt;"SIM",AI271="UH"),"AA","INDENIZAÇÃO")</f>
        <v>INDENIZAÇÃO</v>
      </c>
      <c r="BE271" s="131" t="str">
        <f>IF(AND(AY271&lt;&gt;"AGUARDANDO",AY271&lt;&gt;"",N271="AUXÍLIO ALUGUEL ATÉ INDENIZAÇÃO"),"SIM","NÃO")</f>
        <v>NÃO</v>
      </c>
      <c r="BF271" s="131"/>
      <c r="BG271" s="131"/>
      <c r="BH271" s="131"/>
      <c r="BI271" s="141"/>
      <c r="BJ271" s="141"/>
      <c r="BK271" s="199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hidden="1" customHeight="1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5311</v>
      </c>
      <c r="G272" s="131" t="s">
        <v>4339</v>
      </c>
      <c r="H272" s="131" t="s">
        <v>4349</v>
      </c>
      <c r="I272" s="131"/>
      <c r="J272" s="132" t="s">
        <v>5312</v>
      </c>
      <c r="K272" s="132"/>
      <c r="L272" s="132" t="s">
        <v>5313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>IF(AY272-KD272=0,"",AY272-O272)</f>
        <v/>
      </c>
      <c r="BD272" s="131" t="str">
        <f>IF(AND(AI272&lt;&gt;"SIM",AI272="UH"),"AA","INDENIZAÇÃO")</f>
        <v>INDENIZAÇÃO</v>
      </c>
      <c r="BE272" s="131" t="str">
        <f>IF(AND(AY272&lt;&gt;"AGUARDANDO",AY272&lt;&gt;"",N272="AUXÍLIO ALUGUEL ATÉ INDENIZAÇÃO"),"SIM","NÃO")</f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hidden="1" customHeight="1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5314</v>
      </c>
      <c r="G273" s="131"/>
      <c r="H273" s="131"/>
      <c r="I273" s="131"/>
      <c r="J273" s="132" t="s">
        <v>5315</v>
      </c>
      <c r="K273" s="132"/>
      <c r="L273" s="132" t="s">
        <v>5316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>IF(AY273-KD273=0,"",AY273-O273)</f>
        <v/>
      </c>
      <c r="BD273" s="131" t="str">
        <f>IF(AND(AI273&lt;&gt;"SIM",AI273="UH"),"AA","INDENIZAÇÃO")</f>
        <v>INDENIZAÇÃO</v>
      </c>
      <c r="BE273" s="131" t="str">
        <f>IF(AND(AY273&lt;&gt;"AGUARDANDO",AY273&lt;&gt;"",N273="AUXÍLIO ALUGUEL ATÉ INDENIZAÇÃO"),"SIM","NÃO")</f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hidden="1" customHeight="1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5317</v>
      </c>
      <c r="G274" s="131"/>
      <c r="H274" s="131"/>
      <c r="I274" s="131"/>
      <c r="J274" s="132" t="s">
        <v>5318</v>
      </c>
      <c r="K274" s="132"/>
      <c r="L274" s="132" t="s">
        <v>5201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>IF(AY274-KD274=0,"",AY274-O274)</f>
        <v/>
      </c>
      <c r="BD274" s="131" t="str">
        <f>IF(AND(AI274&lt;&gt;"SIM",AI274="UH"),"AA","INDENIZAÇÃO")</f>
        <v>INDENIZAÇÃO</v>
      </c>
      <c r="BE274" s="131" t="str">
        <f>IF(AND(AY274&lt;&gt;"AGUARDANDO",AY274&lt;&gt;"",N274="AUXÍLIO ALUGUEL ATÉ INDENIZAÇÃO"),"SIM","NÃO")</f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hidden="1" customHeight="1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5319</v>
      </c>
      <c r="G275" s="131" t="s">
        <v>4339</v>
      </c>
      <c r="H275" s="131" t="s">
        <v>4340</v>
      </c>
      <c r="I275" s="131"/>
      <c r="J275" s="132" t="s">
        <v>5320</v>
      </c>
      <c r="K275" s="132"/>
      <c r="L275" s="132" t="s">
        <v>5321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>IF(AY275-KD275=0,"",AY275-O275)</f>
        <v/>
      </c>
      <c r="BD275" s="131" t="str">
        <f>IF(AND(AI275&lt;&gt;"SIM",AI275="UH"),"AA","INDENIZAÇÃO")</f>
        <v>INDENIZAÇÃO</v>
      </c>
      <c r="BE275" s="131" t="str">
        <f>IF(AND(AY275&lt;&gt;"AGUARDANDO",AY275&lt;&gt;"",N275="AUXÍLIO ALUGUEL ATÉ INDENIZAÇÃO"),"SIM","NÃO")</f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hidden="1" customHeight="1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5322</v>
      </c>
      <c r="G276" s="131"/>
      <c r="H276" s="131"/>
      <c r="I276" s="198"/>
      <c r="J276" s="132" t="s">
        <v>5323</v>
      </c>
      <c r="K276" s="132"/>
      <c r="L276" s="132" t="s">
        <v>5324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>IF(AY276-KD276=0,"",AY276-O276)</f>
        <v/>
      </c>
      <c r="BD276" s="131" t="str">
        <f>IF(AND(AI276&lt;&gt;"SIM",AI276="UH"),"AA","INDENIZAÇÃO")</f>
        <v>INDENIZAÇÃO</v>
      </c>
      <c r="BE276" s="131" t="str">
        <f>IF(AND(AY276&lt;&gt;"AGUARDANDO",AY276&lt;&gt;"",N276="AUXÍLIO ALUGUEL ATÉ INDENIZAÇÃO"),"SIM","NÃO")</f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hidden="1" customHeight="1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5325</v>
      </c>
      <c r="G277" s="131"/>
      <c r="H277" s="131"/>
      <c r="I277" s="198"/>
      <c r="J277" s="132" t="s">
        <v>5326</v>
      </c>
      <c r="K277" s="132"/>
      <c r="L277" s="132" t="s">
        <v>5327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>IF(AY277-KD277=0,"",AY277-O277)</f>
        <v/>
      </c>
      <c r="BD277" s="131" t="str">
        <f>IF(AND(AI277&lt;&gt;"SIM",AI277="UH"),"AA","INDENIZAÇÃO")</f>
        <v>INDENIZAÇÃO</v>
      </c>
      <c r="BE277" s="131" t="str">
        <f>IF(AND(AY277&lt;&gt;"AGUARDANDO",AY277&lt;&gt;"",N277="AUXÍLIO ALUGUEL ATÉ INDENIZAÇÃO"),"SIM","NÃO")</f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hidden="1" customHeight="1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5328</v>
      </c>
      <c r="G278" s="141" t="s">
        <v>4348</v>
      </c>
      <c r="H278" s="141" t="s">
        <v>4340</v>
      </c>
      <c r="I278" s="141" t="s">
        <v>4341</v>
      </c>
      <c r="J278" s="144" t="s">
        <v>5329</v>
      </c>
      <c r="K278" s="144" t="s">
        <v>5330</v>
      </c>
      <c r="L278" s="144" t="s">
        <v>5331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5329</v>
      </c>
      <c r="AC278" s="144" t="s">
        <v>5330</v>
      </c>
      <c r="AD278" s="144" t="s">
        <v>5331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5332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>IF(AY278-KD278=0,"",AY278-O278)</f>
        <v>57</v>
      </c>
      <c r="BD278" s="131" t="str">
        <f>IF(AND(AI278&lt;&gt;"SIM",AI278="UH"),"AA","INDENIZAÇÃO")</f>
        <v>INDENIZAÇÃO</v>
      </c>
      <c r="BE278" s="131" t="str">
        <f>IF(AND(AY278&lt;&gt;"AGUARDANDO",AY278&lt;&gt;"",N278="AUXÍLIO ALUGUEL ATÉ INDENIZAÇÃO"),"SIM","NÃO")</f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hidden="1" customHeight="1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5333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>IF(AY279-KD279=0,"",AY279-O279)</f>
        <v/>
      </c>
      <c r="BD279" s="131" t="str">
        <f>IF(AND(AI279&lt;&gt;"SIM",AI279="UH"),"AA","INDENIZAÇÃO")</f>
        <v>INDENIZAÇÃO</v>
      </c>
      <c r="BE279" s="131" t="str">
        <f>IF(AND(AY279&lt;&gt;"AGUARDANDO",AY279&lt;&gt;"",N279="AUXÍLIO ALUGUEL ATÉ INDENIZAÇÃO"),"SIM","NÃO")</f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hidden="1" customHeight="1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5334</v>
      </c>
      <c r="G280" s="141"/>
      <c r="H280" s="141"/>
      <c r="I280" s="141"/>
      <c r="J280" s="144" t="s">
        <v>5335</v>
      </c>
      <c r="K280" s="144"/>
      <c r="L280" s="144" t="s">
        <v>5336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>IF(AY280-KD280=0,"",AY280-O280)</f>
        <v/>
      </c>
      <c r="BD280" s="131" t="str">
        <f>IF(AND(AI280&lt;&gt;"SIM",AI280="UH"),"AA","INDENIZAÇÃO")</f>
        <v>INDENIZAÇÃO</v>
      </c>
      <c r="BE280" s="131" t="str">
        <f>IF(AND(AY280&lt;&gt;"AGUARDANDO",AY280&lt;&gt;"",N280="AUXÍLIO ALUGUEL ATÉ INDENIZAÇÃO"),"SIM","NÃO")</f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hidden="1" customHeight="1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5337</v>
      </c>
      <c r="G281" s="141"/>
      <c r="H281" s="141"/>
      <c r="I281" s="141"/>
      <c r="J281" s="144" t="s">
        <v>5338</v>
      </c>
      <c r="K281" s="144"/>
      <c r="L281" s="144" t="s">
        <v>5339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>IF(AY281-KD281=0,"",AY281-O281)</f>
        <v/>
      </c>
      <c r="BD281" s="131" t="str">
        <f>IF(AND(AI281&lt;&gt;"SIM",AI281="UH"),"AA","INDENIZAÇÃO")</f>
        <v>INDENIZAÇÃO</v>
      </c>
      <c r="BE281" s="131" t="str">
        <f>IF(AND(AY281&lt;&gt;"AGUARDANDO",AY281&lt;&gt;"",N281="AUXÍLIO ALUGUEL ATÉ INDENIZAÇÃO"),"SIM","NÃO")</f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hidden="1" customHeight="1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5340</v>
      </c>
      <c r="G282" s="141"/>
      <c r="H282" s="141"/>
      <c r="I282" s="141"/>
      <c r="J282" s="144" t="s">
        <v>5341</v>
      </c>
      <c r="K282" s="144"/>
      <c r="L282" s="144" t="s">
        <v>5342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>IF(AY282-KD282=0,"",AY282-O282)</f>
        <v/>
      </c>
      <c r="BD282" s="131" t="str">
        <f>IF(AND(AI282&lt;&gt;"SIM",AI282="UH"),"AA","INDENIZAÇÃO")</f>
        <v>INDENIZAÇÃO</v>
      </c>
      <c r="BE282" s="131" t="str">
        <f>IF(AND(AY282&lt;&gt;"AGUARDANDO",AY282&lt;&gt;"",N282="AUXÍLIO ALUGUEL ATÉ INDENIZAÇÃO"),"SIM","NÃO")</f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hidden="1" customHeight="1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5343</v>
      </c>
      <c r="G283" s="141" t="s">
        <v>4339</v>
      </c>
      <c r="H283" s="141" t="s">
        <v>4340</v>
      </c>
      <c r="I283" s="141" t="s">
        <v>5344</v>
      </c>
      <c r="J283" s="144" t="s">
        <v>5345</v>
      </c>
      <c r="K283" s="144" t="s">
        <v>5346</v>
      </c>
      <c r="L283" s="144" t="s">
        <v>5347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5345</v>
      </c>
      <c r="AC283" s="144" t="s">
        <v>5346</v>
      </c>
      <c r="AD283" s="144" t="s">
        <v>5347</v>
      </c>
      <c r="AE283" s="141" t="s">
        <v>5344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5348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3">
        <v>46220</v>
      </c>
      <c r="AZ283" s="137" t="s">
        <v>4370</v>
      </c>
      <c r="BA283" s="137" t="s">
        <v>4445</v>
      </c>
      <c r="BB283" s="141" t="s">
        <v>4442</v>
      </c>
      <c r="BC283" s="197">
        <f>IF(AY283-KD283=0,"",AY283-O283)</f>
        <v>78</v>
      </c>
      <c r="BD283" s="131" t="str">
        <f>IF(AND(AI283&lt;&gt;"SIM",AI283="UH"),"AA","INDENIZAÇÃO")</f>
        <v>INDENIZAÇÃO</v>
      </c>
      <c r="BE283" s="131" t="str">
        <f>IF(AND(AY283&lt;&gt;"AGUARDANDO",AY283&lt;&gt;"",N283="AUXÍLIO ALUGUEL ATÉ INDENIZAÇÃO"),"SIM","NÃO")</f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hidden="1" customHeight="1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5349</v>
      </c>
      <c r="G284" s="141" t="s">
        <v>4339</v>
      </c>
      <c r="H284" s="141" t="s">
        <v>4340</v>
      </c>
      <c r="I284" s="141" t="s">
        <v>4350</v>
      </c>
      <c r="J284" s="144" t="s">
        <v>5350</v>
      </c>
      <c r="K284" s="144" t="s">
        <v>5351</v>
      </c>
      <c r="L284" s="144" t="s">
        <v>5352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5350</v>
      </c>
      <c r="AC284" s="144" t="s">
        <v>5351</v>
      </c>
      <c r="AD284" s="144" t="s">
        <v>5352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5353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ref="BC270:BC316" si="3">IF(AY284-KD284=0,"",AY284-O284)</f>
        <v>68</v>
      </c>
      <c r="BD284" s="131" t="str">
        <f t="shared" ref="BD270:BD316" si="4">IF(AND(AI284&lt;&gt;"SIM",AI284="UH"),"AA","INDENIZAÇÃO")</f>
        <v>INDENIZAÇÃO</v>
      </c>
      <c r="BE284" s="131" t="str">
        <f t="shared" ref="BE270:BE316" si="5">IF(AND(AY284&lt;&gt;"AGUARDANDO",AY284&lt;&gt;"",N284="AUXÍLIO ALUGUEL ATÉ INDENIZAÇÃO"),"SIM","NÃO")</f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hidden="1" customHeight="1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5354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3"/>
        <v/>
      </c>
      <c r="BD285" s="131" t="str">
        <f t="shared" si="4"/>
        <v>INDENIZAÇÃO</v>
      </c>
      <c r="BE285" s="131" t="str">
        <f t="shared" si="5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hidden="1" customHeight="1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5355</v>
      </c>
      <c r="G286" s="141" t="s">
        <v>4339</v>
      </c>
      <c r="H286" s="141" t="s">
        <v>4340</v>
      </c>
      <c r="I286" s="141" t="s">
        <v>4624</v>
      </c>
      <c r="J286" s="144" t="s">
        <v>5356</v>
      </c>
      <c r="K286" s="144"/>
      <c r="L286" s="144" t="s">
        <v>5357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si="3"/>
        <v/>
      </c>
      <c r="BD286" s="131" t="str">
        <f t="shared" si="4"/>
        <v>INDENIZAÇÃO</v>
      </c>
      <c r="BE286" s="131" t="str">
        <f t="shared" si="5"/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hidden="1" customHeight="1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5358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3"/>
        <v/>
      </c>
      <c r="BD287" s="131" t="str">
        <f t="shared" si="4"/>
        <v>INDENIZAÇÃO</v>
      </c>
      <c r="BE287" s="131" t="str">
        <f t="shared" si="5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hidden="1" customHeight="1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5359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3"/>
        <v/>
      </c>
      <c r="BD288" s="131" t="str">
        <f t="shared" si="4"/>
        <v>INDENIZAÇÃO</v>
      </c>
      <c r="BE288" s="131" t="str">
        <f t="shared" si="5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hidden="1" customHeight="1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5360</v>
      </c>
      <c r="G289" s="141" t="s">
        <v>4339</v>
      </c>
      <c r="H289" s="141" t="s">
        <v>4340</v>
      </c>
      <c r="I289" s="141" t="s">
        <v>4624</v>
      </c>
      <c r="J289" s="144" t="s">
        <v>5361</v>
      </c>
      <c r="K289" s="144"/>
      <c r="L289" s="144" t="s">
        <v>5362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3"/>
        <v/>
      </c>
      <c r="BD289" s="131" t="str">
        <f t="shared" si="4"/>
        <v>INDENIZAÇÃO</v>
      </c>
      <c r="BE289" s="131" t="str">
        <f t="shared" si="5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hidden="1" customHeight="1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5363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3"/>
        <v/>
      </c>
      <c r="BD290" s="131" t="str">
        <f t="shared" si="4"/>
        <v>INDENIZAÇÃO</v>
      </c>
      <c r="BE290" s="131" t="str">
        <f t="shared" si="5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hidden="1" customHeight="1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5364</v>
      </c>
      <c r="G291" s="141" t="s">
        <v>4339</v>
      </c>
      <c r="H291" s="141" t="s">
        <v>4340</v>
      </c>
      <c r="I291" s="141" t="s">
        <v>4350</v>
      </c>
      <c r="J291" s="144" t="s">
        <v>5365</v>
      </c>
      <c r="K291" s="144" t="s">
        <v>5366</v>
      </c>
      <c r="L291" s="144" t="s">
        <v>5367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5365</v>
      </c>
      <c r="AC291" s="144" t="s">
        <v>5366</v>
      </c>
      <c r="AD291" s="144" t="s">
        <v>5367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5368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3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3"/>
        <v>56</v>
      </c>
      <c r="BD291" s="131" t="str">
        <f t="shared" si="4"/>
        <v>INDENIZAÇÃO</v>
      </c>
      <c r="BE291" s="131" t="str">
        <f t="shared" si="5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hidden="1" customHeight="1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5369</v>
      </c>
      <c r="G292" s="141"/>
      <c r="H292" s="141"/>
      <c r="I292" s="141"/>
      <c r="J292" s="144" t="s">
        <v>5370</v>
      </c>
      <c r="K292" s="144"/>
      <c r="L292" s="144" t="s">
        <v>5371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3"/>
        <v/>
      </c>
      <c r="BD292" s="131" t="str">
        <f t="shared" si="4"/>
        <v>INDENIZAÇÃO</v>
      </c>
      <c r="BE292" s="131" t="str">
        <f t="shared" si="5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hidden="1" customHeight="1">
      <c r="A293" s="131">
        <v>279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2" t="s">
        <v>5372</v>
      </c>
      <c r="G293" s="141" t="s">
        <v>4339</v>
      </c>
      <c r="H293" s="141" t="s">
        <v>4340</v>
      </c>
      <c r="I293" s="141" t="s">
        <v>4350</v>
      </c>
      <c r="J293" s="144" t="s">
        <v>5373</v>
      </c>
      <c r="K293" s="144" t="s">
        <v>5374</v>
      </c>
      <c r="L293" s="144" t="s">
        <v>5375</v>
      </c>
      <c r="M293" s="141" t="s">
        <v>4342</v>
      </c>
      <c r="N293" s="141" t="s">
        <v>4343</v>
      </c>
      <c r="O293" s="199">
        <v>46181</v>
      </c>
      <c r="P293" s="133" t="s">
        <v>4361</v>
      </c>
      <c r="Q293" s="133" t="s">
        <v>4361</v>
      </c>
      <c r="R293" s="133" t="s">
        <v>4361</v>
      </c>
      <c r="S293" s="133" t="s">
        <v>4361</v>
      </c>
      <c r="T293" s="133" t="s">
        <v>4361</v>
      </c>
      <c r="U293" s="133" t="s">
        <v>4361</v>
      </c>
      <c r="V293" s="133" t="s">
        <v>4361</v>
      </c>
      <c r="W293" s="133" t="s">
        <v>4361</v>
      </c>
      <c r="X293" s="133" t="s">
        <v>4361</v>
      </c>
      <c r="Y293" s="133" t="s">
        <v>4361</v>
      </c>
      <c r="Z293" s="133" t="s">
        <v>4361</v>
      </c>
      <c r="AA293" s="141"/>
      <c r="AB293" s="144" t="s">
        <v>5376</v>
      </c>
      <c r="AC293" s="144" t="s">
        <v>5374</v>
      </c>
      <c r="AD293" s="144" t="s">
        <v>5375</v>
      </c>
      <c r="AE293" s="141" t="s">
        <v>4350</v>
      </c>
      <c r="AF293" s="141" t="s">
        <v>4534</v>
      </c>
      <c r="AG293" s="204">
        <v>9248.81</v>
      </c>
      <c r="AH293" s="204">
        <v>39248.81</v>
      </c>
      <c r="AI293" s="141" t="s">
        <v>4344</v>
      </c>
      <c r="AJ293" s="144" t="s">
        <v>4616</v>
      </c>
      <c r="AK293" s="141">
        <v>152886573</v>
      </c>
      <c r="AL293" s="141" t="s">
        <v>4442</v>
      </c>
      <c r="AM293" s="141" t="s">
        <v>4442</v>
      </c>
      <c r="AN293" s="141" t="s">
        <v>4442</v>
      </c>
      <c r="AO293" s="141"/>
      <c r="AP293" s="132" t="s">
        <v>5377</v>
      </c>
      <c r="AQ293" s="141" t="s">
        <v>4442</v>
      </c>
      <c r="AR293" s="141" t="s">
        <v>4442</v>
      </c>
      <c r="AS293" s="141" t="s">
        <v>4442</v>
      </c>
      <c r="AT293" s="137" t="s">
        <v>4370</v>
      </c>
      <c r="AU293" s="137"/>
      <c r="AV293" s="137"/>
      <c r="AW293" s="137"/>
      <c r="AX293" s="137"/>
      <c r="AY293" s="137"/>
      <c r="AZ293" s="137"/>
      <c r="BA293" s="137" t="s">
        <v>4339</v>
      </c>
      <c r="BB293" s="141"/>
      <c r="BC293" s="197" t="str">
        <f t="shared" si="3"/>
        <v/>
      </c>
      <c r="BD293" s="131" t="str">
        <f t="shared" si="4"/>
        <v>INDENIZAÇÃO</v>
      </c>
      <c r="BE293" s="131" t="str">
        <f t="shared" si="5"/>
        <v>NÃO</v>
      </c>
      <c r="BF293" s="141"/>
      <c r="BG293" s="199"/>
      <c r="BH293" s="199"/>
      <c r="BI293" s="141"/>
      <c r="BJ293" s="141"/>
      <c r="BK293" s="141"/>
      <c r="BL293" s="141"/>
      <c r="BM293" s="141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hidden="1" customHeight="1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5378</v>
      </c>
      <c r="G294" s="141"/>
      <c r="H294" s="141"/>
      <c r="I294" s="141"/>
      <c r="J294" s="144" t="s">
        <v>5379</v>
      </c>
      <c r="K294" s="144"/>
      <c r="L294" s="144" t="s">
        <v>5380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3"/>
        <v/>
      </c>
      <c r="BD294" s="131" t="str">
        <f t="shared" si="4"/>
        <v>INDENIZAÇÃO</v>
      </c>
      <c r="BE294" s="131" t="str">
        <f t="shared" si="5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hidden="1" customHeight="1">
      <c r="A295" s="131">
        <v>281</v>
      </c>
      <c r="B295" s="131" t="s">
        <v>4432</v>
      </c>
      <c r="C295" s="131">
        <v>1</v>
      </c>
      <c r="D295" s="131" t="s">
        <v>4433</v>
      </c>
      <c r="E295" s="131" t="s">
        <v>4433</v>
      </c>
      <c r="F295" s="212" t="s">
        <v>5381</v>
      </c>
      <c r="G295" s="141" t="s">
        <v>4339</v>
      </c>
      <c r="H295" s="141" t="s">
        <v>4340</v>
      </c>
      <c r="I295" s="141" t="s">
        <v>4350</v>
      </c>
      <c r="J295" s="144" t="s">
        <v>5382</v>
      </c>
      <c r="K295" s="144" t="s">
        <v>5383</v>
      </c>
      <c r="L295" s="144" t="s">
        <v>5384</v>
      </c>
      <c r="M295" s="141" t="s">
        <v>4342</v>
      </c>
      <c r="N295" s="141" t="s">
        <v>4343</v>
      </c>
      <c r="O295" s="199">
        <v>46155</v>
      </c>
      <c r="P295" s="133" t="s">
        <v>4361</v>
      </c>
      <c r="Q295" s="133" t="s">
        <v>4361</v>
      </c>
      <c r="R295" s="133" t="s">
        <v>4361</v>
      </c>
      <c r="S295" s="133" t="s">
        <v>4361</v>
      </c>
      <c r="T295" s="133" t="s">
        <v>4361</v>
      </c>
      <c r="U295" s="133" t="s">
        <v>4361</v>
      </c>
      <c r="V295" s="133" t="s">
        <v>4361</v>
      </c>
      <c r="W295" s="133" t="s">
        <v>4361</v>
      </c>
      <c r="X295" s="133" t="s">
        <v>4361</v>
      </c>
      <c r="Y295" s="133" t="s">
        <v>4361</v>
      </c>
      <c r="Z295" s="133" t="s">
        <v>4361</v>
      </c>
      <c r="AA295" s="141"/>
      <c r="AB295" s="144" t="s">
        <v>5382</v>
      </c>
      <c r="AC295" s="144" t="s">
        <v>5383</v>
      </c>
      <c r="AD295" s="144" t="s">
        <v>5384</v>
      </c>
      <c r="AE295" s="141" t="s">
        <v>4350</v>
      </c>
      <c r="AF295" s="141" t="s">
        <v>4534</v>
      </c>
      <c r="AG295" s="204">
        <v>14985</v>
      </c>
      <c r="AH295" s="204">
        <v>44985</v>
      </c>
      <c r="AI295" s="141" t="s">
        <v>4344</v>
      </c>
      <c r="AJ295" s="144" t="s">
        <v>4616</v>
      </c>
      <c r="AK295" s="141">
        <v>152891307</v>
      </c>
      <c r="AL295" s="141" t="s">
        <v>4442</v>
      </c>
      <c r="AM295" s="141" t="s">
        <v>4442</v>
      </c>
      <c r="AN295" s="141" t="s">
        <v>4442</v>
      </c>
      <c r="AO295" s="141"/>
      <c r="AP295" s="132" t="s">
        <v>5385</v>
      </c>
      <c r="AQ295" s="141" t="s">
        <v>4442</v>
      </c>
      <c r="AR295" s="141" t="s">
        <v>4442</v>
      </c>
      <c r="AS295" s="141" t="s">
        <v>4442</v>
      </c>
      <c r="AT295" s="137" t="s">
        <v>4370</v>
      </c>
      <c r="AU295" s="137"/>
      <c r="AV295" s="137"/>
      <c r="AW295" s="137"/>
      <c r="AX295" s="137"/>
      <c r="AY295" s="137"/>
      <c r="AZ295" s="137"/>
      <c r="BA295" s="137" t="s">
        <v>4339</v>
      </c>
      <c r="BB295" s="141"/>
      <c r="BC295" s="197" t="str">
        <f t="shared" si="3"/>
        <v/>
      </c>
      <c r="BD295" s="131" t="str">
        <f t="shared" si="4"/>
        <v>INDENIZAÇÃO</v>
      </c>
      <c r="BE295" s="131" t="str">
        <f t="shared" si="5"/>
        <v>NÃO</v>
      </c>
      <c r="BF295" s="141"/>
      <c r="BG295" s="199"/>
      <c r="BH295" s="199"/>
      <c r="BI295" s="141"/>
      <c r="BJ295" s="141"/>
      <c r="BK295" s="141"/>
      <c r="BL295" s="141"/>
      <c r="BM295" s="141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hidden="1" customHeight="1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5386</v>
      </c>
      <c r="G296" s="141"/>
      <c r="H296" s="141"/>
      <c r="I296" s="141"/>
      <c r="J296" s="144" t="s">
        <v>5387</v>
      </c>
      <c r="K296" s="144"/>
      <c r="L296" s="144" t="s">
        <v>5388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3"/>
        <v/>
      </c>
      <c r="BD296" s="131" t="str">
        <f t="shared" si="4"/>
        <v>INDENIZAÇÃO</v>
      </c>
      <c r="BE296" s="131" t="str">
        <f t="shared" si="5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hidden="1" customHeight="1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5389</v>
      </c>
      <c r="G297" s="141"/>
      <c r="H297" s="141"/>
      <c r="I297" s="141"/>
      <c r="J297" s="144" t="s">
        <v>5390</v>
      </c>
      <c r="K297" s="144"/>
      <c r="L297" s="144" t="s">
        <v>5391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3"/>
        <v/>
      </c>
      <c r="BD297" s="131" t="str">
        <f t="shared" si="4"/>
        <v>INDENIZAÇÃO</v>
      </c>
      <c r="BE297" s="131" t="str">
        <f t="shared" si="5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hidden="1" customHeight="1">
      <c r="A298" s="131">
        <v>284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5392</v>
      </c>
      <c r="G298" s="141" t="s">
        <v>4348</v>
      </c>
      <c r="H298" s="141" t="s">
        <v>4340</v>
      </c>
      <c r="I298" s="141" t="s">
        <v>4341</v>
      </c>
      <c r="J298" s="144" t="s">
        <v>5393</v>
      </c>
      <c r="K298" s="144" t="s">
        <v>5394</v>
      </c>
      <c r="L298" s="144" t="s">
        <v>5395</v>
      </c>
      <c r="M298" s="141" t="s">
        <v>4342</v>
      </c>
      <c r="N298" s="141" t="s">
        <v>4343</v>
      </c>
      <c r="O298" s="199">
        <v>46160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5393</v>
      </c>
      <c r="AC298" s="144" t="s">
        <v>5394</v>
      </c>
      <c r="AD298" s="144" t="s">
        <v>5395</v>
      </c>
      <c r="AE298" s="141" t="s">
        <v>4341</v>
      </c>
      <c r="AF298" s="141" t="s">
        <v>4534</v>
      </c>
      <c r="AG298" s="204">
        <v>38497.99</v>
      </c>
      <c r="AH298" s="204">
        <v>60000</v>
      </c>
      <c r="AI298" s="141" t="s">
        <v>4344</v>
      </c>
      <c r="AJ298" s="144" t="s">
        <v>4616</v>
      </c>
      <c r="AK298" s="141">
        <v>146392994</v>
      </c>
      <c r="AL298" s="141" t="s">
        <v>4442</v>
      </c>
      <c r="AM298" s="141" t="s">
        <v>4442</v>
      </c>
      <c r="AN298" s="141" t="s">
        <v>4442</v>
      </c>
      <c r="AO298" s="141"/>
      <c r="AP298" s="132" t="s">
        <v>5396</v>
      </c>
      <c r="AQ298" s="141" t="s">
        <v>4442</v>
      </c>
      <c r="AR298" s="141" t="s">
        <v>4442</v>
      </c>
      <c r="AS298" s="141" t="s">
        <v>4442</v>
      </c>
      <c r="AT298" s="137" t="s">
        <v>4370</v>
      </c>
      <c r="AU298" s="137"/>
      <c r="AV298" s="137"/>
      <c r="AW298" s="137"/>
      <c r="AX298" s="137"/>
      <c r="AY298" s="137"/>
      <c r="AZ298" s="137"/>
      <c r="BA298" s="137" t="s">
        <v>4339</v>
      </c>
      <c r="BB298" s="141"/>
      <c r="BC298" s="197" t="str">
        <f t="shared" si="3"/>
        <v/>
      </c>
      <c r="BD298" s="131" t="str">
        <f t="shared" si="4"/>
        <v>INDENIZAÇÃO</v>
      </c>
      <c r="BE298" s="131" t="str">
        <f t="shared" si="5"/>
        <v>NÃO</v>
      </c>
      <c r="BF298" s="141"/>
      <c r="BG298" s="199"/>
      <c r="BH298" s="199"/>
      <c r="BI298" s="141"/>
      <c r="BJ298" s="141"/>
      <c r="BK298" s="141"/>
      <c r="BL298" s="141"/>
      <c r="BM298" s="141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hidden="1" customHeight="1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5397</v>
      </c>
      <c r="G299" s="141"/>
      <c r="H299" s="141"/>
      <c r="I299" s="141"/>
      <c r="J299" s="144" t="s">
        <v>5398</v>
      </c>
      <c r="K299" s="144"/>
      <c r="L299" s="144" t="s">
        <v>5399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si="3"/>
        <v/>
      </c>
      <c r="BD299" s="131" t="str">
        <f t="shared" si="4"/>
        <v>INDENIZAÇÃO</v>
      </c>
      <c r="BE299" s="131" t="str">
        <f t="shared" si="5"/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hidden="1" customHeight="1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5400</v>
      </c>
      <c r="G300" s="141" t="s">
        <v>4339</v>
      </c>
      <c r="H300" s="141" t="s">
        <v>4340</v>
      </c>
      <c r="I300" s="141" t="s">
        <v>4350</v>
      </c>
      <c r="J300" s="144" t="s">
        <v>5401</v>
      </c>
      <c r="K300" s="144" t="s">
        <v>5402</v>
      </c>
      <c r="L300" s="144" t="s">
        <v>5403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5401</v>
      </c>
      <c r="AC300" s="144" t="s">
        <v>5402</v>
      </c>
      <c r="AD300" s="144" t="s">
        <v>5403</v>
      </c>
      <c r="AE300" s="141" t="s">
        <v>5404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3"/>
        <v/>
      </c>
      <c r="BD300" s="131" t="str">
        <f t="shared" si="4"/>
        <v>INDENIZAÇÃO</v>
      </c>
      <c r="BE300" s="131" t="str">
        <f t="shared" si="5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hidden="1" customHeight="1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5405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3"/>
        <v/>
      </c>
      <c r="BD301" s="131" t="str">
        <f t="shared" si="4"/>
        <v>INDENIZAÇÃO</v>
      </c>
      <c r="BE301" s="131" t="str">
        <f t="shared" si="5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hidden="1" customHeight="1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5406</v>
      </c>
      <c r="G302" s="141" t="s">
        <v>4339</v>
      </c>
      <c r="H302" s="141" t="s">
        <v>4340</v>
      </c>
      <c r="I302" s="141" t="s">
        <v>4350</v>
      </c>
      <c r="J302" s="144" t="s">
        <v>5407</v>
      </c>
      <c r="K302" s="144" t="s">
        <v>5408</v>
      </c>
      <c r="L302" s="144" t="s">
        <v>5409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5407</v>
      </c>
      <c r="AC302" s="144" t="s">
        <v>5408</v>
      </c>
      <c r="AD302" s="144" t="s">
        <v>5409</v>
      </c>
      <c r="AE302" s="141" t="s">
        <v>5404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5410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3"/>
        <v>123</v>
      </c>
      <c r="BD302" s="131" t="str">
        <f t="shared" si="4"/>
        <v>INDENIZAÇÃO</v>
      </c>
      <c r="BE302" s="131" t="str">
        <f t="shared" si="5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hidden="1" customHeight="1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5411</v>
      </c>
      <c r="G303" s="141" t="s">
        <v>4339</v>
      </c>
      <c r="H303" s="141" t="s">
        <v>4340</v>
      </c>
      <c r="I303" s="141" t="s">
        <v>5404</v>
      </c>
      <c r="J303" s="144" t="s">
        <v>5412</v>
      </c>
      <c r="K303" s="144" t="s">
        <v>5413</v>
      </c>
      <c r="L303" s="144" t="s">
        <v>5414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5412</v>
      </c>
      <c r="AC303" s="144" t="s">
        <v>5413</v>
      </c>
      <c r="AD303" s="144" t="s">
        <v>5414</v>
      </c>
      <c r="AE303" s="141" t="s">
        <v>5404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5415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3"/>
        <v>123</v>
      </c>
      <c r="BD303" s="131" t="str">
        <f t="shared" si="4"/>
        <v>INDENIZAÇÃO</v>
      </c>
      <c r="BE303" s="131" t="str">
        <f t="shared" si="5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hidden="1" customHeight="1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5416</v>
      </c>
      <c r="G304" s="141" t="s">
        <v>4339</v>
      </c>
      <c r="H304" s="141" t="s">
        <v>4340</v>
      </c>
      <c r="I304" s="141" t="s">
        <v>5404</v>
      </c>
      <c r="J304" s="144" t="s">
        <v>5417</v>
      </c>
      <c r="K304" s="144" t="s">
        <v>5418</v>
      </c>
      <c r="L304" s="144" t="s">
        <v>5419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5417</v>
      </c>
      <c r="AC304" s="144" t="s">
        <v>5418</v>
      </c>
      <c r="AD304" s="144" t="s">
        <v>5419</v>
      </c>
      <c r="AE304" s="141" t="s">
        <v>5404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5420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3"/>
        <v>123</v>
      </c>
      <c r="BD304" s="131" t="str">
        <f t="shared" si="4"/>
        <v>INDENIZAÇÃO</v>
      </c>
      <c r="BE304" s="131" t="str">
        <f t="shared" si="5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hidden="1" customHeight="1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5421</v>
      </c>
      <c r="G305" s="141" t="s">
        <v>4339</v>
      </c>
      <c r="H305" s="141" t="s">
        <v>4349</v>
      </c>
      <c r="I305" s="141"/>
      <c r="J305" s="144" t="s">
        <v>5422</v>
      </c>
      <c r="K305" s="144"/>
      <c r="L305" s="144" t="s">
        <v>5423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3"/>
        <v/>
      </c>
      <c r="BD305" s="131" t="str">
        <f t="shared" si="4"/>
        <v>INDENIZAÇÃO</v>
      </c>
      <c r="BE305" s="131" t="str">
        <f t="shared" si="5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hidden="1" customHeight="1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5424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3"/>
        <v/>
      </c>
      <c r="BD306" s="131" t="str">
        <f t="shared" si="4"/>
        <v>INDENIZAÇÃO</v>
      </c>
      <c r="BE306" s="131" t="str">
        <f t="shared" si="5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hidden="1" customHeight="1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5425</v>
      </c>
      <c r="G307" s="141"/>
      <c r="H307" s="141"/>
      <c r="I307" s="141"/>
      <c r="J307" s="144" t="s">
        <v>5426</v>
      </c>
      <c r="K307" s="144"/>
      <c r="L307" s="144" t="s">
        <v>5427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3"/>
        <v/>
      </c>
      <c r="BD307" s="131" t="str">
        <f t="shared" si="4"/>
        <v>INDENIZAÇÃO</v>
      </c>
      <c r="BE307" s="131" t="str">
        <f t="shared" si="5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hidden="1" customHeight="1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5428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3"/>
        <v/>
      </c>
      <c r="BD308" s="131" t="str">
        <f t="shared" si="4"/>
        <v>INDENIZAÇÃO</v>
      </c>
      <c r="BE308" s="131" t="str">
        <f t="shared" si="5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hidden="1" customHeight="1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5429</v>
      </c>
      <c r="G309" s="141"/>
      <c r="H309" s="141"/>
      <c r="I309" s="141"/>
      <c r="J309" s="144" t="s">
        <v>5430</v>
      </c>
      <c r="K309" s="144"/>
      <c r="L309" s="144" t="s">
        <v>5431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3"/>
        <v/>
      </c>
      <c r="BD309" s="131" t="str">
        <f t="shared" si="4"/>
        <v>INDENIZAÇÃO</v>
      </c>
      <c r="BE309" s="131" t="str">
        <f t="shared" si="5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hidden="1" customHeight="1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5432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3"/>
        <v/>
      </c>
      <c r="BD310" s="131" t="str">
        <f t="shared" si="4"/>
        <v>INDENIZAÇÃO</v>
      </c>
      <c r="BE310" s="131" t="str">
        <f t="shared" si="5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hidden="1" customHeight="1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5433</v>
      </c>
      <c r="G311" s="141"/>
      <c r="H311" s="141"/>
      <c r="I311" s="141"/>
      <c r="J311" s="144" t="s">
        <v>5434</v>
      </c>
      <c r="K311" s="144"/>
      <c r="L311" s="144" t="s">
        <v>5435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3"/>
        <v/>
      </c>
      <c r="BD311" s="131" t="str">
        <f t="shared" si="4"/>
        <v>INDENIZAÇÃO</v>
      </c>
      <c r="BE311" s="131" t="str">
        <f t="shared" si="5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hidden="1" customHeight="1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5436</v>
      </c>
      <c r="G312" s="141"/>
      <c r="H312" s="141"/>
      <c r="I312" s="141"/>
      <c r="J312" s="144" t="s">
        <v>5437</v>
      </c>
      <c r="K312" s="144"/>
      <c r="L312" s="144" t="s">
        <v>5438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3"/>
        <v/>
      </c>
      <c r="BD312" s="131" t="str">
        <f t="shared" si="4"/>
        <v>INDENIZAÇÃO</v>
      </c>
      <c r="BE312" s="131" t="str">
        <f t="shared" si="5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hidden="1" customHeight="1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5439</v>
      </c>
      <c r="G313" s="141"/>
      <c r="H313" s="141"/>
      <c r="I313" s="141"/>
      <c r="J313" s="144" t="s">
        <v>5440</v>
      </c>
      <c r="K313" s="144"/>
      <c r="L313" s="144" t="s">
        <v>5441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3"/>
        <v/>
      </c>
      <c r="BD313" s="131" t="str">
        <f t="shared" si="4"/>
        <v>INDENIZAÇÃO</v>
      </c>
      <c r="BE313" s="131" t="str">
        <f t="shared" si="5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hidden="1" customHeight="1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5442</v>
      </c>
      <c r="G314" s="141"/>
      <c r="H314" s="141"/>
      <c r="I314" s="141"/>
      <c r="J314" s="144" t="s">
        <v>5443</v>
      </c>
      <c r="K314" s="144"/>
      <c r="L314" s="144" t="s">
        <v>5444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3"/>
        <v/>
      </c>
      <c r="BD314" s="131" t="str">
        <f t="shared" si="4"/>
        <v>INDENIZAÇÃO</v>
      </c>
      <c r="BE314" s="131" t="str">
        <f t="shared" si="5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hidden="1" customHeight="1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5445</v>
      </c>
      <c r="G315" s="141"/>
      <c r="H315" s="141"/>
      <c r="I315" s="141"/>
      <c r="J315" s="144" t="s">
        <v>5446</v>
      </c>
      <c r="K315" s="144"/>
      <c r="L315" s="144" t="s">
        <v>5447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3"/>
        <v/>
      </c>
      <c r="BD315" s="131" t="str">
        <f t="shared" si="4"/>
        <v>INDENIZAÇÃO</v>
      </c>
      <c r="BE315" s="131" t="str">
        <f t="shared" si="5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hidden="1" customHeight="1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5448</v>
      </c>
      <c r="G316" s="141"/>
      <c r="H316" s="141"/>
      <c r="I316" s="141"/>
      <c r="J316" s="144" t="s">
        <v>5449</v>
      </c>
      <c r="K316" s="144"/>
      <c r="L316" s="144" t="s">
        <v>5450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3"/>
        <v/>
      </c>
      <c r="BD316" s="131" t="str">
        <f t="shared" si="4"/>
        <v>INDENIZAÇÃO</v>
      </c>
      <c r="BE316" s="131" t="str">
        <f t="shared" si="5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>
      <c r="AP324" s="236"/>
    </row>
    <row r="37785" ht="29.25" customHeight="1"/>
  </sheetData>
  <autoFilter ref="A13:CY316" xr:uid="{00000000-0001-0000-0000-000000000000}">
    <filterColumn colId="5">
      <filters>
        <filter val="002/0105/A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32" priority="927"/>
  </conditionalFormatting>
  <conditionalFormatting sqref="I55">
    <cfRule type="containsText" dxfId="231" priority="45" operator="containsText" text="NÃO RESIDENTE">
      <formula>NOT(ISERROR(SEARCH("NÃO RESIDENTE",I55)))</formula>
    </cfRule>
  </conditionalFormatting>
  <conditionalFormatting sqref="J1:J23 J25:J1048576">
    <cfRule type="duplicateValues" dxfId="230" priority="370"/>
  </conditionalFormatting>
  <conditionalFormatting sqref="J24">
    <cfRule type="duplicateValues" dxfId="229" priority="83"/>
    <cfRule type="duplicateValues" dxfId="228" priority="82"/>
  </conditionalFormatting>
  <conditionalFormatting sqref="AB15">
    <cfRule type="duplicateValues" dxfId="227" priority="76"/>
  </conditionalFormatting>
  <conditionalFormatting sqref="AB16">
    <cfRule type="duplicateValues" dxfId="226" priority="77"/>
  </conditionalFormatting>
  <conditionalFormatting sqref="AB17">
    <cfRule type="duplicateValues" dxfId="225" priority="88"/>
  </conditionalFormatting>
  <conditionalFormatting sqref="AB19">
    <cfRule type="duplicateValues" dxfId="224" priority="90"/>
  </conditionalFormatting>
  <conditionalFormatting sqref="AB21">
    <cfRule type="duplicateValues" dxfId="223" priority="39"/>
  </conditionalFormatting>
  <conditionalFormatting sqref="AB22:AB26">
    <cfRule type="duplicateValues" dxfId="222" priority="1054"/>
  </conditionalFormatting>
  <conditionalFormatting sqref="AB27">
    <cfRule type="duplicateValues" dxfId="221" priority="89"/>
  </conditionalFormatting>
  <conditionalFormatting sqref="AB30">
    <cfRule type="duplicateValues" dxfId="220" priority="78"/>
  </conditionalFormatting>
  <conditionalFormatting sqref="AB33">
    <cfRule type="duplicateValues" dxfId="219" priority="361"/>
  </conditionalFormatting>
  <conditionalFormatting sqref="AB39">
    <cfRule type="duplicateValues" dxfId="218" priority="360"/>
  </conditionalFormatting>
  <conditionalFormatting sqref="AB40">
    <cfRule type="duplicateValues" dxfId="217" priority="359"/>
  </conditionalFormatting>
  <conditionalFormatting sqref="AB41">
    <cfRule type="duplicateValues" dxfId="216" priority="358"/>
  </conditionalFormatting>
  <conditionalFormatting sqref="AB42">
    <cfRule type="duplicateValues" dxfId="215" priority="357"/>
  </conditionalFormatting>
  <conditionalFormatting sqref="AB43">
    <cfRule type="duplicateValues" dxfId="214" priority="356"/>
  </conditionalFormatting>
  <conditionalFormatting sqref="AB44">
    <cfRule type="duplicateValues" dxfId="213" priority="106"/>
  </conditionalFormatting>
  <conditionalFormatting sqref="AB45">
    <cfRule type="duplicateValues" dxfId="212" priority="107"/>
  </conditionalFormatting>
  <conditionalFormatting sqref="AB46">
    <cfRule type="duplicateValues" dxfId="211" priority="38"/>
  </conditionalFormatting>
  <conditionalFormatting sqref="AB47">
    <cfRule type="duplicateValues" dxfId="210" priority="37"/>
  </conditionalFormatting>
  <conditionalFormatting sqref="AB55">
    <cfRule type="duplicateValues" dxfId="209" priority="36"/>
  </conditionalFormatting>
  <conditionalFormatting sqref="AB73">
    <cfRule type="duplicateValues" dxfId="208" priority="355"/>
  </conditionalFormatting>
  <conditionalFormatting sqref="AB74">
    <cfRule type="duplicateValues" dxfId="207" priority="354"/>
  </conditionalFormatting>
  <conditionalFormatting sqref="AB76">
    <cfRule type="duplicateValues" dxfId="206" priority="353"/>
  </conditionalFormatting>
  <conditionalFormatting sqref="AB82">
    <cfRule type="duplicateValues" dxfId="205" priority="352"/>
  </conditionalFormatting>
  <conditionalFormatting sqref="AB83">
    <cfRule type="duplicateValues" dxfId="204" priority="35"/>
  </conditionalFormatting>
  <conditionalFormatting sqref="AB84">
    <cfRule type="duplicateValues" dxfId="203" priority="351"/>
  </conditionalFormatting>
  <conditionalFormatting sqref="AB85">
    <cfRule type="duplicateValues" dxfId="202" priority="30"/>
  </conditionalFormatting>
  <conditionalFormatting sqref="AB86">
    <cfRule type="duplicateValues" dxfId="201" priority="34"/>
  </conditionalFormatting>
  <conditionalFormatting sqref="AB88">
    <cfRule type="duplicateValues" dxfId="200" priority="349"/>
  </conditionalFormatting>
  <conditionalFormatting sqref="AB90">
    <cfRule type="duplicateValues" dxfId="199" priority="306"/>
  </conditionalFormatting>
  <conditionalFormatting sqref="AB93">
    <cfRule type="duplicateValues" dxfId="198" priority="348"/>
  </conditionalFormatting>
  <conditionalFormatting sqref="AB97">
    <cfRule type="duplicateValues" dxfId="197" priority="347"/>
  </conditionalFormatting>
  <conditionalFormatting sqref="AB102">
    <cfRule type="duplicateValues" dxfId="196" priority="346"/>
  </conditionalFormatting>
  <conditionalFormatting sqref="AB103">
    <cfRule type="duplicateValues" dxfId="195" priority="345"/>
  </conditionalFormatting>
  <conditionalFormatting sqref="AB114">
    <cfRule type="duplicateValues" dxfId="194" priority="344"/>
  </conditionalFormatting>
  <conditionalFormatting sqref="AB118">
    <cfRule type="duplicateValues" dxfId="193" priority="343"/>
  </conditionalFormatting>
  <conditionalFormatting sqref="AB120">
    <cfRule type="duplicateValues" dxfId="192" priority="342"/>
  </conditionalFormatting>
  <conditionalFormatting sqref="AB123">
    <cfRule type="duplicateValues" dxfId="191" priority="341"/>
  </conditionalFormatting>
  <conditionalFormatting sqref="AB125">
    <cfRule type="duplicateValues" dxfId="190" priority="340"/>
  </conditionalFormatting>
  <conditionalFormatting sqref="AB128">
    <cfRule type="duplicateValues" dxfId="189" priority="339"/>
  </conditionalFormatting>
  <conditionalFormatting sqref="AB136">
    <cfRule type="duplicateValues" dxfId="188" priority="338"/>
  </conditionalFormatting>
  <conditionalFormatting sqref="AB137">
    <cfRule type="duplicateValues" dxfId="187" priority="337"/>
  </conditionalFormatting>
  <conditionalFormatting sqref="AB139">
    <cfRule type="duplicateValues" dxfId="186" priority="336"/>
  </conditionalFormatting>
  <conditionalFormatting sqref="AB142">
    <cfRule type="duplicateValues" dxfId="185" priority="335"/>
  </conditionalFormatting>
  <conditionalFormatting sqref="AB144">
    <cfRule type="duplicateValues" dxfId="184" priority="334"/>
  </conditionalFormatting>
  <conditionalFormatting sqref="AB145">
    <cfRule type="duplicateValues" dxfId="183" priority="333"/>
  </conditionalFormatting>
  <conditionalFormatting sqref="AB146">
    <cfRule type="duplicateValues" dxfId="182" priority="332"/>
  </conditionalFormatting>
  <conditionalFormatting sqref="AB147">
    <cfRule type="duplicateValues" dxfId="181" priority="331"/>
  </conditionalFormatting>
  <conditionalFormatting sqref="AB148">
    <cfRule type="duplicateValues" dxfId="180" priority="330"/>
  </conditionalFormatting>
  <conditionalFormatting sqref="AB161">
    <cfRule type="duplicateValues" dxfId="179" priority="329"/>
  </conditionalFormatting>
  <conditionalFormatting sqref="AB172">
    <cfRule type="duplicateValues" dxfId="178" priority="111"/>
    <cfRule type="duplicateValues" dxfId="177" priority="112"/>
  </conditionalFormatting>
  <conditionalFormatting sqref="AB173">
    <cfRule type="duplicateValues" dxfId="176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5" priority="221"/>
  </conditionalFormatting>
  <conditionalFormatting sqref="AB174">
    <cfRule type="duplicateValues" dxfId="174" priority="327"/>
  </conditionalFormatting>
  <conditionalFormatting sqref="AB175">
    <cfRule type="duplicateValues" dxfId="173" priority="326"/>
  </conditionalFormatting>
  <conditionalFormatting sqref="AB178">
    <cfRule type="duplicateValues" dxfId="172" priority="364"/>
  </conditionalFormatting>
  <conditionalFormatting sqref="AB185">
    <cfRule type="duplicateValues" dxfId="171" priority="325"/>
  </conditionalFormatting>
  <conditionalFormatting sqref="AB186">
    <cfRule type="duplicateValues" dxfId="170" priority="26"/>
  </conditionalFormatting>
  <conditionalFormatting sqref="AB188">
    <cfRule type="duplicateValues" dxfId="169" priority="25"/>
  </conditionalFormatting>
  <conditionalFormatting sqref="AB189">
    <cfRule type="duplicateValues" dxfId="168" priority="31"/>
  </conditionalFormatting>
  <conditionalFormatting sqref="AB190">
    <cfRule type="duplicateValues" dxfId="167" priority="28"/>
  </conditionalFormatting>
  <conditionalFormatting sqref="AB195">
    <cfRule type="duplicateValues" dxfId="166" priority="324"/>
  </conditionalFormatting>
  <conditionalFormatting sqref="AB196">
    <cfRule type="duplicateValues" dxfId="165" priority="323"/>
  </conditionalFormatting>
  <conditionalFormatting sqref="AB217">
    <cfRule type="duplicateValues" dxfId="164" priority="305"/>
  </conditionalFormatting>
  <conditionalFormatting sqref="AB218">
    <cfRule type="duplicateValues" dxfId="163" priority="33"/>
  </conditionalFormatting>
  <conditionalFormatting sqref="AB220">
    <cfRule type="duplicateValues" dxfId="162" priority="322"/>
  </conditionalFormatting>
  <conditionalFormatting sqref="AB222:AB225">
    <cfRule type="duplicateValues" dxfId="161" priority="321"/>
  </conditionalFormatting>
  <conditionalFormatting sqref="AB226">
    <cfRule type="duplicateValues" dxfId="160" priority="14"/>
  </conditionalFormatting>
  <conditionalFormatting sqref="AB227">
    <cfRule type="duplicateValues" dxfId="159" priority="21"/>
  </conditionalFormatting>
  <conditionalFormatting sqref="AB228">
    <cfRule type="duplicateValues" dxfId="158" priority="320"/>
  </conditionalFormatting>
  <conditionalFormatting sqref="AB233">
    <cfRule type="duplicateValues" dxfId="157" priority="319"/>
  </conditionalFormatting>
  <conditionalFormatting sqref="AB243">
    <cfRule type="duplicateValues" dxfId="156" priority="318"/>
  </conditionalFormatting>
  <conditionalFormatting sqref="AB245">
    <cfRule type="duplicateValues" dxfId="155" priority="317"/>
  </conditionalFormatting>
  <conditionalFormatting sqref="AB247">
    <cfRule type="duplicateValues" dxfId="154" priority="316"/>
  </conditionalFormatting>
  <conditionalFormatting sqref="AB248">
    <cfRule type="duplicateValues" dxfId="153" priority="315"/>
  </conditionalFormatting>
  <conditionalFormatting sqref="AB251">
    <cfRule type="duplicateValues" dxfId="152" priority="314"/>
  </conditionalFormatting>
  <conditionalFormatting sqref="AB257">
    <cfRule type="duplicateValues" dxfId="151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50" priority="372"/>
  </conditionalFormatting>
  <conditionalFormatting sqref="AB261">
    <cfRule type="duplicateValues" dxfId="149" priority="312"/>
  </conditionalFormatting>
  <conditionalFormatting sqref="AB266">
    <cfRule type="duplicateValues" dxfId="148" priority="32"/>
  </conditionalFormatting>
  <conditionalFormatting sqref="AB271">
    <cfRule type="duplicateValues" dxfId="147" priority="15"/>
  </conditionalFormatting>
  <conditionalFormatting sqref="AB274">
    <cfRule type="duplicateValues" dxfId="146" priority="310"/>
  </conditionalFormatting>
  <conditionalFormatting sqref="AB278">
    <cfRule type="duplicateValues" dxfId="145" priority="23"/>
  </conditionalFormatting>
  <conditionalFormatting sqref="AB283">
    <cfRule type="duplicateValues" dxfId="144" priority="29"/>
  </conditionalFormatting>
  <conditionalFormatting sqref="AB284">
    <cfRule type="duplicateValues" dxfId="143" priority="22"/>
  </conditionalFormatting>
  <conditionalFormatting sqref="AB291">
    <cfRule type="duplicateValues" dxfId="142" priority="20"/>
  </conditionalFormatting>
  <conditionalFormatting sqref="AB295">
    <cfRule type="duplicateValues" dxfId="141" priority="18"/>
  </conditionalFormatting>
  <conditionalFormatting sqref="AB298">
    <cfRule type="duplicateValues" dxfId="140" priority="19"/>
  </conditionalFormatting>
  <conditionalFormatting sqref="AB302">
    <cfRule type="duplicateValues" dxfId="139" priority="42"/>
  </conditionalFormatting>
  <conditionalFormatting sqref="AB303">
    <cfRule type="duplicateValues" dxfId="138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37786:AF1048576 AE299:AE37785">
    <cfRule type="containsText" dxfId="137" priority="373" operator="containsText" text="NÃO RESIDENTE">
      <formula>NOT(ISERROR(SEARCH("NÃO RESIDENTE",AE1)))</formula>
    </cfRule>
  </conditionalFormatting>
  <conditionalFormatting sqref="AP1:AP1048576 BP1:BP1048576">
    <cfRule type="duplicateValues" dxfId="136" priority="110"/>
  </conditionalFormatting>
  <conditionalFormatting sqref="AP1:AP1048576">
    <cfRule type="duplicateValues" dxfId="135" priority="570"/>
  </conditionalFormatting>
  <conditionalFormatting sqref="AR120">
    <cfRule type="duplicateValues" dxfId="134" priority="211"/>
  </conditionalFormatting>
  <conditionalFormatting sqref="AR185">
    <cfRule type="duplicateValues" dxfId="133" priority="189"/>
  </conditionalFormatting>
  <conditionalFormatting sqref="AS120">
    <cfRule type="duplicateValues" dxfId="132" priority="210"/>
  </conditionalFormatting>
  <conditionalFormatting sqref="AS185">
    <cfRule type="duplicateValues" dxfId="131" priority="188"/>
  </conditionalFormatting>
  <conditionalFormatting sqref="AT120">
    <cfRule type="duplicateValues" dxfId="130" priority="209"/>
  </conditionalFormatting>
  <conditionalFormatting sqref="AT185">
    <cfRule type="duplicateValues" dxfId="129" priority="187"/>
  </conditionalFormatting>
  <conditionalFormatting sqref="AU120">
    <cfRule type="duplicateValues" dxfId="128" priority="208"/>
  </conditionalFormatting>
  <conditionalFormatting sqref="AU185">
    <cfRule type="duplicateValues" dxfId="127" priority="186"/>
  </conditionalFormatting>
  <conditionalFormatting sqref="AV120">
    <cfRule type="duplicateValues" dxfId="126" priority="207"/>
  </conditionalFormatting>
  <conditionalFormatting sqref="AV185">
    <cfRule type="duplicateValues" dxfId="125" priority="185"/>
  </conditionalFormatting>
  <conditionalFormatting sqref="AW120">
    <cfRule type="duplicateValues" dxfId="124" priority="206"/>
  </conditionalFormatting>
  <conditionalFormatting sqref="AW179">
    <cfRule type="cellIs" dxfId="123" priority="421" operator="between">
      <formula>36526</formula>
      <formula>402133</formula>
    </cfRule>
    <cfRule type="cellIs" dxfId="122" priority="420" operator="between">
      <formula>36526</formula>
      <formula>"31/12/3000"</formula>
    </cfRule>
  </conditionalFormatting>
  <conditionalFormatting sqref="AW185">
    <cfRule type="duplicateValues" dxfId="121" priority="184"/>
  </conditionalFormatting>
  <conditionalFormatting sqref="AX120">
    <cfRule type="duplicateValues" dxfId="120" priority="205"/>
  </conditionalFormatting>
  <conditionalFormatting sqref="AX185">
    <cfRule type="duplicateValues" dxfId="119" priority="183"/>
  </conditionalFormatting>
  <conditionalFormatting sqref="AY1:AY13 AY121:AY184 AY191:AY192 AZ206 AY220:AY226 AY228:AY253 AY255:AY265 AY267:AY270 AY272:AY277 AY279:AY282 AY285:AY290 AY292 AY294 AY296:AY297 AY299:AY301 AY305:AY1048576">
    <cfRule type="cellIs" dxfId="118" priority="557" operator="between">
      <formula>36526</formula>
      <formula>402133</formula>
    </cfRule>
  </conditionalFormatting>
  <conditionalFormatting sqref="AY47:AY54 AY1:AY45 AY56:AY81 AY84:AY119">
    <cfRule type="cellIs" dxfId="117" priority="17" operator="between">
      <formula>36526</formula>
      <formula>"31/12/3000"</formula>
    </cfRule>
  </conditionalFormatting>
  <conditionalFormatting sqref="AY47:AY54 AY15:AY45 AY56:AY81 AY84:AY119">
    <cfRule type="cellIs" dxfId="116" priority="16" operator="between">
      <formula>36526</formula>
      <formula>402133</formula>
    </cfRule>
  </conditionalFormatting>
  <conditionalFormatting sqref="AY296:AY297 AY299:AY304 AY31:AY253 AY255:AY270 AY272:AY294">
    <cfRule type="cellIs" dxfId="115" priority="13" operator="greaterThan">
      <formula>45978</formula>
    </cfRule>
  </conditionalFormatting>
  <conditionalFormatting sqref="AY120">
    <cfRule type="duplicateValues" dxfId="114" priority="204"/>
  </conditionalFormatting>
  <conditionalFormatting sqref="AY121:AY184 AY191:AY192 AZ206 AY220:AY226 AY228:AY253 AY255:AY265 AY267:AY270 AY272:AY277 AY279:AY282 AY285:AY290 AY292 AY294 AY296:AY297 AY299:AY301 AY305:AY1048576">
    <cfRule type="cellIs" dxfId="113" priority="445" operator="between">
      <formula>36526</formula>
      <formula>"31/12/3000"</formula>
    </cfRule>
  </conditionalFormatting>
  <conditionalFormatting sqref="AY185">
    <cfRule type="duplicateValues" dxfId="112" priority="182"/>
  </conditionalFormatting>
  <conditionalFormatting sqref="AY194:AY217">
    <cfRule type="cellIs" dxfId="111" priority="12" operator="between">
      <formula>36526</formula>
      <formula>"31/12/3000"</formula>
    </cfRule>
    <cfRule type="cellIs" dxfId="110" priority="11" operator="between">
      <formula>36526</formula>
      <formula>402133</formula>
    </cfRule>
  </conditionalFormatting>
  <conditionalFormatting sqref="AY187:AZ187">
    <cfRule type="cellIs" dxfId="109" priority="298" operator="between">
      <formula>36526</formula>
      <formula>402133</formula>
    </cfRule>
    <cfRule type="cellIs" dxfId="108" priority="297" operator="between">
      <formula>36526</formula>
      <formula>"31/12/3000"</formula>
    </cfRule>
  </conditionalFormatting>
  <conditionalFormatting sqref="AZ117">
    <cfRule type="cellIs" dxfId="107" priority="304" operator="between">
      <formula>36526</formula>
      <formula>402133</formula>
    </cfRule>
    <cfRule type="cellIs" dxfId="106" priority="303" operator="between">
      <formula>36526</formula>
      <formula>"31/12/3000"</formula>
    </cfRule>
  </conditionalFormatting>
  <conditionalFormatting sqref="AZ120">
    <cfRule type="duplicateValues" dxfId="105" priority="203"/>
  </conditionalFormatting>
  <conditionalFormatting sqref="AZ121">
    <cfRule type="cellIs" dxfId="104" priority="130" operator="between">
      <formula>36526</formula>
      <formula>402133</formula>
    </cfRule>
    <cfRule type="cellIs" dxfId="103" priority="129" operator="between">
      <formula>36526</formula>
      <formula>"31/12/3000"</formula>
    </cfRule>
  </conditionalFormatting>
  <conditionalFormatting sqref="AZ155">
    <cfRule type="cellIs" dxfId="102" priority="302" operator="between">
      <formula>36526</formula>
      <formula>402133</formula>
    </cfRule>
    <cfRule type="cellIs" dxfId="101" priority="301" operator="between">
      <formula>36526</formula>
      <formula>"31/12/3000"</formula>
    </cfRule>
  </conditionalFormatting>
  <conditionalFormatting sqref="AZ160">
    <cfRule type="cellIs" dxfId="100" priority="299" operator="between">
      <formula>36526</formula>
      <formula>"31/12/3000"</formula>
    </cfRule>
    <cfRule type="cellIs" dxfId="99" priority="300" operator="between">
      <formula>36526</formula>
      <formula>402133</formula>
    </cfRule>
  </conditionalFormatting>
  <conditionalFormatting sqref="AZ166">
    <cfRule type="cellIs" dxfId="98" priority="296" operator="between">
      <formula>36526</formula>
      <formula>402133</formula>
    </cfRule>
    <cfRule type="cellIs" dxfId="97" priority="295" operator="between">
      <formula>36526</formula>
      <formula>"31/12/3000"</formula>
    </cfRule>
  </conditionalFormatting>
  <conditionalFormatting sqref="AZ180:AZ181">
    <cfRule type="cellIs" dxfId="96" priority="292" operator="between">
      <formula>36526</formula>
      <formula>402133</formula>
    </cfRule>
    <cfRule type="cellIs" dxfId="95" priority="291" operator="between">
      <formula>36526</formula>
      <formula>"31/12/3000"</formula>
    </cfRule>
  </conditionalFormatting>
  <conditionalFormatting sqref="AZ183">
    <cfRule type="cellIs" dxfId="94" priority="411" operator="between">
      <formula>36526</formula>
      <formula>402133</formula>
    </cfRule>
    <cfRule type="cellIs" dxfId="93" priority="410" operator="between">
      <formula>36526</formula>
      <formula>"31/12/3000"</formula>
    </cfRule>
  </conditionalFormatting>
  <conditionalFormatting sqref="AZ185">
    <cfRule type="duplicateValues" dxfId="92" priority="181"/>
  </conditionalFormatting>
  <conditionalFormatting sqref="AZ192">
    <cfRule type="cellIs" dxfId="91" priority="403" operator="between">
      <formula>36526</formula>
      <formula>402133</formula>
    </cfRule>
    <cfRule type="cellIs" dxfId="90" priority="402" operator="between">
      <formula>36526</formula>
      <formula>"31/12/3000"</formula>
    </cfRule>
  </conditionalFormatting>
  <conditionalFormatting sqref="AZ202">
    <cfRule type="cellIs" dxfId="89" priority="394" operator="between">
      <formula>36526</formula>
      <formula>"31/12/3000"</formula>
    </cfRule>
    <cfRule type="cellIs" dxfId="88" priority="395" operator="between">
      <formula>36526</formula>
      <formula>402133</formula>
    </cfRule>
  </conditionalFormatting>
  <conditionalFormatting sqref="AZ209">
    <cfRule type="cellIs" dxfId="87" priority="387" operator="between">
      <formula>36526</formula>
      <formula>402133</formula>
    </cfRule>
    <cfRule type="cellIs" dxfId="86" priority="386" operator="between">
      <formula>36526</formula>
      <formula>"31/12/3000"</formula>
    </cfRule>
  </conditionalFormatting>
  <conditionalFormatting sqref="AZ211:AZ212">
    <cfRule type="cellIs" dxfId="85" priority="289" operator="between">
      <formula>36526</formula>
      <formula>"31/12/3000"</formula>
    </cfRule>
    <cfRule type="cellIs" dxfId="84" priority="290" operator="between">
      <formula>36526</formula>
      <formula>402133</formula>
    </cfRule>
  </conditionalFormatting>
  <conditionalFormatting sqref="AZ238:AZ239">
    <cfRule type="cellIs" dxfId="83" priority="381" operator="between">
      <formula>36526</formula>
      <formula>402133</formula>
    </cfRule>
    <cfRule type="cellIs" dxfId="82" priority="380" operator="between">
      <formula>36526</formula>
      <formula>"31/12/3000"</formula>
    </cfRule>
  </conditionalFormatting>
  <conditionalFormatting sqref="AZ257 AZ260:AZ261">
    <cfRule type="cellIs" dxfId="81" priority="379" operator="between">
      <formula>36526</formula>
      <formula>402133</formula>
    </cfRule>
    <cfRule type="cellIs" dxfId="80" priority="378" operator="between">
      <formula>36526</formula>
      <formula>"31/12/3000"</formula>
    </cfRule>
  </conditionalFormatting>
  <conditionalFormatting sqref="AZ265">
    <cfRule type="cellIs" dxfId="79" priority="377" operator="between">
      <formula>36526</formula>
      <formula>402133</formula>
    </cfRule>
    <cfRule type="cellIs" dxfId="78" priority="376" operator="between">
      <formula>36526</formula>
      <formula>"31/12/3000"</formula>
    </cfRule>
  </conditionalFormatting>
  <conditionalFormatting sqref="AZ270">
    <cfRule type="cellIs" dxfId="77" priority="118" operator="between">
      <formula>36526</formula>
      <formula>"31/12/3000"</formula>
    </cfRule>
    <cfRule type="cellIs" dxfId="76" priority="119" operator="between">
      <formula>36526</formula>
      <formula>402133</formula>
    </cfRule>
  </conditionalFormatting>
  <conditionalFormatting sqref="BA120">
    <cfRule type="duplicateValues" dxfId="75" priority="202"/>
  </conditionalFormatting>
  <conditionalFormatting sqref="BA185">
    <cfRule type="duplicateValues" dxfId="74" priority="180"/>
  </conditionalFormatting>
  <conditionalFormatting sqref="BB1:BB1048576">
    <cfRule type="containsText" dxfId="73" priority="522" operator="containsText" text="FINALIZADO">
      <formula>NOT(ISERROR(SEARCH("FINALIZADO",BB1)))</formula>
    </cfRule>
  </conditionalFormatting>
  <conditionalFormatting sqref="BD1:BD1048576">
    <cfRule type="cellIs" dxfId="72" priority="541" operator="equal">
      <formula>"INDENIZAÇÃO"</formula>
    </cfRule>
    <cfRule type="cellIs" dxfId="71" priority="542" operator="equal">
      <formula>"AA"</formula>
    </cfRule>
  </conditionalFormatting>
  <conditionalFormatting sqref="BD14:BD316">
    <cfRule type="cellIs" dxfId="70" priority="569" operator="equal">
      <formula>"FINALIZADO"</formula>
    </cfRule>
  </conditionalFormatting>
  <conditionalFormatting sqref="AY218">
    <cfRule type="cellIs" dxfId="69" priority="10" operator="between">
      <formula>36526</formula>
      <formula>"31/12/3000"</formula>
    </cfRule>
  </conditionalFormatting>
  <conditionalFormatting sqref="AY218">
    <cfRule type="cellIs" dxfId="68" priority="9" operator="between">
      <formula>36526</formula>
      <formula>402133</formula>
    </cfRule>
  </conditionalFormatting>
  <conditionalFormatting sqref="AY219">
    <cfRule type="cellIs" dxfId="67" priority="8" operator="between">
      <formula>36526</formula>
      <formula>"31/12/3000"</formula>
    </cfRule>
  </conditionalFormatting>
  <conditionalFormatting sqref="AY219">
    <cfRule type="cellIs" dxfId="66" priority="7" operator="between">
      <formula>36526</formula>
      <formula>402133</formula>
    </cfRule>
  </conditionalFormatting>
  <conditionalFormatting sqref="AY283">
    <cfRule type="cellIs" dxfId="65" priority="6" operator="between">
      <formula>36526</formula>
      <formula>"31/12/3000"</formula>
    </cfRule>
  </conditionalFormatting>
  <conditionalFormatting sqref="AY283">
    <cfRule type="cellIs" dxfId="64" priority="5" operator="between">
      <formula>36526</formula>
      <formula>402133</formula>
    </cfRule>
  </conditionalFormatting>
  <conditionalFormatting sqref="AY266">
    <cfRule type="cellIs" dxfId="63" priority="4" operator="between">
      <formula>36526</formula>
      <formula>"31/12/3000"</formula>
    </cfRule>
  </conditionalFormatting>
  <conditionalFormatting sqref="AY266">
    <cfRule type="cellIs" dxfId="62" priority="3" operator="between">
      <formula>36526</formula>
      <formula>402133</formula>
    </cfRule>
  </conditionalFormatting>
  <conditionalFormatting sqref="AY291">
    <cfRule type="cellIs" dxfId="61" priority="2" operator="between">
      <formula>36526</formula>
      <formula>"31/12/3000"</formula>
    </cfRule>
  </conditionalFormatting>
  <conditionalFormatting sqref="AY291">
    <cfRule type="cellIs" dxfId="60" priority="1" operator="between">
      <formula>36526</formula>
      <formula>402133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0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>
      <c r="D1" s="179" t="s">
        <v>4429</v>
      </c>
    </row>
    <row r="2" spans="1:8" ht="20.25" customHeight="1" thickBot="1">
      <c r="D2" s="179" t="s">
        <v>5451</v>
      </c>
    </row>
    <row r="3" spans="1:8" ht="20.25" customHeight="1" thickBot="1">
      <c r="D3" s="179" t="s">
        <v>5452</v>
      </c>
      <c r="F3" s="99" t="s">
        <v>5453</v>
      </c>
      <c r="H3" s="15" t="s">
        <v>5454</v>
      </c>
    </row>
    <row r="4" spans="1:8" ht="20.25" customHeight="1">
      <c r="A4" s="177" t="s">
        <v>2</v>
      </c>
      <c r="B4" s="177" t="s">
        <v>4378</v>
      </c>
      <c r="C4" s="178" t="s">
        <v>111</v>
      </c>
      <c r="D4" s="179" t="s">
        <v>5452</v>
      </c>
      <c r="F4" s="100" t="s">
        <v>5455</v>
      </c>
      <c r="H4" s="15" t="s">
        <v>5456</v>
      </c>
    </row>
    <row r="5" spans="1:8" ht="20.25" customHeight="1">
      <c r="A5" s="250" t="s">
        <v>4432</v>
      </c>
      <c r="B5" s="251" t="s">
        <v>4530</v>
      </c>
      <c r="C5" s="250" t="s">
        <v>4531</v>
      </c>
      <c r="D5" s="252">
        <v>46218</v>
      </c>
      <c r="F5" s="99" t="s">
        <v>5457</v>
      </c>
      <c r="H5" s="15" t="s">
        <v>5458</v>
      </c>
    </row>
    <row r="6" spans="1:8" ht="20.25" customHeight="1">
      <c r="A6" s="250" t="s">
        <v>4432</v>
      </c>
      <c r="B6" s="251" t="s">
        <v>4657</v>
      </c>
      <c r="C6" s="250" t="s">
        <v>4658</v>
      </c>
      <c r="D6" s="252">
        <v>46218</v>
      </c>
      <c r="F6" s="99" t="s">
        <v>5459</v>
      </c>
      <c r="H6" s="15" t="s">
        <v>5460</v>
      </c>
    </row>
    <row r="7" spans="1:8" ht="20.25" customHeight="1">
      <c r="A7" s="250" t="s">
        <v>4432</v>
      </c>
      <c r="B7" s="250" t="s">
        <v>4739</v>
      </c>
      <c r="C7" s="250" t="s">
        <v>4740</v>
      </c>
      <c r="D7" s="252">
        <v>46220</v>
      </c>
      <c r="F7" s="99" t="s">
        <v>5456</v>
      </c>
      <c r="H7" s="15" t="s">
        <v>5461</v>
      </c>
    </row>
    <row r="8" spans="1:8" ht="20.25" customHeight="1">
      <c r="A8" s="250" t="s">
        <v>4432</v>
      </c>
      <c r="B8" s="251" t="s">
        <v>4744</v>
      </c>
      <c r="C8" s="250" t="s">
        <v>4745</v>
      </c>
      <c r="D8" s="252">
        <v>46220</v>
      </c>
      <c r="F8" s="99" t="s">
        <v>5454</v>
      </c>
      <c r="H8" s="15" t="s">
        <v>5462</v>
      </c>
    </row>
    <row r="9" spans="1:8" ht="20.25" customHeight="1">
      <c r="A9" s="250" t="s">
        <v>4432</v>
      </c>
      <c r="B9" s="251" t="s">
        <v>5131</v>
      </c>
      <c r="C9" s="250" t="s">
        <v>5132</v>
      </c>
      <c r="D9" s="252">
        <v>46220</v>
      </c>
      <c r="F9" s="99" t="s">
        <v>5462</v>
      </c>
      <c r="H9" s="15" t="s">
        <v>5463</v>
      </c>
    </row>
    <row r="10" spans="1:8" ht="20.25" customHeight="1">
      <c r="A10" s="250" t="s">
        <v>4432</v>
      </c>
      <c r="B10" s="251" t="s">
        <v>5136</v>
      </c>
      <c r="C10" s="250" t="s">
        <v>5137</v>
      </c>
      <c r="D10" s="252">
        <v>46220</v>
      </c>
      <c r="F10" s="99" t="s">
        <v>5461</v>
      </c>
      <c r="H10" s="15" t="s">
        <v>5464</v>
      </c>
    </row>
    <row r="11" spans="1:8" ht="20.25" customHeight="1">
      <c r="A11" s="250" t="s">
        <v>4432</v>
      </c>
      <c r="B11" s="253" t="s">
        <v>5343</v>
      </c>
      <c r="C11" s="254" t="s">
        <v>5345</v>
      </c>
      <c r="D11" s="252">
        <v>46220</v>
      </c>
      <c r="F11" s="99" t="s">
        <v>5465</v>
      </c>
      <c r="H11" s="15" t="s">
        <v>5466</v>
      </c>
    </row>
    <row r="12" spans="1:8" ht="20.25" customHeight="1">
      <c r="A12" s="260"/>
      <c r="B12" s="261"/>
      <c r="C12" s="260"/>
      <c r="D12" s="262"/>
      <c r="F12" s="99" t="s">
        <v>5467</v>
      </c>
      <c r="H12" s="15" t="s">
        <v>5468</v>
      </c>
    </row>
    <row r="13" spans="1:8" ht="20.25" customHeight="1">
      <c r="A13" s="250"/>
      <c r="B13" s="251"/>
      <c r="C13" s="250"/>
      <c r="D13" s="252"/>
      <c r="F13" s="99" t="s">
        <v>5469</v>
      </c>
      <c r="H13" s="15" t="s">
        <v>5470</v>
      </c>
    </row>
    <row r="14" spans="1:8" ht="20.25" customHeight="1">
      <c r="A14" s="250"/>
      <c r="B14" s="253"/>
      <c r="C14" s="254"/>
      <c r="D14" s="252"/>
      <c r="F14" s="99" t="s">
        <v>5471</v>
      </c>
      <c r="H14" s="15" t="s">
        <v>5472</v>
      </c>
    </row>
    <row r="15" spans="1:8" ht="20.25" customHeight="1">
      <c r="A15" s="250"/>
      <c r="B15" s="253"/>
      <c r="C15" s="254"/>
      <c r="D15" s="252"/>
      <c r="F15" s="99" t="s">
        <v>5463</v>
      </c>
      <c r="H15" s="15" t="s">
        <v>5459</v>
      </c>
    </row>
    <row r="16" spans="1:8" ht="20.25" customHeight="1">
      <c r="A16" s="250"/>
      <c r="B16" s="251"/>
      <c r="C16" s="250"/>
      <c r="D16" s="252"/>
      <c r="F16" s="99" t="s">
        <v>5473</v>
      </c>
      <c r="H16" s="15" t="s">
        <v>5474</v>
      </c>
    </row>
    <row r="17" spans="1:8" ht="20.25" customHeight="1">
      <c r="A17" s="250"/>
      <c r="B17" s="251"/>
      <c r="C17" s="250"/>
      <c r="D17" s="252"/>
      <c r="F17" s="99" t="s">
        <v>5475</v>
      </c>
      <c r="H17" s="15" t="s">
        <v>5469</v>
      </c>
    </row>
    <row r="18" spans="1:8" ht="20.25" customHeight="1">
      <c r="A18" s="250"/>
      <c r="B18" s="250"/>
      <c r="C18" s="250"/>
      <c r="D18" s="252"/>
      <c r="F18" s="99" t="s">
        <v>5476</v>
      </c>
      <c r="H18" s="15" t="s">
        <v>5477</v>
      </c>
    </row>
    <row r="19" spans="1:8" ht="20.25" customHeight="1">
      <c r="A19" s="250"/>
      <c r="B19" s="253"/>
      <c r="C19" s="254"/>
      <c r="D19" s="252"/>
      <c r="F19" s="99" t="s">
        <v>5478</v>
      </c>
      <c r="H19" s="15" t="s">
        <v>5455</v>
      </c>
    </row>
    <row r="20" spans="1:8" ht="20.25" customHeight="1">
      <c r="A20" s="250"/>
      <c r="B20" s="250"/>
      <c r="C20" s="250"/>
      <c r="D20" s="252"/>
      <c r="F20" s="99" t="s">
        <v>5468</v>
      </c>
      <c r="H20" s="15" t="s">
        <v>5479</v>
      </c>
    </row>
    <row r="21" spans="1:8" ht="20.25" customHeight="1">
      <c r="A21" s="250"/>
      <c r="B21" s="253"/>
      <c r="C21" s="254"/>
      <c r="D21" s="252"/>
      <c r="F21" s="99" t="s">
        <v>5480</v>
      </c>
      <c r="H21" s="15" t="s">
        <v>5481</v>
      </c>
    </row>
    <row r="22" spans="1:8" ht="20.25" customHeight="1">
      <c r="A22" s="250"/>
      <c r="B22" s="253"/>
      <c r="C22" s="254"/>
      <c r="D22" s="252"/>
      <c r="F22" s="99" t="s">
        <v>5464</v>
      </c>
      <c r="H22" s="15" t="s">
        <v>5482</v>
      </c>
    </row>
    <row r="23" spans="1:8" ht="20.25" customHeight="1">
      <c r="A23" s="250"/>
      <c r="B23" s="253"/>
      <c r="C23" s="254"/>
      <c r="D23" s="252"/>
      <c r="F23" s="99" t="s">
        <v>5483</v>
      </c>
      <c r="H23" s="15" t="s">
        <v>5484</v>
      </c>
    </row>
    <row r="24" spans="1:8" ht="20.25" customHeight="1">
      <c r="A24" s="250"/>
      <c r="B24" s="253"/>
      <c r="C24" s="254"/>
      <c r="D24" s="252"/>
      <c r="F24" s="99" t="s">
        <v>5485</v>
      </c>
      <c r="H24" s="15" t="s">
        <v>5483</v>
      </c>
    </row>
    <row r="25" spans="1:8" ht="20.25" customHeight="1">
      <c r="A25" s="114"/>
      <c r="B25" s="114"/>
      <c r="C25" s="185"/>
      <c r="D25" s="186"/>
      <c r="F25" s="99" t="s">
        <v>5474</v>
      </c>
      <c r="H25" s="15" t="s">
        <v>5471</v>
      </c>
    </row>
    <row r="26" spans="1:8" ht="20.25" customHeight="1">
      <c r="A26" s="171"/>
      <c r="B26" s="172"/>
      <c r="C26" s="113"/>
      <c r="D26" s="175"/>
      <c r="F26" s="99" t="s">
        <v>5472</v>
      </c>
      <c r="H26" s="15" t="s">
        <v>5476</v>
      </c>
    </row>
    <row r="27" spans="1:8" ht="20.25" customHeight="1">
      <c r="A27" s="113"/>
      <c r="B27" s="113"/>
      <c r="C27" s="115"/>
      <c r="D27" s="175"/>
      <c r="F27" s="99" t="s">
        <v>5486</v>
      </c>
      <c r="H27" s="15" t="s">
        <v>5487</v>
      </c>
    </row>
    <row r="28" spans="1:8" ht="20.25" customHeight="1">
      <c r="A28" s="113"/>
      <c r="B28" s="113"/>
      <c r="C28" s="115"/>
      <c r="D28" s="174"/>
      <c r="F28" s="99" t="s">
        <v>5487</v>
      </c>
      <c r="H28" s="105" t="s">
        <v>5488</v>
      </c>
    </row>
    <row r="29" spans="1:8" ht="20.25" customHeight="1">
      <c r="A29" s="113"/>
      <c r="B29" s="113"/>
      <c r="C29" s="115"/>
      <c r="D29" s="174"/>
      <c r="F29" s="99" t="s">
        <v>5489</v>
      </c>
      <c r="H29" s="105" t="s">
        <v>5465</v>
      </c>
    </row>
    <row r="30" spans="1:8" ht="20.25" customHeight="1">
      <c r="A30" s="113"/>
      <c r="B30" s="113"/>
      <c r="C30" s="115"/>
      <c r="D30" s="174"/>
      <c r="F30" s="99" t="s">
        <v>5490</v>
      </c>
      <c r="H30" s="105" t="s">
        <v>5491</v>
      </c>
    </row>
    <row r="31" spans="1:8" ht="20.25" customHeight="1">
      <c r="A31" s="113"/>
      <c r="B31" s="113"/>
      <c r="C31" s="115"/>
      <c r="D31" s="174"/>
      <c r="F31" s="99" t="s">
        <v>5492</v>
      </c>
      <c r="H31" s="105" t="s">
        <v>5493</v>
      </c>
    </row>
    <row r="32" spans="1:8" ht="20.25" customHeight="1">
      <c r="A32" s="113"/>
      <c r="B32" s="113"/>
      <c r="C32" s="115"/>
      <c r="D32" s="174"/>
      <c r="F32" s="99" t="s">
        <v>5494</v>
      </c>
      <c r="H32" s="105" t="s">
        <v>5495</v>
      </c>
    </row>
    <row r="33" spans="1:8" ht="20.25" customHeight="1">
      <c r="A33" s="157"/>
      <c r="B33" s="114"/>
      <c r="C33" s="176"/>
      <c r="D33" s="173"/>
      <c r="F33" s="99" t="s">
        <v>5496</v>
      </c>
      <c r="H33" s="105" t="s">
        <v>5473</v>
      </c>
    </row>
    <row r="34" spans="1:8" ht="20.25" customHeight="1">
      <c r="A34" s="131"/>
      <c r="B34" s="113"/>
      <c r="C34" s="138"/>
      <c r="D34" s="170"/>
      <c r="F34" s="99" t="s">
        <v>5497</v>
      </c>
      <c r="H34" s="105" t="s">
        <v>5498</v>
      </c>
    </row>
    <row r="35" spans="1:8" ht="20.25" customHeight="1">
      <c r="A35" s="113"/>
      <c r="B35" s="113"/>
      <c r="C35" s="163"/>
      <c r="D35" s="170"/>
      <c r="F35" s="99" t="s">
        <v>5499</v>
      </c>
      <c r="H35" s="105" t="s">
        <v>5457</v>
      </c>
    </row>
    <row r="36" spans="1:8" ht="20.25" customHeight="1">
      <c r="A36" s="113"/>
      <c r="B36" s="113"/>
      <c r="C36" s="167"/>
      <c r="D36" s="170"/>
      <c r="F36" s="99" t="s">
        <v>5500</v>
      </c>
      <c r="H36" s="105" t="s">
        <v>5453</v>
      </c>
    </row>
    <row r="37" spans="1:8" ht="20.25" customHeight="1">
      <c r="A37" s="113"/>
      <c r="B37" s="113"/>
      <c r="C37" s="167"/>
      <c r="D37" s="170"/>
      <c r="F37" s="99" t="s">
        <v>5501</v>
      </c>
      <c r="H37" s="105" t="s">
        <v>5494</v>
      </c>
    </row>
    <row r="38" spans="1:8" ht="20.25" customHeight="1">
      <c r="A38" s="113"/>
      <c r="B38" s="172"/>
      <c r="C38" s="132"/>
      <c r="D38" s="170"/>
      <c r="F38" s="99" t="s">
        <v>5502</v>
      </c>
      <c r="H38" s="105" t="s">
        <v>5499</v>
      </c>
    </row>
    <row r="39" spans="1:8" ht="20.25" customHeight="1">
      <c r="A39" s="113"/>
      <c r="B39" s="113"/>
      <c r="C39" s="115"/>
      <c r="D39" s="170"/>
      <c r="F39" s="248" t="s">
        <v>5503</v>
      </c>
      <c r="H39" s="15" t="s">
        <v>5500</v>
      </c>
    </row>
    <row r="40" spans="1:8" ht="20.25" customHeight="1">
      <c r="A40" s="113" t="s">
        <v>5504</v>
      </c>
      <c r="B40" s="113" t="s">
        <v>5505</v>
      </c>
      <c r="C40" s="115" t="s">
        <v>5506</v>
      </c>
      <c r="D40" s="170">
        <v>45224</v>
      </c>
      <c r="F40" s="99" t="s">
        <v>5507</v>
      </c>
      <c r="H40" s="15" t="s">
        <v>5508</v>
      </c>
    </row>
    <row r="41" spans="1:8" ht="20.25" customHeight="1">
      <c r="A41" s="113" t="s">
        <v>5504</v>
      </c>
      <c r="B41" s="113" t="s">
        <v>5509</v>
      </c>
      <c r="C41" s="115" t="s">
        <v>5510</v>
      </c>
      <c r="D41" s="170">
        <v>45224</v>
      </c>
      <c r="F41" s="99" t="s">
        <v>5511</v>
      </c>
      <c r="H41" s="15" t="s">
        <v>5489</v>
      </c>
    </row>
    <row r="42" spans="1:8" ht="20.25" customHeight="1">
      <c r="A42" s="113" t="s">
        <v>5504</v>
      </c>
      <c r="B42" s="113" t="s">
        <v>5512</v>
      </c>
      <c r="C42" s="115" t="s">
        <v>5513</v>
      </c>
      <c r="D42" s="170">
        <v>45224</v>
      </c>
      <c r="F42" s="248" t="s">
        <v>5498</v>
      </c>
      <c r="H42" s="15" t="s">
        <v>5514</v>
      </c>
    </row>
    <row r="43" spans="1:8" ht="20.25" customHeight="1">
      <c r="A43" s="113" t="s">
        <v>5504</v>
      </c>
      <c r="B43" s="113" t="s">
        <v>5515</v>
      </c>
      <c r="C43" s="115" t="s">
        <v>5516</v>
      </c>
      <c r="D43" s="170">
        <v>45224</v>
      </c>
      <c r="F43" s="99" t="s">
        <v>5466</v>
      </c>
      <c r="H43" s="15" t="s">
        <v>5517</v>
      </c>
    </row>
    <row r="44" spans="1:8" ht="20.25" customHeight="1">
      <c r="A44" s="113" t="s">
        <v>5504</v>
      </c>
      <c r="B44" s="113" t="s">
        <v>5518</v>
      </c>
      <c r="C44" s="115" t="s">
        <v>5519</v>
      </c>
      <c r="D44" s="170">
        <v>45224</v>
      </c>
      <c r="F44" s="99" t="s">
        <v>5493</v>
      </c>
      <c r="H44" s="15" t="s">
        <v>5520</v>
      </c>
    </row>
    <row r="45" spans="1:8" ht="20.25" customHeight="1">
      <c r="A45" s="155"/>
      <c r="B45" s="155"/>
      <c r="C45" s="151"/>
      <c r="D45" s="159"/>
      <c r="F45" s="248" t="s">
        <v>5521</v>
      </c>
      <c r="H45" s="15" t="s">
        <v>5501</v>
      </c>
    </row>
    <row r="46" spans="1:8" ht="20.25" customHeight="1">
      <c r="A46" s="153"/>
      <c r="B46" s="153"/>
      <c r="C46" s="132"/>
      <c r="D46" s="136"/>
      <c r="F46" s="99" t="s">
        <v>5514</v>
      </c>
      <c r="H46" s="15" t="s">
        <v>5522</v>
      </c>
    </row>
    <row r="47" spans="1:8" ht="20.25" customHeight="1">
      <c r="A47" s="153"/>
      <c r="B47" s="153"/>
      <c r="C47" s="132"/>
      <c r="D47" s="136"/>
      <c r="F47" s="99" t="s">
        <v>5523</v>
      </c>
      <c r="H47" s="15" t="s">
        <v>5524</v>
      </c>
    </row>
    <row r="48" spans="1:8" ht="20.25" customHeight="1">
      <c r="A48" s="153"/>
      <c r="B48" s="153"/>
      <c r="C48" s="138"/>
      <c r="D48" s="136"/>
      <c r="F48" s="102" t="s">
        <v>5525</v>
      </c>
      <c r="H48" s="15" t="s">
        <v>5502</v>
      </c>
    </row>
    <row r="49" spans="1:8" ht="20.25" customHeight="1">
      <c r="A49" s="153"/>
      <c r="B49" s="153"/>
      <c r="C49" s="138"/>
      <c r="D49" s="136"/>
      <c r="F49" s="99" t="s">
        <v>5479</v>
      </c>
      <c r="H49" s="15" t="s">
        <v>5526</v>
      </c>
    </row>
    <row r="50" spans="1:8" ht="20.25" customHeight="1">
      <c r="A50" s="153"/>
      <c r="B50" s="153"/>
      <c r="C50" s="138"/>
      <c r="D50" s="136"/>
      <c r="F50" s="99" t="s">
        <v>5526</v>
      </c>
      <c r="H50" s="15" t="s">
        <v>5496</v>
      </c>
    </row>
    <row r="51" spans="1:8" ht="20.25" customHeight="1">
      <c r="A51" s="153"/>
      <c r="B51" s="153"/>
      <c r="C51" s="138"/>
      <c r="D51" s="136"/>
      <c r="F51" s="99" t="s">
        <v>5460</v>
      </c>
      <c r="H51" s="15" t="s">
        <v>5507</v>
      </c>
    </row>
    <row r="52" spans="1:8" ht="20.25" customHeight="1">
      <c r="A52" s="153"/>
      <c r="B52" s="153"/>
      <c r="C52" s="138"/>
      <c r="D52" s="136"/>
      <c r="F52" s="101" t="s">
        <v>5488</v>
      </c>
      <c r="H52" s="15" t="s">
        <v>5480</v>
      </c>
    </row>
    <row r="53" spans="1:8" ht="20.25" customHeight="1">
      <c r="A53" s="153"/>
      <c r="B53" s="153"/>
      <c r="C53" s="138"/>
      <c r="D53" s="136"/>
      <c r="F53" s="99" t="s">
        <v>5491</v>
      </c>
      <c r="H53" s="15" t="s">
        <v>5527</v>
      </c>
    </row>
    <row r="54" spans="1:8" ht="20.25" customHeight="1">
      <c r="A54" s="153"/>
      <c r="B54" s="153"/>
      <c r="C54" s="138"/>
      <c r="D54" s="136"/>
      <c r="F54" s="99" t="s">
        <v>5481</v>
      </c>
      <c r="H54" s="15" t="s">
        <v>5467</v>
      </c>
    </row>
    <row r="55" spans="1:8" ht="20.25" customHeight="1">
      <c r="A55" s="153"/>
      <c r="B55" s="153"/>
      <c r="C55" s="138"/>
      <c r="D55" s="136"/>
      <c r="F55" s="99" t="s">
        <v>5484</v>
      </c>
    </row>
    <row r="56" spans="1:8" ht="20.25" customHeight="1">
      <c r="A56" s="153"/>
      <c r="B56" s="153"/>
      <c r="C56" s="138"/>
      <c r="D56" s="136"/>
      <c r="F56" s="103" t="s">
        <v>5508</v>
      </c>
    </row>
    <row r="57" spans="1:8" ht="20.25" customHeight="1">
      <c r="A57" s="153"/>
      <c r="B57" s="153"/>
      <c r="C57" s="132"/>
      <c r="D57" s="136"/>
      <c r="F57" s="103" t="s">
        <v>5522</v>
      </c>
    </row>
    <row r="58" spans="1:8" ht="20.25" customHeight="1">
      <c r="A58" s="153"/>
      <c r="B58" s="153"/>
      <c r="C58" s="138"/>
      <c r="D58" s="136"/>
    </row>
    <row r="59" spans="1:8" ht="20.25" customHeight="1">
      <c r="A59" s="153"/>
      <c r="B59" s="153"/>
      <c r="C59" s="138"/>
      <c r="D59" s="136"/>
    </row>
    <row r="60" spans="1:8" ht="20.25" customHeight="1">
      <c r="A60" s="153" t="s">
        <v>5504</v>
      </c>
      <c r="B60" s="153" t="s">
        <v>5528</v>
      </c>
      <c r="C60" s="138" t="s">
        <v>5529</v>
      </c>
      <c r="D60" s="136">
        <v>45224</v>
      </c>
    </row>
    <row r="61" spans="1:8" ht="20.25" customHeight="1">
      <c r="A61" s="153" t="s">
        <v>5504</v>
      </c>
      <c r="B61" s="153" t="s">
        <v>5530</v>
      </c>
      <c r="C61" s="138" t="s">
        <v>5531</v>
      </c>
      <c r="D61" s="136">
        <v>45224</v>
      </c>
    </row>
    <row r="62" spans="1:8" ht="20.25" customHeight="1">
      <c r="A62" s="153" t="s">
        <v>5504</v>
      </c>
      <c r="B62" s="153" t="s">
        <v>5532</v>
      </c>
      <c r="C62" s="138" t="s">
        <v>5533</v>
      </c>
      <c r="D62" s="136">
        <v>45224</v>
      </c>
    </row>
    <row r="63" spans="1:8" ht="20.25" customHeight="1">
      <c r="A63" s="153" t="s">
        <v>5504</v>
      </c>
      <c r="B63" s="153" t="s">
        <v>5534</v>
      </c>
      <c r="C63" s="138" t="s">
        <v>5535</v>
      </c>
      <c r="D63" s="136">
        <v>45224</v>
      </c>
    </row>
    <row r="64" spans="1:8" ht="20.25" customHeight="1">
      <c r="A64" s="153" t="s">
        <v>5504</v>
      </c>
      <c r="B64" s="153" t="s">
        <v>5536</v>
      </c>
      <c r="C64" s="138" t="s">
        <v>5537</v>
      </c>
      <c r="D64" s="136">
        <v>45224</v>
      </c>
    </row>
    <row r="65" spans="1:4" ht="20.25" customHeight="1">
      <c r="A65" s="153" t="s">
        <v>5504</v>
      </c>
      <c r="B65" s="153" t="s">
        <v>5538</v>
      </c>
      <c r="C65" s="138" t="s">
        <v>5539</v>
      </c>
      <c r="D65" s="136">
        <v>45224</v>
      </c>
    </row>
    <row r="66" spans="1:4" ht="20.25" customHeight="1">
      <c r="A66" s="153" t="s">
        <v>5504</v>
      </c>
      <c r="B66" s="153" t="s">
        <v>5540</v>
      </c>
      <c r="C66" s="138" t="s">
        <v>5541</v>
      </c>
      <c r="D66" s="136">
        <v>45224</v>
      </c>
    </row>
    <row r="67" spans="1:4" ht="20.25" customHeight="1">
      <c r="A67" s="153" t="s">
        <v>5504</v>
      </c>
      <c r="B67" s="153" t="s">
        <v>5542</v>
      </c>
      <c r="C67" s="138" t="s">
        <v>5543</v>
      </c>
      <c r="D67" s="136">
        <v>45224</v>
      </c>
    </row>
    <row r="68" spans="1:4" ht="20.25" customHeight="1">
      <c r="A68" s="153" t="s">
        <v>5504</v>
      </c>
      <c r="B68" s="153" t="s">
        <v>5544</v>
      </c>
      <c r="C68" s="138" t="s">
        <v>5545</v>
      </c>
      <c r="D68" s="136">
        <v>45224</v>
      </c>
    </row>
    <row r="69" spans="1:4" ht="20.25" customHeight="1">
      <c r="A69" s="153" t="s">
        <v>5504</v>
      </c>
      <c r="B69" s="153" t="s">
        <v>5546</v>
      </c>
      <c r="C69" s="138" t="s">
        <v>5547</v>
      </c>
      <c r="D69" s="136">
        <v>45224</v>
      </c>
    </row>
    <row r="70" spans="1:4" ht="20.25" customHeight="1">
      <c r="A70" s="153" t="s">
        <v>5504</v>
      </c>
      <c r="B70" s="153" t="s">
        <v>5548</v>
      </c>
      <c r="C70" s="138" t="s">
        <v>5549</v>
      </c>
      <c r="D70" s="136">
        <v>45224</v>
      </c>
    </row>
    <row r="71" spans="1:4" ht="20.25" customHeight="1">
      <c r="A71" s="153" t="s">
        <v>5504</v>
      </c>
      <c r="B71" s="153" t="s">
        <v>5550</v>
      </c>
      <c r="C71" s="132" t="s">
        <v>5551</v>
      </c>
      <c r="D71" s="136">
        <v>45224</v>
      </c>
    </row>
    <row r="72" spans="1:4" ht="20.25" customHeight="1">
      <c r="A72" s="153" t="s">
        <v>5504</v>
      </c>
      <c r="B72" s="153" t="s">
        <v>5552</v>
      </c>
      <c r="C72" s="132" t="s">
        <v>5553</v>
      </c>
      <c r="D72" s="136">
        <v>45224</v>
      </c>
    </row>
    <row r="73" spans="1:4" ht="20.25" customHeight="1">
      <c r="A73" s="153" t="s">
        <v>5504</v>
      </c>
      <c r="B73" s="153" t="s">
        <v>5554</v>
      </c>
      <c r="C73" s="138" t="s">
        <v>5555</v>
      </c>
      <c r="D73" s="136">
        <v>45224</v>
      </c>
    </row>
    <row r="74" spans="1:4" ht="20.25" customHeight="1">
      <c r="A74" s="153" t="s">
        <v>5504</v>
      </c>
      <c r="B74" s="153" t="s">
        <v>5556</v>
      </c>
      <c r="C74" s="132" t="s">
        <v>5557</v>
      </c>
      <c r="D74" s="136">
        <v>45224</v>
      </c>
    </row>
    <row r="75" spans="1:4" ht="20.25" customHeight="1">
      <c r="A75" s="153" t="s">
        <v>5504</v>
      </c>
      <c r="B75" s="153" t="s">
        <v>5558</v>
      </c>
      <c r="C75" s="132" t="s">
        <v>5559</v>
      </c>
      <c r="D75" s="136">
        <v>45224</v>
      </c>
    </row>
    <row r="76" spans="1:4" ht="20.25" customHeight="1">
      <c r="A76" s="153" t="s">
        <v>5504</v>
      </c>
      <c r="B76" s="153" t="s">
        <v>5560</v>
      </c>
      <c r="C76" s="138" t="s">
        <v>5561</v>
      </c>
      <c r="D76" s="136">
        <v>45224</v>
      </c>
    </row>
    <row r="77" spans="1:4" ht="20.25" customHeight="1">
      <c r="A77" s="153" t="s">
        <v>5504</v>
      </c>
      <c r="B77" s="153" t="s">
        <v>5562</v>
      </c>
      <c r="C77" s="132" t="s">
        <v>5563</v>
      </c>
      <c r="D77" s="136">
        <v>45224</v>
      </c>
    </row>
    <row r="78" spans="1:4" ht="20.25" customHeight="1">
      <c r="A78" s="153" t="s">
        <v>5504</v>
      </c>
      <c r="B78" s="153" t="s">
        <v>5564</v>
      </c>
      <c r="C78" s="132" t="s">
        <v>5563</v>
      </c>
      <c r="D78" s="136">
        <v>45224</v>
      </c>
    </row>
    <row r="79" spans="1:4" ht="20.25" customHeight="1">
      <c r="A79" s="153" t="s">
        <v>5504</v>
      </c>
      <c r="B79" s="153" t="s">
        <v>5565</v>
      </c>
      <c r="C79" s="132" t="s">
        <v>5566</v>
      </c>
      <c r="D79" s="136">
        <v>45224</v>
      </c>
    </row>
    <row r="80" spans="1:4" ht="20.25" customHeight="1">
      <c r="A80" s="153" t="s">
        <v>5504</v>
      </c>
      <c r="B80" s="153" t="s">
        <v>5567</v>
      </c>
      <c r="C80" s="132" t="s">
        <v>5568</v>
      </c>
      <c r="D80" s="136">
        <v>45224</v>
      </c>
    </row>
    <row r="81" spans="1:4" ht="20.25" customHeight="1">
      <c r="A81" s="153" t="s">
        <v>5504</v>
      </c>
      <c r="B81" s="153" t="s">
        <v>5569</v>
      </c>
      <c r="C81" s="132" t="s">
        <v>5570</v>
      </c>
      <c r="D81" s="136">
        <v>45224</v>
      </c>
    </row>
    <row r="82" spans="1:4" ht="20.25" customHeight="1">
      <c r="A82" s="153" t="s">
        <v>5504</v>
      </c>
      <c r="B82" s="153" t="s">
        <v>5571</v>
      </c>
      <c r="C82" s="132" t="s">
        <v>5572</v>
      </c>
      <c r="D82" s="136">
        <v>45224</v>
      </c>
    </row>
    <row r="83" spans="1:4" ht="20.25" customHeight="1">
      <c r="A83" s="153" t="s">
        <v>5504</v>
      </c>
      <c r="B83" s="153" t="s">
        <v>5573</v>
      </c>
      <c r="C83" s="132" t="s">
        <v>5574</v>
      </c>
      <c r="D83" s="136">
        <v>45224</v>
      </c>
    </row>
    <row r="84" spans="1:4" ht="20.25" customHeight="1">
      <c r="A84" s="153" t="s">
        <v>5504</v>
      </c>
      <c r="B84" s="153" t="s">
        <v>5575</v>
      </c>
      <c r="C84" s="132" t="s">
        <v>5576</v>
      </c>
      <c r="D84" s="136">
        <v>45224</v>
      </c>
    </row>
    <row r="85" spans="1:4" ht="20.25" customHeight="1">
      <c r="A85" s="153" t="s">
        <v>5504</v>
      </c>
      <c r="B85" s="153" t="s">
        <v>5577</v>
      </c>
      <c r="C85" s="132" t="s">
        <v>5578</v>
      </c>
      <c r="D85" s="136">
        <v>45224</v>
      </c>
    </row>
    <row r="86" spans="1:4" ht="20.25" customHeight="1">
      <c r="A86" s="153" t="s">
        <v>5504</v>
      </c>
      <c r="B86" s="153" t="s">
        <v>5579</v>
      </c>
      <c r="C86" s="132" t="s">
        <v>5580</v>
      </c>
      <c r="D86" s="136">
        <v>45224</v>
      </c>
    </row>
    <row r="87" spans="1:4" ht="20.25" customHeight="1">
      <c r="A87" s="153" t="s">
        <v>5504</v>
      </c>
      <c r="B87" s="153" t="s">
        <v>5581</v>
      </c>
      <c r="C87" s="132" t="s">
        <v>5582</v>
      </c>
      <c r="D87" s="136">
        <v>45224</v>
      </c>
    </row>
    <row r="88" spans="1:4" ht="20.25" customHeight="1">
      <c r="A88" s="153" t="s">
        <v>5504</v>
      </c>
      <c r="B88" s="153" t="s">
        <v>5583</v>
      </c>
      <c r="C88" s="132" t="s">
        <v>5584</v>
      </c>
      <c r="D88" s="136">
        <v>45224</v>
      </c>
    </row>
    <row r="89" spans="1:4" ht="20.25" customHeight="1">
      <c r="A89" s="153" t="s">
        <v>5504</v>
      </c>
      <c r="B89" s="153" t="s">
        <v>5585</v>
      </c>
      <c r="C89" s="132" t="s">
        <v>4628</v>
      </c>
      <c r="D89" s="136">
        <v>45224</v>
      </c>
    </row>
    <row r="90" spans="1:4" ht="20.25" customHeight="1">
      <c r="A90" s="153" t="s">
        <v>5504</v>
      </c>
      <c r="B90" s="153" t="s">
        <v>5586</v>
      </c>
      <c r="C90" s="132" t="s">
        <v>5587</v>
      </c>
      <c r="D90" s="136">
        <v>45224</v>
      </c>
    </row>
    <row r="91" spans="1:4" ht="20.25" customHeight="1">
      <c r="A91" s="153" t="s">
        <v>5504</v>
      </c>
      <c r="B91" s="153" t="s">
        <v>5588</v>
      </c>
      <c r="C91" s="138" t="s">
        <v>5589</v>
      </c>
      <c r="D91" s="136">
        <v>45224</v>
      </c>
    </row>
    <row r="92" spans="1:4" ht="20.25" customHeight="1">
      <c r="A92" s="153" t="s">
        <v>5504</v>
      </c>
      <c r="B92" s="153" t="s">
        <v>5590</v>
      </c>
      <c r="C92" s="138" t="s">
        <v>5591</v>
      </c>
      <c r="D92" s="136">
        <v>45224</v>
      </c>
    </row>
    <row r="93" spans="1:4" ht="20.25" customHeight="1">
      <c r="A93" s="153" t="s">
        <v>5504</v>
      </c>
      <c r="B93" s="153" t="s">
        <v>5592</v>
      </c>
      <c r="C93" s="132" t="s">
        <v>5593</v>
      </c>
      <c r="D93" s="136">
        <v>45224</v>
      </c>
    </row>
    <row r="94" spans="1:4" ht="20.25" customHeight="1">
      <c r="A94" s="153" t="s">
        <v>5504</v>
      </c>
      <c r="B94" s="153" t="s">
        <v>5594</v>
      </c>
      <c r="C94" s="132" t="s">
        <v>5595</v>
      </c>
      <c r="D94" s="136">
        <v>45224</v>
      </c>
    </row>
    <row r="95" spans="1:4" ht="20.25" customHeight="1">
      <c r="A95" s="153" t="s">
        <v>5504</v>
      </c>
      <c r="B95" s="153" t="s">
        <v>5596</v>
      </c>
      <c r="C95" s="132" t="s">
        <v>5597</v>
      </c>
      <c r="D95" s="131" t="s">
        <v>4361</v>
      </c>
    </row>
    <row r="96" spans="1:4" ht="20.25" customHeight="1">
      <c r="A96" s="153" t="s">
        <v>5504</v>
      </c>
      <c r="B96" s="153" t="s">
        <v>5598</v>
      </c>
      <c r="C96" s="132" t="s">
        <v>5599</v>
      </c>
      <c r="D96" s="136">
        <v>45049</v>
      </c>
    </row>
    <row r="97" spans="1:4" ht="20.25" customHeight="1">
      <c r="A97" s="153" t="s">
        <v>5504</v>
      </c>
      <c r="B97" s="249" t="s">
        <v>5600</v>
      </c>
      <c r="C97" s="132" t="s">
        <v>5601</v>
      </c>
      <c r="D97" s="131" t="s">
        <v>4361</v>
      </c>
    </row>
    <row r="98" spans="1:4" ht="20.25" customHeight="1">
      <c r="A98" s="153" t="s">
        <v>5504</v>
      </c>
      <c r="B98" s="249" t="s">
        <v>5602</v>
      </c>
      <c r="C98" s="132" t="s">
        <v>5603</v>
      </c>
      <c r="D98" s="131" t="s">
        <v>4361</v>
      </c>
    </row>
    <row r="99" spans="1:4" ht="20.25" customHeight="1">
      <c r="B99" s="154"/>
      <c r="C99" s="132" t="s">
        <v>5604</v>
      </c>
      <c r="D99" s="131" t="s">
        <v>4361</v>
      </c>
    </row>
    <row r="100" spans="1:4" ht="20.25" customHeight="1">
      <c r="B100" s="108"/>
      <c r="C100" s="132" t="s">
        <v>5605</v>
      </c>
      <c r="D100" s="133">
        <v>44910</v>
      </c>
    </row>
    <row r="101" spans="1:4" ht="20.25" customHeight="1">
      <c r="B101" s="108"/>
      <c r="C101" s="132" t="s">
        <v>5606</v>
      </c>
      <c r="D101" s="133">
        <v>44840</v>
      </c>
    </row>
    <row r="102" spans="1:4" ht="20.25" customHeight="1">
      <c r="B102" s="108"/>
      <c r="C102" s="132" t="s">
        <v>5607</v>
      </c>
      <c r="D102" s="131" t="s">
        <v>4361</v>
      </c>
    </row>
    <row r="103" spans="1:4" ht="20.25" customHeight="1">
      <c r="B103" s="108"/>
      <c r="C103" s="132" t="s">
        <v>5608</v>
      </c>
      <c r="D103" s="131" t="s">
        <v>4361</v>
      </c>
    </row>
    <row r="104" spans="1:4" ht="20.25" customHeight="1">
      <c r="B104" s="108"/>
      <c r="C104" s="132" t="s">
        <v>5609</v>
      </c>
      <c r="D104" s="133">
        <v>44877</v>
      </c>
    </row>
    <row r="105" spans="1:4" ht="20.25" customHeight="1">
      <c r="B105" s="108"/>
      <c r="C105" s="132" t="s">
        <v>5610</v>
      </c>
      <c r="D105" s="131" t="s">
        <v>4361</v>
      </c>
    </row>
    <row r="106" spans="1:4" ht="20.25" customHeight="1">
      <c r="B106" s="108"/>
      <c r="C106" s="138" t="s">
        <v>5611</v>
      </c>
      <c r="D106" s="131" t="s">
        <v>4361</v>
      </c>
    </row>
    <row r="107" spans="1:4" ht="20.25" customHeight="1">
      <c r="B107" s="108"/>
      <c r="C107" s="138" t="s">
        <v>5612</v>
      </c>
      <c r="D107" s="133">
        <v>44840</v>
      </c>
    </row>
    <row r="108" spans="1:4" ht="20.25" customHeight="1">
      <c r="B108" s="108"/>
      <c r="C108" s="132" t="s">
        <v>5613</v>
      </c>
      <c r="D108" s="131" t="s">
        <v>4361</v>
      </c>
    </row>
    <row r="109" spans="1:4" ht="20.25" customHeight="1">
      <c r="B109" s="108"/>
      <c r="C109" s="138" t="s">
        <v>5614</v>
      </c>
      <c r="D109" s="131" t="s">
        <v>4361</v>
      </c>
    </row>
    <row r="110" spans="1:4" ht="20.25" customHeight="1">
      <c r="B110" s="108"/>
      <c r="C110" s="132" t="s">
        <v>5615</v>
      </c>
      <c r="D110" s="131" t="s">
        <v>4361</v>
      </c>
    </row>
    <row r="111" spans="1:4" ht="20.25" customHeight="1">
      <c r="B111" s="108"/>
      <c r="C111" s="132" t="s">
        <v>5616</v>
      </c>
      <c r="D111" s="131" t="s">
        <v>4361</v>
      </c>
    </row>
    <row r="112" spans="1:4" ht="20.25" customHeight="1">
      <c r="B112" s="116" t="s">
        <v>5617</v>
      </c>
      <c r="C112" s="138" t="s">
        <v>5618</v>
      </c>
      <c r="D112" s="131" t="s">
        <v>4361</v>
      </c>
    </row>
    <row r="113" spans="2:4" ht="20.25" customHeight="1">
      <c r="B113" s="116" t="s">
        <v>5619</v>
      </c>
      <c r="C113" s="132" t="s">
        <v>5620</v>
      </c>
      <c r="D113" s="131" t="s">
        <v>4361</v>
      </c>
    </row>
    <row r="114" spans="2:4" ht="20.25" customHeight="1">
      <c r="B114" s="108" t="s">
        <v>5621</v>
      </c>
      <c r="C114" s="132" t="s">
        <v>5622</v>
      </c>
      <c r="D114" s="131" t="s">
        <v>4361</v>
      </c>
    </row>
    <row r="115" spans="2:4" ht="20.25" customHeight="1">
      <c r="B115" s="108" t="s">
        <v>5623</v>
      </c>
      <c r="C115" s="138" t="s">
        <v>5624</v>
      </c>
      <c r="D115" s="131" t="s">
        <v>4361</v>
      </c>
    </row>
    <row r="116" spans="2:4" ht="20.25" customHeight="1">
      <c r="B116" s="108" t="s">
        <v>5625</v>
      </c>
      <c r="C116" s="138" t="s">
        <v>5568</v>
      </c>
      <c r="D116" s="131" t="s">
        <v>4361</v>
      </c>
    </row>
    <row r="117" spans="2:4" ht="20.25" customHeight="1">
      <c r="B117" s="108" t="s">
        <v>5626</v>
      </c>
      <c r="C117" s="132" t="s">
        <v>5627</v>
      </c>
      <c r="D117" s="131"/>
    </row>
    <row r="118" spans="2:4" ht="20.25" customHeight="1">
      <c r="B118" s="108" t="s">
        <v>5628</v>
      </c>
      <c r="C118" s="132" t="s">
        <v>5629</v>
      </c>
      <c r="D118" s="131"/>
    </row>
    <row r="119" spans="2:4" ht="20.25" customHeight="1">
      <c r="B119" s="108" t="s">
        <v>5630</v>
      </c>
      <c r="C119" s="132" t="s">
        <v>5631</v>
      </c>
      <c r="D119" s="152">
        <v>45013</v>
      </c>
    </row>
    <row r="120" spans="2:4" ht="20.25" customHeight="1">
      <c r="B120" s="108" t="s">
        <v>5632</v>
      </c>
      <c r="C120" s="132" t="s">
        <v>5633</v>
      </c>
      <c r="D120" s="152">
        <v>45013</v>
      </c>
    </row>
    <row r="121" spans="2:4" ht="20.25" customHeight="1">
      <c r="B121" s="108" t="s">
        <v>5634</v>
      </c>
      <c r="C121" s="138" t="s">
        <v>5635</v>
      </c>
      <c r="D121" s="131" t="s">
        <v>4361</v>
      </c>
    </row>
    <row r="122" spans="2:4" ht="20.25" customHeight="1">
      <c r="B122" s="116" t="s">
        <v>5636</v>
      </c>
      <c r="C122" s="138"/>
      <c r="D122" s="131" t="s">
        <v>4361</v>
      </c>
    </row>
    <row r="123" spans="2:4" ht="20.25" customHeight="1">
      <c r="B123" s="108" t="s">
        <v>5637</v>
      </c>
      <c r="C123" s="138" t="s">
        <v>5638</v>
      </c>
      <c r="D123" s="133">
        <v>44853</v>
      </c>
    </row>
    <row r="124" spans="2:4" ht="20.25" customHeight="1">
      <c r="B124" s="108" t="s">
        <v>5639</v>
      </c>
      <c r="C124" s="132" t="s">
        <v>5640</v>
      </c>
      <c r="D124" s="133">
        <v>44840</v>
      </c>
    </row>
    <row r="125" spans="2:4" ht="20.25" customHeight="1">
      <c r="B125" s="108" t="s">
        <v>5641</v>
      </c>
      <c r="C125" s="132" t="s">
        <v>5642</v>
      </c>
      <c r="D125" s="133">
        <v>44840</v>
      </c>
    </row>
    <row r="126" spans="2:4" ht="20.25" customHeight="1">
      <c r="B126" s="108" t="s">
        <v>5643</v>
      </c>
      <c r="C126" s="132" t="s">
        <v>5644</v>
      </c>
      <c r="D126" s="134"/>
    </row>
    <row r="127" spans="2:4" ht="20.25" customHeight="1">
      <c r="B127" s="116" t="s">
        <v>5645</v>
      </c>
      <c r="C127" s="138" t="s">
        <v>5646</v>
      </c>
      <c r="D127" s="133">
        <v>44910</v>
      </c>
    </row>
    <row r="128" spans="2:4" ht="20.25" customHeight="1">
      <c r="B128" s="108" t="s">
        <v>5647</v>
      </c>
      <c r="C128" s="138" t="s">
        <v>5648</v>
      </c>
      <c r="D128" s="133">
        <v>44961</v>
      </c>
    </row>
    <row r="129" spans="2:4" ht="20.25" customHeight="1">
      <c r="B129" s="108" t="s">
        <v>5649</v>
      </c>
      <c r="C129" s="138" t="s">
        <v>5650</v>
      </c>
      <c r="D129" s="131" t="s">
        <v>4361</v>
      </c>
    </row>
    <row r="130" spans="2:4" ht="20.25" customHeight="1">
      <c r="B130" s="108" t="s">
        <v>5651</v>
      </c>
      <c r="C130" s="138" t="s">
        <v>5652</v>
      </c>
      <c r="D130" s="131" t="s">
        <v>4361</v>
      </c>
    </row>
    <row r="131" spans="2:4" ht="20.25" customHeight="1">
      <c r="B131" s="116" t="s">
        <v>5653</v>
      </c>
      <c r="C131" s="138" t="s">
        <v>5654</v>
      </c>
      <c r="D131" s="133">
        <v>44862</v>
      </c>
    </row>
    <row r="132" spans="2:4" ht="20.25" customHeight="1">
      <c r="B132" s="108" t="s">
        <v>5655</v>
      </c>
      <c r="C132" s="138" t="s">
        <v>5656</v>
      </c>
      <c r="D132" s="133">
        <v>44877</v>
      </c>
    </row>
    <row r="133" spans="2:4" ht="20.25" customHeight="1">
      <c r="B133" s="108" t="s">
        <v>5657</v>
      </c>
      <c r="C133" s="138" t="s">
        <v>5658</v>
      </c>
      <c r="D133" s="133">
        <v>44840</v>
      </c>
    </row>
    <row r="134" spans="2:4" ht="20.25" customHeight="1">
      <c r="B134" s="116" t="s">
        <v>5659</v>
      </c>
      <c r="C134" s="138" t="s">
        <v>5660</v>
      </c>
      <c r="D134" s="131" t="s">
        <v>4361</v>
      </c>
    </row>
    <row r="135" spans="2:4" ht="20.25" customHeight="1">
      <c r="B135" s="108" t="s">
        <v>5661</v>
      </c>
      <c r="C135" s="132" t="s">
        <v>5662</v>
      </c>
      <c r="D135" s="133">
        <v>44840</v>
      </c>
    </row>
    <row r="136" spans="2:4" ht="20.25" customHeight="1">
      <c r="B136" s="108" t="s">
        <v>5663</v>
      </c>
      <c r="C136" s="138" t="s">
        <v>5664</v>
      </c>
      <c r="D136" s="131" t="s">
        <v>4361</v>
      </c>
    </row>
    <row r="137" spans="2:4" ht="20.25" customHeight="1">
      <c r="B137" s="108" t="s">
        <v>5665</v>
      </c>
      <c r="C137" s="138" t="s">
        <v>5666</v>
      </c>
      <c r="D137" s="131" t="s">
        <v>4361</v>
      </c>
    </row>
    <row r="138" spans="2:4" ht="20.25" customHeight="1">
      <c r="B138" s="108" t="s">
        <v>5667</v>
      </c>
      <c r="C138" s="138" t="s">
        <v>5668</v>
      </c>
      <c r="D138" s="133">
        <v>44840</v>
      </c>
    </row>
    <row r="139" spans="2:4" ht="20.25" customHeight="1">
      <c r="B139" s="108" t="s">
        <v>5669</v>
      </c>
      <c r="C139" s="132" t="s">
        <v>5670</v>
      </c>
      <c r="D139" s="133">
        <v>44877</v>
      </c>
    </row>
    <row r="140" spans="2:4" ht="20.25" customHeight="1">
      <c r="B140" s="108" t="s">
        <v>5671</v>
      </c>
      <c r="C140" s="138" t="s">
        <v>5672</v>
      </c>
      <c r="D140" s="133">
        <v>44890</v>
      </c>
    </row>
    <row r="141" spans="2:4" ht="20.25" customHeight="1">
      <c r="B141" s="108" t="s">
        <v>5673</v>
      </c>
      <c r="C141" s="132" t="s">
        <v>5674</v>
      </c>
      <c r="D141" s="133">
        <v>45013</v>
      </c>
    </row>
    <row r="142" spans="2:4" ht="20.25" customHeight="1">
      <c r="B142" s="108" t="s">
        <v>5675</v>
      </c>
      <c r="C142" s="132" t="s">
        <v>5676</v>
      </c>
      <c r="D142" s="133">
        <v>45013</v>
      </c>
    </row>
    <row r="143" spans="2:4" ht="20.25" customHeight="1">
      <c r="B143" s="108" t="s">
        <v>5677</v>
      </c>
      <c r="C143" s="138" t="s">
        <v>5678</v>
      </c>
      <c r="D143" s="133"/>
    </row>
    <row r="144" spans="2:4" ht="20.25" customHeight="1">
      <c r="B144" s="108" t="s">
        <v>5679</v>
      </c>
      <c r="C144" s="138" t="s">
        <v>5680</v>
      </c>
      <c r="D144" s="133"/>
    </row>
    <row r="145" spans="2:4" ht="20.25" customHeight="1">
      <c r="B145" s="108" t="s">
        <v>5681</v>
      </c>
      <c r="C145" s="138" t="s">
        <v>5682</v>
      </c>
      <c r="D145" s="141"/>
    </row>
    <row r="146" spans="2:4" ht="20.25" customHeight="1">
      <c r="B146" s="108" t="s">
        <v>5683</v>
      </c>
      <c r="C146" s="138" t="s">
        <v>5684</v>
      </c>
      <c r="D146" s="141"/>
    </row>
    <row r="147" spans="2:4" ht="20.25" customHeight="1">
      <c r="B147" s="108" t="s">
        <v>5685</v>
      </c>
      <c r="C147" s="138" t="s">
        <v>5686</v>
      </c>
      <c r="D147" s="141"/>
    </row>
    <row r="148" spans="2:4" ht="20.25" customHeight="1">
      <c r="B148" s="116" t="s">
        <v>5687</v>
      </c>
      <c r="C148" s="138" t="s">
        <v>5688</v>
      </c>
      <c r="D148" s="141"/>
    </row>
    <row r="149" spans="2:4" ht="20.25" customHeight="1">
      <c r="B149" s="108" t="s">
        <v>5689</v>
      </c>
      <c r="C149" s="138" t="s">
        <v>5690</v>
      </c>
      <c r="D149" s="141"/>
    </row>
    <row r="150" spans="2:4" ht="20.25" customHeight="1">
      <c r="B150" s="116" t="s">
        <v>5691</v>
      </c>
      <c r="C150" s="132" t="s">
        <v>4628</v>
      </c>
      <c r="D150" s="141"/>
    </row>
    <row r="151" spans="2:4" ht="20.25" customHeight="1">
      <c r="B151" s="108" t="s">
        <v>5692</v>
      </c>
      <c r="C151" s="132" t="s">
        <v>4628</v>
      </c>
      <c r="D151" s="136">
        <v>45105</v>
      </c>
    </row>
    <row r="152" spans="2:4" ht="20.25" customHeight="1">
      <c r="B152" s="108" t="s">
        <v>5693</v>
      </c>
      <c r="C152" s="132" t="s">
        <v>5694</v>
      </c>
      <c r="D152" s="137"/>
    </row>
    <row r="153" spans="2:4" ht="20.25" customHeight="1">
      <c r="B153" s="108" t="s">
        <v>5695</v>
      </c>
      <c r="C153" s="132" t="s">
        <v>5696</v>
      </c>
      <c r="D153" s="141"/>
    </row>
    <row r="154" spans="2:4" ht="20.25" customHeight="1">
      <c r="B154" s="108" t="s">
        <v>5697</v>
      </c>
      <c r="C154" s="132" t="s">
        <v>5698</v>
      </c>
      <c r="D154" s="141"/>
    </row>
    <row r="155" spans="2:4" ht="20.25" customHeight="1">
      <c r="B155" s="108" t="s">
        <v>5699</v>
      </c>
      <c r="C155" s="132" t="s">
        <v>5700</v>
      </c>
      <c r="D155" s="141"/>
    </row>
    <row r="156" spans="2:4" ht="20.25" customHeight="1">
      <c r="B156" s="108" t="s">
        <v>5701</v>
      </c>
      <c r="C156" s="138" t="s">
        <v>5702</v>
      </c>
      <c r="D156" s="136">
        <v>45105</v>
      </c>
    </row>
    <row r="157" spans="2:4" ht="20.25" customHeight="1">
      <c r="B157" s="108" t="s">
        <v>5703</v>
      </c>
      <c r="C157" s="132" t="s">
        <v>5704</v>
      </c>
      <c r="D157" s="141"/>
    </row>
    <row r="158" spans="2:4" ht="20.25" customHeight="1">
      <c r="B158" s="108" t="s">
        <v>5705</v>
      </c>
      <c r="C158" s="132" t="s">
        <v>4628</v>
      </c>
      <c r="D158" s="141"/>
    </row>
    <row r="159" spans="2:4" ht="20.25" customHeight="1">
      <c r="B159" s="108" t="s">
        <v>5706</v>
      </c>
      <c r="C159" s="132" t="s">
        <v>5707</v>
      </c>
      <c r="D159" s="136">
        <v>45049</v>
      </c>
    </row>
    <row r="160" spans="2:4" ht="20.25" customHeight="1">
      <c r="B160" s="108" t="s">
        <v>5708</v>
      </c>
      <c r="C160" s="132" t="s">
        <v>5709</v>
      </c>
      <c r="D160" s="141"/>
    </row>
    <row r="161" spans="2:4" ht="20.25" customHeight="1">
      <c r="B161" s="108" t="s">
        <v>5710</v>
      </c>
      <c r="C161" s="132" t="s">
        <v>5711</v>
      </c>
      <c r="D161" s="141"/>
    </row>
    <row r="162" spans="2:4" ht="20.25" customHeight="1">
      <c r="B162" s="108" t="s">
        <v>5712</v>
      </c>
      <c r="C162" s="138" t="s">
        <v>5713</v>
      </c>
      <c r="D162" s="141"/>
    </row>
    <row r="163" spans="2:4" ht="20.25" customHeight="1">
      <c r="B163" s="108" t="s">
        <v>5714</v>
      </c>
      <c r="C163" s="132" t="s">
        <v>5715</v>
      </c>
      <c r="D163" s="141"/>
    </row>
    <row r="164" spans="2:4" ht="20.25" customHeight="1">
      <c r="B164" s="108" t="s">
        <v>5716</v>
      </c>
      <c r="C164" s="132" t="s">
        <v>5717</v>
      </c>
      <c r="D164" s="141"/>
    </row>
    <row r="165" spans="2:4" ht="20.25" customHeight="1">
      <c r="B165" s="108" t="s">
        <v>5718</v>
      </c>
      <c r="C165" s="132" t="s">
        <v>4628</v>
      </c>
      <c r="D165" s="133">
        <v>45056</v>
      </c>
    </row>
    <row r="166" spans="2:4" ht="20.25" customHeight="1">
      <c r="B166" s="108" t="s">
        <v>5719</v>
      </c>
      <c r="C166" s="138" t="s">
        <v>5720</v>
      </c>
      <c r="D166" s="133">
        <v>45056</v>
      </c>
    </row>
    <row r="167" spans="2:4" ht="20.25" customHeight="1">
      <c r="B167" s="107" t="s">
        <v>5721</v>
      </c>
      <c r="C167" s="132" t="s">
        <v>5722</v>
      </c>
      <c r="D167" s="133">
        <v>45056</v>
      </c>
    </row>
    <row r="168" spans="2:4" ht="20.25" customHeight="1">
      <c r="B168" s="108" t="s">
        <v>5723</v>
      </c>
      <c r="C168" s="132" t="s">
        <v>4628</v>
      </c>
      <c r="D168" s="141"/>
    </row>
    <row r="169" spans="2:4" ht="20.25" customHeight="1">
      <c r="B169" s="108" t="s">
        <v>5724</v>
      </c>
      <c r="C169" s="132" t="s">
        <v>5725</v>
      </c>
      <c r="D169" s="141"/>
    </row>
    <row r="170" spans="2:4" ht="20.25" customHeight="1">
      <c r="B170" s="108" t="s">
        <v>5726</v>
      </c>
      <c r="C170" s="132" t="s">
        <v>5727</v>
      </c>
      <c r="D170" s="141"/>
    </row>
    <row r="171" spans="2:4" ht="20.25" customHeight="1">
      <c r="B171" s="108" t="s">
        <v>5728</v>
      </c>
      <c r="C171" s="138" t="s">
        <v>5729</v>
      </c>
      <c r="D171" s="141"/>
    </row>
    <row r="172" spans="2:4" ht="20.25" customHeight="1">
      <c r="B172" s="108" t="s">
        <v>5730</v>
      </c>
      <c r="C172" s="132" t="s">
        <v>5731</v>
      </c>
      <c r="D172" s="141"/>
    </row>
    <row r="173" spans="2:4" ht="20.25" customHeight="1">
      <c r="B173" s="108" t="s">
        <v>5732</v>
      </c>
      <c r="C173" s="132" t="s">
        <v>5568</v>
      </c>
      <c r="D173" s="141"/>
    </row>
    <row r="174" spans="2:4" ht="20.25" customHeight="1">
      <c r="B174" s="116" t="s">
        <v>5733</v>
      </c>
      <c r="C174" s="132" t="s">
        <v>4628</v>
      </c>
      <c r="D174" s="141"/>
    </row>
    <row r="175" spans="2:4" ht="20.25" customHeight="1">
      <c r="B175" s="108" t="s">
        <v>5734</v>
      </c>
      <c r="C175" s="132" t="s">
        <v>4628</v>
      </c>
      <c r="D175" s="141"/>
    </row>
    <row r="176" spans="2:4" ht="20.25" customHeight="1">
      <c r="B176" s="108" t="s">
        <v>5735</v>
      </c>
      <c r="C176" s="132" t="s">
        <v>4628</v>
      </c>
      <c r="D176" s="141"/>
    </row>
    <row r="177" spans="2:4" ht="20.25" customHeight="1">
      <c r="B177" s="108" t="s">
        <v>5736</v>
      </c>
      <c r="C177" s="132" t="s">
        <v>5737</v>
      </c>
      <c r="D177" s="137"/>
    </row>
    <row r="178" spans="2:4" ht="20.25" customHeight="1">
      <c r="B178" s="108" t="s">
        <v>5738</v>
      </c>
      <c r="C178" s="132" t="s">
        <v>4628</v>
      </c>
      <c r="D178" s="133">
        <v>45056</v>
      </c>
    </row>
    <row r="179" spans="2:4" ht="20.25" customHeight="1">
      <c r="B179" s="108" t="s">
        <v>5739</v>
      </c>
      <c r="C179" s="132" t="s">
        <v>4628</v>
      </c>
      <c r="D179" s="136">
        <v>45148</v>
      </c>
    </row>
    <row r="180" spans="2:4" ht="20.25" customHeight="1">
      <c r="B180" s="108" t="s">
        <v>5740</v>
      </c>
      <c r="C180" s="132" t="s">
        <v>4628</v>
      </c>
      <c r="D180" s="135"/>
    </row>
    <row r="181" spans="2:4" ht="20.25" customHeight="1">
      <c r="B181" s="108" t="s">
        <v>5741</v>
      </c>
      <c r="C181" s="138" t="s">
        <v>5742</v>
      </c>
      <c r="D181" s="135"/>
    </row>
    <row r="182" spans="2:4" ht="20.25" customHeight="1">
      <c r="B182" s="108" t="s">
        <v>5743</v>
      </c>
      <c r="C182" s="132" t="s">
        <v>5744</v>
      </c>
      <c r="D182" s="135"/>
    </row>
    <row r="183" spans="2:4" ht="20.25" customHeight="1">
      <c r="B183" s="108" t="s">
        <v>5745</v>
      </c>
      <c r="C183" s="138" t="s">
        <v>5746</v>
      </c>
      <c r="D183" s="135"/>
    </row>
    <row r="184" spans="2:4" ht="20.25" customHeight="1">
      <c r="B184" s="108" t="s">
        <v>5747</v>
      </c>
      <c r="C184" s="132" t="s">
        <v>5748</v>
      </c>
      <c r="D184" s="135"/>
    </row>
    <row r="185" spans="2:4" ht="20.25" customHeight="1">
      <c r="B185" s="108" t="s">
        <v>5749</v>
      </c>
      <c r="C185" s="138" t="s">
        <v>5750</v>
      </c>
      <c r="D185" s="135"/>
    </row>
    <row r="186" spans="2:4" ht="20.25" customHeight="1">
      <c r="B186" s="108" t="s">
        <v>5751</v>
      </c>
      <c r="C186" s="132" t="s">
        <v>5752</v>
      </c>
      <c r="D186" s="135"/>
    </row>
    <row r="187" spans="2:4" ht="20.25" customHeight="1">
      <c r="B187" s="108" t="s">
        <v>5753</v>
      </c>
      <c r="C187" s="138" t="s">
        <v>5754</v>
      </c>
      <c r="D187" s="135"/>
    </row>
    <row r="188" spans="2:4" ht="20.25" customHeight="1">
      <c r="B188" s="108" t="s">
        <v>5755</v>
      </c>
      <c r="C188" s="138" t="s">
        <v>5756</v>
      </c>
      <c r="D188" s="135"/>
    </row>
    <row r="189" spans="2:4" ht="20.25" customHeight="1">
      <c r="B189" s="108" t="s">
        <v>5757</v>
      </c>
      <c r="C189" s="138" t="s">
        <v>5758</v>
      </c>
      <c r="D189" s="135"/>
    </row>
    <row r="190" spans="2:4" ht="20.25" customHeight="1">
      <c r="B190" s="108" t="s">
        <v>5759</v>
      </c>
      <c r="C190" s="132" t="s">
        <v>5760</v>
      </c>
      <c r="D190" s="135"/>
    </row>
    <row r="191" spans="2:4" ht="20.25" customHeight="1">
      <c r="B191" s="108" t="s">
        <v>5761</v>
      </c>
      <c r="C191" s="132" t="s">
        <v>5762</v>
      </c>
      <c r="D191" s="135"/>
    </row>
    <row r="192" spans="2:4" ht="20.25" customHeight="1">
      <c r="B192" s="108" t="s">
        <v>5763</v>
      </c>
      <c r="C192" s="138" t="s">
        <v>5764</v>
      </c>
      <c r="D192" s="135"/>
    </row>
    <row r="193" spans="2:4" ht="20.25" customHeight="1">
      <c r="B193" s="116" t="s">
        <v>5765</v>
      </c>
      <c r="C193" s="132" t="s">
        <v>5766</v>
      </c>
      <c r="D193" s="135"/>
    </row>
    <row r="194" spans="2:4" ht="20.25" customHeight="1">
      <c r="B194" s="108" t="s">
        <v>5767</v>
      </c>
      <c r="C194" s="138" t="s">
        <v>5768</v>
      </c>
      <c r="D194" s="135"/>
    </row>
    <row r="195" spans="2:4" ht="20.25" customHeight="1">
      <c r="B195" s="108" t="s">
        <v>5769</v>
      </c>
      <c r="C195" s="138" t="s">
        <v>5770</v>
      </c>
      <c r="D195" s="135"/>
    </row>
    <row r="196" spans="2:4" ht="20.25" customHeight="1">
      <c r="B196" s="108" t="s">
        <v>5771</v>
      </c>
      <c r="C196" s="132" t="s">
        <v>5772</v>
      </c>
      <c r="D196" s="135"/>
    </row>
    <row r="197" spans="2:4" ht="20.25" customHeight="1">
      <c r="B197" s="108" t="s">
        <v>5773</v>
      </c>
      <c r="C197" s="138" t="s">
        <v>5774</v>
      </c>
      <c r="D197" s="135"/>
    </row>
    <row r="198" spans="2:4" ht="20.25" customHeight="1">
      <c r="B198" s="108" t="s">
        <v>5775</v>
      </c>
      <c r="C198" s="138" t="s">
        <v>5776</v>
      </c>
      <c r="D198" s="135"/>
    </row>
    <row r="199" spans="2:4" ht="20.25" customHeight="1">
      <c r="B199" s="108" t="s">
        <v>5777</v>
      </c>
      <c r="C199" s="132" t="s">
        <v>5778</v>
      </c>
      <c r="D199" s="136">
        <v>45105</v>
      </c>
    </row>
    <row r="200" spans="2:4" ht="20.25" customHeight="1">
      <c r="B200" s="108" t="s">
        <v>5779</v>
      </c>
      <c r="C200" s="132"/>
      <c r="D200" s="133">
        <v>44992</v>
      </c>
    </row>
    <row r="201" spans="2:4" ht="20.25" customHeight="1">
      <c r="B201" s="116" t="s">
        <v>5780</v>
      </c>
      <c r="C201" s="143" t="s">
        <v>5781</v>
      </c>
      <c r="D201" s="133">
        <v>45056</v>
      </c>
    </row>
    <row r="202" spans="2:4" ht="20.25" customHeight="1">
      <c r="B202" s="108" t="s">
        <v>5782</v>
      </c>
      <c r="C202" s="132" t="s">
        <v>5783</v>
      </c>
      <c r="D202" s="133">
        <v>44992</v>
      </c>
    </row>
    <row r="203" spans="2:4" ht="20.25" customHeight="1">
      <c r="B203" s="108" t="s">
        <v>5784</v>
      </c>
      <c r="C203" s="138" t="s">
        <v>5785</v>
      </c>
      <c r="D203" s="133">
        <v>45056</v>
      </c>
    </row>
    <row r="204" spans="2:4" ht="20.25" customHeight="1">
      <c r="B204" s="108" t="s">
        <v>5786</v>
      </c>
      <c r="C204" s="132" t="s">
        <v>5787</v>
      </c>
      <c r="D204" s="140">
        <v>45111</v>
      </c>
    </row>
    <row r="205" spans="2:4" ht="20.25" customHeight="1">
      <c r="B205" s="108" t="s">
        <v>5788</v>
      </c>
      <c r="C205" s="132" t="s">
        <v>5789</v>
      </c>
      <c r="D205" s="133">
        <v>45056</v>
      </c>
    </row>
    <row r="206" spans="2:4" ht="20.25" customHeight="1">
      <c r="B206" s="116" t="s">
        <v>5790</v>
      </c>
      <c r="C206" s="132" t="s">
        <v>5791</v>
      </c>
      <c r="D206" s="135"/>
    </row>
    <row r="207" spans="2:4" ht="20.25" customHeight="1">
      <c r="B207" s="108" t="s">
        <v>5792</v>
      </c>
      <c r="C207" s="132" t="s">
        <v>5793</v>
      </c>
      <c r="D207" s="135"/>
    </row>
    <row r="208" spans="2:4" ht="20.25" customHeight="1">
      <c r="B208" s="108" t="s">
        <v>5794</v>
      </c>
      <c r="C208" s="132" t="s">
        <v>5795</v>
      </c>
      <c r="D208" s="133">
        <v>45056</v>
      </c>
    </row>
    <row r="209" spans="2:4" ht="20.25" customHeight="1">
      <c r="B209" s="108" t="s">
        <v>5796</v>
      </c>
      <c r="C209" s="132" t="s">
        <v>5797</v>
      </c>
      <c r="D209" s="133">
        <v>45056</v>
      </c>
    </row>
    <row r="210" spans="2:4" ht="20.25" customHeight="1">
      <c r="B210" s="108" t="s">
        <v>5798</v>
      </c>
      <c r="C210" s="132" t="s">
        <v>5799</v>
      </c>
      <c r="D210" s="133">
        <v>45056</v>
      </c>
    </row>
    <row r="211" spans="2:4" ht="20.25" customHeight="1">
      <c r="B211" s="108" t="s">
        <v>5800</v>
      </c>
      <c r="C211" s="138" t="s">
        <v>5801</v>
      </c>
      <c r="D211" s="133">
        <v>45097</v>
      </c>
    </row>
    <row r="212" spans="2:4" ht="20.25" customHeight="1">
      <c r="B212" s="108" t="s">
        <v>5802</v>
      </c>
      <c r="C212" s="138" t="s">
        <v>5803</v>
      </c>
      <c r="D212" s="140">
        <v>45111</v>
      </c>
    </row>
    <row r="213" spans="2:4" ht="20.25" customHeight="1">
      <c r="B213" s="108" t="s">
        <v>5804</v>
      </c>
      <c r="C213" s="138" t="s">
        <v>5805</v>
      </c>
      <c r="D213" s="140">
        <v>45111</v>
      </c>
    </row>
    <row r="214" spans="2:4" ht="20.25" customHeight="1">
      <c r="B214" s="108" t="s">
        <v>5806</v>
      </c>
      <c r="C214" s="132" t="s">
        <v>5807</v>
      </c>
      <c r="D214" s="140">
        <v>45111</v>
      </c>
    </row>
    <row r="215" spans="2:4" ht="20.25" customHeight="1">
      <c r="B215" s="108" t="s">
        <v>5808</v>
      </c>
      <c r="C215" s="132" t="s">
        <v>5809</v>
      </c>
      <c r="D215" s="133">
        <v>45097</v>
      </c>
    </row>
    <row r="216" spans="2:4" ht="20.25" customHeight="1">
      <c r="B216" s="108" t="s">
        <v>5810</v>
      </c>
      <c r="C216" s="132" t="s">
        <v>5811</v>
      </c>
      <c r="D216" s="140">
        <v>45111</v>
      </c>
    </row>
    <row r="217" spans="2:4" ht="20.25" customHeight="1">
      <c r="B217" s="108" t="s">
        <v>5812</v>
      </c>
      <c r="C217" s="132" t="s">
        <v>5813</v>
      </c>
      <c r="D217" s="140">
        <v>45111</v>
      </c>
    </row>
    <row r="218" spans="2:4" ht="20.25" customHeight="1">
      <c r="B218" s="108" t="s">
        <v>5814</v>
      </c>
      <c r="C218" s="132" t="s">
        <v>5815</v>
      </c>
      <c r="D218" s="133">
        <v>45097</v>
      </c>
    </row>
    <row r="219" spans="2:4" ht="20.25" customHeight="1">
      <c r="B219" s="108" t="s">
        <v>5816</v>
      </c>
      <c r="C219" s="132" t="s">
        <v>5817</v>
      </c>
      <c r="D219" s="133">
        <v>45097</v>
      </c>
    </row>
    <row r="220" spans="2:4" ht="20.25" customHeight="1">
      <c r="B220" s="108" t="s">
        <v>5818</v>
      </c>
      <c r="C220" s="138" t="s">
        <v>5819</v>
      </c>
      <c r="D220" s="133">
        <v>45097</v>
      </c>
    </row>
    <row r="221" spans="2:4" ht="20.25" customHeight="1">
      <c r="B221" s="108" t="s">
        <v>5820</v>
      </c>
      <c r="C221" s="132" t="s">
        <v>5821</v>
      </c>
      <c r="D221" s="137"/>
    </row>
    <row r="222" spans="2:4" ht="20.25" customHeight="1">
      <c r="B222" s="108" t="s">
        <v>5822</v>
      </c>
      <c r="C222" s="132" t="s">
        <v>5823</v>
      </c>
      <c r="D222" s="140">
        <v>45111</v>
      </c>
    </row>
    <row r="223" spans="2:4" ht="20.25" customHeight="1">
      <c r="B223" s="108" t="s">
        <v>5824</v>
      </c>
      <c r="C223" s="132" t="s">
        <v>5825</v>
      </c>
      <c r="D223" s="133">
        <v>45097</v>
      </c>
    </row>
    <row r="224" spans="2:4" ht="20.25" customHeight="1">
      <c r="B224" s="108" t="s">
        <v>5826</v>
      </c>
      <c r="C224" s="132" t="s">
        <v>5827</v>
      </c>
      <c r="D224" s="136">
        <v>45148</v>
      </c>
    </row>
    <row r="225" spans="2:4" ht="20.25" customHeight="1">
      <c r="B225" s="108" t="s">
        <v>5828</v>
      </c>
      <c r="C225" s="132" t="s">
        <v>5829</v>
      </c>
      <c r="D225" s="140">
        <v>45111</v>
      </c>
    </row>
    <row r="226" spans="2:4" ht="20.25" customHeight="1">
      <c r="B226" s="108" t="s">
        <v>5830</v>
      </c>
      <c r="C226" s="138" t="s">
        <v>5831</v>
      </c>
      <c r="D226" s="141"/>
    </row>
    <row r="227" spans="2:4" ht="20.25" customHeight="1">
      <c r="B227" s="108" t="s">
        <v>5832</v>
      </c>
      <c r="C227" s="138" t="s">
        <v>5833</v>
      </c>
      <c r="D227" s="133">
        <v>44992</v>
      </c>
    </row>
    <row r="228" spans="2:4" ht="20.25" customHeight="1">
      <c r="B228" s="108" t="s">
        <v>5834</v>
      </c>
      <c r="C228" s="132" t="s">
        <v>5835</v>
      </c>
      <c r="D228" s="133">
        <v>45097</v>
      </c>
    </row>
    <row r="229" spans="2:4" ht="20.25" customHeight="1">
      <c r="B229" s="108" t="s">
        <v>5836</v>
      </c>
      <c r="C229" s="132" t="s">
        <v>5837</v>
      </c>
      <c r="D229" s="133">
        <v>45097</v>
      </c>
    </row>
    <row r="230" spans="2:4" ht="20.25" customHeight="1">
      <c r="B230" s="108" t="s">
        <v>5838</v>
      </c>
      <c r="C230" s="138" t="s">
        <v>5839</v>
      </c>
      <c r="D230" s="133">
        <v>45097</v>
      </c>
    </row>
    <row r="231" spans="2:4" ht="20.25" customHeight="1">
      <c r="B231" s="108" t="s">
        <v>5840</v>
      </c>
      <c r="C231" s="132" t="s">
        <v>5841</v>
      </c>
      <c r="D231" s="141"/>
    </row>
    <row r="232" spans="2:4" ht="20.25" customHeight="1">
      <c r="B232" s="108" t="s">
        <v>5842</v>
      </c>
      <c r="C232" s="132" t="s">
        <v>5843</v>
      </c>
      <c r="D232" s="141"/>
    </row>
    <row r="233" spans="2:4" ht="20.25" customHeight="1">
      <c r="B233" s="108" t="s">
        <v>5844</v>
      </c>
      <c r="C233" s="132" t="s">
        <v>5845</v>
      </c>
      <c r="D233" s="133">
        <v>45097</v>
      </c>
    </row>
    <row r="234" spans="2:4" ht="20.25" customHeight="1">
      <c r="B234" s="108" t="s">
        <v>5846</v>
      </c>
      <c r="C234" s="132" t="s">
        <v>5847</v>
      </c>
      <c r="D234" s="133">
        <v>45097</v>
      </c>
    </row>
    <row r="235" spans="2:4" ht="20.25" customHeight="1">
      <c r="B235" s="108" t="s">
        <v>5848</v>
      </c>
      <c r="C235" s="132" t="s">
        <v>5849</v>
      </c>
      <c r="D235" s="140">
        <v>45111</v>
      </c>
    </row>
    <row r="236" spans="2:4" ht="20.25" customHeight="1">
      <c r="B236" s="108" t="s">
        <v>5850</v>
      </c>
      <c r="C236" s="132" t="s">
        <v>5851</v>
      </c>
      <c r="D236" s="133">
        <v>44961</v>
      </c>
    </row>
    <row r="237" spans="2:4" ht="20.25" customHeight="1">
      <c r="B237" s="108" t="s">
        <v>5852</v>
      </c>
      <c r="C237" s="138" t="s">
        <v>5853</v>
      </c>
      <c r="D237" s="133">
        <v>45097</v>
      </c>
    </row>
    <row r="238" spans="2:4" ht="20.25" customHeight="1">
      <c r="B238" s="108" t="s">
        <v>5854</v>
      </c>
      <c r="C238" s="132" t="s">
        <v>5855</v>
      </c>
      <c r="D238" s="136">
        <v>45148</v>
      </c>
    </row>
    <row r="239" spans="2:4" ht="20.25" customHeight="1">
      <c r="B239" s="108" t="s">
        <v>5856</v>
      </c>
      <c r="C239" s="132" t="s">
        <v>5857</v>
      </c>
      <c r="D239" s="140">
        <v>45111</v>
      </c>
    </row>
    <row r="240" spans="2:4" ht="20.25" customHeight="1">
      <c r="B240" s="108" t="s">
        <v>5858</v>
      </c>
      <c r="C240" s="138" t="s">
        <v>5859</v>
      </c>
      <c r="D240" s="141"/>
    </row>
    <row r="241" spans="2:4" ht="20.25" customHeight="1">
      <c r="B241" s="108" t="s">
        <v>5860</v>
      </c>
      <c r="C241" s="132" t="s">
        <v>5861</v>
      </c>
      <c r="D241" s="141"/>
    </row>
    <row r="242" spans="2:4" ht="20.25" customHeight="1">
      <c r="B242" s="108" t="s">
        <v>5862</v>
      </c>
      <c r="C242" s="138" t="s">
        <v>5863</v>
      </c>
      <c r="D242" s="141"/>
    </row>
    <row r="243" spans="2:4" ht="20.25" customHeight="1">
      <c r="B243" s="108" t="s">
        <v>5864</v>
      </c>
      <c r="C243" s="132" t="s">
        <v>5865</v>
      </c>
      <c r="D243" s="133">
        <v>45097</v>
      </c>
    </row>
    <row r="244" spans="2:4" ht="20.25" customHeight="1">
      <c r="B244" s="108" t="s">
        <v>5866</v>
      </c>
      <c r="C244" s="132" t="s">
        <v>5867</v>
      </c>
      <c r="D244" s="136">
        <v>45148</v>
      </c>
    </row>
    <row r="245" spans="2:4" ht="20.25" customHeight="1">
      <c r="B245" s="108" t="s">
        <v>5868</v>
      </c>
      <c r="C245" s="132" t="s">
        <v>5869</v>
      </c>
      <c r="D245" s="140">
        <v>45111</v>
      </c>
    </row>
    <row r="246" spans="2:4" ht="20.25" customHeight="1">
      <c r="B246" s="108" t="s">
        <v>5870</v>
      </c>
      <c r="C246" s="132" t="s">
        <v>5871</v>
      </c>
      <c r="D246" s="136">
        <v>45148</v>
      </c>
    </row>
    <row r="247" spans="2:4" ht="20.25" customHeight="1">
      <c r="B247" s="108" t="s">
        <v>5872</v>
      </c>
      <c r="C247" s="132" t="s">
        <v>5873</v>
      </c>
      <c r="D247" s="136">
        <v>45148</v>
      </c>
    </row>
    <row r="248" spans="2:4" ht="20.25" customHeight="1">
      <c r="B248" s="108" t="s">
        <v>5874</v>
      </c>
      <c r="C248" s="138" t="s">
        <v>5875</v>
      </c>
      <c r="D248" s="133">
        <v>45097</v>
      </c>
    </row>
    <row r="249" spans="2:4" ht="20.25" customHeight="1">
      <c r="B249" s="108" t="s">
        <v>5876</v>
      </c>
      <c r="C249" s="138" t="s">
        <v>5877</v>
      </c>
      <c r="D249" s="141"/>
    </row>
    <row r="250" spans="2:4" ht="20.25" customHeight="1">
      <c r="B250" s="108" t="s">
        <v>5878</v>
      </c>
      <c r="C250" s="132" t="s">
        <v>5879</v>
      </c>
      <c r="D250" s="140">
        <v>45111</v>
      </c>
    </row>
    <row r="251" spans="2:4" ht="20.25" customHeight="1">
      <c r="B251" s="108" t="s">
        <v>5880</v>
      </c>
      <c r="C251" s="132" t="s">
        <v>5881</v>
      </c>
      <c r="D251" s="140">
        <v>45111</v>
      </c>
    </row>
    <row r="252" spans="2:4" ht="20.25" customHeight="1">
      <c r="B252" s="108" t="s">
        <v>5882</v>
      </c>
      <c r="C252" s="138" t="s">
        <v>5883</v>
      </c>
      <c r="D252" s="133">
        <v>45097</v>
      </c>
    </row>
    <row r="253" spans="2:4" ht="20.25" customHeight="1">
      <c r="B253" s="108" t="s">
        <v>5884</v>
      </c>
      <c r="C253" s="132" t="s">
        <v>5885</v>
      </c>
      <c r="D253" s="140">
        <v>45111</v>
      </c>
    </row>
    <row r="254" spans="2:4" ht="20.25" customHeight="1">
      <c r="B254" s="108" t="s">
        <v>5886</v>
      </c>
      <c r="C254" s="132" t="s">
        <v>5887</v>
      </c>
      <c r="D254" s="140">
        <v>45111</v>
      </c>
    </row>
    <row r="255" spans="2:4" ht="20.25" customHeight="1">
      <c r="B255" s="108" t="s">
        <v>5888</v>
      </c>
      <c r="C255" s="132" t="s">
        <v>5889</v>
      </c>
      <c r="D255" s="133">
        <v>45097</v>
      </c>
    </row>
    <row r="256" spans="2:4" ht="20.25" customHeight="1">
      <c r="B256" s="108" t="s">
        <v>5890</v>
      </c>
      <c r="C256" s="132" t="s">
        <v>5891</v>
      </c>
      <c r="D256" s="133">
        <v>44992</v>
      </c>
    </row>
    <row r="257" spans="2:4" ht="20.25" customHeight="1">
      <c r="B257" s="108" t="s">
        <v>5892</v>
      </c>
      <c r="C257" s="138" t="s">
        <v>5893</v>
      </c>
      <c r="D257" s="156"/>
    </row>
    <row r="258" spans="2:4" ht="20.25" customHeight="1">
      <c r="B258" s="108" t="s">
        <v>5894</v>
      </c>
      <c r="C258" s="132" t="s">
        <v>5895</v>
      </c>
      <c r="D258" s="141"/>
    </row>
    <row r="259" spans="2:4" ht="20.25" customHeight="1">
      <c r="B259" s="108" t="s">
        <v>5896</v>
      </c>
      <c r="C259" s="132" t="s">
        <v>5897</v>
      </c>
      <c r="D259" s="140">
        <v>45111</v>
      </c>
    </row>
    <row r="260" spans="2:4" ht="20.25" customHeight="1">
      <c r="B260" s="108" t="s">
        <v>5898</v>
      </c>
      <c r="C260" s="138" t="s">
        <v>5899</v>
      </c>
      <c r="D260" s="141"/>
    </row>
    <row r="261" spans="2:4" ht="20.25" customHeight="1">
      <c r="B261" s="108" t="s">
        <v>5900</v>
      </c>
      <c r="C261" s="132" t="s">
        <v>5901</v>
      </c>
      <c r="D261" s="137"/>
    </row>
    <row r="262" spans="2:4" ht="20.25" customHeight="1">
      <c r="B262" s="108" t="s">
        <v>5902</v>
      </c>
      <c r="C262" s="132" t="s">
        <v>5903</v>
      </c>
      <c r="D262" s="141"/>
    </row>
    <row r="263" spans="2:4" ht="20.25" customHeight="1">
      <c r="B263" s="108" t="s">
        <v>5904</v>
      </c>
      <c r="C263" s="132" t="s">
        <v>4628</v>
      </c>
      <c r="D263" s="141"/>
    </row>
    <row r="264" spans="2:4" ht="20.25" customHeight="1">
      <c r="B264" s="108" t="s">
        <v>5905</v>
      </c>
      <c r="C264" s="132" t="s">
        <v>5906</v>
      </c>
      <c r="D264" s="136">
        <v>45105</v>
      </c>
    </row>
    <row r="265" spans="2:4" ht="20.25" customHeight="1">
      <c r="B265" s="108" t="s">
        <v>5907</v>
      </c>
      <c r="C265" s="132" t="s">
        <v>4628</v>
      </c>
      <c r="D265" s="133">
        <v>44992</v>
      </c>
    </row>
    <row r="266" spans="2:4" ht="20.25" customHeight="1">
      <c r="B266" s="108" t="s">
        <v>5908</v>
      </c>
      <c r="C266" s="132" t="s">
        <v>5909</v>
      </c>
      <c r="D266" s="136">
        <v>45148</v>
      </c>
    </row>
    <row r="267" spans="2:4" ht="20.25" customHeight="1">
      <c r="B267" s="108" t="s">
        <v>5910</v>
      </c>
      <c r="C267" s="132" t="s">
        <v>4628</v>
      </c>
      <c r="D267" s="131"/>
    </row>
    <row r="268" spans="2:4" ht="20.25" customHeight="1">
      <c r="B268" s="108" t="s">
        <v>5911</v>
      </c>
      <c r="C268" s="132" t="s">
        <v>4628</v>
      </c>
      <c r="D268" s="156"/>
    </row>
    <row r="269" spans="2:4" ht="20.25" customHeight="1">
      <c r="B269" s="108" t="s">
        <v>5912</v>
      </c>
      <c r="C269" s="138" t="s">
        <v>5913</v>
      </c>
      <c r="D269" s="156"/>
    </row>
    <row r="270" spans="2:4" ht="20.25" customHeight="1">
      <c r="B270" s="108" t="s">
        <v>5914</v>
      </c>
      <c r="C270" s="132" t="s">
        <v>5915</v>
      </c>
      <c r="D270" s="133">
        <v>45097</v>
      </c>
    </row>
    <row r="271" spans="2:4" ht="20.25" customHeight="1">
      <c r="B271" s="108" t="s">
        <v>5916</v>
      </c>
      <c r="C271" s="132" t="s">
        <v>5917</v>
      </c>
      <c r="D271" s="136">
        <v>45105</v>
      </c>
    </row>
    <row r="272" spans="2:4" ht="20.25" customHeight="1">
      <c r="B272" s="108" t="s">
        <v>5918</v>
      </c>
      <c r="C272" s="132" t="s">
        <v>5919</v>
      </c>
      <c r="D272" s="133">
        <v>45097</v>
      </c>
    </row>
    <row r="273" spans="2:4" ht="20.25" customHeight="1">
      <c r="B273" s="108" t="s">
        <v>5920</v>
      </c>
      <c r="C273" s="132" t="s">
        <v>5921</v>
      </c>
      <c r="D273" s="133">
        <v>44992</v>
      </c>
    </row>
    <row r="274" spans="2:4" ht="20.25" customHeight="1">
      <c r="B274" s="108" t="s">
        <v>5922</v>
      </c>
      <c r="C274" s="132" t="s">
        <v>5923</v>
      </c>
      <c r="D274" s="141"/>
    </row>
    <row r="275" spans="2:4" ht="20.25" customHeight="1">
      <c r="B275" s="108" t="s">
        <v>5924</v>
      </c>
      <c r="C275" s="138" t="s">
        <v>5925</v>
      </c>
      <c r="D275" s="141"/>
    </row>
    <row r="276" spans="2:4" ht="20.25" customHeight="1">
      <c r="B276" s="108" t="s">
        <v>5926</v>
      </c>
      <c r="C276" s="132" t="s">
        <v>5927</v>
      </c>
      <c r="D276" s="141"/>
    </row>
    <row r="277" spans="2:4" ht="20.25" customHeight="1">
      <c r="B277" s="108" t="s">
        <v>5928</v>
      </c>
      <c r="C277" s="132" t="s">
        <v>5929</v>
      </c>
      <c r="D277" s="136">
        <v>45105</v>
      </c>
    </row>
    <row r="278" spans="2:4" ht="20.25" customHeight="1">
      <c r="B278" s="108" t="s">
        <v>5930</v>
      </c>
      <c r="C278" s="132" t="s">
        <v>5931</v>
      </c>
      <c r="D278" s="136">
        <v>45105</v>
      </c>
    </row>
    <row r="279" spans="2:4" ht="20.25" customHeight="1">
      <c r="B279" s="108" t="s">
        <v>5932</v>
      </c>
      <c r="C279" s="132" t="s">
        <v>5933</v>
      </c>
      <c r="D279" s="136">
        <v>45148</v>
      </c>
    </row>
    <row r="280" spans="2:4" ht="20.25" customHeight="1">
      <c r="B280" s="108" t="s">
        <v>5934</v>
      </c>
      <c r="C280" s="132" t="s">
        <v>4628</v>
      </c>
      <c r="D280" s="136">
        <v>45148</v>
      </c>
    </row>
    <row r="281" spans="2:4" ht="20.25" customHeight="1">
      <c r="B281" s="108" t="s">
        <v>5935</v>
      </c>
      <c r="C281" s="132" t="s">
        <v>5936</v>
      </c>
      <c r="D281" s="136">
        <v>45148</v>
      </c>
    </row>
    <row r="282" spans="2:4" ht="20.25" customHeight="1">
      <c r="B282" s="108" t="s">
        <v>5937</v>
      </c>
      <c r="C282" s="132" t="s">
        <v>5938</v>
      </c>
      <c r="D282" s="156"/>
    </row>
    <row r="283" spans="2:4" ht="20.25" customHeight="1">
      <c r="B283" s="108" t="s">
        <v>5939</v>
      </c>
      <c r="C283" s="132" t="s">
        <v>5940</v>
      </c>
      <c r="D283" s="141"/>
    </row>
    <row r="284" spans="2:4" ht="20.25" customHeight="1">
      <c r="B284" s="108" t="s">
        <v>5528</v>
      </c>
      <c r="C284" s="132" t="s">
        <v>5941</v>
      </c>
      <c r="D284" s="141"/>
    </row>
    <row r="285" spans="2:4" ht="20.25" customHeight="1">
      <c r="B285" s="108" t="s">
        <v>5942</v>
      </c>
      <c r="C285" s="132" t="s">
        <v>5943</v>
      </c>
      <c r="D285" s="141"/>
    </row>
    <row r="286" spans="2:4" ht="20.25" customHeight="1">
      <c r="B286" s="108" t="s">
        <v>5944</v>
      </c>
      <c r="C286" s="132" t="s">
        <v>5945</v>
      </c>
      <c r="D286" s="141"/>
    </row>
    <row r="287" spans="2:4" ht="20.25" customHeight="1">
      <c r="B287" s="108" t="s">
        <v>5530</v>
      </c>
      <c r="C287" s="132" t="s">
        <v>5946</v>
      </c>
      <c r="D287" s="141"/>
    </row>
    <row r="288" spans="2:4" ht="20.25" customHeight="1">
      <c r="B288" s="108" t="s">
        <v>5532</v>
      </c>
      <c r="C288" s="138" t="s">
        <v>5947</v>
      </c>
      <c r="D288" s="141"/>
    </row>
    <row r="289" spans="2:4" ht="20.25" customHeight="1">
      <c r="B289" s="108" t="s">
        <v>5948</v>
      </c>
      <c r="C289" s="132" t="s">
        <v>5949</v>
      </c>
      <c r="D289" s="141"/>
    </row>
    <row r="290" spans="2:4" ht="20.25" customHeight="1">
      <c r="B290" s="108" t="s">
        <v>5950</v>
      </c>
      <c r="C290" s="132" t="s">
        <v>5951</v>
      </c>
      <c r="D290" s="131" t="s">
        <v>4361</v>
      </c>
    </row>
    <row r="291" spans="2:4" ht="20.25" customHeight="1">
      <c r="B291" s="108" t="s">
        <v>5952</v>
      </c>
      <c r="C291" s="132" t="s">
        <v>5953</v>
      </c>
      <c r="D291" s="141"/>
    </row>
    <row r="292" spans="2:4" ht="20.25" customHeight="1">
      <c r="B292" s="107" t="s">
        <v>5954</v>
      </c>
      <c r="C292" s="165" t="s">
        <v>5955</v>
      </c>
      <c r="D292" s="140">
        <v>45111</v>
      </c>
    </row>
    <row r="293" spans="2:4" ht="20.25" customHeight="1">
      <c r="B293" s="108" t="s">
        <v>5956</v>
      </c>
      <c r="C293" s="132" t="s">
        <v>4628</v>
      </c>
      <c r="D293" s="140">
        <v>45111</v>
      </c>
    </row>
    <row r="294" spans="2:4" ht="20.25" customHeight="1">
      <c r="B294" s="108" t="s">
        <v>5957</v>
      </c>
      <c r="C294" s="132" t="s">
        <v>5958</v>
      </c>
      <c r="D294" s="140">
        <v>45111</v>
      </c>
    </row>
    <row r="295" spans="2:4" ht="20.25" customHeight="1">
      <c r="B295" s="108" t="s">
        <v>5959</v>
      </c>
      <c r="C295" s="132" t="s">
        <v>5960</v>
      </c>
      <c r="D295" s="141"/>
    </row>
    <row r="296" spans="2:4" ht="20.25" customHeight="1">
      <c r="B296" s="108" t="s">
        <v>5961</v>
      </c>
      <c r="C296" s="132" t="s">
        <v>5962</v>
      </c>
      <c r="D296" s="133">
        <v>45097</v>
      </c>
    </row>
    <row r="297" spans="2:4" ht="20.25" customHeight="1">
      <c r="B297" s="108" t="s">
        <v>5963</v>
      </c>
      <c r="C297" s="132" t="s">
        <v>5964</v>
      </c>
      <c r="D297" s="141"/>
    </row>
    <row r="298" spans="2:4" ht="20.25" customHeight="1">
      <c r="B298" s="108" t="s">
        <v>5965</v>
      </c>
      <c r="C298" s="132" t="s">
        <v>5966</v>
      </c>
      <c r="D298" s="141"/>
    </row>
    <row r="299" spans="2:4" ht="20.25" customHeight="1">
      <c r="B299" s="108" t="s">
        <v>5967</v>
      </c>
      <c r="C299" s="138" t="s">
        <v>5968</v>
      </c>
      <c r="D299" s="141"/>
    </row>
    <row r="300" spans="2:4" ht="20.25" customHeight="1">
      <c r="B300" s="108" t="s">
        <v>5969</v>
      </c>
      <c r="C300" s="132" t="s">
        <v>4628</v>
      </c>
      <c r="D300" s="140">
        <v>45111</v>
      </c>
    </row>
    <row r="301" spans="2:4" ht="20.25" customHeight="1">
      <c r="B301" s="108" t="s">
        <v>5970</v>
      </c>
      <c r="C301" s="132" t="s">
        <v>5971</v>
      </c>
      <c r="D301" s="140">
        <v>45111</v>
      </c>
    </row>
    <row r="302" spans="2:4" ht="20.25" customHeight="1">
      <c r="B302" s="108" t="s">
        <v>5972</v>
      </c>
      <c r="C302" s="132" t="s">
        <v>5973</v>
      </c>
      <c r="D302" s="137"/>
    </row>
    <row r="303" spans="2:4" ht="20.25" customHeight="1">
      <c r="B303" s="108" t="s">
        <v>5974</v>
      </c>
      <c r="C303" s="132" t="s">
        <v>5975</v>
      </c>
      <c r="D303" s="136" t="s">
        <v>4361</v>
      </c>
    </row>
    <row r="304" spans="2:4" ht="20.25" customHeight="1">
      <c r="B304" s="108" t="s">
        <v>5976</v>
      </c>
      <c r="C304" s="132" t="s">
        <v>5977</v>
      </c>
      <c r="D304" s="141"/>
    </row>
    <row r="305" spans="2:4" ht="20.25" customHeight="1">
      <c r="B305" s="108" t="s">
        <v>5978</v>
      </c>
      <c r="C305" s="132" t="s">
        <v>5979</v>
      </c>
      <c r="D305" s="140">
        <v>45111</v>
      </c>
    </row>
    <row r="306" spans="2:4" ht="20.25" customHeight="1">
      <c r="B306" s="108" t="s">
        <v>5470</v>
      </c>
      <c r="C306" s="132" t="s">
        <v>5980</v>
      </c>
      <c r="D306" s="141"/>
    </row>
    <row r="307" spans="2:4" ht="20.25" customHeight="1">
      <c r="B307" s="108" t="s">
        <v>5459</v>
      </c>
      <c r="C307" s="132" t="s">
        <v>5981</v>
      </c>
      <c r="D307" s="140">
        <v>45111</v>
      </c>
    </row>
    <row r="308" spans="2:4" ht="20.25" customHeight="1">
      <c r="B308" s="108" t="s">
        <v>5982</v>
      </c>
      <c r="C308" s="132" t="s">
        <v>5983</v>
      </c>
      <c r="D308" s="141"/>
    </row>
    <row r="309" spans="2:4" ht="20.25" customHeight="1">
      <c r="B309" s="108" t="s">
        <v>5984</v>
      </c>
      <c r="C309" s="132" t="s">
        <v>4628</v>
      </c>
      <c r="D309" s="141"/>
    </row>
    <row r="310" spans="2:4" ht="20.25" customHeight="1">
      <c r="B310" s="108" t="s">
        <v>5985</v>
      </c>
      <c r="C310" s="132" t="s">
        <v>5986</v>
      </c>
      <c r="D310" s="136" t="s">
        <v>4361</v>
      </c>
    </row>
    <row r="311" spans="2:4" ht="20.25" customHeight="1">
      <c r="B311" s="108" t="s">
        <v>5987</v>
      </c>
      <c r="C311" s="165" t="s">
        <v>5988</v>
      </c>
      <c r="D311" s="136" t="s">
        <v>4361</v>
      </c>
    </row>
    <row r="312" spans="2:4" ht="20.25" customHeight="1">
      <c r="B312" s="108" t="s">
        <v>5989</v>
      </c>
      <c r="C312" s="132" t="s">
        <v>5990</v>
      </c>
      <c r="D312" s="136">
        <v>45105</v>
      </c>
    </row>
    <row r="313" spans="2:4" ht="20.25" customHeight="1">
      <c r="B313" s="108" t="s">
        <v>5991</v>
      </c>
      <c r="C313" s="132" t="s">
        <v>4628</v>
      </c>
      <c r="D313" s="141"/>
    </row>
    <row r="314" spans="2:4" ht="20.25" customHeight="1">
      <c r="B314" s="108" t="s">
        <v>5992</v>
      </c>
      <c r="C314" s="132" t="s">
        <v>5993</v>
      </c>
      <c r="D314" s="141"/>
    </row>
    <row r="315" spans="2:4" ht="20.25" customHeight="1">
      <c r="B315" s="108" t="s">
        <v>5994</v>
      </c>
      <c r="C315" s="132" t="s">
        <v>5995</v>
      </c>
      <c r="D315" s="137"/>
    </row>
    <row r="316" spans="2:4" ht="20.25" customHeight="1">
      <c r="B316" s="108" t="s">
        <v>5996</v>
      </c>
      <c r="C316" s="132" t="s">
        <v>5997</v>
      </c>
      <c r="D316" s="141"/>
    </row>
    <row r="317" spans="2:4" ht="20.25" customHeight="1">
      <c r="B317" s="108" t="s">
        <v>5998</v>
      </c>
      <c r="C317" s="132" t="s">
        <v>5999</v>
      </c>
      <c r="D317" s="133">
        <v>44961</v>
      </c>
    </row>
    <row r="318" spans="2:4" ht="20.25" customHeight="1">
      <c r="B318" s="108" t="s">
        <v>6000</v>
      </c>
      <c r="C318" s="132" t="s">
        <v>6001</v>
      </c>
      <c r="D318" s="141"/>
    </row>
    <row r="319" spans="2:4" ht="20.25" customHeight="1">
      <c r="B319" s="108" t="s">
        <v>6002</v>
      </c>
      <c r="C319" s="132" t="s">
        <v>6003</v>
      </c>
      <c r="D319" s="141"/>
    </row>
    <row r="320" spans="2:4" ht="20.25" customHeight="1">
      <c r="B320" s="108" t="s">
        <v>6004</v>
      </c>
      <c r="C320" s="138" t="s">
        <v>6005</v>
      </c>
      <c r="D320" s="141"/>
    </row>
    <row r="321" spans="2:4" ht="20.25" customHeight="1">
      <c r="B321" s="108" t="s">
        <v>6006</v>
      </c>
      <c r="C321" s="132" t="s">
        <v>4628</v>
      </c>
      <c r="D321" s="136">
        <v>45148</v>
      </c>
    </row>
    <row r="322" spans="2:4" ht="20.25" customHeight="1">
      <c r="B322" s="116" t="s">
        <v>6007</v>
      </c>
      <c r="C322" s="132" t="s">
        <v>6008</v>
      </c>
      <c r="D322" s="141"/>
    </row>
    <row r="323" spans="2:4" ht="20.25" customHeight="1">
      <c r="B323" s="116" t="s">
        <v>5534</v>
      </c>
      <c r="C323" s="132" t="s">
        <v>6009</v>
      </c>
      <c r="D323" s="133">
        <v>45097</v>
      </c>
    </row>
    <row r="324" spans="2:4" ht="20.25" customHeight="1">
      <c r="B324" s="108" t="s">
        <v>6010</v>
      </c>
      <c r="C324" s="138" t="s">
        <v>6011</v>
      </c>
      <c r="D324" s="136">
        <v>45105</v>
      </c>
    </row>
    <row r="325" spans="2:4" ht="20.25" customHeight="1">
      <c r="B325" s="108" t="s">
        <v>6012</v>
      </c>
      <c r="C325" s="132" t="s">
        <v>4628</v>
      </c>
      <c r="D325" s="141"/>
    </row>
    <row r="326" spans="2:4" ht="20.25" customHeight="1">
      <c r="B326" s="108" t="s">
        <v>6013</v>
      </c>
      <c r="C326" s="165" t="s">
        <v>6014</v>
      </c>
      <c r="D326" s="141"/>
    </row>
    <row r="327" spans="2:4" ht="20.25" customHeight="1">
      <c r="B327" s="108" t="s">
        <v>6015</v>
      </c>
      <c r="C327" s="138" t="s">
        <v>6016</v>
      </c>
      <c r="D327" s="141"/>
    </row>
    <row r="328" spans="2:4" ht="20.25" customHeight="1">
      <c r="B328" s="108" t="s">
        <v>6017</v>
      </c>
      <c r="C328" s="132" t="s">
        <v>6018</v>
      </c>
      <c r="D328" s="133">
        <v>45097</v>
      </c>
    </row>
    <row r="329" spans="2:4" ht="20.25" customHeight="1">
      <c r="B329" s="108" t="s">
        <v>6019</v>
      </c>
      <c r="C329" s="132" t="s">
        <v>6020</v>
      </c>
      <c r="D329" s="141"/>
    </row>
    <row r="330" spans="2:4" ht="20.25" customHeight="1">
      <c r="B330" s="108" t="s">
        <v>6021</v>
      </c>
      <c r="C330" s="166" t="s">
        <v>6022</v>
      </c>
      <c r="D330" s="141"/>
    </row>
    <row r="331" spans="2:4" ht="20.25" customHeight="1">
      <c r="B331" s="108" t="s">
        <v>6023</v>
      </c>
      <c r="C331" s="132" t="s">
        <v>6024</v>
      </c>
      <c r="D331" s="141"/>
    </row>
    <row r="332" spans="2:4" ht="20.25" customHeight="1">
      <c r="B332" s="108" t="s">
        <v>6025</v>
      </c>
      <c r="C332" s="132" t="s">
        <v>6026</v>
      </c>
      <c r="D332" s="141"/>
    </row>
    <row r="333" spans="2:4" ht="20.25" customHeight="1">
      <c r="B333" s="116" t="s">
        <v>6027</v>
      </c>
      <c r="C333" s="132" t="s">
        <v>6028</v>
      </c>
      <c r="D333" s="141"/>
    </row>
    <row r="334" spans="2:4" ht="20.25" customHeight="1">
      <c r="B334" s="108" t="s">
        <v>6029</v>
      </c>
      <c r="C334" s="132" t="s">
        <v>6030</v>
      </c>
      <c r="D334" s="141"/>
    </row>
    <row r="335" spans="2:4" ht="20.25" customHeight="1">
      <c r="B335" s="108" t="s">
        <v>6031</v>
      </c>
      <c r="C335" s="132" t="s">
        <v>6032</v>
      </c>
      <c r="D335" s="141"/>
    </row>
    <row r="336" spans="2:4" ht="20.25" customHeight="1">
      <c r="B336" s="116" t="s">
        <v>6033</v>
      </c>
      <c r="C336" s="132" t="s">
        <v>4628</v>
      </c>
      <c r="D336" s="141"/>
    </row>
    <row r="337" spans="2:4" ht="20.25" customHeight="1">
      <c r="B337" s="108" t="s">
        <v>6034</v>
      </c>
      <c r="C337" s="132" t="s">
        <v>4628</v>
      </c>
      <c r="D337" s="141"/>
    </row>
    <row r="338" spans="2:4" ht="20.25" customHeight="1">
      <c r="B338" s="108" t="s">
        <v>6035</v>
      </c>
      <c r="C338" s="132" t="s">
        <v>4628</v>
      </c>
      <c r="D338" s="141"/>
    </row>
    <row r="339" spans="2:4" ht="20.25" customHeight="1">
      <c r="B339" s="108" t="s">
        <v>6036</v>
      </c>
      <c r="C339" s="132" t="s">
        <v>6037</v>
      </c>
      <c r="D339" s="140">
        <v>45111</v>
      </c>
    </row>
    <row r="340" spans="2:4" ht="20.25" customHeight="1">
      <c r="B340" s="108" t="s">
        <v>6038</v>
      </c>
      <c r="C340" s="132" t="s">
        <v>6039</v>
      </c>
      <c r="D340" s="141"/>
    </row>
    <row r="341" spans="2:4" ht="20.25" customHeight="1">
      <c r="B341" s="108" t="s">
        <v>6040</v>
      </c>
      <c r="C341" s="132" t="s">
        <v>4628</v>
      </c>
      <c r="D341" s="131" t="s">
        <v>4361</v>
      </c>
    </row>
    <row r="342" spans="2:4" ht="20.25" customHeight="1">
      <c r="B342" s="108" t="s">
        <v>6041</v>
      </c>
      <c r="C342" s="132" t="s">
        <v>6042</v>
      </c>
      <c r="D342" s="141"/>
    </row>
    <row r="343" spans="2:4" ht="20.25" customHeight="1">
      <c r="B343" s="108" t="s">
        <v>5456</v>
      </c>
      <c r="C343" s="132" t="s">
        <v>6043</v>
      </c>
      <c r="D343" s="141"/>
    </row>
    <row r="344" spans="2:4" ht="20.25" customHeight="1">
      <c r="B344" s="108" t="s">
        <v>6044</v>
      </c>
      <c r="C344" s="138" t="s">
        <v>6045</v>
      </c>
      <c r="D344" s="141"/>
    </row>
    <row r="345" spans="2:4" ht="20.25" customHeight="1">
      <c r="B345" s="108" t="s">
        <v>6046</v>
      </c>
      <c r="C345" s="132" t="s">
        <v>6047</v>
      </c>
      <c r="D345" s="141"/>
    </row>
    <row r="346" spans="2:4" ht="20.25" customHeight="1">
      <c r="B346" s="108" t="s">
        <v>6048</v>
      </c>
      <c r="C346" s="132" t="s">
        <v>6049</v>
      </c>
      <c r="D346" s="141"/>
    </row>
    <row r="347" spans="2:4" ht="20.25" customHeight="1">
      <c r="B347" s="108" t="s">
        <v>6050</v>
      </c>
      <c r="C347" s="132" t="s">
        <v>6051</v>
      </c>
      <c r="D347" s="141"/>
    </row>
    <row r="348" spans="2:4" ht="20.25" customHeight="1">
      <c r="B348" s="108" t="s">
        <v>5454</v>
      </c>
      <c r="C348" s="132" t="s">
        <v>6052</v>
      </c>
      <c r="D348" s="141"/>
    </row>
    <row r="349" spans="2:4" ht="20.25" customHeight="1">
      <c r="B349" s="116" t="s">
        <v>5536</v>
      </c>
      <c r="C349" s="132" t="s">
        <v>6053</v>
      </c>
      <c r="D349" s="141"/>
    </row>
    <row r="350" spans="2:4" ht="20.25" customHeight="1">
      <c r="B350" s="108" t="s">
        <v>6054</v>
      </c>
      <c r="C350" s="132" t="s">
        <v>6055</v>
      </c>
      <c r="D350" s="141"/>
    </row>
    <row r="351" spans="2:4" ht="20.25" customHeight="1">
      <c r="B351" s="108" t="s">
        <v>6056</v>
      </c>
      <c r="C351" s="132" t="s">
        <v>4628</v>
      </c>
      <c r="D351" s="141"/>
    </row>
    <row r="352" spans="2:4" ht="20.25" customHeight="1">
      <c r="B352" s="108" t="s">
        <v>6057</v>
      </c>
      <c r="C352" s="132" t="s">
        <v>4628</v>
      </c>
      <c r="D352" s="141"/>
    </row>
    <row r="353" spans="2:4" ht="20.25" customHeight="1">
      <c r="B353" s="108" t="s">
        <v>6058</v>
      </c>
      <c r="C353" s="132" t="s">
        <v>6059</v>
      </c>
      <c r="D353" s="141"/>
    </row>
    <row r="354" spans="2:4" ht="20.25" customHeight="1">
      <c r="B354" s="108" t="s">
        <v>6060</v>
      </c>
      <c r="C354" s="132" t="s">
        <v>4628</v>
      </c>
      <c r="D354" s="141"/>
    </row>
    <row r="355" spans="2:4" ht="20.25" customHeight="1">
      <c r="B355" s="108" t="s">
        <v>6061</v>
      </c>
      <c r="C355" s="132" t="s">
        <v>6062</v>
      </c>
      <c r="D355" s="141"/>
    </row>
    <row r="356" spans="2:4" ht="20.25" customHeight="1">
      <c r="B356" s="116" t="s">
        <v>5538</v>
      </c>
      <c r="C356" s="132" t="s">
        <v>4628</v>
      </c>
      <c r="D356" s="141"/>
    </row>
    <row r="357" spans="2:4" ht="20.25" customHeight="1">
      <c r="B357" s="116" t="s">
        <v>6063</v>
      </c>
      <c r="C357" s="132" t="s">
        <v>6064</v>
      </c>
      <c r="D357" s="141"/>
    </row>
    <row r="358" spans="2:4" ht="20.25" customHeight="1">
      <c r="B358" s="108" t="s">
        <v>6065</v>
      </c>
      <c r="C358" s="132" t="s">
        <v>4628</v>
      </c>
      <c r="D358" s="141"/>
    </row>
    <row r="359" spans="2:4" ht="20.25" customHeight="1">
      <c r="B359" s="108" t="s">
        <v>6066</v>
      </c>
      <c r="C359" s="132" t="s">
        <v>4628</v>
      </c>
      <c r="D359" s="141"/>
    </row>
    <row r="360" spans="2:4" ht="20.25" customHeight="1">
      <c r="B360" s="108" t="s">
        <v>5462</v>
      </c>
      <c r="C360" s="132" t="s">
        <v>4628</v>
      </c>
      <c r="D360" s="141"/>
    </row>
    <row r="361" spans="2:4" ht="20.25" customHeight="1">
      <c r="B361" s="108" t="s">
        <v>6067</v>
      </c>
      <c r="C361" s="132" t="s">
        <v>6068</v>
      </c>
      <c r="D361" s="141"/>
    </row>
    <row r="362" spans="2:4" ht="20.25" customHeight="1">
      <c r="B362" s="108" t="s">
        <v>6069</v>
      </c>
      <c r="C362" s="138" t="s">
        <v>6070</v>
      </c>
      <c r="D362" s="141"/>
    </row>
    <row r="363" spans="2:4" ht="20.25" customHeight="1">
      <c r="B363" s="108" t="s">
        <v>6071</v>
      </c>
      <c r="C363" s="132" t="s">
        <v>6072</v>
      </c>
      <c r="D363" s="141"/>
    </row>
    <row r="364" spans="2:4" ht="20.25" customHeight="1">
      <c r="B364" s="108" t="s">
        <v>6073</v>
      </c>
      <c r="C364" s="132" t="s">
        <v>4628</v>
      </c>
      <c r="D364" s="141"/>
    </row>
    <row r="365" spans="2:4" ht="20.25" customHeight="1">
      <c r="B365" s="108" t="s">
        <v>6074</v>
      </c>
      <c r="C365" s="167" t="s">
        <v>4628</v>
      </c>
      <c r="D365" s="141"/>
    </row>
    <row r="366" spans="2:4" ht="20.25" customHeight="1">
      <c r="B366" s="116" t="s">
        <v>6075</v>
      </c>
      <c r="C366" s="138" t="s">
        <v>6076</v>
      </c>
      <c r="D366" s="141"/>
    </row>
    <row r="367" spans="2:4" ht="20.25" customHeight="1">
      <c r="B367" s="116" t="s">
        <v>6077</v>
      </c>
      <c r="C367" s="132" t="s">
        <v>6078</v>
      </c>
      <c r="D367" s="141"/>
    </row>
    <row r="368" spans="2:4" ht="20.25" customHeight="1">
      <c r="B368" s="108" t="s">
        <v>6079</v>
      </c>
      <c r="C368" s="132" t="s">
        <v>4628</v>
      </c>
      <c r="D368" s="141"/>
    </row>
    <row r="369" spans="2:4" ht="20.25" customHeight="1">
      <c r="B369" s="108" t="s">
        <v>5461</v>
      </c>
      <c r="C369" s="132" t="s">
        <v>6080</v>
      </c>
      <c r="D369" s="136">
        <v>45148</v>
      </c>
    </row>
    <row r="370" spans="2:4" ht="20.25" customHeight="1">
      <c r="B370" s="116" t="s">
        <v>6081</v>
      </c>
      <c r="C370" s="132" t="s">
        <v>6082</v>
      </c>
      <c r="D370" s="142"/>
    </row>
    <row r="371" spans="2:4" ht="20.25" customHeight="1">
      <c r="B371" s="108" t="s">
        <v>6083</v>
      </c>
      <c r="C371" s="132" t="s">
        <v>6084</v>
      </c>
      <c r="D371" s="135"/>
    </row>
    <row r="372" spans="2:4" ht="20.25" customHeight="1">
      <c r="B372" s="108" t="s">
        <v>6085</v>
      </c>
      <c r="C372" s="132" t="s">
        <v>6084</v>
      </c>
      <c r="D372" s="156"/>
    </row>
    <row r="373" spans="2:4" ht="20.25" customHeight="1">
      <c r="B373" s="108" t="s">
        <v>6086</v>
      </c>
      <c r="C373" s="132" t="s">
        <v>6087</v>
      </c>
      <c r="D373" s="133">
        <v>44961</v>
      </c>
    </row>
    <row r="374" spans="2:4" ht="20.25" customHeight="1">
      <c r="B374" s="108" t="s">
        <v>6088</v>
      </c>
      <c r="C374" s="132" t="s">
        <v>6089</v>
      </c>
      <c r="D374" s="133">
        <v>44992</v>
      </c>
    </row>
    <row r="375" spans="2:4" ht="20.25" customHeight="1">
      <c r="B375" s="108" t="s">
        <v>6090</v>
      </c>
      <c r="C375" s="132" t="s">
        <v>6091</v>
      </c>
      <c r="D375" s="136">
        <v>45105</v>
      </c>
    </row>
    <row r="376" spans="2:4" ht="20.25" customHeight="1">
      <c r="B376" s="108" t="s">
        <v>5465</v>
      </c>
      <c r="C376" s="132" t="s">
        <v>6092</v>
      </c>
      <c r="D376" s="133">
        <v>44961</v>
      </c>
    </row>
    <row r="377" spans="2:4" ht="20.25" customHeight="1">
      <c r="B377" s="108" t="s">
        <v>6093</v>
      </c>
      <c r="C377" s="132" t="s">
        <v>6094</v>
      </c>
      <c r="D377" s="133">
        <v>44961</v>
      </c>
    </row>
    <row r="378" spans="2:4" ht="20.25" customHeight="1">
      <c r="B378" s="108" t="s">
        <v>6095</v>
      </c>
      <c r="C378" s="132" t="s">
        <v>6096</v>
      </c>
      <c r="D378" s="141"/>
    </row>
    <row r="379" spans="2:4" ht="20.25" customHeight="1">
      <c r="B379" s="108" t="s">
        <v>6097</v>
      </c>
      <c r="C379" s="138" t="s">
        <v>6098</v>
      </c>
      <c r="D379" s="133">
        <v>44992</v>
      </c>
    </row>
    <row r="380" spans="2:4" ht="20.25" customHeight="1">
      <c r="B380" s="108" t="s">
        <v>6099</v>
      </c>
      <c r="C380" s="132" t="s">
        <v>6100</v>
      </c>
      <c r="D380" s="133">
        <v>44961</v>
      </c>
    </row>
    <row r="381" spans="2:4" ht="20.25" customHeight="1">
      <c r="B381" s="108" t="s">
        <v>6101</v>
      </c>
      <c r="C381" s="132" t="s">
        <v>6102</v>
      </c>
      <c r="D381" s="133">
        <v>44961</v>
      </c>
    </row>
    <row r="382" spans="2:4" ht="20.25" customHeight="1">
      <c r="B382" s="108" t="s">
        <v>5540</v>
      </c>
      <c r="C382" s="132" t="s">
        <v>6103</v>
      </c>
      <c r="D382" s="133">
        <v>44961</v>
      </c>
    </row>
    <row r="383" spans="2:4" ht="20.25" customHeight="1">
      <c r="B383" s="108" t="s">
        <v>5542</v>
      </c>
      <c r="C383" s="132" t="s">
        <v>6104</v>
      </c>
      <c r="D383" s="133">
        <v>44961</v>
      </c>
    </row>
    <row r="384" spans="2:4" ht="20.25" customHeight="1">
      <c r="B384" s="108" t="s">
        <v>5544</v>
      </c>
      <c r="C384" s="132" t="s">
        <v>6105</v>
      </c>
      <c r="D384" s="141"/>
    </row>
    <row r="385" spans="2:4" ht="20.25" customHeight="1">
      <c r="B385" s="108" t="s">
        <v>5546</v>
      </c>
      <c r="C385" s="132" t="s">
        <v>6106</v>
      </c>
      <c r="D385" s="133">
        <v>44961</v>
      </c>
    </row>
    <row r="386" spans="2:4" ht="20.25" customHeight="1">
      <c r="B386" s="108" t="s">
        <v>6107</v>
      </c>
      <c r="C386" s="132" t="s">
        <v>6108</v>
      </c>
      <c r="D386" s="141"/>
    </row>
    <row r="387" spans="2:4" ht="20.25" customHeight="1">
      <c r="B387" s="108" t="s">
        <v>6109</v>
      </c>
      <c r="C387" s="132" t="s">
        <v>6110</v>
      </c>
      <c r="D387" s="141"/>
    </row>
    <row r="388" spans="2:4" ht="20.25" customHeight="1">
      <c r="B388" s="108" t="s">
        <v>6111</v>
      </c>
      <c r="C388" s="132" t="s">
        <v>6112</v>
      </c>
      <c r="D388" s="136">
        <v>45106</v>
      </c>
    </row>
    <row r="389" spans="2:4" ht="20.25" customHeight="1">
      <c r="B389" s="108" t="s">
        <v>6113</v>
      </c>
      <c r="C389" s="132" t="s">
        <v>6114</v>
      </c>
      <c r="D389" s="141"/>
    </row>
    <row r="390" spans="2:4" ht="20.25" customHeight="1">
      <c r="B390" s="108" t="s">
        <v>6115</v>
      </c>
      <c r="C390" s="132" t="s">
        <v>4628</v>
      </c>
      <c r="D390" s="136">
        <v>45105</v>
      </c>
    </row>
    <row r="391" spans="2:4" ht="20.25" customHeight="1">
      <c r="B391" s="108" t="s">
        <v>6116</v>
      </c>
      <c r="C391" s="132" t="s">
        <v>4628</v>
      </c>
      <c r="D391" s="136">
        <v>45148</v>
      </c>
    </row>
    <row r="392" spans="2:4" ht="20.25" customHeight="1">
      <c r="B392" s="108" t="s">
        <v>5467</v>
      </c>
      <c r="C392" s="132" t="s">
        <v>6117</v>
      </c>
      <c r="D392" s="141"/>
    </row>
    <row r="393" spans="2:4" ht="20.25" customHeight="1">
      <c r="B393" s="108" t="s">
        <v>6118</v>
      </c>
      <c r="C393" s="132" t="s">
        <v>6119</v>
      </c>
      <c r="D393" s="141"/>
    </row>
    <row r="394" spans="2:4" ht="20.25" customHeight="1">
      <c r="B394" s="108" t="s">
        <v>6120</v>
      </c>
      <c r="C394" s="132" t="s">
        <v>6121</v>
      </c>
      <c r="D394" s="136">
        <v>45105</v>
      </c>
    </row>
    <row r="395" spans="2:4" ht="20.25" customHeight="1">
      <c r="B395" s="108" t="s">
        <v>6122</v>
      </c>
      <c r="C395" s="132" t="s">
        <v>6123</v>
      </c>
      <c r="D395" s="131" t="s">
        <v>4361</v>
      </c>
    </row>
    <row r="396" spans="2:4" ht="20.25" customHeight="1">
      <c r="B396" s="108" t="s">
        <v>6124</v>
      </c>
      <c r="C396" s="132" t="s">
        <v>4628</v>
      </c>
      <c r="D396" s="136">
        <v>45148</v>
      </c>
    </row>
    <row r="397" spans="2:4" ht="20.25" customHeight="1">
      <c r="B397" s="108" t="s">
        <v>6125</v>
      </c>
      <c r="C397" s="132" t="s">
        <v>4628</v>
      </c>
      <c r="D397" s="141"/>
    </row>
    <row r="398" spans="2:4" ht="20.25" customHeight="1">
      <c r="B398" s="116" t="s">
        <v>5548</v>
      </c>
      <c r="C398" s="132" t="s">
        <v>6126</v>
      </c>
      <c r="D398" s="156"/>
    </row>
    <row r="399" spans="2:4" ht="20.25" customHeight="1">
      <c r="B399" s="108" t="s">
        <v>5550</v>
      </c>
      <c r="C399" s="132" t="s">
        <v>6127</v>
      </c>
      <c r="D399" s="136">
        <v>45148</v>
      </c>
    </row>
    <row r="400" spans="2:4" ht="20.25" customHeight="1">
      <c r="B400" s="108" t="s">
        <v>6128</v>
      </c>
      <c r="C400" s="132" t="s">
        <v>6129</v>
      </c>
      <c r="D400" s="136">
        <v>45148</v>
      </c>
    </row>
    <row r="401" spans="2:4" ht="20.25" customHeight="1">
      <c r="B401" s="108" t="s">
        <v>6130</v>
      </c>
      <c r="C401" s="132" t="s">
        <v>4628</v>
      </c>
      <c r="D401" s="136">
        <v>45148</v>
      </c>
    </row>
    <row r="402" spans="2:4" ht="20.25" customHeight="1">
      <c r="B402" s="108" t="s">
        <v>6131</v>
      </c>
      <c r="C402" s="138" t="s">
        <v>6132</v>
      </c>
      <c r="D402" s="137"/>
    </row>
    <row r="403" spans="2:4" ht="20.25" customHeight="1">
      <c r="B403" s="108" t="s">
        <v>6133</v>
      </c>
      <c r="C403" s="132" t="s">
        <v>6134</v>
      </c>
      <c r="D403" s="136">
        <v>45148</v>
      </c>
    </row>
    <row r="404" spans="2:4" ht="20.25" customHeight="1">
      <c r="B404" s="108" t="s">
        <v>6135</v>
      </c>
      <c r="C404" s="132" t="s">
        <v>6136</v>
      </c>
      <c r="D404" s="136">
        <v>45148</v>
      </c>
    </row>
    <row r="405" spans="2:4" ht="20.25" customHeight="1">
      <c r="B405" s="108" t="s">
        <v>5469</v>
      </c>
      <c r="C405" s="132" t="s">
        <v>6137</v>
      </c>
      <c r="D405" s="136">
        <v>45148</v>
      </c>
    </row>
    <row r="406" spans="2:4" ht="20.25" customHeight="1">
      <c r="B406" s="108" t="s">
        <v>6138</v>
      </c>
      <c r="C406" s="132" t="s">
        <v>6139</v>
      </c>
      <c r="D406" s="136">
        <v>45105</v>
      </c>
    </row>
    <row r="407" spans="2:4" ht="20.25" customHeight="1">
      <c r="B407" s="108" t="s">
        <v>6140</v>
      </c>
      <c r="C407" s="132" t="s">
        <v>6141</v>
      </c>
      <c r="D407" s="133">
        <v>44961</v>
      </c>
    </row>
    <row r="408" spans="2:4" ht="20.25" customHeight="1">
      <c r="B408" s="108" t="s">
        <v>6142</v>
      </c>
      <c r="C408" s="132" t="s">
        <v>6143</v>
      </c>
      <c r="D408" s="133">
        <v>44961</v>
      </c>
    </row>
    <row r="409" spans="2:4" ht="20.25" customHeight="1">
      <c r="B409" s="108" t="s">
        <v>6144</v>
      </c>
      <c r="C409" s="132" t="s">
        <v>6145</v>
      </c>
      <c r="D409" s="133">
        <v>44992</v>
      </c>
    </row>
    <row r="410" spans="2:4" ht="20.25" customHeight="1">
      <c r="B410" s="108" t="s">
        <v>6146</v>
      </c>
      <c r="C410" s="138" t="s">
        <v>6147</v>
      </c>
      <c r="D410" s="133">
        <v>44992</v>
      </c>
    </row>
    <row r="411" spans="2:4" ht="20.25" customHeight="1">
      <c r="B411" s="108" t="s">
        <v>6148</v>
      </c>
      <c r="C411" s="132" t="s">
        <v>6149</v>
      </c>
      <c r="D411" s="141"/>
    </row>
    <row r="412" spans="2:4" ht="20.25" customHeight="1">
      <c r="B412" s="108" t="s">
        <v>6150</v>
      </c>
      <c r="C412" s="132" t="s">
        <v>6151</v>
      </c>
      <c r="D412" s="141"/>
    </row>
    <row r="413" spans="2:4" ht="20.25" customHeight="1">
      <c r="B413" s="116" t="s">
        <v>6152</v>
      </c>
      <c r="C413" s="132" t="s">
        <v>6153</v>
      </c>
      <c r="D413" s="141"/>
    </row>
    <row r="414" spans="2:4" ht="20.25" customHeight="1">
      <c r="B414" s="116" t="s">
        <v>6154</v>
      </c>
      <c r="C414" s="132" t="s">
        <v>6155</v>
      </c>
      <c r="D414" s="136">
        <v>45105</v>
      </c>
    </row>
    <row r="415" spans="2:4" ht="20.25" customHeight="1">
      <c r="B415" s="108" t="s">
        <v>6156</v>
      </c>
      <c r="C415" s="132" t="s">
        <v>3673</v>
      </c>
      <c r="D415" s="133">
        <v>44961</v>
      </c>
    </row>
    <row r="416" spans="2:4" ht="20.25" customHeight="1">
      <c r="B416" s="108" t="s">
        <v>6157</v>
      </c>
      <c r="C416" s="132" t="s">
        <v>4628</v>
      </c>
      <c r="D416" s="133">
        <v>44961</v>
      </c>
    </row>
    <row r="417" spans="2:4" ht="20.25" customHeight="1">
      <c r="B417" s="108" t="s">
        <v>6158</v>
      </c>
      <c r="C417" s="132" t="s">
        <v>6159</v>
      </c>
      <c r="D417" s="136">
        <v>45105</v>
      </c>
    </row>
    <row r="418" spans="2:4" ht="20.25" customHeight="1">
      <c r="B418" s="108" t="s">
        <v>6160</v>
      </c>
      <c r="C418" s="132" t="s">
        <v>6161</v>
      </c>
      <c r="D418" s="133">
        <v>44961</v>
      </c>
    </row>
    <row r="419" spans="2:4" ht="20.25" customHeight="1">
      <c r="B419" s="108" t="s">
        <v>6162</v>
      </c>
      <c r="C419" s="132" t="s">
        <v>6163</v>
      </c>
      <c r="D419" s="136">
        <v>45105</v>
      </c>
    </row>
    <row r="420" spans="2:4" ht="20.25" customHeight="1">
      <c r="B420" s="108" t="s">
        <v>6164</v>
      </c>
      <c r="C420" s="132" t="s">
        <v>6165</v>
      </c>
      <c r="D420" s="133">
        <v>44961</v>
      </c>
    </row>
    <row r="421" spans="2:4" ht="20.25" customHeight="1">
      <c r="B421" s="108" t="s">
        <v>6166</v>
      </c>
      <c r="C421" s="132" t="s">
        <v>6167</v>
      </c>
      <c r="D421" s="141"/>
    </row>
    <row r="422" spans="2:4" ht="20.25" customHeight="1">
      <c r="B422" s="108" t="s">
        <v>6168</v>
      </c>
      <c r="C422" s="132" t="s">
        <v>6169</v>
      </c>
      <c r="D422" s="141"/>
    </row>
    <row r="423" spans="2:4" ht="20.25" customHeight="1">
      <c r="B423" s="108" t="s">
        <v>5552</v>
      </c>
      <c r="C423" s="132" t="s">
        <v>6170</v>
      </c>
      <c r="D423" s="133">
        <v>44992</v>
      </c>
    </row>
    <row r="424" spans="2:4" ht="20.25" customHeight="1">
      <c r="B424" s="108" t="s">
        <v>6171</v>
      </c>
      <c r="C424" s="132" t="s">
        <v>6172</v>
      </c>
      <c r="D424" s="141"/>
    </row>
    <row r="425" spans="2:4" ht="20.25" customHeight="1">
      <c r="B425" s="108" t="s">
        <v>6173</v>
      </c>
      <c r="C425" s="132" t="s">
        <v>6174</v>
      </c>
      <c r="D425" s="141"/>
    </row>
    <row r="426" spans="2:4" ht="20.25" customHeight="1">
      <c r="B426" s="108" t="s">
        <v>6175</v>
      </c>
      <c r="C426" s="132" t="s">
        <v>4628</v>
      </c>
      <c r="D426" s="136">
        <v>45148</v>
      </c>
    </row>
    <row r="427" spans="2:4" ht="20.25" customHeight="1">
      <c r="B427" s="108" t="s">
        <v>6176</v>
      </c>
      <c r="C427" s="132" t="s">
        <v>6177</v>
      </c>
      <c r="D427" s="133">
        <v>44889</v>
      </c>
    </row>
    <row r="428" spans="2:4" ht="20.25" customHeight="1">
      <c r="B428" s="108" t="s">
        <v>6178</v>
      </c>
      <c r="C428" s="138" t="s">
        <v>6179</v>
      </c>
      <c r="D428" s="133">
        <v>44889</v>
      </c>
    </row>
    <row r="429" spans="2:4" ht="20.25" customHeight="1">
      <c r="B429" s="108" t="s">
        <v>6180</v>
      </c>
      <c r="C429" s="132" t="s">
        <v>6181</v>
      </c>
      <c r="D429" s="133">
        <v>44992</v>
      </c>
    </row>
    <row r="430" spans="2:4" ht="20.25" customHeight="1">
      <c r="B430" s="108" t="s">
        <v>6182</v>
      </c>
      <c r="C430" s="132" t="s">
        <v>6183</v>
      </c>
      <c r="D430" s="140">
        <v>45111</v>
      </c>
    </row>
    <row r="431" spans="2:4" ht="20.25" customHeight="1">
      <c r="B431" s="108" t="s">
        <v>6184</v>
      </c>
      <c r="C431" s="138" t="s">
        <v>6185</v>
      </c>
      <c r="D431" s="131" t="s">
        <v>4361</v>
      </c>
    </row>
    <row r="432" spans="2:4" ht="20.25" customHeight="1">
      <c r="B432" s="108" t="s">
        <v>5471</v>
      </c>
      <c r="C432" s="132" t="s">
        <v>6186</v>
      </c>
      <c r="D432" s="131" t="s">
        <v>4361</v>
      </c>
    </row>
    <row r="433" spans="2:4" ht="20.25" customHeight="1">
      <c r="B433" s="108" t="s">
        <v>6187</v>
      </c>
      <c r="C433" s="138" t="s">
        <v>6188</v>
      </c>
      <c r="D433" s="131" t="s">
        <v>4361</v>
      </c>
    </row>
    <row r="434" spans="2:4" ht="20.25" customHeight="1">
      <c r="B434" s="108" t="s">
        <v>6189</v>
      </c>
      <c r="C434" s="132" t="s">
        <v>6190</v>
      </c>
      <c r="D434" s="141"/>
    </row>
    <row r="435" spans="2:4" ht="20.25" customHeight="1">
      <c r="B435" s="108" t="s">
        <v>6191</v>
      </c>
      <c r="C435" s="138" t="s">
        <v>6192</v>
      </c>
      <c r="D435" s="141"/>
    </row>
    <row r="436" spans="2:4" ht="20.25" customHeight="1">
      <c r="B436" s="108" t="s">
        <v>6193</v>
      </c>
      <c r="C436" s="138" t="s">
        <v>6194</v>
      </c>
      <c r="D436" s="141"/>
    </row>
    <row r="437" spans="2:4" ht="20.25" customHeight="1">
      <c r="B437" s="108" t="s">
        <v>6195</v>
      </c>
      <c r="C437" s="132" t="s">
        <v>6196</v>
      </c>
      <c r="D437" s="141"/>
    </row>
    <row r="438" spans="2:4" ht="20.25" customHeight="1">
      <c r="B438" s="108" t="s">
        <v>5463</v>
      </c>
      <c r="C438" s="132" t="s">
        <v>6197</v>
      </c>
      <c r="D438" s="133">
        <v>44816</v>
      </c>
    </row>
    <row r="439" spans="2:4" ht="20.25" customHeight="1">
      <c r="B439" s="108" t="s">
        <v>6198</v>
      </c>
      <c r="C439" s="138" t="s">
        <v>6199</v>
      </c>
      <c r="D439" s="133">
        <v>44910</v>
      </c>
    </row>
    <row r="440" spans="2:4" ht="20.25" customHeight="1">
      <c r="B440" s="108" t="s">
        <v>6200</v>
      </c>
      <c r="C440" s="138" t="s">
        <v>6199</v>
      </c>
      <c r="D440" s="133">
        <v>44816</v>
      </c>
    </row>
    <row r="441" spans="2:4" ht="20.25" customHeight="1">
      <c r="B441" s="108" t="s">
        <v>6201</v>
      </c>
      <c r="C441" s="132" t="s">
        <v>6202</v>
      </c>
      <c r="D441" s="131" t="s">
        <v>4361</v>
      </c>
    </row>
    <row r="442" spans="2:4" ht="20.25" customHeight="1">
      <c r="B442" s="108" t="s">
        <v>6203</v>
      </c>
      <c r="C442" s="132" t="s">
        <v>6204</v>
      </c>
      <c r="D442" s="133">
        <v>44923</v>
      </c>
    </row>
    <row r="443" spans="2:4" ht="20.25" customHeight="1">
      <c r="B443" s="108" t="s">
        <v>5473</v>
      </c>
      <c r="C443" s="138" t="s">
        <v>6205</v>
      </c>
      <c r="D443" s="131"/>
    </row>
    <row r="444" spans="2:4" ht="20.25" customHeight="1">
      <c r="B444" s="108" t="s">
        <v>6206</v>
      </c>
      <c r="C444" s="138" t="s">
        <v>6207</v>
      </c>
      <c r="D444" s="133">
        <v>45013</v>
      </c>
    </row>
    <row r="445" spans="2:4" ht="20.25" customHeight="1">
      <c r="B445" s="108" t="s">
        <v>6208</v>
      </c>
      <c r="C445" s="138" t="s">
        <v>6209</v>
      </c>
      <c r="D445" s="133">
        <v>44923</v>
      </c>
    </row>
    <row r="446" spans="2:4" ht="20.25" customHeight="1">
      <c r="B446" s="108" t="s">
        <v>5475</v>
      </c>
      <c r="C446" s="138" t="s">
        <v>6210</v>
      </c>
      <c r="D446" s="133">
        <v>44923</v>
      </c>
    </row>
    <row r="447" spans="2:4" ht="20.25" customHeight="1">
      <c r="B447" s="108" t="s">
        <v>5476</v>
      </c>
      <c r="C447" s="138" t="s">
        <v>6211</v>
      </c>
      <c r="D447" s="133">
        <v>44816</v>
      </c>
    </row>
    <row r="448" spans="2:4" ht="20.25" customHeight="1">
      <c r="B448" s="108" t="s">
        <v>5554</v>
      </c>
      <c r="C448" s="138" t="s">
        <v>6212</v>
      </c>
      <c r="D448" s="131" t="s">
        <v>4361</v>
      </c>
    </row>
    <row r="449" spans="2:4" ht="20.25" customHeight="1">
      <c r="B449" s="108" t="s">
        <v>6213</v>
      </c>
      <c r="C449" s="132" t="s">
        <v>6214</v>
      </c>
      <c r="D449" s="131" t="s">
        <v>4361</v>
      </c>
    </row>
    <row r="450" spans="2:4" ht="20.25" customHeight="1">
      <c r="B450" s="108" t="s">
        <v>5478</v>
      </c>
      <c r="C450" s="132" t="s">
        <v>6215</v>
      </c>
      <c r="D450" s="133">
        <v>44816</v>
      </c>
    </row>
    <row r="451" spans="2:4" ht="20.25" customHeight="1">
      <c r="B451" s="108" t="s">
        <v>6216</v>
      </c>
      <c r="C451" s="138" t="s">
        <v>6217</v>
      </c>
      <c r="D451" s="133">
        <v>44816</v>
      </c>
    </row>
    <row r="452" spans="2:4" ht="20.25" customHeight="1">
      <c r="B452" s="108" t="s">
        <v>5468</v>
      </c>
      <c r="C452" s="132" t="s">
        <v>6218</v>
      </c>
      <c r="D452" s="133">
        <v>44816</v>
      </c>
    </row>
    <row r="453" spans="2:4" ht="20.25" customHeight="1">
      <c r="B453" s="108" t="s">
        <v>6219</v>
      </c>
      <c r="C453" s="132" t="s">
        <v>6220</v>
      </c>
      <c r="D453" s="131" t="s">
        <v>4361</v>
      </c>
    </row>
    <row r="454" spans="2:4" ht="20.25" customHeight="1">
      <c r="B454" s="108" t="s">
        <v>6221</v>
      </c>
      <c r="C454" s="138" t="s">
        <v>6222</v>
      </c>
      <c r="D454" s="152">
        <v>45034</v>
      </c>
    </row>
    <row r="455" spans="2:4" ht="20.25" customHeight="1">
      <c r="B455" s="108" t="s">
        <v>6223</v>
      </c>
      <c r="C455" s="138" t="s">
        <v>6224</v>
      </c>
      <c r="D455" s="133">
        <v>44992</v>
      </c>
    </row>
    <row r="456" spans="2:4" ht="20.25" customHeight="1">
      <c r="B456" s="108" t="s">
        <v>6225</v>
      </c>
      <c r="C456" s="138" t="s">
        <v>6226</v>
      </c>
      <c r="D456" s="133">
        <v>44992</v>
      </c>
    </row>
    <row r="457" spans="2:4" ht="20.25" customHeight="1">
      <c r="B457" s="108" t="s">
        <v>5480</v>
      </c>
      <c r="C457" s="132" t="s">
        <v>6227</v>
      </c>
      <c r="D457" s="152">
        <v>45034</v>
      </c>
    </row>
    <row r="458" spans="2:4" ht="20.25" customHeight="1">
      <c r="B458" s="108" t="s">
        <v>6228</v>
      </c>
      <c r="C458" s="132" t="s">
        <v>6229</v>
      </c>
      <c r="D458" s="131" t="s">
        <v>4361</v>
      </c>
    </row>
    <row r="459" spans="2:4" ht="20.25" customHeight="1">
      <c r="B459" s="108" t="s">
        <v>6230</v>
      </c>
      <c r="C459" s="132" t="s">
        <v>6231</v>
      </c>
      <c r="D459" s="131" t="s">
        <v>4361</v>
      </c>
    </row>
    <row r="460" spans="2:4" ht="20.25" customHeight="1">
      <c r="B460" s="108" t="s">
        <v>5464</v>
      </c>
      <c r="C460" s="132" t="s">
        <v>6232</v>
      </c>
      <c r="D460" s="131" t="s">
        <v>4361</v>
      </c>
    </row>
    <row r="461" spans="2:4" ht="20.25" customHeight="1">
      <c r="B461" s="108" t="s">
        <v>5483</v>
      </c>
      <c r="C461" s="132" t="s">
        <v>6233</v>
      </c>
      <c r="D461" s="133">
        <v>44862</v>
      </c>
    </row>
    <row r="462" spans="2:4" ht="20.25" customHeight="1">
      <c r="B462" s="116" t="s">
        <v>5485</v>
      </c>
      <c r="C462" s="132" t="s">
        <v>6234</v>
      </c>
      <c r="D462" s="131" t="s">
        <v>4361</v>
      </c>
    </row>
    <row r="463" spans="2:4" ht="20.25" customHeight="1">
      <c r="B463" s="108" t="s">
        <v>6235</v>
      </c>
      <c r="C463" s="132" t="s">
        <v>6236</v>
      </c>
      <c r="D463" s="133">
        <v>44862</v>
      </c>
    </row>
    <row r="464" spans="2:4" ht="20.25" customHeight="1">
      <c r="B464" s="108" t="s">
        <v>5474</v>
      </c>
      <c r="C464" s="132" t="s">
        <v>6237</v>
      </c>
      <c r="D464" s="152">
        <v>45040</v>
      </c>
    </row>
    <row r="465" spans="2:4" ht="20.25" customHeight="1">
      <c r="B465" s="108" t="s">
        <v>5472</v>
      </c>
      <c r="C465" s="138" t="s">
        <v>6238</v>
      </c>
      <c r="D465" s="131" t="s">
        <v>4361</v>
      </c>
    </row>
    <row r="466" spans="2:4" ht="20.25" customHeight="1">
      <c r="B466" s="108" t="s">
        <v>6239</v>
      </c>
      <c r="C466" s="132" t="s">
        <v>6240</v>
      </c>
      <c r="D466" s="131" t="s">
        <v>4361</v>
      </c>
    </row>
    <row r="467" spans="2:4" ht="20.25" customHeight="1">
      <c r="B467" s="108" t="s">
        <v>6241</v>
      </c>
      <c r="C467" s="138" t="s">
        <v>6242</v>
      </c>
      <c r="D467" s="131" t="s">
        <v>4361</v>
      </c>
    </row>
    <row r="468" spans="2:4" ht="20.25" customHeight="1">
      <c r="B468" s="108" t="s">
        <v>6243</v>
      </c>
      <c r="C468" s="132" t="s">
        <v>6244</v>
      </c>
      <c r="D468" s="131" t="s">
        <v>4361</v>
      </c>
    </row>
    <row r="469" spans="2:4" ht="20.25" customHeight="1">
      <c r="B469" s="108" t="s">
        <v>6245</v>
      </c>
      <c r="C469" s="132" t="s">
        <v>6246</v>
      </c>
      <c r="D469" s="133">
        <v>44910</v>
      </c>
    </row>
    <row r="470" spans="2:4" ht="20.25" customHeight="1">
      <c r="B470" s="108" t="s">
        <v>5486</v>
      </c>
      <c r="C470" s="132" t="s">
        <v>6247</v>
      </c>
      <c r="D470" s="152">
        <v>45034</v>
      </c>
    </row>
    <row r="471" spans="2:4" ht="20.25" customHeight="1">
      <c r="B471" s="108" t="s">
        <v>6248</v>
      </c>
      <c r="C471" s="132" t="s">
        <v>6249</v>
      </c>
      <c r="D471" s="133">
        <v>44923</v>
      </c>
    </row>
    <row r="472" spans="2:4" ht="20.25" customHeight="1">
      <c r="B472" s="108" t="s">
        <v>5487</v>
      </c>
      <c r="C472" s="138" t="s">
        <v>6250</v>
      </c>
      <c r="D472" s="133">
        <v>44816</v>
      </c>
    </row>
    <row r="473" spans="2:4" ht="20.25" customHeight="1">
      <c r="B473" s="108" t="s">
        <v>5489</v>
      </c>
      <c r="C473" s="132" t="s">
        <v>6251</v>
      </c>
      <c r="D473" s="133">
        <v>44925</v>
      </c>
    </row>
    <row r="474" spans="2:4" ht="20.25" customHeight="1">
      <c r="B474" s="108" t="s">
        <v>6252</v>
      </c>
      <c r="C474" s="132" t="s">
        <v>6253</v>
      </c>
      <c r="D474" s="133">
        <v>44816</v>
      </c>
    </row>
    <row r="475" spans="2:4" ht="20.25" customHeight="1">
      <c r="B475" s="108" t="s">
        <v>6254</v>
      </c>
      <c r="C475" s="132" t="s">
        <v>6255</v>
      </c>
      <c r="D475" s="133">
        <v>44816</v>
      </c>
    </row>
    <row r="476" spans="2:4" ht="20.25" customHeight="1">
      <c r="B476" s="108" t="s">
        <v>6256</v>
      </c>
      <c r="C476" s="132" t="s">
        <v>6257</v>
      </c>
      <c r="D476" s="133">
        <v>44816</v>
      </c>
    </row>
    <row r="477" spans="2:4" ht="20.25" customHeight="1">
      <c r="B477" s="108" t="s">
        <v>6258</v>
      </c>
      <c r="C477" s="132" t="s">
        <v>6259</v>
      </c>
      <c r="D477" s="136">
        <v>45065</v>
      </c>
    </row>
    <row r="478" spans="2:4" ht="20.25" customHeight="1">
      <c r="B478" s="108" t="s">
        <v>6260</v>
      </c>
      <c r="C478" s="132" t="s">
        <v>6261</v>
      </c>
      <c r="D478" s="136">
        <v>45148</v>
      </c>
    </row>
    <row r="479" spans="2:4" ht="20.25" customHeight="1">
      <c r="B479" s="108" t="s">
        <v>6262</v>
      </c>
      <c r="C479" s="132" t="s">
        <v>6263</v>
      </c>
      <c r="D479" s="133">
        <v>44922</v>
      </c>
    </row>
    <row r="480" spans="2:4" ht="20.25" customHeight="1">
      <c r="B480" s="108" t="s">
        <v>6264</v>
      </c>
      <c r="C480" s="132" t="s">
        <v>6265</v>
      </c>
      <c r="D480" s="133">
        <v>44910</v>
      </c>
    </row>
    <row r="481" spans="2:4" ht="20.25" customHeight="1">
      <c r="B481" s="108" t="s">
        <v>6266</v>
      </c>
      <c r="C481" s="132" t="s">
        <v>6267</v>
      </c>
      <c r="D481" s="133">
        <v>44816</v>
      </c>
    </row>
    <row r="482" spans="2:4" ht="20.25" customHeight="1">
      <c r="B482" s="108" t="s">
        <v>6268</v>
      </c>
      <c r="C482" s="132" t="s">
        <v>6269</v>
      </c>
      <c r="D482" s="133">
        <v>44816</v>
      </c>
    </row>
    <row r="483" spans="2:4" ht="20.25" customHeight="1">
      <c r="B483" s="108" t="s">
        <v>6270</v>
      </c>
      <c r="C483" s="132" t="s">
        <v>6271</v>
      </c>
      <c r="D483" s="133">
        <v>44816</v>
      </c>
    </row>
    <row r="484" spans="2:4" ht="20.25" customHeight="1">
      <c r="B484" s="108" t="s">
        <v>6272</v>
      </c>
      <c r="C484" s="132" t="s">
        <v>6273</v>
      </c>
      <c r="D484" s="133">
        <v>44816</v>
      </c>
    </row>
    <row r="485" spans="2:4" ht="20.25" customHeight="1">
      <c r="B485" s="108" t="s">
        <v>6274</v>
      </c>
      <c r="C485" s="132" t="s">
        <v>6275</v>
      </c>
      <c r="D485" s="133">
        <v>44923</v>
      </c>
    </row>
    <row r="486" spans="2:4" ht="20.25" customHeight="1">
      <c r="B486" s="108" t="s">
        <v>6276</v>
      </c>
      <c r="C486" s="132" t="s">
        <v>6277</v>
      </c>
      <c r="D486" s="141"/>
    </row>
    <row r="487" spans="2:4" ht="20.25" customHeight="1">
      <c r="B487" s="108" t="s">
        <v>6278</v>
      </c>
      <c r="C487" s="132" t="s">
        <v>6279</v>
      </c>
      <c r="D487" s="164" t="s">
        <v>4361</v>
      </c>
    </row>
    <row r="488" spans="2:4" ht="20.25" customHeight="1">
      <c r="B488" s="108" t="s">
        <v>6280</v>
      </c>
      <c r="C488" s="132" t="s">
        <v>6281</v>
      </c>
      <c r="D488" s="164" t="s">
        <v>4361</v>
      </c>
    </row>
    <row r="489" spans="2:4" ht="20.25" customHeight="1">
      <c r="B489" s="108" t="s">
        <v>6282</v>
      </c>
      <c r="C489" s="132" t="s">
        <v>6283</v>
      </c>
      <c r="D489" s="152">
        <v>45013</v>
      </c>
    </row>
    <row r="490" spans="2:4" ht="20.25" customHeight="1">
      <c r="B490" s="108" t="s">
        <v>6284</v>
      </c>
      <c r="C490" s="132" t="s">
        <v>6285</v>
      </c>
      <c r="D490" s="133">
        <v>44889</v>
      </c>
    </row>
    <row r="491" spans="2:4" ht="20.25" customHeight="1">
      <c r="B491" s="108" t="s">
        <v>6286</v>
      </c>
      <c r="C491" s="132" t="s">
        <v>6287</v>
      </c>
      <c r="D491" s="134"/>
    </row>
    <row r="492" spans="2:4" ht="20.25" customHeight="1">
      <c r="B492" s="108" t="s">
        <v>6288</v>
      </c>
      <c r="C492" s="132" t="s">
        <v>6289</v>
      </c>
      <c r="D492" s="133">
        <v>44877</v>
      </c>
    </row>
    <row r="493" spans="2:4" ht="20.25" customHeight="1">
      <c r="B493" s="108" t="s">
        <v>6290</v>
      </c>
      <c r="C493" s="132" t="s">
        <v>6291</v>
      </c>
      <c r="D493" s="131" t="s">
        <v>4361</v>
      </c>
    </row>
    <row r="494" spans="2:4" ht="20.25" customHeight="1">
      <c r="B494" s="108" t="s">
        <v>6292</v>
      </c>
      <c r="C494" s="138" t="s">
        <v>6293</v>
      </c>
      <c r="D494" s="131" t="s">
        <v>4361</v>
      </c>
    </row>
    <row r="495" spans="2:4" ht="20.25" customHeight="1">
      <c r="B495" s="108" t="s">
        <v>6294</v>
      </c>
      <c r="C495" s="138" t="s">
        <v>6295</v>
      </c>
      <c r="D495" s="131" t="s">
        <v>4361</v>
      </c>
    </row>
    <row r="496" spans="2:4" ht="20.25" customHeight="1">
      <c r="B496" s="108" t="s">
        <v>6296</v>
      </c>
      <c r="C496" s="138" t="s">
        <v>6297</v>
      </c>
      <c r="D496" s="131" t="s">
        <v>4361</v>
      </c>
    </row>
    <row r="497" spans="2:4" ht="20.25" customHeight="1">
      <c r="B497" s="108" t="s">
        <v>6298</v>
      </c>
      <c r="C497" s="132" t="s">
        <v>6299</v>
      </c>
      <c r="D497" s="133">
        <v>44889</v>
      </c>
    </row>
    <row r="498" spans="2:4" ht="20.25" customHeight="1">
      <c r="B498" s="108" t="s">
        <v>6300</v>
      </c>
      <c r="C498" s="132" t="s">
        <v>6301</v>
      </c>
      <c r="D498" s="133">
        <v>44862</v>
      </c>
    </row>
    <row r="499" spans="2:4" ht="20.25" customHeight="1">
      <c r="B499" s="108" t="s">
        <v>6302</v>
      </c>
      <c r="C499" s="132" t="s">
        <v>6303</v>
      </c>
      <c r="D499" s="133">
        <v>44869</v>
      </c>
    </row>
    <row r="500" spans="2:4" ht="20.25" customHeight="1">
      <c r="B500" s="108" t="s">
        <v>6304</v>
      </c>
      <c r="C500" s="132" t="s">
        <v>6305</v>
      </c>
      <c r="D500" s="131" t="s">
        <v>4361</v>
      </c>
    </row>
    <row r="501" spans="2:4" ht="20.25" customHeight="1">
      <c r="B501" s="108" t="s">
        <v>6306</v>
      </c>
      <c r="C501" s="138" t="s">
        <v>6307</v>
      </c>
      <c r="D501" s="131" t="s">
        <v>4361</v>
      </c>
    </row>
    <row r="502" spans="2:4" ht="20.25" customHeight="1">
      <c r="B502" s="108" t="s">
        <v>6308</v>
      </c>
      <c r="C502" s="138" t="s">
        <v>6309</v>
      </c>
      <c r="D502" s="131" t="s">
        <v>4361</v>
      </c>
    </row>
    <row r="503" spans="2:4" ht="20.25" customHeight="1">
      <c r="B503" s="108" t="s">
        <v>5490</v>
      </c>
      <c r="C503" s="138" t="s">
        <v>6310</v>
      </c>
      <c r="D503" s="152">
        <v>45014</v>
      </c>
    </row>
    <row r="504" spans="2:4" ht="20.25" customHeight="1">
      <c r="B504" s="108" t="s">
        <v>5492</v>
      </c>
      <c r="C504" s="132" t="s">
        <v>6311</v>
      </c>
      <c r="D504" s="136">
        <v>45065</v>
      </c>
    </row>
    <row r="505" spans="2:4" ht="20.25" customHeight="1">
      <c r="B505" s="108" t="s">
        <v>6312</v>
      </c>
      <c r="C505" s="132" t="s">
        <v>6313</v>
      </c>
      <c r="D505" s="133">
        <v>45056</v>
      </c>
    </row>
    <row r="506" spans="2:4" ht="20.25" customHeight="1">
      <c r="B506" s="108" t="s">
        <v>6314</v>
      </c>
      <c r="C506" s="132" t="s">
        <v>6315</v>
      </c>
      <c r="D506" s="136">
        <v>45049</v>
      </c>
    </row>
    <row r="507" spans="2:4" ht="20.25" customHeight="1">
      <c r="B507" s="108" t="s">
        <v>6316</v>
      </c>
      <c r="C507" s="132" t="s">
        <v>6317</v>
      </c>
      <c r="D507" s="133">
        <v>45056</v>
      </c>
    </row>
    <row r="508" spans="2:4" ht="20.25" customHeight="1">
      <c r="B508" s="108" t="s">
        <v>5494</v>
      </c>
      <c r="C508" s="138" t="s">
        <v>6318</v>
      </c>
      <c r="D508" s="131" t="s">
        <v>4361</v>
      </c>
    </row>
    <row r="509" spans="2:4" ht="20.25" customHeight="1">
      <c r="B509" s="108" t="s">
        <v>6319</v>
      </c>
      <c r="C509" s="132" t="s">
        <v>6320</v>
      </c>
      <c r="D509" s="133">
        <v>44862</v>
      </c>
    </row>
    <row r="510" spans="2:4" ht="20.25" customHeight="1">
      <c r="B510" s="108" t="s">
        <v>6321</v>
      </c>
      <c r="C510" s="132" t="s">
        <v>6322</v>
      </c>
      <c r="D510" s="133">
        <v>44910</v>
      </c>
    </row>
    <row r="511" spans="2:4" ht="20.25" customHeight="1">
      <c r="B511" s="108" t="s">
        <v>6323</v>
      </c>
      <c r="C511" s="138" t="s">
        <v>6324</v>
      </c>
      <c r="D511" s="131" t="s">
        <v>4361</v>
      </c>
    </row>
    <row r="512" spans="2:4" ht="20.25" customHeight="1">
      <c r="B512" s="108" t="s">
        <v>6325</v>
      </c>
      <c r="C512" s="132" t="s">
        <v>6326</v>
      </c>
      <c r="D512" s="131" t="s">
        <v>4361</v>
      </c>
    </row>
    <row r="513" spans="2:4" ht="20.25" customHeight="1">
      <c r="B513" s="108" t="s">
        <v>6327</v>
      </c>
      <c r="C513" s="138" t="s">
        <v>6328</v>
      </c>
      <c r="D513" s="133">
        <v>44890</v>
      </c>
    </row>
    <row r="514" spans="2:4" ht="20.25" customHeight="1">
      <c r="B514" s="108" t="s">
        <v>5556</v>
      </c>
      <c r="C514" s="138" t="s">
        <v>6329</v>
      </c>
      <c r="D514" s="133">
        <v>44869</v>
      </c>
    </row>
    <row r="515" spans="2:4" ht="20.25" customHeight="1">
      <c r="B515" s="108" t="s">
        <v>6330</v>
      </c>
      <c r="C515" s="132" t="s">
        <v>6331</v>
      </c>
      <c r="D515" s="133">
        <v>44867</v>
      </c>
    </row>
    <row r="516" spans="2:4" ht="20.25" customHeight="1">
      <c r="B516" s="108" t="s">
        <v>6332</v>
      </c>
      <c r="C516" s="132" t="s">
        <v>6333</v>
      </c>
      <c r="D516" s="131" t="s">
        <v>4361</v>
      </c>
    </row>
    <row r="517" spans="2:4" ht="20.25" customHeight="1">
      <c r="B517" s="108" t="s">
        <v>5496</v>
      </c>
      <c r="C517" s="138" t="s">
        <v>6334</v>
      </c>
      <c r="D517" s="131" t="s">
        <v>4361</v>
      </c>
    </row>
    <row r="518" spans="2:4" ht="20.25" customHeight="1">
      <c r="B518" s="116" t="s">
        <v>6335</v>
      </c>
      <c r="C518" s="138" t="s">
        <v>6336</v>
      </c>
      <c r="D518" s="131" t="s">
        <v>4361</v>
      </c>
    </row>
    <row r="519" spans="2:4" ht="20.25" customHeight="1">
      <c r="B519" s="108" t="s">
        <v>6337</v>
      </c>
      <c r="C519" s="138" t="s">
        <v>6338</v>
      </c>
      <c r="D519" s="136">
        <v>45049</v>
      </c>
    </row>
    <row r="520" spans="2:4" ht="20.25" customHeight="1">
      <c r="B520" s="108" t="s">
        <v>6339</v>
      </c>
      <c r="C520" s="132" t="s">
        <v>6340</v>
      </c>
      <c r="D520" s="133">
        <v>44923</v>
      </c>
    </row>
    <row r="521" spans="2:4" ht="20.25" customHeight="1">
      <c r="B521" s="108" t="s">
        <v>6341</v>
      </c>
      <c r="C521" s="132" t="s">
        <v>6342</v>
      </c>
      <c r="D521" s="131" t="s">
        <v>4361</v>
      </c>
    </row>
    <row r="522" spans="2:4" ht="20.25" customHeight="1">
      <c r="B522" s="108" t="s">
        <v>5497</v>
      </c>
      <c r="C522" s="138" t="s">
        <v>6343</v>
      </c>
      <c r="D522" s="133">
        <v>44877</v>
      </c>
    </row>
    <row r="523" spans="2:4" ht="20.25" customHeight="1">
      <c r="B523" s="108" t="s">
        <v>6344</v>
      </c>
      <c r="C523" s="138" t="s">
        <v>6345</v>
      </c>
      <c r="D523" s="133">
        <v>44862</v>
      </c>
    </row>
    <row r="524" spans="2:4" ht="20.25" customHeight="1">
      <c r="B524" s="116" t="s">
        <v>6346</v>
      </c>
      <c r="C524" s="138" t="s">
        <v>6347</v>
      </c>
      <c r="D524" s="133">
        <v>44862</v>
      </c>
    </row>
    <row r="525" spans="2:4" ht="20.25" customHeight="1">
      <c r="B525" s="108" t="s">
        <v>6348</v>
      </c>
      <c r="C525" s="132" t="s">
        <v>6349</v>
      </c>
      <c r="D525" s="131" t="s">
        <v>4361</v>
      </c>
    </row>
    <row r="526" spans="2:4" ht="20.25" customHeight="1">
      <c r="B526" s="108" t="s">
        <v>6350</v>
      </c>
      <c r="C526" s="138" t="s">
        <v>6351</v>
      </c>
      <c r="D526" s="133">
        <v>44889</v>
      </c>
    </row>
    <row r="527" spans="2:4" ht="20.25" customHeight="1">
      <c r="B527" s="108" t="s">
        <v>5499</v>
      </c>
      <c r="C527" s="138" t="s">
        <v>6352</v>
      </c>
      <c r="D527" s="131" t="s">
        <v>4361</v>
      </c>
    </row>
    <row r="528" spans="2:4" ht="20.25" customHeight="1">
      <c r="B528" s="108" t="s">
        <v>6353</v>
      </c>
      <c r="C528" s="138" t="s">
        <v>6354</v>
      </c>
      <c r="D528" s="131" t="s">
        <v>4361</v>
      </c>
    </row>
    <row r="529" spans="2:4" ht="20.25" customHeight="1">
      <c r="B529" s="108" t="s">
        <v>6355</v>
      </c>
      <c r="C529" s="132" t="s">
        <v>6356</v>
      </c>
      <c r="D529" s="131" t="s">
        <v>4361</v>
      </c>
    </row>
    <row r="530" spans="2:4" ht="20.25" customHeight="1">
      <c r="B530" s="108" t="s">
        <v>6357</v>
      </c>
      <c r="C530" s="138" t="s">
        <v>6358</v>
      </c>
      <c r="D530" s="133">
        <v>44862</v>
      </c>
    </row>
    <row r="531" spans="2:4" ht="20.25" customHeight="1">
      <c r="B531" s="108" t="s">
        <v>6359</v>
      </c>
      <c r="C531" s="132" t="s">
        <v>6360</v>
      </c>
      <c r="D531" s="133">
        <v>44862</v>
      </c>
    </row>
    <row r="532" spans="2:4" ht="20.25" customHeight="1">
      <c r="B532" s="108" t="s">
        <v>6361</v>
      </c>
      <c r="C532" s="138" t="s">
        <v>6362</v>
      </c>
      <c r="D532" s="133">
        <v>44889</v>
      </c>
    </row>
    <row r="533" spans="2:4" ht="20.25" customHeight="1">
      <c r="B533" s="108" t="s">
        <v>5558</v>
      </c>
      <c r="C533" s="132" t="s">
        <v>6363</v>
      </c>
      <c r="D533" s="133">
        <v>44869</v>
      </c>
    </row>
    <row r="534" spans="2:4" ht="20.25" customHeight="1">
      <c r="B534" s="108" t="s">
        <v>6364</v>
      </c>
      <c r="C534" s="138" t="s">
        <v>6365</v>
      </c>
      <c r="D534" s="139">
        <v>45013</v>
      </c>
    </row>
    <row r="535" spans="2:4" ht="20.25" customHeight="1">
      <c r="B535" s="108" t="s">
        <v>6366</v>
      </c>
      <c r="C535" s="138" t="s">
        <v>6367</v>
      </c>
      <c r="D535" s="139">
        <v>45013</v>
      </c>
    </row>
    <row r="536" spans="2:4" ht="20.25" customHeight="1">
      <c r="B536" s="108" t="s">
        <v>6368</v>
      </c>
      <c r="C536" s="138" t="s">
        <v>6369</v>
      </c>
      <c r="D536" s="133">
        <v>44816</v>
      </c>
    </row>
    <row r="537" spans="2:4" ht="20.25" customHeight="1">
      <c r="B537" s="108" t="s">
        <v>6370</v>
      </c>
      <c r="C537" s="138" t="s">
        <v>6371</v>
      </c>
      <c r="D537" s="131" t="s">
        <v>4361</v>
      </c>
    </row>
    <row r="538" spans="2:4" ht="20.25" customHeight="1">
      <c r="B538" s="108" t="s">
        <v>6372</v>
      </c>
      <c r="C538" s="138" t="s">
        <v>6373</v>
      </c>
      <c r="D538" s="131" t="s">
        <v>4361</v>
      </c>
    </row>
    <row r="539" spans="2:4" ht="20.25" customHeight="1">
      <c r="B539" s="108" t="s">
        <v>6374</v>
      </c>
      <c r="C539" s="132" t="s">
        <v>6375</v>
      </c>
      <c r="D539" s="131" t="s">
        <v>4361</v>
      </c>
    </row>
    <row r="540" spans="2:4" ht="20.25" customHeight="1">
      <c r="B540" s="108" t="s">
        <v>6376</v>
      </c>
      <c r="C540" s="132" t="s">
        <v>6377</v>
      </c>
      <c r="D540" s="131" t="s">
        <v>4361</v>
      </c>
    </row>
    <row r="541" spans="2:4" ht="20.25" customHeight="1">
      <c r="B541" s="108" t="s">
        <v>5560</v>
      </c>
      <c r="C541" s="132" t="s">
        <v>6378</v>
      </c>
      <c r="D541" s="131" t="s">
        <v>4361</v>
      </c>
    </row>
    <row r="542" spans="2:4" ht="20.25" customHeight="1">
      <c r="B542" s="108" t="s">
        <v>5562</v>
      </c>
      <c r="C542" s="132" t="s">
        <v>6379</v>
      </c>
      <c r="D542" s="131" t="s">
        <v>4361</v>
      </c>
    </row>
    <row r="543" spans="2:4" ht="20.25" customHeight="1">
      <c r="B543" s="108" t="s">
        <v>6380</v>
      </c>
      <c r="C543" s="132" t="s">
        <v>6381</v>
      </c>
      <c r="D543" s="131" t="s">
        <v>4361</v>
      </c>
    </row>
    <row r="544" spans="2:4" ht="20.25" customHeight="1">
      <c r="B544" s="108" t="s">
        <v>6382</v>
      </c>
      <c r="C544" s="132" t="s">
        <v>6383</v>
      </c>
      <c r="D544" s="131" t="s">
        <v>4361</v>
      </c>
    </row>
    <row r="545" spans="2:4" ht="20.25" customHeight="1">
      <c r="B545" s="108" t="s">
        <v>6384</v>
      </c>
      <c r="C545" s="132" t="s">
        <v>6385</v>
      </c>
      <c r="D545" s="133">
        <v>44869</v>
      </c>
    </row>
    <row r="546" spans="2:4" ht="20.25" customHeight="1">
      <c r="B546" s="108" t="s">
        <v>6386</v>
      </c>
      <c r="C546" s="132" t="s">
        <v>6387</v>
      </c>
      <c r="D546" s="133">
        <v>44862</v>
      </c>
    </row>
    <row r="547" spans="2:4" ht="20.25" customHeight="1">
      <c r="B547" s="108" t="s">
        <v>5564</v>
      </c>
      <c r="C547" s="132" t="s">
        <v>6388</v>
      </c>
      <c r="D547" s="133">
        <v>44869</v>
      </c>
    </row>
    <row r="548" spans="2:4" ht="20.25" customHeight="1">
      <c r="B548" s="108" t="s">
        <v>6389</v>
      </c>
      <c r="C548" s="132" t="s">
        <v>6390</v>
      </c>
      <c r="D548" s="131" t="s">
        <v>4361</v>
      </c>
    </row>
    <row r="549" spans="2:4" ht="20.25" customHeight="1">
      <c r="B549" s="108" t="s">
        <v>6391</v>
      </c>
      <c r="C549" s="138" t="s">
        <v>6392</v>
      </c>
      <c r="D549" s="131" t="s">
        <v>4361</v>
      </c>
    </row>
    <row r="550" spans="2:4" ht="20.25" customHeight="1">
      <c r="B550" s="108" t="s">
        <v>6393</v>
      </c>
      <c r="C550" s="132" t="s">
        <v>6394</v>
      </c>
      <c r="D550" s="131" t="s">
        <v>4361</v>
      </c>
    </row>
    <row r="551" spans="2:4" ht="20.25" customHeight="1">
      <c r="B551" s="108" t="s">
        <v>6395</v>
      </c>
      <c r="C551" s="132" t="s">
        <v>6396</v>
      </c>
      <c r="D551" s="133">
        <v>44889</v>
      </c>
    </row>
    <row r="552" spans="2:4" ht="20.25" customHeight="1">
      <c r="B552" s="108" t="s">
        <v>6397</v>
      </c>
      <c r="C552" s="132" t="s">
        <v>6398</v>
      </c>
      <c r="D552" s="133">
        <v>44910</v>
      </c>
    </row>
    <row r="553" spans="2:4" ht="20.25" customHeight="1">
      <c r="B553" s="108" t="s">
        <v>6399</v>
      </c>
      <c r="C553" s="132" t="s">
        <v>6400</v>
      </c>
      <c r="D553" s="133">
        <v>44869</v>
      </c>
    </row>
    <row r="554" spans="2:4" ht="20.25" customHeight="1">
      <c r="B554" s="108" t="s">
        <v>6401</v>
      </c>
      <c r="C554" s="132" t="s">
        <v>6402</v>
      </c>
      <c r="D554" s="133">
        <v>44889</v>
      </c>
    </row>
    <row r="555" spans="2:4" ht="20.25" customHeight="1">
      <c r="B555" s="108" t="s">
        <v>6403</v>
      </c>
      <c r="C555" s="138" t="s">
        <v>6404</v>
      </c>
      <c r="D555" s="133">
        <v>44910</v>
      </c>
    </row>
    <row r="556" spans="2:4" ht="20.25" customHeight="1">
      <c r="B556" s="108" t="s">
        <v>6405</v>
      </c>
      <c r="C556" s="138" t="s">
        <v>6406</v>
      </c>
      <c r="D556" s="133">
        <v>44889</v>
      </c>
    </row>
    <row r="557" spans="2:4" ht="20.25" customHeight="1">
      <c r="B557" s="108" t="s">
        <v>6407</v>
      </c>
      <c r="C557" s="138" t="s">
        <v>6408</v>
      </c>
      <c r="D557" s="133">
        <v>44910</v>
      </c>
    </row>
    <row r="558" spans="2:4" ht="20.25" customHeight="1">
      <c r="B558" s="108" t="s">
        <v>6409</v>
      </c>
      <c r="C558" s="138" t="s">
        <v>6410</v>
      </c>
      <c r="D558" s="133">
        <v>44877</v>
      </c>
    </row>
    <row r="559" spans="2:4" ht="20.25" customHeight="1">
      <c r="B559" s="108" t="s">
        <v>5500</v>
      </c>
      <c r="C559" s="138" t="s">
        <v>6411</v>
      </c>
      <c r="D559" s="133">
        <v>44862</v>
      </c>
    </row>
    <row r="560" spans="2:4" ht="20.25" customHeight="1">
      <c r="B560" s="108" t="s">
        <v>6412</v>
      </c>
      <c r="C560" s="138" t="s">
        <v>6413</v>
      </c>
      <c r="D560" s="131" t="s">
        <v>4361</v>
      </c>
    </row>
    <row r="561" spans="2:4" ht="20.25" customHeight="1">
      <c r="B561" s="108" t="s">
        <v>6414</v>
      </c>
      <c r="C561" s="138" t="s">
        <v>6415</v>
      </c>
      <c r="D561" s="131" t="s">
        <v>4361</v>
      </c>
    </row>
    <row r="562" spans="2:4" ht="20.25" customHeight="1">
      <c r="B562" s="108" t="s">
        <v>6416</v>
      </c>
      <c r="C562" s="138" t="s">
        <v>6417</v>
      </c>
      <c r="D562" s="131" t="s">
        <v>4361</v>
      </c>
    </row>
    <row r="563" spans="2:4" ht="20.25" customHeight="1">
      <c r="B563" s="108" t="s">
        <v>6418</v>
      </c>
      <c r="C563" s="132" t="s">
        <v>6419</v>
      </c>
      <c r="D563" s="131" t="s">
        <v>4361</v>
      </c>
    </row>
    <row r="564" spans="2:4" ht="20.25" customHeight="1">
      <c r="B564" s="108" t="s">
        <v>6420</v>
      </c>
      <c r="C564" s="132" t="s">
        <v>6421</v>
      </c>
      <c r="D564" s="133">
        <v>44816</v>
      </c>
    </row>
    <row r="565" spans="2:4" ht="20.25" customHeight="1">
      <c r="B565" s="108" t="s">
        <v>6422</v>
      </c>
      <c r="C565" s="132" t="s">
        <v>6423</v>
      </c>
      <c r="D565" s="133">
        <v>44961</v>
      </c>
    </row>
    <row r="566" spans="2:4" ht="20.25" customHeight="1">
      <c r="B566" s="108" t="s">
        <v>6424</v>
      </c>
      <c r="C566" s="132" t="s">
        <v>6425</v>
      </c>
      <c r="D566" s="131" t="s">
        <v>4361</v>
      </c>
    </row>
    <row r="567" spans="2:4" ht="20.25" customHeight="1">
      <c r="B567" s="108" t="s">
        <v>6426</v>
      </c>
      <c r="C567" s="132" t="s">
        <v>6427</v>
      </c>
      <c r="D567" s="133">
        <v>44889</v>
      </c>
    </row>
    <row r="568" spans="2:4" ht="20.25" customHeight="1">
      <c r="B568" s="108" t="s">
        <v>5501</v>
      </c>
      <c r="C568" s="138" t="s">
        <v>6428</v>
      </c>
      <c r="D568" s="133">
        <v>44816</v>
      </c>
    </row>
    <row r="569" spans="2:4" ht="20.25" customHeight="1">
      <c r="B569" s="108" t="s">
        <v>6429</v>
      </c>
      <c r="C569" s="138" t="s">
        <v>6430</v>
      </c>
      <c r="D569" s="133">
        <v>44961</v>
      </c>
    </row>
    <row r="570" spans="2:4" ht="20.25" customHeight="1">
      <c r="B570" s="108" t="s">
        <v>6431</v>
      </c>
      <c r="C570" s="132" t="s">
        <v>4433</v>
      </c>
      <c r="D570" s="133">
        <v>44910</v>
      </c>
    </row>
    <row r="571" spans="2:4" ht="20.25" customHeight="1">
      <c r="B571" s="108" t="s">
        <v>6432</v>
      </c>
      <c r="C571" s="138" t="s">
        <v>6433</v>
      </c>
      <c r="D571" s="133">
        <v>44889</v>
      </c>
    </row>
    <row r="572" spans="2:4" ht="20.25" customHeight="1">
      <c r="B572" s="112" t="s">
        <v>6434</v>
      </c>
      <c r="C572" s="138" t="s">
        <v>6435</v>
      </c>
      <c r="D572" s="133">
        <v>44816</v>
      </c>
    </row>
    <row r="573" spans="2:4" ht="20.25" customHeight="1">
      <c r="B573" s="108" t="s">
        <v>6436</v>
      </c>
      <c r="C573" s="132" t="s">
        <v>6437</v>
      </c>
      <c r="D573" s="133">
        <v>44889</v>
      </c>
    </row>
    <row r="574" spans="2:4" ht="20.25" customHeight="1">
      <c r="B574" s="108" t="s">
        <v>6438</v>
      </c>
      <c r="C574" s="132" t="s">
        <v>6439</v>
      </c>
      <c r="D574" s="133">
        <v>44816</v>
      </c>
    </row>
    <row r="575" spans="2:4" ht="20.25" customHeight="1">
      <c r="B575" s="108" t="s">
        <v>6440</v>
      </c>
      <c r="C575" s="138" t="s">
        <v>6441</v>
      </c>
      <c r="D575" s="131" t="s">
        <v>4361</v>
      </c>
    </row>
    <row r="576" spans="2:4" ht="20.25" customHeight="1">
      <c r="B576" s="108" t="s">
        <v>6442</v>
      </c>
      <c r="C576" s="138" t="s">
        <v>6443</v>
      </c>
      <c r="D576" s="131" t="s">
        <v>4361</v>
      </c>
    </row>
    <row r="577" spans="2:4" ht="20.25" customHeight="1">
      <c r="B577" s="108" t="s">
        <v>5565</v>
      </c>
      <c r="C577" s="138" t="s">
        <v>6444</v>
      </c>
      <c r="D577" s="131" t="s">
        <v>4361</v>
      </c>
    </row>
    <row r="578" spans="2:4" ht="20.25" customHeight="1">
      <c r="B578" s="108" t="s">
        <v>5567</v>
      </c>
      <c r="C578" s="138" t="s">
        <v>6445</v>
      </c>
      <c r="D578" s="133">
        <v>44889</v>
      </c>
    </row>
    <row r="579" spans="2:4" ht="20.25" customHeight="1">
      <c r="B579" s="108" t="s">
        <v>6446</v>
      </c>
      <c r="C579" s="132" t="s">
        <v>6447</v>
      </c>
      <c r="D579" s="131" t="s">
        <v>4361</v>
      </c>
    </row>
    <row r="580" spans="2:4" ht="20.25" customHeight="1">
      <c r="B580" s="108" t="s">
        <v>5569</v>
      </c>
      <c r="C580" s="132" t="s">
        <v>6448</v>
      </c>
      <c r="D580" s="131" t="s">
        <v>4361</v>
      </c>
    </row>
    <row r="581" spans="2:4" ht="20.25" customHeight="1">
      <c r="B581" s="108" t="s">
        <v>6449</v>
      </c>
      <c r="C581" s="132" t="s">
        <v>6450</v>
      </c>
      <c r="D581" s="133">
        <v>44889</v>
      </c>
    </row>
    <row r="582" spans="2:4" ht="20.25" customHeight="1">
      <c r="B582" s="108" t="s">
        <v>6451</v>
      </c>
      <c r="C582" s="138" t="s">
        <v>6452</v>
      </c>
      <c r="D582" s="133">
        <v>44889</v>
      </c>
    </row>
    <row r="583" spans="2:4" ht="20.25" customHeight="1">
      <c r="B583" s="108" t="s">
        <v>6453</v>
      </c>
      <c r="C583" s="132" t="s">
        <v>6454</v>
      </c>
      <c r="D583" s="133"/>
    </row>
    <row r="584" spans="2:4" ht="20.25" customHeight="1">
      <c r="B584" s="108" t="s">
        <v>6455</v>
      </c>
      <c r="C584" s="132" t="s">
        <v>6456</v>
      </c>
      <c r="D584" s="133">
        <v>45097</v>
      </c>
    </row>
    <row r="585" spans="2:4" ht="20.25" customHeight="1">
      <c r="B585" s="108" t="s">
        <v>5502</v>
      </c>
      <c r="C585" s="138" t="s">
        <v>6457</v>
      </c>
      <c r="D585" s="133">
        <v>44910</v>
      </c>
    </row>
    <row r="586" spans="2:4" ht="20.25" customHeight="1">
      <c r="B586" s="107" t="s">
        <v>5503</v>
      </c>
      <c r="C586" s="138" t="s">
        <v>6458</v>
      </c>
      <c r="D586" s="133">
        <v>44923</v>
      </c>
    </row>
    <row r="587" spans="2:4" ht="20.25" customHeight="1">
      <c r="B587" s="108" t="s">
        <v>6459</v>
      </c>
      <c r="C587" s="138"/>
      <c r="D587" s="133">
        <v>44923</v>
      </c>
    </row>
    <row r="588" spans="2:4" ht="20.25" customHeight="1">
      <c r="B588" s="108" t="s">
        <v>6460</v>
      </c>
      <c r="C588" s="138" t="s">
        <v>6461</v>
      </c>
      <c r="D588" s="133">
        <v>44910</v>
      </c>
    </row>
    <row r="589" spans="2:4" ht="20.25" customHeight="1">
      <c r="B589" s="108" t="s">
        <v>6462</v>
      </c>
      <c r="C589" s="138" t="s">
        <v>6463</v>
      </c>
      <c r="D589" s="133">
        <v>44910</v>
      </c>
    </row>
    <row r="590" spans="2:4" ht="20.25" customHeight="1">
      <c r="B590" s="108" t="s">
        <v>5507</v>
      </c>
      <c r="C590" s="132" t="s">
        <v>6464</v>
      </c>
      <c r="D590" s="131" t="s">
        <v>4361</v>
      </c>
    </row>
    <row r="591" spans="2:4" ht="20.25" customHeight="1">
      <c r="B591" s="108" t="s">
        <v>6465</v>
      </c>
      <c r="C591" s="138" t="s">
        <v>6466</v>
      </c>
      <c r="D591" s="133">
        <v>44923</v>
      </c>
    </row>
    <row r="592" spans="2:4" ht="20.25" customHeight="1">
      <c r="B592" s="108" t="s">
        <v>6467</v>
      </c>
      <c r="C592" s="132" t="s">
        <v>6468</v>
      </c>
      <c r="D592" s="133">
        <v>44910</v>
      </c>
    </row>
    <row r="593" spans="2:4" ht="20.25" customHeight="1">
      <c r="B593" s="108" t="s">
        <v>5511</v>
      </c>
      <c r="C593" s="132" t="s">
        <v>6469</v>
      </c>
      <c r="D593" s="133">
        <v>44923</v>
      </c>
    </row>
    <row r="594" spans="2:4" ht="20.25" customHeight="1">
      <c r="B594" s="108" t="s">
        <v>6470</v>
      </c>
      <c r="C594" s="132" t="s">
        <v>6471</v>
      </c>
      <c r="D594" s="133">
        <v>44910</v>
      </c>
    </row>
    <row r="595" spans="2:4" ht="20.25" customHeight="1">
      <c r="B595" s="108" t="s">
        <v>5571</v>
      </c>
      <c r="C595" s="132" t="s">
        <v>6472</v>
      </c>
      <c r="D595" s="133">
        <v>44910</v>
      </c>
    </row>
    <row r="596" spans="2:4" ht="20.25" customHeight="1">
      <c r="B596" s="108" t="s">
        <v>5573</v>
      </c>
      <c r="C596" s="132" t="s">
        <v>6473</v>
      </c>
      <c r="D596" s="133">
        <v>44869</v>
      </c>
    </row>
    <row r="597" spans="2:4" ht="20.25" customHeight="1">
      <c r="B597" s="108" t="s">
        <v>6474</v>
      </c>
      <c r="C597" s="132" t="s">
        <v>6475</v>
      </c>
      <c r="D597" s="133">
        <v>44869</v>
      </c>
    </row>
    <row r="598" spans="2:4" ht="20.25" customHeight="1">
      <c r="B598" s="108" t="s">
        <v>6476</v>
      </c>
      <c r="C598" s="138" t="s">
        <v>6477</v>
      </c>
      <c r="D598" s="133">
        <v>44876</v>
      </c>
    </row>
    <row r="599" spans="2:4" ht="20.25" customHeight="1">
      <c r="B599" s="107" t="s">
        <v>5498</v>
      </c>
      <c r="C599" s="138" t="s">
        <v>6478</v>
      </c>
      <c r="D599" s="131" t="s">
        <v>4361</v>
      </c>
    </row>
    <row r="600" spans="2:4" ht="20.25" customHeight="1">
      <c r="B600" s="108" t="s">
        <v>6479</v>
      </c>
      <c r="C600" s="138" t="s">
        <v>6480</v>
      </c>
      <c r="D600" s="133">
        <v>44869</v>
      </c>
    </row>
    <row r="601" spans="2:4" ht="20.25" customHeight="1">
      <c r="B601" s="108" t="s">
        <v>6481</v>
      </c>
      <c r="C601" s="138" t="s">
        <v>6482</v>
      </c>
      <c r="D601" s="131" t="s">
        <v>4361</v>
      </c>
    </row>
    <row r="602" spans="2:4" ht="20.25" customHeight="1">
      <c r="B602" s="108" t="s">
        <v>6483</v>
      </c>
      <c r="C602" s="132" t="s">
        <v>6484</v>
      </c>
      <c r="D602" s="131" t="s">
        <v>4361</v>
      </c>
    </row>
    <row r="603" spans="2:4" ht="20.25" customHeight="1">
      <c r="B603" s="108" t="s">
        <v>6485</v>
      </c>
      <c r="C603" s="132" t="s">
        <v>6486</v>
      </c>
      <c r="D603" s="131" t="s">
        <v>4361</v>
      </c>
    </row>
    <row r="604" spans="2:4" ht="20.25" customHeight="1">
      <c r="B604" s="108" t="s">
        <v>5575</v>
      </c>
      <c r="C604" s="138" t="s">
        <v>6487</v>
      </c>
      <c r="D604" s="131" t="s">
        <v>4361</v>
      </c>
    </row>
    <row r="605" spans="2:4" ht="20.25" customHeight="1">
      <c r="B605" s="108" t="s">
        <v>6488</v>
      </c>
      <c r="C605" s="132" t="s">
        <v>6489</v>
      </c>
      <c r="D605" s="131" t="s">
        <v>4361</v>
      </c>
    </row>
    <row r="606" spans="2:4" ht="20.25" customHeight="1">
      <c r="B606" s="108" t="s">
        <v>6490</v>
      </c>
      <c r="C606" s="138" t="s">
        <v>6491</v>
      </c>
      <c r="D606" s="131" t="s">
        <v>4361</v>
      </c>
    </row>
    <row r="607" spans="2:4" ht="20.25" customHeight="1">
      <c r="B607" s="108" t="s">
        <v>6492</v>
      </c>
      <c r="C607" s="132" t="s">
        <v>6493</v>
      </c>
      <c r="D607" s="131" t="s">
        <v>4361</v>
      </c>
    </row>
    <row r="608" spans="2:4" ht="20.25" customHeight="1">
      <c r="B608" s="108" t="s">
        <v>6494</v>
      </c>
      <c r="C608" s="132" t="s">
        <v>6495</v>
      </c>
      <c r="D608" s="131" t="s">
        <v>4361</v>
      </c>
    </row>
    <row r="609" spans="2:4" ht="20.25" customHeight="1">
      <c r="B609" s="108" t="s">
        <v>6496</v>
      </c>
      <c r="C609" s="132" t="s">
        <v>6497</v>
      </c>
      <c r="D609" s="131" t="s">
        <v>4361</v>
      </c>
    </row>
    <row r="610" spans="2:4" ht="20.25" customHeight="1">
      <c r="B610" s="108" t="s">
        <v>6498</v>
      </c>
      <c r="C610" s="132" t="s">
        <v>4433</v>
      </c>
      <c r="D610" s="131" t="s">
        <v>4361</v>
      </c>
    </row>
    <row r="611" spans="2:4" ht="20.25" customHeight="1">
      <c r="B611" s="108" t="s">
        <v>6499</v>
      </c>
      <c r="C611" s="132" t="s">
        <v>4433</v>
      </c>
      <c r="D611" s="131" t="s">
        <v>4361</v>
      </c>
    </row>
    <row r="612" spans="2:4" ht="20.25" customHeight="1">
      <c r="B612" s="108" t="s">
        <v>6500</v>
      </c>
      <c r="C612" s="132" t="s">
        <v>6501</v>
      </c>
      <c r="D612" s="131" t="s">
        <v>4361</v>
      </c>
    </row>
    <row r="613" spans="2:4" ht="20.25" customHeight="1">
      <c r="B613" s="108" t="s">
        <v>6502</v>
      </c>
      <c r="C613" s="132" t="s">
        <v>6503</v>
      </c>
      <c r="D613" s="131" t="s">
        <v>4361</v>
      </c>
    </row>
    <row r="614" spans="2:4" ht="20.25" customHeight="1">
      <c r="B614" s="108" t="s">
        <v>6504</v>
      </c>
      <c r="C614" s="132" t="s">
        <v>6495</v>
      </c>
      <c r="D614" s="133">
        <v>44910</v>
      </c>
    </row>
    <row r="615" spans="2:4" ht="20.25" customHeight="1">
      <c r="B615" s="108" t="s">
        <v>5466</v>
      </c>
      <c r="C615" s="132" t="s">
        <v>6505</v>
      </c>
      <c r="D615" s="131" t="s">
        <v>4361</v>
      </c>
    </row>
    <row r="616" spans="2:4" ht="20.25" customHeight="1">
      <c r="B616" s="108" t="s">
        <v>6506</v>
      </c>
      <c r="C616" s="132" t="s">
        <v>6507</v>
      </c>
      <c r="D616" s="133">
        <v>44910</v>
      </c>
    </row>
    <row r="617" spans="2:4" ht="20.25" customHeight="1">
      <c r="B617" s="108" t="s">
        <v>6508</v>
      </c>
      <c r="C617" s="132" t="s">
        <v>6509</v>
      </c>
      <c r="D617" s="131" t="s">
        <v>4361</v>
      </c>
    </row>
    <row r="618" spans="2:4" ht="20.25" customHeight="1">
      <c r="B618" s="108" t="s">
        <v>6510</v>
      </c>
      <c r="C618" s="132" t="s">
        <v>6511</v>
      </c>
      <c r="D618" s="133">
        <v>44910</v>
      </c>
    </row>
    <row r="619" spans="2:4" ht="20.25" customHeight="1">
      <c r="B619" s="108" t="s">
        <v>6512</v>
      </c>
      <c r="C619" s="132" t="s">
        <v>6513</v>
      </c>
      <c r="D619" s="131" t="s">
        <v>4361</v>
      </c>
    </row>
    <row r="620" spans="2:4" ht="20.25" customHeight="1">
      <c r="B620" s="112" t="s">
        <v>6514</v>
      </c>
      <c r="C620" s="132" t="s">
        <v>6515</v>
      </c>
      <c r="D620" s="131" t="s">
        <v>4361</v>
      </c>
    </row>
    <row r="621" spans="2:4" ht="20.25" customHeight="1">
      <c r="B621" s="108" t="s">
        <v>6516</v>
      </c>
      <c r="C621" s="132" t="s">
        <v>6517</v>
      </c>
      <c r="D621" s="131" t="s">
        <v>4361</v>
      </c>
    </row>
    <row r="622" spans="2:4" ht="20.25" customHeight="1">
      <c r="B622" s="108" t="s">
        <v>6518</v>
      </c>
      <c r="C622" s="132" t="s">
        <v>6519</v>
      </c>
      <c r="D622" s="131" t="s">
        <v>4361</v>
      </c>
    </row>
    <row r="623" spans="2:4" ht="20.25" customHeight="1">
      <c r="B623" s="108" t="s">
        <v>5493</v>
      </c>
      <c r="C623" s="132" t="s">
        <v>6520</v>
      </c>
      <c r="D623" s="136">
        <v>45065</v>
      </c>
    </row>
    <row r="624" spans="2:4" ht="20.25" customHeight="1">
      <c r="B624" s="108" t="s">
        <v>6521</v>
      </c>
      <c r="C624" s="132" t="s">
        <v>6522</v>
      </c>
      <c r="D624" s="136">
        <v>45148</v>
      </c>
    </row>
    <row r="625" spans="2:4" ht="20.25" customHeight="1">
      <c r="B625" s="108" t="s">
        <v>6523</v>
      </c>
      <c r="C625" s="132" t="s">
        <v>6524</v>
      </c>
      <c r="D625" s="133">
        <v>44910</v>
      </c>
    </row>
    <row r="626" spans="2:4" ht="20.25" customHeight="1">
      <c r="B626" s="108" t="s">
        <v>6525</v>
      </c>
      <c r="C626" s="132" t="s">
        <v>6526</v>
      </c>
      <c r="D626" s="152">
        <v>45040</v>
      </c>
    </row>
    <row r="627" spans="2:4" ht="20.25" customHeight="1">
      <c r="B627" s="108" t="s">
        <v>6527</v>
      </c>
      <c r="C627" s="132" t="s">
        <v>6528</v>
      </c>
      <c r="D627" s="131" t="s">
        <v>4361</v>
      </c>
    </row>
    <row r="628" spans="2:4" ht="20.25" customHeight="1">
      <c r="B628" s="108" t="s">
        <v>6529</v>
      </c>
      <c r="C628" s="132" t="s">
        <v>6530</v>
      </c>
      <c r="D628" s="136">
        <v>45065</v>
      </c>
    </row>
    <row r="629" spans="2:4" ht="20.25" customHeight="1">
      <c r="B629" s="108" t="s">
        <v>6531</v>
      </c>
      <c r="C629" s="138" t="s">
        <v>6532</v>
      </c>
      <c r="D629" s="131" t="s">
        <v>4361</v>
      </c>
    </row>
    <row r="630" spans="2:4" ht="20.25" customHeight="1">
      <c r="B630" s="108" t="s">
        <v>6533</v>
      </c>
      <c r="C630" s="132" t="s">
        <v>6534</v>
      </c>
      <c r="D630" s="152">
        <v>45040</v>
      </c>
    </row>
    <row r="631" spans="2:4" ht="20.25" customHeight="1">
      <c r="B631" s="108" t="s">
        <v>6535</v>
      </c>
      <c r="C631" s="132" t="s">
        <v>6536</v>
      </c>
      <c r="D631" s="133">
        <v>44923</v>
      </c>
    </row>
    <row r="632" spans="2:4" ht="20.25" customHeight="1">
      <c r="B632" s="108" t="s">
        <v>6537</v>
      </c>
      <c r="C632" s="132" t="s">
        <v>6538</v>
      </c>
      <c r="D632" s="136">
        <v>45065</v>
      </c>
    </row>
    <row r="633" spans="2:4" ht="20.25" customHeight="1">
      <c r="B633" s="108" t="s">
        <v>6539</v>
      </c>
      <c r="C633" s="132" t="s">
        <v>6540</v>
      </c>
      <c r="D633" s="131" t="s">
        <v>4361</v>
      </c>
    </row>
    <row r="634" spans="2:4" ht="20.25" customHeight="1">
      <c r="B634" s="108" t="s">
        <v>6541</v>
      </c>
      <c r="C634" s="132" t="s">
        <v>6542</v>
      </c>
      <c r="D634" s="131" t="s">
        <v>4361</v>
      </c>
    </row>
    <row r="635" spans="2:4" ht="20.25" customHeight="1">
      <c r="B635" s="108" t="s">
        <v>6543</v>
      </c>
      <c r="C635" s="138" t="s">
        <v>6544</v>
      </c>
      <c r="D635" s="133">
        <v>44910</v>
      </c>
    </row>
    <row r="636" spans="2:4" ht="20.25" customHeight="1">
      <c r="B636" s="108" t="s">
        <v>6545</v>
      </c>
      <c r="C636" s="132" t="s">
        <v>6546</v>
      </c>
      <c r="D636" s="133">
        <v>44923</v>
      </c>
    </row>
    <row r="637" spans="2:4" ht="20.25" customHeight="1">
      <c r="B637" s="108" t="s">
        <v>6547</v>
      </c>
      <c r="C637" s="132" t="s">
        <v>6548</v>
      </c>
      <c r="D637" s="133">
        <v>44910</v>
      </c>
    </row>
    <row r="638" spans="2:4" ht="20.25" customHeight="1">
      <c r="B638" s="107" t="s">
        <v>5521</v>
      </c>
      <c r="C638" s="132" t="s">
        <v>6549</v>
      </c>
      <c r="D638" s="133">
        <v>44869</v>
      </c>
    </row>
    <row r="639" spans="2:4" ht="20.25" customHeight="1">
      <c r="B639" s="108" t="s">
        <v>6550</v>
      </c>
      <c r="C639" s="132" t="s">
        <v>6551</v>
      </c>
      <c r="D639" s="133">
        <v>44910</v>
      </c>
    </row>
    <row r="640" spans="2:4" ht="20.25" customHeight="1">
      <c r="B640" s="108" t="s">
        <v>6552</v>
      </c>
      <c r="C640" s="132" t="s">
        <v>6553</v>
      </c>
      <c r="D640" s="131"/>
    </row>
    <row r="641" spans="2:4" ht="20.25" customHeight="1">
      <c r="B641" s="108" t="s">
        <v>6554</v>
      </c>
      <c r="C641" s="132" t="s">
        <v>6555</v>
      </c>
      <c r="D641" s="133">
        <v>44910</v>
      </c>
    </row>
    <row r="642" spans="2:4" ht="20.25" customHeight="1">
      <c r="B642" s="108" t="s">
        <v>5577</v>
      </c>
      <c r="C642" s="132" t="s">
        <v>6556</v>
      </c>
      <c r="D642" s="131" t="s">
        <v>4361</v>
      </c>
    </row>
    <row r="643" spans="2:4" ht="20.25" customHeight="1">
      <c r="B643" s="108" t="s">
        <v>6557</v>
      </c>
      <c r="C643" s="132" t="s">
        <v>6558</v>
      </c>
      <c r="D643" s="133">
        <v>44923</v>
      </c>
    </row>
    <row r="644" spans="2:4" ht="20.25" customHeight="1">
      <c r="B644" s="108" t="s">
        <v>6559</v>
      </c>
      <c r="C644" s="132" t="s">
        <v>6560</v>
      </c>
      <c r="D644" s="133">
        <v>44910</v>
      </c>
    </row>
    <row r="645" spans="2:4" ht="20.25" customHeight="1">
      <c r="B645" s="108" t="s">
        <v>6561</v>
      </c>
      <c r="C645" s="132" t="s">
        <v>6562</v>
      </c>
      <c r="D645" s="133">
        <v>44910</v>
      </c>
    </row>
    <row r="646" spans="2:4" ht="20.25" customHeight="1">
      <c r="B646" s="108" t="s">
        <v>6563</v>
      </c>
      <c r="C646" s="132" t="s">
        <v>6564</v>
      </c>
      <c r="D646" s="131"/>
    </row>
    <row r="647" spans="2:4" ht="20.25" customHeight="1">
      <c r="B647" s="108" t="s">
        <v>6565</v>
      </c>
      <c r="C647" s="132" t="s">
        <v>6566</v>
      </c>
      <c r="D647" s="141"/>
    </row>
    <row r="648" spans="2:4" ht="20.25" customHeight="1">
      <c r="B648" s="108" t="s">
        <v>5514</v>
      </c>
      <c r="C648" s="132" t="s">
        <v>6567</v>
      </c>
      <c r="D648" s="141"/>
    </row>
    <row r="649" spans="2:4" ht="20.25" customHeight="1">
      <c r="B649" s="108" t="s">
        <v>6568</v>
      </c>
      <c r="C649" s="132" t="s">
        <v>6569</v>
      </c>
      <c r="D649" s="141"/>
    </row>
    <row r="650" spans="2:4" ht="20.25" customHeight="1">
      <c r="B650" s="108" t="s">
        <v>6570</v>
      </c>
      <c r="C650" s="132" t="s">
        <v>6571</v>
      </c>
      <c r="D650" s="141"/>
    </row>
    <row r="651" spans="2:4" ht="20.25" customHeight="1">
      <c r="B651" s="108" t="s">
        <v>6572</v>
      </c>
      <c r="C651" s="132" t="s">
        <v>6573</v>
      </c>
      <c r="D651" s="141"/>
    </row>
    <row r="652" spans="2:4" ht="20.25" customHeight="1">
      <c r="B652" s="108" t="s">
        <v>6574</v>
      </c>
      <c r="C652" s="132" t="s">
        <v>6575</v>
      </c>
      <c r="D652" s="141"/>
    </row>
    <row r="653" spans="2:4" ht="20.25" customHeight="1">
      <c r="B653" s="108" t="s">
        <v>6576</v>
      </c>
      <c r="C653" s="138" t="s">
        <v>6577</v>
      </c>
      <c r="D653" s="141"/>
    </row>
    <row r="654" spans="2:4" ht="20.25" customHeight="1">
      <c r="B654" s="108" t="s">
        <v>5523</v>
      </c>
      <c r="C654" s="138" t="s">
        <v>6578</v>
      </c>
      <c r="D654" s="141"/>
    </row>
    <row r="655" spans="2:4" ht="20.25" customHeight="1">
      <c r="B655" s="108" t="s">
        <v>6579</v>
      </c>
      <c r="C655" s="132" t="s">
        <v>6575</v>
      </c>
      <c r="D655" s="141"/>
    </row>
    <row r="656" spans="2:4" ht="20.25" customHeight="1">
      <c r="B656" s="108" t="s">
        <v>6580</v>
      </c>
      <c r="C656" s="138" t="s">
        <v>6581</v>
      </c>
      <c r="D656" s="141"/>
    </row>
    <row r="657" spans="2:4" ht="20.25" customHeight="1">
      <c r="B657" s="112" t="s">
        <v>6582</v>
      </c>
      <c r="C657" s="138" t="s">
        <v>6578</v>
      </c>
      <c r="D657" s="141"/>
    </row>
    <row r="658" spans="2:4" ht="20.25" customHeight="1">
      <c r="B658" s="108" t="s">
        <v>6583</v>
      </c>
      <c r="C658" s="138" t="s">
        <v>6578</v>
      </c>
      <c r="D658" s="141"/>
    </row>
    <row r="659" spans="2:4" ht="20.25" customHeight="1">
      <c r="B659" s="108" t="s">
        <v>6584</v>
      </c>
      <c r="C659" s="138" t="s">
        <v>6581</v>
      </c>
      <c r="D659" s="141"/>
    </row>
    <row r="660" spans="2:4" ht="20.25" customHeight="1">
      <c r="B660" s="112" t="s">
        <v>5525</v>
      </c>
      <c r="C660" s="138" t="s">
        <v>6585</v>
      </c>
      <c r="D660" s="141"/>
    </row>
    <row r="661" spans="2:4" ht="20.25" customHeight="1">
      <c r="B661" s="108" t="s">
        <v>6586</v>
      </c>
      <c r="C661" s="138" t="s">
        <v>6587</v>
      </c>
      <c r="D661" s="141"/>
    </row>
    <row r="662" spans="2:4" ht="20.25" customHeight="1">
      <c r="B662" s="108" t="s">
        <v>6588</v>
      </c>
      <c r="C662" s="138" t="s">
        <v>6589</v>
      </c>
      <c r="D662" s="141"/>
    </row>
    <row r="663" spans="2:4" ht="20.25" customHeight="1">
      <c r="B663" s="108" t="s">
        <v>6590</v>
      </c>
      <c r="C663" s="138" t="s">
        <v>6199</v>
      </c>
      <c r="D663" s="141"/>
    </row>
    <row r="664" spans="2:4" ht="20.25" customHeight="1">
      <c r="B664" s="108" t="s">
        <v>6591</v>
      </c>
      <c r="C664" s="138" t="s">
        <v>6199</v>
      </c>
      <c r="D664" s="141"/>
    </row>
    <row r="665" spans="2:4" ht="20.25" customHeight="1">
      <c r="B665" s="112" t="s">
        <v>6592</v>
      </c>
      <c r="C665" s="132" t="s">
        <v>6593</v>
      </c>
      <c r="D665" s="141"/>
    </row>
    <row r="666" spans="2:4" ht="20.25" customHeight="1">
      <c r="B666" s="108" t="s">
        <v>6594</v>
      </c>
      <c r="C666" s="138" t="s">
        <v>6595</v>
      </c>
      <c r="D666" s="141"/>
    </row>
    <row r="667" spans="2:4" ht="20.25" customHeight="1">
      <c r="B667" s="108" t="s">
        <v>6596</v>
      </c>
      <c r="C667" s="138" t="s">
        <v>6597</v>
      </c>
      <c r="D667" s="141"/>
    </row>
    <row r="668" spans="2:4" ht="20.25" customHeight="1">
      <c r="B668" s="116" t="s">
        <v>5579</v>
      </c>
      <c r="C668" s="138" t="s">
        <v>6598</v>
      </c>
      <c r="D668" s="141"/>
    </row>
    <row r="669" spans="2:4" ht="20.25" customHeight="1">
      <c r="B669" s="112" t="s">
        <v>6599</v>
      </c>
      <c r="C669" s="132" t="s">
        <v>6600</v>
      </c>
      <c r="D669" s="131" t="s">
        <v>4361</v>
      </c>
    </row>
    <row r="670" spans="2:4" ht="20.25" customHeight="1">
      <c r="B670" s="108" t="s">
        <v>6601</v>
      </c>
      <c r="C670" s="138" t="s">
        <v>6199</v>
      </c>
      <c r="D670" s="131" t="s">
        <v>4361</v>
      </c>
    </row>
    <row r="671" spans="2:4" ht="20.25" customHeight="1">
      <c r="B671" s="108" t="s">
        <v>5581</v>
      </c>
      <c r="C671" s="138" t="s">
        <v>6199</v>
      </c>
      <c r="D671" s="131" t="s">
        <v>4361</v>
      </c>
    </row>
    <row r="672" spans="2:4" ht="20.25" customHeight="1">
      <c r="B672" s="108" t="s">
        <v>5583</v>
      </c>
      <c r="C672" s="138" t="s">
        <v>6199</v>
      </c>
      <c r="D672" s="141" t="s">
        <v>4361</v>
      </c>
    </row>
    <row r="673" spans="2:4" ht="20.25" customHeight="1">
      <c r="B673" s="108" t="s">
        <v>5505</v>
      </c>
      <c r="C673" s="132" t="s">
        <v>6602</v>
      </c>
      <c r="D673" s="141"/>
    </row>
    <row r="674" spans="2:4" ht="20.25" customHeight="1">
      <c r="B674" s="108" t="s">
        <v>5585</v>
      </c>
      <c r="C674" s="132" t="s">
        <v>6603</v>
      </c>
      <c r="D674" s="141"/>
    </row>
    <row r="675" spans="2:4" ht="20.25" customHeight="1">
      <c r="B675" s="108" t="s">
        <v>6604</v>
      </c>
      <c r="C675" s="132" t="s">
        <v>6605</v>
      </c>
      <c r="D675" s="141"/>
    </row>
    <row r="676" spans="2:4" ht="20.25" customHeight="1">
      <c r="B676" s="108" t="s">
        <v>6606</v>
      </c>
      <c r="C676" s="138" t="s">
        <v>6607</v>
      </c>
      <c r="D676" s="141"/>
    </row>
    <row r="677" spans="2:4" ht="20.25" customHeight="1">
      <c r="B677" s="108" t="s">
        <v>5479</v>
      </c>
      <c r="C677" s="132" t="s">
        <v>6608</v>
      </c>
      <c r="D677" s="141"/>
    </row>
    <row r="678" spans="2:4" ht="20.25" customHeight="1">
      <c r="B678" s="108" t="s">
        <v>5526</v>
      </c>
      <c r="C678" s="132" t="s">
        <v>6609</v>
      </c>
      <c r="D678" s="141"/>
    </row>
    <row r="679" spans="2:4" ht="20.25" customHeight="1">
      <c r="B679" s="108" t="s">
        <v>6610</v>
      </c>
      <c r="C679" s="138" t="s">
        <v>6611</v>
      </c>
      <c r="D679" s="141"/>
    </row>
    <row r="680" spans="2:4" ht="20.25" customHeight="1">
      <c r="B680" s="108" t="s">
        <v>6612</v>
      </c>
      <c r="C680" s="138" t="s">
        <v>6613</v>
      </c>
      <c r="D680" s="141"/>
    </row>
    <row r="681" spans="2:4" ht="20.25" customHeight="1">
      <c r="B681" s="108" t="s">
        <v>6614</v>
      </c>
      <c r="C681" s="132" t="s">
        <v>6615</v>
      </c>
      <c r="D681" s="141"/>
    </row>
    <row r="682" spans="2:4" ht="20.25" customHeight="1">
      <c r="B682" s="108" t="s">
        <v>6616</v>
      </c>
      <c r="C682" s="138" t="s">
        <v>6199</v>
      </c>
      <c r="D682" s="141"/>
    </row>
    <row r="683" spans="2:4" ht="20.25" customHeight="1">
      <c r="B683" s="108" t="s">
        <v>6617</v>
      </c>
      <c r="C683" s="138" t="s">
        <v>6618</v>
      </c>
      <c r="D683" s="141"/>
    </row>
    <row r="684" spans="2:4" ht="20.25" customHeight="1">
      <c r="B684" s="108" t="s">
        <v>6619</v>
      </c>
      <c r="C684" s="132" t="s">
        <v>6620</v>
      </c>
      <c r="D684" s="141"/>
    </row>
    <row r="685" spans="2:4" ht="20.25" customHeight="1">
      <c r="B685" s="108" t="s">
        <v>6621</v>
      </c>
      <c r="C685" s="138" t="s">
        <v>6622</v>
      </c>
      <c r="D685" s="141"/>
    </row>
    <row r="686" spans="2:4" ht="20.25" customHeight="1">
      <c r="B686" s="108" t="s">
        <v>5586</v>
      </c>
      <c r="C686" s="138" t="s">
        <v>4628</v>
      </c>
      <c r="D686" s="141"/>
    </row>
    <row r="687" spans="2:4" ht="20.25" customHeight="1">
      <c r="B687" s="108" t="s">
        <v>6623</v>
      </c>
      <c r="C687" s="132" t="s">
        <v>6624</v>
      </c>
      <c r="D687" s="141"/>
    </row>
    <row r="688" spans="2:4" ht="20.25" customHeight="1">
      <c r="B688" s="108" t="s">
        <v>6625</v>
      </c>
      <c r="C688" s="132" t="s">
        <v>6626</v>
      </c>
      <c r="D688" s="152">
        <v>45040</v>
      </c>
    </row>
    <row r="689" spans="2:4" ht="20.25" customHeight="1">
      <c r="B689" s="108" t="s">
        <v>6627</v>
      </c>
      <c r="C689" s="138" t="s">
        <v>6199</v>
      </c>
      <c r="D689" s="141"/>
    </row>
    <row r="690" spans="2:4" ht="20.25" customHeight="1">
      <c r="B690" s="108" t="s">
        <v>6628</v>
      </c>
      <c r="C690" s="138" t="s">
        <v>6199</v>
      </c>
      <c r="D690" s="141"/>
    </row>
    <row r="691" spans="2:4" ht="20.25" customHeight="1">
      <c r="B691" s="108" t="s">
        <v>6629</v>
      </c>
      <c r="C691" s="138" t="s">
        <v>6630</v>
      </c>
      <c r="D691" s="131"/>
    </row>
    <row r="692" spans="2:4" ht="20.25" customHeight="1">
      <c r="B692" s="108" t="s">
        <v>6631</v>
      </c>
      <c r="C692" s="132" t="s">
        <v>6632</v>
      </c>
      <c r="D692" s="141"/>
    </row>
    <row r="693" spans="2:4" ht="20.25" customHeight="1">
      <c r="B693" s="108" t="s">
        <v>6633</v>
      </c>
      <c r="C693" s="132" t="s">
        <v>6634</v>
      </c>
      <c r="D693" s="141"/>
    </row>
    <row r="694" spans="2:4" ht="20.25" customHeight="1">
      <c r="B694" s="108" t="s">
        <v>6635</v>
      </c>
      <c r="C694" s="138" t="s">
        <v>6636</v>
      </c>
      <c r="D694" s="133">
        <v>44922</v>
      </c>
    </row>
    <row r="695" spans="2:4" ht="20.25" customHeight="1">
      <c r="B695" s="108" t="s">
        <v>6637</v>
      </c>
      <c r="C695" s="132" t="s">
        <v>6638</v>
      </c>
      <c r="D695" s="141"/>
    </row>
    <row r="696" spans="2:4" ht="20.25" customHeight="1">
      <c r="B696" s="108" t="s">
        <v>6639</v>
      </c>
      <c r="C696" s="132" t="s">
        <v>4628</v>
      </c>
      <c r="D696" s="141"/>
    </row>
    <row r="697" spans="2:4" ht="20.25" customHeight="1">
      <c r="B697" s="108" t="s">
        <v>6640</v>
      </c>
      <c r="C697" s="138" t="s">
        <v>6641</v>
      </c>
      <c r="D697" s="141"/>
    </row>
    <row r="698" spans="2:4" ht="20.25" customHeight="1">
      <c r="B698" s="108" t="s">
        <v>6642</v>
      </c>
      <c r="C698" s="132" t="s">
        <v>6643</v>
      </c>
      <c r="D698" s="141"/>
    </row>
    <row r="699" spans="2:4" ht="20.25" customHeight="1">
      <c r="B699" s="108" t="s">
        <v>5460</v>
      </c>
      <c r="C699" s="138" t="s">
        <v>6644</v>
      </c>
      <c r="D699" s="141" t="s">
        <v>4361</v>
      </c>
    </row>
    <row r="700" spans="2:4" ht="20.25" customHeight="1">
      <c r="B700" s="108" t="s">
        <v>6645</v>
      </c>
      <c r="C700" s="165" t="s">
        <v>6646</v>
      </c>
      <c r="D700" s="141" t="s">
        <v>4361</v>
      </c>
    </row>
    <row r="701" spans="2:4" ht="20.25" customHeight="1">
      <c r="B701" s="108" t="s">
        <v>6647</v>
      </c>
      <c r="C701" s="138" t="s">
        <v>6199</v>
      </c>
      <c r="D701" s="141"/>
    </row>
    <row r="702" spans="2:4" ht="20.25" customHeight="1">
      <c r="B702" s="108" t="s">
        <v>6648</v>
      </c>
      <c r="C702" s="138" t="s">
        <v>6649</v>
      </c>
      <c r="D702" s="141" t="s">
        <v>4361</v>
      </c>
    </row>
    <row r="703" spans="2:4" ht="20.25" customHeight="1">
      <c r="B703" s="108" t="s">
        <v>5509</v>
      </c>
      <c r="C703" s="132" t="s">
        <v>6650</v>
      </c>
      <c r="D703" s="141"/>
    </row>
    <row r="704" spans="2:4" ht="20.25" customHeight="1">
      <c r="B704" s="108" t="s">
        <v>6651</v>
      </c>
      <c r="C704" s="132" t="s">
        <v>6652</v>
      </c>
      <c r="D704" s="141"/>
    </row>
    <row r="705" spans="2:4" ht="20.25" customHeight="1">
      <c r="B705" s="108" t="s">
        <v>6653</v>
      </c>
      <c r="C705" s="165" t="s">
        <v>6654</v>
      </c>
      <c r="D705" s="141"/>
    </row>
    <row r="706" spans="2:4" ht="20.25" customHeight="1">
      <c r="B706" s="108" t="s">
        <v>6655</v>
      </c>
      <c r="C706" s="132" t="s">
        <v>6656</v>
      </c>
      <c r="D706" s="131" t="s">
        <v>4361</v>
      </c>
    </row>
    <row r="707" spans="2:4" ht="20.25" customHeight="1">
      <c r="B707" s="108" t="s">
        <v>6657</v>
      </c>
      <c r="C707" s="138" t="s">
        <v>6658</v>
      </c>
      <c r="D707" s="152">
        <v>45040</v>
      </c>
    </row>
    <row r="708" spans="2:4" ht="20.25" customHeight="1">
      <c r="B708" s="108" t="s">
        <v>6659</v>
      </c>
      <c r="C708" s="138" t="s">
        <v>6660</v>
      </c>
      <c r="D708" s="141"/>
    </row>
    <row r="709" spans="2:4" ht="20.25" customHeight="1">
      <c r="B709" s="108" t="s">
        <v>6661</v>
      </c>
      <c r="C709" s="132" t="s">
        <v>6660</v>
      </c>
      <c r="D709" s="131" t="s">
        <v>4361</v>
      </c>
    </row>
    <row r="710" spans="2:4" ht="20.25" customHeight="1">
      <c r="B710" s="108" t="s">
        <v>6662</v>
      </c>
      <c r="C710" s="132" t="s">
        <v>6663</v>
      </c>
      <c r="D710" s="136">
        <v>45148</v>
      </c>
    </row>
    <row r="711" spans="2:4" ht="20.25" customHeight="1">
      <c r="B711" s="108" t="s">
        <v>6664</v>
      </c>
      <c r="C711" s="138" t="s">
        <v>6665</v>
      </c>
      <c r="D711" s="141"/>
    </row>
    <row r="712" spans="2:4" ht="20.25" customHeight="1">
      <c r="B712" s="108" t="s">
        <v>6666</v>
      </c>
      <c r="C712" s="138" t="s">
        <v>6667</v>
      </c>
      <c r="D712" s="136">
        <v>45049</v>
      </c>
    </row>
    <row r="713" spans="2:4" ht="20.25" customHeight="1">
      <c r="B713" s="108" t="s">
        <v>6668</v>
      </c>
      <c r="C713" s="132" t="s">
        <v>6669</v>
      </c>
      <c r="D713" s="131" t="s">
        <v>4361</v>
      </c>
    </row>
    <row r="714" spans="2:4" ht="20.25" customHeight="1">
      <c r="B714" s="108" t="s">
        <v>6670</v>
      </c>
      <c r="C714" s="138" t="s">
        <v>6671</v>
      </c>
      <c r="D714" s="141" t="s">
        <v>4361</v>
      </c>
    </row>
    <row r="715" spans="2:4" ht="20.25" customHeight="1">
      <c r="B715" s="108" t="s">
        <v>6672</v>
      </c>
      <c r="C715" s="132" t="s">
        <v>6673</v>
      </c>
      <c r="D715" s="141"/>
    </row>
    <row r="716" spans="2:4" ht="20.25" customHeight="1">
      <c r="B716" s="108" t="s">
        <v>6674</v>
      </c>
      <c r="C716" s="138" t="s">
        <v>6675</v>
      </c>
      <c r="D716" s="141"/>
    </row>
    <row r="717" spans="2:4" ht="20.25" customHeight="1">
      <c r="B717" s="108" t="s">
        <v>6676</v>
      </c>
      <c r="C717" s="132" t="s">
        <v>6677</v>
      </c>
      <c r="D717" s="136">
        <v>45049</v>
      </c>
    </row>
    <row r="718" spans="2:4" ht="20.25" customHeight="1">
      <c r="B718" s="108" t="s">
        <v>6678</v>
      </c>
      <c r="C718" s="132" t="s">
        <v>6679</v>
      </c>
      <c r="D718" s="133">
        <v>45058</v>
      </c>
    </row>
    <row r="719" spans="2:4" ht="20.25" customHeight="1">
      <c r="B719" s="108" t="s">
        <v>6680</v>
      </c>
      <c r="C719" s="138" t="s">
        <v>6681</v>
      </c>
      <c r="D719" s="141"/>
    </row>
    <row r="720" spans="2:4" ht="20.25" customHeight="1">
      <c r="B720" s="108" t="s">
        <v>6682</v>
      </c>
      <c r="C720" s="138" t="s">
        <v>6199</v>
      </c>
      <c r="D720" s="152">
        <v>45040</v>
      </c>
    </row>
    <row r="721" spans="2:4" ht="20.25" customHeight="1">
      <c r="B721" s="108" t="s">
        <v>6683</v>
      </c>
      <c r="C721" s="138" t="s">
        <v>6684</v>
      </c>
      <c r="D721" s="141"/>
    </row>
    <row r="722" spans="2:4" ht="20.25" customHeight="1">
      <c r="B722" s="108" t="s">
        <v>6685</v>
      </c>
      <c r="C722" s="138" t="s">
        <v>6686</v>
      </c>
      <c r="D722" s="131" t="s">
        <v>4361</v>
      </c>
    </row>
    <row r="723" spans="2:4" ht="20.25" customHeight="1">
      <c r="B723" s="108" t="s">
        <v>6687</v>
      </c>
      <c r="C723" s="138" t="s">
        <v>6688</v>
      </c>
      <c r="D723" s="141"/>
    </row>
    <row r="724" spans="2:4" ht="20.25" customHeight="1">
      <c r="B724" s="108" t="s">
        <v>6689</v>
      </c>
      <c r="C724" s="132" t="s">
        <v>6690</v>
      </c>
      <c r="D724" s="141"/>
    </row>
    <row r="725" spans="2:4" ht="20.25" customHeight="1">
      <c r="B725" s="108" t="s">
        <v>6691</v>
      </c>
      <c r="C725" s="138" t="s">
        <v>6692</v>
      </c>
      <c r="D725" s="141"/>
    </row>
    <row r="726" spans="2:4" ht="20.25" customHeight="1">
      <c r="B726" s="108" t="s">
        <v>6693</v>
      </c>
      <c r="C726" s="132" t="s">
        <v>6694</v>
      </c>
      <c r="D726" s="131" t="s">
        <v>4361</v>
      </c>
    </row>
    <row r="727" spans="2:4" ht="20.25" customHeight="1">
      <c r="B727" s="108" t="s">
        <v>6695</v>
      </c>
      <c r="C727" s="132" t="s">
        <v>6696</v>
      </c>
      <c r="D727" s="141"/>
    </row>
    <row r="728" spans="2:4" ht="20.25" customHeight="1">
      <c r="B728" s="108" t="s">
        <v>6697</v>
      </c>
      <c r="C728" s="138" t="s">
        <v>4628</v>
      </c>
      <c r="D728" s="141"/>
    </row>
    <row r="729" spans="2:4" ht="20.25" customHeight="1">
      <c r="B729" s="108" t="s">
        <v>6698</v>
      </c>
      <c r="C729" s="138" t="s">
        <v>6199</v>
      </c>
      <c r="D729" s="141"/>
    </row>
    <row r="730" spans="2:4" ht="20.25" customHeight="1">
      <c r="B730" s="108" t="s">
        <v>6699</v>
      </c>
      <c r="C730" s="132" t="s">
        <v>6700</v>
      </c>
      <c r="D730" s="131" t="s">
        <v>4361</v>
      </c>
    </row>
    <row r="731" spans="2:4" ht="20.25" customHeight="1">
      <c r="B731" s="108" t="s">
        <v>6701</v>
      </c>
      <c r="C731" s="132" t="s">
        <v>6702</v>
      </c>
      <c r="D731" s="131" t="s">
        <v>4361</v>
      </c>
    </row>
    <row r="732" spans="2:4" ht="20.25" customHeight="1">
      <c r="B732" s="108" t="s">
        <v>6703</v>
      </c>
      <c r="C732" s="138" t="s">
        <v>6704</v>
      </c>
      <c r="D732" s="141"/>
    </row>
    <row r="733" spans="2:4" ht="20.25" customHeight="1">
      <c r="B733" s="108" t="s">
        <v>6705</v>
      </c>
      <c r="C733" s="138" t="s">
        <v>6706</v>
      </c>
      <c r="D733" s="131" t="s">
        <v>4361</v>
      </c>
    </row>
    <row r="734" spans="2:4" ht="20.25" customHeight="1">
      <c r="B734" s="108" t="s">
        <v>6707</v>
      </c>
      <c r="C734" s="132" t="s">
        <v>6708</v>
      </c>
      <c r="D734" s="141"/>
    </row>
    <row r="735" spans="2:4" ht="20.25" customHeight="1">
      <c r="B735" s="108" t="s">
        <v>6709</v>
      </c>
      <c r="C735" s="132" t="s">
        <v>6710</v>
      </c>
      <c r="D735" s="141"/>
    </row>
    <row r="736" spans="2:4" ht="20.25" customHeight="1">
      <c r="B736" s="108" t="s">
        <v>6711</v>
      </c>
      <c r="C736" s="138" t="s">
        <v>6712</v>
      </c>
      <c r="D736" s="131" t="s">
        <v>4361</v>
      </c>
    </row>
    <row r="737" spans="2:4" ht="20.25" customHeight="1">
      <c r="B737" s="108" t="s">
        <v>6713</v>
      </c>
      <c r="C737" s="132" t="s">
        <v>6714</v>
      </c>
      <c r="D737" s="152">
        <v>45040</v>
      </c>
    </row>
    <row r="738" spans="2:4" ht="20.25" customHeight="1">
      <c r="B738" s="108" t="s">
        <v>6715</v>
      </c>
      <c r="C738" s="132" t="s">
        <v>6716</v>
      </c>
      <c r="D738" s="141"/>
    </row>
    <row r="739" spans="2:4" ht="20.25" customHeight="1">
      <c r="B739" s="108" t="s">
        <v>5588</v>
      </c>
      <c r="C739" s="132" t="s">
        <v>6717</v>
      </c>
      <c r="D739" s="131" t="s">
        <v>4361</v>
      </c>
    </row>
    <row r="740" spans="2:4" ht="20.25" customHeight="1">
      <c r="B740" s="108" t="s">
        <v>6718</v>
      </c>
      <c r="C740" s="132" t="s">
        <v>6719</v>
      </c>
      <c r="D740" s="133">
        <v>44923</v>
      </c>
    </row>
    <row r="741" spans="2:4" ht="20.25" customHeight="1">
      <c r="B741" s="108" t="s">
        <v>6720</v>
      </c>
      <c r="C741" s="138" t="s">
        <v>6721</v>
      </c>
      <c r="D741" s="141"/>
    </row>
    <row r="742" spans="2:4" ht="20.25" customHeight="1">
      <c r="B742" s="108" t="s">
        <v>6722</v>
      </c>
      <c r="C742" s="132" t="s">
        <v>6199</v>
      </c>
      <c r="D742" s="133">
        <v>44877</v>
      </c>
    </row>
    <row r="743" spans="2:4" ht="20.25" customHeight="1">
      <c r="B743" s="108" t="s">
        <v>6723</v>
      </c>
      <c r="C743" s="132" t="s">
        <v>6724</v>
      </c>
      <c r="D743" s="141"/>
    </row>
    <row r="744" spans="2:4" ht="20.25" customHeight="1">
      <c r="B744" s="108" t="s">
        <v>6725</v>
      </c>
      <c r="C744" s="138" t="s">
        <v>6726</v>
      </c>
      <c r="D744" s="141"/>
    </row>
    <row r="745" spans="2:4" ht="20.25" customHeight="1">
      <c r="B745" s="108" t="s">
        <v>6727</v>
      </c>
      <c r="C745" s="132" t="s">
        <v>6199</v>
      </c>
      <c r="D745" s="152">
        <v>45040</v>
      </c>
    </row>
    <row r="746" spans="2:4" ht="20.25" customHeight="1">
      <c r="B746" s="108" t="s">
        <v>6728</v>
      </c>
      <c r="C746" s="132" t="s">
        <v>6729</v>
      </c>
      <c r="D746" s="131" t="s">
        <v>4361</v>
      </c>
    </row>
    <row r="747" spans="2:4" ht="20.25" customHeight="1">
      <c r="B747" s="110" t="s">
        <v>5488</v>
      </c>
      <c r="C747" s="138" t="s">
        <v>6199</v>
      </c>
      <c r="D747" s="141"/>
    </row>
    <row r="748" spans="2:4" ht="20.25" customHeight="1">
      <c r="B748" s="108" t="s">
        <v>5590</v>
      </c>
      <c r="C748" s="138" t="s">
        <v>4628</v>
      </c>
      <c r="D748" s="141"/>
    </row>
    <row r="749" spans="2:4" ht="20.25" customHeight="1">
      <c r="B749" s="108" t="s">
        <v>6730</v>
      </c>
      <c r="C749" s="138" t="s">
        <v>6731</v>
      </c>
      <c r="D749" s="141"/>
    </row>
    <row r="750" spans="2:4" ht="20.25" customHeight="1">
      <c r="B750" s="108" t="s">
        <v>6732</v>
      </c>
      <c r="C750" s="132" t="s">
        <v>6733</v>
      </c>
      <c r="D750" s="141"/>
    </row>
    <row r="751" spans="2:4" ht="20.25" customHeight="1">
      <c r="B751" s="108" t="s">
        <v>5592</v>
      </c>
      <c r="C751" s="138" t="s">
        <v>6734</v>
      </c>
      <c r="D751" s="141"/>
    </row>
    <row r="752" spans="2:4" ht="20.25" customHeight="1">
      <c r="B752" s="108" t="s">
        <v>6735</v>
      </c>
      <c r="C752" s="138" t="s">
        <v>6736</v>
      </c>
      <c r="D752" s="141"/>
    </row>
    <row r="753" spans="2:4" ht="20.25" customHeight="1">
      <c r="B753" s="108" t="s">
        <v>6737</v>
      </c>
      <c r="C753" s="138" t="s">
        <v>4628</v>
      </c>
      <c r="D753" s="141"/>
    </row>
    <row r="754" spans="2:4" ht="20.25" customHeight="1">
      <c r="B754" s="116" t="s">
        <v>5594</v>
      </c>
      <c r="C754" s="138" t="s">
        <v>4628</v>
      </c>
      <c r="D754" s="141"/>
    </row>
    <row r="755" spans="2:4" ht="20.25" customHeight="1">
      <c r="B755" s="108" t="s">
        <v>6738</v>
      </c>
      <c r="C755" s="138" t="s">
        <v>4628</v>
      </c>
      <c r="D755" s="141"/>
    </row>
    <row r="756" spans="2:4" ht="20.25" customHeight="1">
      <c r="B756" s="108" t="s">
        <v>6739</v>
      </c>
      <c r="C756" s="138" t="s">
        <v>4628</v>
      </c>
      <c r="D756" s="141"/>
    </row>
    <row r="757" spans="2:4" ht="20.25" customHeight="1">
      <c r="B757" s="108" t="s">
        <v>6740</v>
      </c>
      <c r="C757" s="138" t="s">
        <v>4628</v>
      </c>
      <c r="D757" s="136">
        <v>45049</v>
      </c>
    </row>
    <row r="758" spans="2:4" ht="20.25" customHeight="1">
      <c r="B758" s="108" t="s">
        <v>6741</v>
      </c>
      <c r="C758" s="138" t="s">
        <v>4628</v>
      </c>
      <c r="D758" s="152">
        <v>45040</v>
      </c>
    </row>
    <row r="759" spans="2:4" ht="20.25" customHeight="1">
      <c r="B759" s="108" t="s">
        <v>6742</v>
      </c>
      <c r="C759" s="138" t="s">
        <v>4628</v>
      </c>
      <c r="D759" s="141"/>
    </row>
    <row r="760" spans="2:4" ht="20.25" customHeight="1">
      <c r="B760" s="108" t="s">
        <v>6743</v>
      </c>
      <c r="C760" s="132" t="s">
        <v>6464</v>
      </c>
      <c r="D760" s="141"/>
    </row>
    <row r="761" spans="2:4" ht="20.25" customHeight="1">
      <c r="B761" s="111" t="s">
        <v>6744</v>
      </c>
      <c r="C761" s="138" t="s">
        <v>6745</v>
      </c>
      <c r="D761" s="131" t="s">
        <v>4361</v>
      </c>
    </row>
    <row r="762" spans="2:4" ht="20.25" customHeight="1">
      <c r="B762" s="108" t="s">
        <v>6746</v>
      </c>
      <c r="C762" s="132" t="s">
        <v>6747</v>
      </c>
      <c r="D762" s="141"/>
    </row>
    <row r="763" spans="2:4" ht="20.25" customHeight="1">
      <c r="B763" s="108" t="s">
        <v>6748</v>
      </c>
      <c r="C763" s="138" t="s">
        <v>4628</v>
      </c>
      <c r="D763" s="141"/>
    </row>
    <row r="764" spans="2:4" ht="20.25" customHeight="1">
      <c r="B764" s="108" t="s">
        <v>6749</v>
      </c>
      <c r="C764" s="138" t="s">
        <v>6750</v>
      </c>
      <c r="D764" s="141"/>
    </row>
    <row r="765" spans="2:4" ht="20.25" customHeight="1">
      <c r="B765" s="108" t="s">
        <v>6751</v>
      </c>
      <c r="C765" s="132" t="s">
        <v>6752</v>
      </c>
      <c r="D765" s="141"/>
    </row>
    <row r="766" spans="2:4" ht="20.25" customHeight="1">
      <c r="B766" s="108" t="s">
        <v>6753</v>
      </c>
      <c r="C766" s="138" t="s">
        <v>4628</v>
      </c>
      <c r="D766" s="141"/>
    </row>
    <row r="767" spans="2:4" ht="20.25" customHeight="1">
      <c r="B767" s="108" t="s">
        <v>6754</v>
      </c>
      <c r="C767" s="138" t="s">
        <v>4628</v>
      </c>
      <c r="D767" s="141"/>
    </row>
    <row r="768" spans="2:4" ht="20.25" customHeight="1">
      <c r="B768" s="108" t="s">
        <v>6755</v>
      </c>
      <c r="C768" s="138" t="s">
        <v>6756</v>
      </c>
      <c r="D768" s="131" t="s">
        <v>4361</v>
      </c>
    </row>
    <row r="769" spans="2:4" ht="20.25" customHeight="1">
      <c r="B769" s="108" t="s">
        <v>6757</v>
      </c>
      <c r="C769" s="138" t="s">
        <v>4628</v>
      </c>
      <c r="D769" s="136">
        <v>45105</v>
      </c>
    </row>
    <row r="770" spans="2:4" ht="20.25" customHeight="1">
      <c r="B770" s="108" t="s">
        <v>6758</v>
      </c>
      <c r="C770" s="138" t="s">
        <v>4628</v>
      </c>
      <c r="D770" s="152">
        <v>45040</v>
      </c>
    </row>
    <row r="771" spans="2:4" ht="20.25" customHeight="1">
      <c r="B771" s="108" t="s">
        <v>6759</v>
      </c>
      <c r="C771" s="138" t="s">
        <v>6199</v>
      </c>
      <c r="D771" s="141"/>
    </row>
    <row r="772" spans="2:4" ht="20.25" customHeight="1">
      <c r="B772" s="108" t="s">
        <v>6760</v>
      </c>
      <c r="C772" s="132" t="s">
        <v>6761</v>
      </c>
      <c r="D772" s="131" t="s">
        <v>4361</v>
      </c>
    </row>
    <row r="773" spans="2:4" ht="20.25" customHeight="1">
      <c r="B773" s="108" t="s">
        <v>6762</v>
      </c>
      <c r="C773" s="132" t="s">
        <v>6763</v>
      </c>
      <c r="D773" s="131" t="s">
        <v>4361</v>
      </c>
    </row>
    <row r="774" spans="2:4" ht="20.25" customHeight="1">
      <c r="B774" s="108" t="s">
        <v>6764</v>
      </c>
      <c r="C774" s="138" t="s">
        <v>6765</v>
      </c>
      <c r="D774" s="141"/>
    </row>
    <row r="775" spans="2:4" ht="20.25" customHeight="1">
      <c r="B775" s="108" t="s">
        <v>6766</v>
      </c>
      <c r="C775" s="132" t="s">
        <v>6199</v>
      </c>
      <c r="D775" s="141"/>
    </row>
    <row r="776" spans="2:4" ht="20.25" customHeight="1">
      <c r="B776" s="108" t="s">
        <v>6767</v>
      </c>
      <c r="C776" s="132" t="s">
        <v>6768</v>
      </c>
      <c r="D776" s="141"/>
    </row>
    <row r="777" spans="2:4" ht="20.25" customHeight="1">
      <c r="B777" s="108" t="s">
        <v>5491</v>
      </c>
      <c r="C777" s="132" t="s">
        <v>6769</v>
      </c>
      <c r="D777" s="131" t="s">
        <v>4361</v>
      </c>
    </row>
    <row r="778" spans="2:4" ht="20.25" customHeight="1">
      <c r="B778" s="108" t="s">
        <v>5481</v>
      </c>
      <c r="C778" s="132" t="s">
        <v>6199</v>
      </c>
      <c r="D778" s="141"/>
    </row>
    <row r="779" spans="2:4" ht="20.25" customHeight="1">
      <c r="B779" s="108" t="s">
        <v>6770</v>
      </c>
      <c r="C779" s="138" t="s">
        <v>4628</v>
      </c>
      <c r="D779" s="133">
        <v>44910</v>
      </c>
    </row>
    <row r="780" spans="2:4" ht="20.25" customHeight="1">
      <c r="B780" s="108" t="s">
        <v>6771</v>
      </c>
      <c r="C780" s="138" t="s">
        <v>6772</v>
      </c>
      <c r="D780" s="141"/>
    </row>
    <row r="781" spans="2:4" ht="20.25" customHeight="1">
      <c r="B781" s="108" t="s">
        <v>6773</v>
      </c>
      <c r="C781" s="132" t="s">
        <v>6774</v>
      </c>
      <c r="D781" s="131" t="s">
        <v>4361</v>
      </c>
    </row>
    <row r="782" spans="2:4" ht="20.25" customHeight="1">
      <c r="B782" s="108" t="s">
        <v>6775</v>
      </c>
      <c r="C782" s="132" t="s">
        <v>6776</v>
      </c>
      <c r="D782" s="141"/>
    </row>
    <row r="783" spans="2:4" ht="20.25" customHeight="1">
      <c r="B783" s="108" t="s">
        <v>6777</v>
      </c>
      <c r="C783" s="132" t="s">
        <v>6778</v>
      </c>
      <c r="D783" s="141"/>
    </row>
    <row r="784" spans="2:4" ht="20.25" customHeight="1">
      <c r="B784" s="108" t="s">
        <v>6779</v>
      </c>
      <c r="C784" s="138" t="s">
        <v>6780</v>
      </c>
      <c r="D784" s="141"/>
    </row>
    <row r="785" spans="2:4" ht="20.25" customHeight="1">
      <c r="B785" s="108" t="s">
        <v>6781</v>
      </c>
      <c r="C785" s="132" t="s">
        <v>6782</v>
      </c>
      <c r="D785" s="141"/>
    </row>
    <row r="786" spans="2:4" ht="20.25" customHeight="1">
      <c r="B786" s="108" t="s">
        <v>6783</v>
      </c>
      <c r="C786" s="132" t="s">
        <v>6784</v>
      </c>
      <c r="D786" s="152">
        <v>45040</v>
      </c>
    </row>
    <row r="787" spans="2:4" ht="20.25" customHeight="1">
      <c r="B787" s="108" t="s">
        <v>6785</v>
      </c>
      <c r="C787" s="132" t="s">
        <v>6786</v>
      </c>
      <c r="D787" s="152">
        <v>45040</v>
      </c>
    </row>
    <row r="788" spans="2:4" ht="20.25" customHeight="1">
      <c r="B788" s="108" t="s">
        <v>6787</v>
      </c>
      <c r="C788" s="138" t="s">
        <v>6788</v>
      </c>
      <c r="D788" s="141"/>
    </row>
    <row r="789" spans="2:4" ht="20.25" customHeight="1">
      <c r="B789" s="108" t="s">
        <v>6789</v>
      </c>
      <c r="C789" s="138" t="s">
        <v>6788</v>
      </c>
      <c r="D789" s="141"/>
    </row>
    <row r="790" spans="2:4" ht="20.25" customHeight="1">
      <c r="B790" s="108" t="s">
        <v>6790</v>
      </c>
      <c r="C790" s="132" t="s">
        <v>6791</v>
      </c>
      <c r="D790" s="152">
        <v>45040</v>
      </c>
    </row>
    <row r="791" spans="2:4" ht="20.25" customHeight="1">
      <c r="B791" s="108" t="s">
        <v>6792</v>
      </c>
      <c r="C791" s="132" t="s">
        <v>6793</v>
      </c>
      <c r="D791" s="133">
        <v>44890</v>
      </c>
    </row>
    <row r="792" spans="2:4" ht="20.25" customHeight="1">
      <c r="B792" s="108" t="s">
        <v>6794</v>
      </c>
      <c r="C792" s="132" t="s">
        <v>4628</v>
      </c>
      <c r="D792" s="141"/>
    </row>
    <row r="793" spans="2:4" ht="20.25" customHeight="1">
      <c r="B793" s="108" t="s">
        <v>6795</v>
      </c>
      <c r="C793" s="132" t="s">
        <v>4628</v>
      </c>
      <c r="D793" s="152">
        <v>45040</v>
      </c>
    </row>
    <row r="794" spans="2:4" ht="20.25" customHeight="1">
      <c r="B794" s="108" t="s">
        <v>6796</v>
      </c>
      <c r="C794" s="138" t="s">
        <v>6797</v>
      </c>
      <c r="D794" s="137"/>
    </row>
    <row r="795" spans="2:4" ht="20.25" customHeight="1">
      <c r="B795" s="108" t="s">
        <v>6798</v>
      </c>
      <c r="C795" s="132" t="s">
        <v>6799</v>
      </c>
      <c r="D795" s="141"/>
    </row>
    <row r="796" spans="2:4" ht="20.25" customHeight="1">
      <c r="B796" s="108" t="s">
        <v>6800</v>
      </c>
      <c r="C796" s="132" t="s">
        <v>6801</v>
      </c>
      <c r="D796" s="152">
        <v>45040</v>
      </c>
    </row>
    <row r="797" spans="2:4" ht="20.25" customHeight="1">
      <c r="B797" s="108" t="s">
        <v>6802</v>
      </c>
      <c r="C797" s="138" t="s">
        <v>6803</v>
      </c>
      <c r="D797" s="141"/>
    </row>
    <row r="798" spans="2:4" ht="20.25" customHeight="1">
      <c r="B798" s="108" t="s">
        <v>6804</v>
      </c>
      <c r="C798" s="138" t="s">
        <v>6805</v>
      </c>
      <c r="D798" s="141"/>
    </row>
    <row r="799" spans="2:4" ht="20.25" customHeight="1">
      <c r="B799" s="108" t="s">
        <v>6806</v>
      </c>
      <c r="C799" s="138" t="s">
        <v>5506</v>
      </c>
      <c r="D799" s="152">
        <v>45040</v>
      </c>
    </row>
    <row r="800" spans="2:4" ht="20.25" customHeight="1">
      <c r="B800" s="108" t="s">
        <v>5512</v>
      </c>
      <c r="C800" s="138" t="s">
        <v>6807</v>
      </c>
      <c r="D800" s="133">
        <v>44922</v>
      </c>
    </row>
    <row r="801" spans="2:4" ht="20.25" customHeight="1">
      <c r="B801" s="108" t="s">
        <v>5515</v>
      </c>
      <c r="C801" s="138" t="s">
        <v>6808</v>
      </c>
      <c r="D801" s="141"/>
    </row>
    <row r="802" spans="2:4" ht="20.25" customHeight="1">
      <c r="B802" s="108" t="s">
        <v>5518</v>
      </c>
      <c r="C802" s="138" t="s">
        <v>6809</v>
      </c>
      <c r="D802" s="141"/>
    </row>
    <row r="803" spans="2:4" ht="20.25" customHeight="1">
      <c r="B803" s="108" t="s">
        <v>6810</v>
      </c>
      <c r="C803" s="138" t="s">
        <v>6811</v>
      </c>
      <c r="D803" s="131" t="s">
        <v>4361</v>
      </c>
    </row>
    <row r="804" spans="2:4" ht="20.25" customHeight="1">
      <c r="B804" s="108" t="s">
        <v>6812</v>
      </c>
      <c r="C804" s="138" t="s">
        <v>6813</v>
      </c>
      <c r="D804" s="133">
        <v>45056</v>
      </c>
    </row>
    <row r="805" spans="2:4" ht="20.25" customHeight="1">
      <c r="B805" s="108" t="s">
        <v>5596</v>
      </c>
      <c r="C805" s="132" t="s">
        <v>2632</v>
      </c>
      <c r="D805" s="141"/>
    </row>
    <row r="806" spans="2:4" ht="20.25" customHeight="1">
      <c r="B806" s="108" t="s">
        <v>5598</v>
      </c>
      <c r="C806" s="132" t="s">
        <v>6814</v>
      </c>
      <c r="D806" s="131" t="s">
        <v>4361</v>
      </c>
    </row>
    <row r="807" spans="2:4" ht="20.25" customHeight="1">
      <c r="B807" s="108" t="s">
        <v>6815</v>
      </c>
      <c r="C807" s="132" t="s">
        <v>6816</v>
      </c>
      <c r="D807" s="141" t="s">
        <v>4361</v>
      </c>
    </row>
    <row r="808" spans="2:4" ht="20.25" customHeight="1">
      <c r="B808" s="108" t="s">
        <v>6817</v>
      </c>
      <c r="C808" s="132" t="s">
        <v>6818</v>
      </c>
      <c r="D808" s="131" t="s">
        <v>4361</v>
      </c>
    </row>
    <row r="809" spans="2:4" ht="20.25" customHeight="1">
      <c r="B809" s="108" t="s">
        <v>6819</v>
      </c>
      <c r="C809" s="132" t="s">
        <v>6820</v>
      </c>
      <c r="D809" s="141"/>
    </row>
    <row r="810" spans="2:4" ht="20.25" customHeight="1">
      <c r="B810" s="108" t="s">
        <v>6821</v>
      </c>
      <c r="C810" s="132" t="s">
        <v>6822</v>
      </c>
      <c r="D810" s="141"/>
    </row>
    <row r="811" spans="2:4" ht="20.25" customHeight="1">
      <c r="B811" s="108" t="s">
        <v>6823</v>
      </c>
      <c r="C811" s="132" t="s">
        <v>6824</v>
      </c>
      <c r="D811" s="141"/>
    </row>
    <row r="812" spans="2:4" ht="20.25" customHeight="1">
      <c r="B812" s="108" t="s">
        <v>6825</v>
      </c>
      <c r="C812" s="132" t="s">
        <v>6826</v>
      </c>
      <c r="D812" s="141"/>
    </row>
    <row r="813" spans="2:4" ht="20.25" customHeight="1">
      <c r="B813" s="108" t="s">
        <v>6827</v>
      </c>
      <c r="C813" s="132" t="s">
        <v>6828</v>
      </c>
      <c r="D813" s="141"/>
    </row>
    <row r="814" spans="2:4" ht="20.25" customHeight="1">
      <c r="B814" s="108" t="s">
        <v>6829</v>
      </c>
      <c r="C814" s="138" t="s">
        <v>6830</v>
      </c>
      <c r="D814" s="141"/>
    </row>
    <row r="815" spans="2:4" ht="20.25" customHeight="1">
      <c r="B815" s="108" t="s">
        <v>6831</v>
      </c>
      <c r="C815" s="138" t="s">
        <v>6832</v>
      </c>
      <c r="D815" s="141"/>
    </row>
    <row r="816" spans="2:4" ht="20.25" customHeight="1">
      <c r="B816" s="108" t="s">
        <v>6833</v>
      </c>
      <c r="C816" s="132" t="s">
        <v>6834</v>
      </c>
      <c r="D816" s="141"/>
    </row>
    <row r="817" spans="2:4" ht="20.25" customHeight="1">
      <c r="B817" s="108" t="s">
        <v>6835</v>
      </c>
      <c r="C817" s="132" t="s">
        <v>6836</v>
      </c>
      <c r="D817" s="141"/>
    </row>
    <row r="818" spans="2:4" ht="20.25" customHeight="1">
      <c r="B818" s="108" t="s">
        <v>6837</v>
      </c>
      <c r="C818" s="132" t="s">
        <v>6838</v>
      </c>
      <c r="D818" s="141"/>
    </row>
    <row r="819" spans="2:4" ht="20.25" customHeight="1">
      <c r="B819" s="108" t="s">
        <v>6839</v>
      </c>
      <c r="C819" s="138" t="s">
        <v>4628</v>
      </c>
      <c r="D819" s="131" t="s">
        <v>4361</v>
      </c>
    </row>
    <row r="820" spans="2:4" ht="20.25" customHeight="1">
      <c r="B820" s="108" t="s">
        <v>6840</v>
      </c>
      <c r="C820" s="138" t="s">
        <v>6841</v>
      </c>
      <c r="D820" s="131" t="s">
        <v>4361</v>
      </c>
    </row>
    <row r="821" spans="2:4" ht="20.25" customHeight="1">
      <c r="B821" s="108" t="s">
        <v>6842</v>
      </c>
      <c r="C821" s="132" t="s">
        <v>6199</v>
      </c>
      <c r="D821" s="131" t="s">
        <v>4361</v>
      </c>
    </row>
    <row r="822" spans="2:4" ht="20.25" customHeight="1">
      <c r="B822" s="108" t="s">
        <v>6843</v>
      </c>
      <c r="C822" s="132" t="s">
        <v>6844</v>
      </c>
      <c r="D822" s="142"/>
    </row>
    <row r="823" spans="2:4" ht="20.25" customHeight="1">
      <c r="B823" s="108" t="s">
        <v>6845</v>
      </c>
      <c r="C823" s="132" t="s">
        <v>6846</v>
      </c>
      <c r="D823" s="141"/>
    </row>
    <row r="824" spans="2:4" ht="20.25" customHeight="1">
      <c r="B824" s="108" t="s">
        <v>6847</v>
      </c>
      <c r="C824" s="132" t="s">
        <v>6848</v>
      </c>
      <c r="D824" s="141"/>
    </row>
    <row r="825" spans="2:4" ht="20.25" customHeight="1">
      <c r="B825" s="108" t="s">
        <v>6849</v>
      </c>
      <c r="C825" s="138" t="s">
        <v>6850</v>
      </c>
      <c r="D825" s="141"/>
    </row>
    <row r="826" spans="2:4" ht="20.25" customHeight="1">
      <c r="B826" s="108" t="s">
        <v>6851</v>
      </c>
      <c r="C826" s="132" t="s">
        <v>6852</v>
      </c>
      <c r="D826" s="141"/>
    </row>
    <row r="827" spans="2:4" ht="20.25" customHeight="1">
      <c r="B827" s="109" t="s">
        <v>6853</v>
      </c>
      <c r="C827" s="132" t="s">
        <v>6854</v>
      </c>
      <c r="D827" s="141"/>
    </row>
    <row r="828" spans="2:4" ht="20.25" customHeight="1">
      <c r="B828" s="109" t="s">
        <v>6855</v>
      </c>
      <c r="C828" s="132" t="s">
        <v>6856</v>
      </c>
      <c r="D828" s="141"/>
    </row>
    <row r="829" spans="2:4" ht="20.25" customHeight="1">
      <c r="B829" s="108" t="s">
        <v>5484</v>
      </c>
      <c r="C829" s="166" t="s">
        <v>5510</v>
      </c>
      <c r="D829" s="141"/>
    </row>
    <row r="830" spans="2:4" ht="20.25" customHeight="1">
      <c r="B830" s="109" t="s">
        <v>6857</v>
      </c>
      <c r="C830" s="138" t="s">
        <v>6199</v>
      </c>
      <c r="D830" s="141"/>
    </row>
    <row r="831" spans="2:4" ht="20.25" customHeight="1">
      <c r="B831" s="109" t="s">
        <v>6858</v>
      </c>
      <c r="C831" s="132" t="s">
        <v>4628</v>
      </c>
      <c r="D831" s="141"/>
    </row>
    <row r="832" spans="2:4" ht="20.25" customHeight="1">
      <c r="B832" s="109" t="s">
        <v>6859</v>
      </c>
      <c r="C832" s="138" t="s">
        <v>4628</v>
      </c>
      <c r="D832" s="141"/>
    </row>
    <row r="833" spans="2:4" ht="20.25" customHeight="1">
      <c r="B833" s="109" t="s">
        <v>6860</v>
      </c>
      <c r="C833" s="132" t="s">
        <v>6861</v>
      </c>
      <c r="D833" s="141"/>
    </row>
    <row r="834" spans="2:4" ht="20.25" customHeight="1">
      <c r="B834" s="109" t="s">
        <v>6862</v>
      </c>
      <c r="C834" s="138" t="s">
        <v>4628</v>
      </c>
      <c r="D834" s="141"/>
    </row>
    <row r="835" spans="2:4" ht="20.25" customHeight="1">
      <c r="B835" s="109" t="s">
        <v>6863</v>
      </c>
      <c r="C835" s="138" t="s">
        <v>4628</v>
      </c>
      <c r="D835" s="141"/>
    </row>
    <row r="836" spans="2:4" ht="20.25" customHeight="1">
      <c r="B836" s="109" t="s">
        <v>6864</v>
      </c>
      <c r="C836" s="132" t="s">
        <v>6865</v>
      </c>
      <c r="D836" s="141"/>
    </row>
    <row r="837" spans="2:4" ht="20.25" customHeight="1">
      <c r="B837" s="109" t="s">
        <v>6866</v>
      </c>
      <c r="C837" s="132" t="s">
        <v>6867</v>
      </c>
      <c r="D837" s="141"/>
    </row>
    <row r="838" spans="2:4" ht="20.25" customHeight="1">
      <c r="B838" s="109" t="s">
        <v>6868</v>
      </c>
      <c r="C838" s="132" t="s">
        <v>6869</v>
      </c>
      <c r="D838" s="141"/>
    </row>
    <row r="839" spans="2:4" ht="20.25" customHeight="1">
      <c r="B839" s="109" t="s">
        <v>6870</v>
      </c>
      <c r="C839" s="138" t="s">
        <v>6199</v>
      </c>
      <c r="D839" s="141"/>
    </row>
    <row r="840" spans="2:4" ht="20.25" customHeight="1">
      <c r="B840" s="109" t="s">
        <v>6871</v>
      </c>
      <c r="C840" s="132" t="s">
        <v>6872</v>
      </c>
      <c r="D840" s="141"/>
    </row>
    <row r="841" spans="2:4" ht="20.25" customHeight="1">
      <c r="B841" s="109" t="s">
        <v>6873</v>
      </c>
      <c r="C841" s="132" t="s">
        <v>6874</v>
      </c>
      <c r="D841" s="141"/>
    </row>
    <row r="842" spans="2:4" ht="20.25" customHeight="1">
      <c r="B842" s="109" t="s">
        <v>6875</v>
      </c>
      <c r="C842" s="138" t="s">
        <v>4628</v>
      </c>
      <c r="D842" s="141"/>
    </row>
    <row r="843" spans="2:4" ht="20.25" customHeight="1">
      <c r="B843" s="109" t="s">
        <v>6876</v>
      </c>
      <c r="C843" s="132" t="s">
        <v>6877</v>
      </c>
      <c r="D843" s="141"/>
    </row>
    <row r="844" spans="2:4" ht="20.25" customHeight="1">
      <c r="B844" s="109" t="s">
        <v>6878</v>
      </c>
      <c r="C844" s="138" t="s">
        <v>6199</v>
      </c>
      <c r="D844" s="141"/>
    </row>
    <row r="845" spans="2:4" ht="20.25" customHeight="1">
      <c r="B845" s="109" t="s">
        <v>6879</v>
      </c>
      <c r="C845" s="138" t="s">
        <v>4628</v>
      </c>
      <c r="D845" s="141"/>
    </row>
    <row r="846" spans="2:4" ht="20.25" customHeight="1">
      <c r="B846" s="109" t="s">
        <v>6880</v>
      </c>
      <c r="C846" s="132" t="s">
        <v>6881</v>
      </c>
      <c r="D846" s="141"/>
    </row>
    <row r="847" spans="2:4" ht="20.25" customHeight="1">
      <c r="B847" s="109" t="s">
        <v>6882</v>
      </c>
      <c r="C847" s="132" t="s">
        <v>6883</v>
      </c>
      <c r="D847" s="141"/>
    </row>
    <row r="848" spans="2:4" ht="20.25" customHeight="1">
      <c r="B848" s="109" t="s">
        <v>6884</v>
      </c>
      <c r="C848" s="138" t="s">
        <v>4628</v>
      </c>
      <c r="D848" s="141"/>
    </row>
    <row r="849" spans="2:4" ht="20.25" customHeight="1">
      <c r="B849" s="109" t="s">
        <v>6885</v>
      </c>
      <c r="C849" s="132" t="s">
        <v>6886</v>
      </c>
      <c r="D849" s="141"/>
    </row>
    <row r="850" spans="2:4" ht="20.25" customHeight="1">
      <c r="B850" s="109" t="s">
        <v>6887</v>
      </c>
      <c r="C850" s="132" t="s">
        <v>6888</v>
      </c>
      <c r="D850" s="141"/>
    </row>
    <row r="851" spans="2:4" ht="20.25" customHeight="1">
      <c r="B851" s="109" t="s">
        <v>6889</v>
      </c>
      <c r="C851" s="132" t="s">
        <v>6890</v>
      </c>
      <c r="D851" s="141"/>
    </row>
    <row r="852" spans="2:4" ht="20.25" customHeight="1">
      <c r="B852" s="109" t="s">
        <v>6891</v>
      </c>
      <c r="C852" s="132" t="s">
        <v>6892</v>
      </c>
      <c r="D852" s="141"/>
    </row>
    <row r="853" spans="2:4" ht="20.25" customHeight="1">
      <c r="B853" s="109" t="s">
        <v>6893</v>
      </c>
      <c r="C853" s="132" t="s">
        <v>6894</v>
      </c>
      <c r="D853" s="141"/>
    </row>
    <row r="854" spans="2:4" ht="20.25" customHeight="1">
      <c r="B854" s="109" t="s">
        <v>6895</v>
      </c>
      <c r="C854" s="132" t="s">
        <v>6896</v>
      </c>
      <c r="D854" s="141"/>
    </row>
    <row r="855" spans="2:4" ht="20.25" customHeight="1">
      <c r="B855" s="109" t="s">
        <v>6897</v>
      </c>
      <c r="C855" s="132" t="s">
        <v>6898</v>
      </c>
      <c r="D855" s="141"/>
    </row>
    <row r="856" spans="2:4" ht="20.25" customHeight="1">
      <c r="B856" s="109" t="s">
        <v>6899</v>
      </c>
      <c r="C856" s="132" t="s">
        <v>6900</v>
      </c>
      <c r="D856" s="131" t="s">
        <v>4361</v>
      </c>
    </row>
    <row r="857" spans="2:4" ht="20.25" customHeight="1">
      <c r="B857" s="109" t="s">
        <v>6901</v>
      </c>
      <c r="C857" s="132" t="s">
        <v>6199</v>
      </c>
      <c r="D857" s="141"/>
    </row>
    <row r="858" spans="2:4" ht="20.25" customHeight="1">
      <c r="B858" s="109" t="s">
        <v>5508</v>
      </c>
      <c r="C858" s="132" t="s">
        <v>6902</v>
      </c>
      <c r="D858" s="141"/>
    </row>
    <row r="859" spans="2:4" ht="20.25" customHeight="1">
      <c r="B859" s="109" t="s">
        <v>5600</v>
      </c>
      <c r="C859" s="138" t="s">
        <v>6903</v>
      </c>
      <c r="D859" s="141"/>
    </row>
    <row r="860" spans="2:4" ht="20.25" customHeight="1">
      <c r="B860" s="109" t="s">
        <v>6904</v>
      </c>
      <c r="C860" s="132" t="s">
        <v>6905</v>
      </c>
      <c r="D860" s="141"/>
    </row>
    <row r="861" spans="2:4" ht="20.25" customHeight="1">
      <c r="B861" s="109" t="s">
        <v>6906</v>
      </c>
      <c r="C861" s="132" t="s">
        <v>6907</v>
      </c>
      <c r="D861" s="136">
        <v>45065</v>
      </c>
    </row>
    <row r="862" spans="2:4" ht="20.25" customHeight="1">
      <c r="B862" s="109" t="s">
        <v>5522</v>
      </c>
      <c r="C862" s="132" t="s">
        <v>6907</v>
      </c>
      <c r="D862" s="131" t="s">
        <v>4361</v>
      </c>
    </row>
    <row r="863" spans="2:4" ht="20.25" customHeight="1">
      <c r="B863" s="109" t="s">
        <v>6908</v>
      </c>
      <c r="C863" s="138" t="s">
        <v>6199</v>
      </c>
      <c r="D863" s="136">
        <v>45148</v>
      </c>
    </row>
    <row r="864" spans="2:4" ht="20.25" customHeight="1">
      <c r="B864" s="109" t="s">
        <v>6909</v>
      </c>
      <c r="C864" s="138" t="s">
        <v>6199</v>
      </c>
      <c r="D864" s="131" t="s">
        <v>4361</v>
      </c>
    </row>
    <row r="865" spans="2:4" ht="20.25" customHeight="1">
      <c r="B865" s="109" t="s">
        <v>5602</v>
      </c>
      <c r="C865" s="138" t="s">
        <v>6910</v>
      </c>
      <c r="D865" s="131" t="s">
        <v>4361</v>
      </c>
    </row>
    <row r="866" spans="2:4" ht="20.25" customHeight="1">
      <c r="B866" s="110"/>
      <c r="C866" s="132" t="s">
        <v>6911</v>
      </c>
      <c r="D866" s="141"/>
    </row>
    <row r="867" spans="2:4" ht="20.25" customHeight="1">
      <c r="B867" s="110"/>
      <c r="C867" s="138" t="s">
        <v>6912</v>
      </c>
      <c r="D867" s="141"/>
    </row>
    <row r="868" spans="2:4" ht="20.25" customHeight="1">
      <c r="B868" s="110"/>
      <c r="C868" s="132" t="s">
        <v>6913</v>
      </c>
      <c r="D868" s="141"/>
    </row>
    <row r="869" spans="2:4" ht="20.25" customHeight="1">
      <c r="B869" s="110"/>
      <c r="C869" s="132" t="s">
        <v>6914</v>
      </c>
      <c r="D869" s="133">
        <v>44910</v>
      </c>
    </row>
    <row r="870" spans="2:4" ht="20.25" customHeight="1">
      <c r="B870" s="110"/>
      <c r="C870" s="132" t="s">
        <v>6915</v>
      </c>
      <c r="D870" s="136">
        <v>45065</v>
      </c>
    </row>
    <row r="871" spans="2:4" ht="20.25" customHeight="1">
      <c r="B871" s="110"/>
      <c r="C871" s="138" t="s">
        <v>6916</v>
      </c>
      <c r="D871" s="131" t="s">
        <v>4361</v>
      </c>
    </row>
    <row r="872" spans="2:4" ht="20.25" customHeight="1">
      <c r="B872" s="110"/>
      <c r="C872" s="138" t="s">
        <v>6916</v>
      </c>
      <c r="D872" s="131" t="s">
        <v>4361</v>
      </c>
    </row>
    <row r="873" spans="2:4" ht="20.25" customHeight="1">
      <c r="B873" s="110"/>
      <c r="C873" s="132" t="s">
        <v>6917</v>
      </c>
      <c r="D873" s="136">
        <v>45049</v>
      </c>
    </row>
    <row r="874" spans="2:4" ht="20.25" customHeight="1">
      <c r="B874" s="110"/>
      <c r="C874" s="138" t="s">
        <v>6918</v>
      </c>
      <c r="D874" s="141"/>
    </row>
    <row r="875" spans="2:4" ht="20.25" customHeight="1">
      <c r="B875" s="110"/>
      <c r="C875" s="132" t="s">
        <v>6919</v>
      </c>
      <c r="D875" s="131" t="s">
        <v>4361</v>
      </c>
    </row>
    <row r="876" spans="2:4" ht="20.25" customHeight="1">
      <c r="B876" s="110"/>
      <c r="C876" s="132" t="s">
        <v>6920</v>
      </c>
      <c r="D876" s="152">
        <v>45040</v>
      </c>
    </row>
    <row r="877" spans="2:4" ht="20.25" customHeight="1">
      <c r="B877" s="110"/>
      <c r="C877" s="138" t="s">
        <v>6921</v>
      </c>
      <c r="D877" s="141"/>
    </row>
    <row r="878" spans="2:4" ht="20.25" customHeight="1">
      <c r="B878" s="110"/>
      <c r="C878" s="138" t="s">
        <v>6922</v>
      </c>
      <c r="D878" s="141"/>
    </row>
    <row r="879" spans="2:4" ht="20.25" customHeight="1">
      <c r="B879" s="110"/>
      <c r="C879" s="132" t="s">
        <v>6923</v>
      </c>
      <c r="D879" s="141"/>
    </row>
    <row r="880" spans="2:4" ht="20.25" customHeight="1">
      <c r="B880" s="110"/>
      <c r="C880" s="132" t="s">
        <v>6924</v>
      </c>
      <c r="D880" s="141"/>
    </row>
    <row r="881" spans="2:4" ht="20.25" customHeight="1">
      <c r="B881" s="110"/>
      <c r="C881" s="138" t="s">
        <v>6925</v>
      </c>
      <c r="D881" s="141"/>
    </row>
    <row r="882" spans="2:4" ht="20.25" customHeight="1">
      <c r="B882" s="110"/>
      <c r="C882" s="132" t="s">
        <v>4628</v>
      </c>
      <c r="D882" s="141"/>
    </row>
    <row r="883" spans="2:4" ht="20.25" customHeight="1">
      <c r="B883" s="110"/>
      <c r="C883" s="138" t="s">
        <v>6199</v>
      </c>
      <c r="D883" s="141"/>
    </row>
    <row r="884" spans="2:4" ht="20.25" customHeight="1">
      <c r="B884" s="110"/>
      <c r="C884" s="138" t="s">
        <v>6199</v>
      </c>
      <c r="D884" s="141"/>
    </row>
    <row r="885" spans="2:4" ht="20.25" customHeight="1">
      <c r="B885" s="110"/>
      <c r="C885" s="138" t="s">
        <v>6199</v>
      </c>
      <c r="D885" s="141"/>
    </row>
    <row r="886" spans="2:4" ht="20.25" customHeight="1">
      <c r="B886" s="110"/>
      <c r="C886" s="138" t="s">
        <v>6926</v>
      </c>
      <c r="D886" s="141"/>
    </row>
    <row r="887" spans="2:4" ht="20.25" customHeight="1">
      <c r="B887" s="110"/>
      <c r="C887" s="144"/>
      <c r="D887" s="141"/>
    </row>
    <row r="888" spans="2:4" ht="20.25" customHeight="1">
      <c r="B888" s="110"/>
      <c r="C888" s="138" t="s">
        <v>6927</v>
      </c>
      <c r="D888" s="141"/>
    </row>
    <row r="889" spans="2:4" ht="20.25" customHeight="1">
      <c r="B889" s="110"/>
      <c r="C889" s="132" t="s">
        <v>6199</v>
      </c>
      <c r="D889" s="131" t="s">
        <v>4361</v>
      </c>
    </row>
    <row r="890" spans="2:4" ht="20.25" customHeight="1">
      <c r="B890" s="110"/>
      <c r="C890" s="132"/>
      <c r="D890" s="141"/>
    </row>
    <row r="891" spans="2:4" ht="20.25" customHeight="1">
      <c r="B891" s="110"/>
      <c r="C891" s="132"/>
      <c r="D891" s="141"/>
    </row>
    <row r="892" spans="2:4" ht="20.25" customHeight="1">
      <c r="B892" s="110"/>
      <c r="C892" s="132"/>
      <c r="D892" s="141"/>
    </row>
    <row r="893" spans="2:4" ht="20.25" customHeight="1">
      <c r="B893" s="110"/>
      <c r="C893" s="132" t="s">
        <v>6928</v>
      </c>
      <c r="D893" s="141"/>
    </row>
    <row r="894" spans="2:4" ht="20.25" customHeight="1">
      <c r="B894" s="110"/>
      <c r="C894" s="138" t="s">
        <v>4628</v>
      </c>
      <c r="D894" s="141"/>
    </row>
    <row r="895" spans="2:4" ht="20.25" customHeight="1">
      <c r="B895" s="110"/>
      <c r="C895" s="138" t="s">
        <v>4628</v>
      </c>
      <c r="D895" s="141"/>
    </row>
    <row r="896" spans="2:4" ht="20.25" customHeight="1">
      <c r="B896" s="110"/>
      <c r="C896" s="138" t="s">
        <v>6929</v>
      </c>
      <c r="D896" s="141"/>
    </row>
    <row r="897" spans="2:4" ht="20.25" customHeight="1">
      <c r="B897" s="110"/>
      <c r="C897" s="138" t="s">
        <v>6930</v>
      </c>
      <c r="D897" s="141"/>
    </row>
    <row r="898" spans="2:4" ht="20.25" customHeight="1">
      <c r="B898" s="110"/>
      <c r="C898" s="138" t="s">
        <v>6931</v>
      </c>
      <c r="D898" s="141"/>
    </row>
    <row r="899" spans="2:4" ht="20.25" customHeight="1">
      <c r="B899" s="110"/>
      <c r="C899" s="132" t="s">
        <v>4628</v>
      </c>
      <c r="D899" s="141"/>
    </row>
    <row r="900" spans="2:4" ht="20.25" customHeight="1">
      <c r="B900" s="110"/>
      <c r="C900" s="138" t="s">
        <v>6932</v>
      </c>
      <c r="D900" s="141"/>
    </row>
    <row r="901" spans="2:4" ht="20.25" customHeight="1">
      <c r="B901" s="110"/>
      <c r="C901" s="132" t="s">
        <v>6933</v>
      </c>
      <c r="D901" s="141"/>
    </row>
    <row r="902" spans="2:4" ht="20.25" customHeight="1">
      <c r="B902" s="110"/>
      <c r="C902" s="138" t="s">
        <v>4628</v>
      </c>
      <c r="D902" s="141"/>
    </row>
    <row r="903" spans="2:4" ht="20.25" customHeight="1">
      <c r="B903" s="110"/>
      <c r="C903" s="138" t="s">
        <v>4628</v>
      </c>
      <c r="D903" s="141"/>
    </row>
    <row r="904" spans="2:4" ht="20.25" customHeight="1">
      <c r="B904" s="110"/>
      <c r="C904" s="132" t="s">
        <v>6934</v>
      </c>
      <c r="D904" s="141"/>
    </row>
    <row r="905" spans="2:4" ht="20.25" customHeight="1">
      <c r="B905" s="110"/>
      <c r="C905" s="132" t="s">
        <v>6199</v>
      </c>
      <c r="D905" s="141"/>
    </row>
    <row r="906" spans="2:4" ht="20.25" customHeight="1">
      <c r="B906" s="110"/>
      <c r="C906" s="132"/>
      <c r="D906" s="141"/>
    </row>
    <row r="907" spans="2:4" ht="20.25" customHeight="1">
      <c r="B907" s="110"/>
      <c r="C907" s="132"/>
      <c r="D907" s="141"/>
    </row>
    <row r="908" spans="2:4" ht="20.25" customHeight="1">
      <c r="B908" s="110"/>
      <c r="C908" s="132"/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8" t="s">
        <v>6935</v>
      </c>
      <c r="D914" s="141"/>
    </row>
    <row r="915" spans="2:4" ht="20.25" customHeight="1">
      <c r="B915" s="110"/>
      <c r="C915" s="138" t="s">
        <v>6936</v>
      </c>
      <c r="D915" s="141"/>
    </row>
    <row r="916" spans="2:4" ht="20.25" customHeight="1">
      <c r="B916" s="110"/>
      <c r="C916" s="138" t="s">
        <v>6937</v>
      </c>
      <c r="D916" s="141"/>
    </row>
    <row r="917" spans="2:4" ht="20.25" customHeight="1">
      <c r="B917" s="110"/>
      <c r="C917" s="132" t="s">
        <v>6199</v>
      </c>
      <c r="D917" s="141"/>
    </row>
    <row r="918" spans="2:4" ht="20.25" customHeight="1">
      <c r="B918" s="110"/>
      <c r="C918" s="138" t="s">
        <v>4628</v>
      </c>
      <c r="D918" s="141"/>
    </row>
    <row r="919" spans="2:4" ht="20.25" customHeight="1">
      <c r="B919" s="110"/>
      <c r="C919" s="138" t="s">
        <v>4628</v>
      </c>
      <c r="D919" s="141"/>
    </row>
    <row r="920" spans="2:4" ht="20.25" customHeight="1">
      <c r="B920" s="110"/>
      <c r="C920" s="138" t="s">
        <v>4628</v>
      </c>
      <c r="D920" s="141"/>
    </row>
    <row r="921" spans="2:4" ht="20.25" customHeight="1">
      <c r="B921" s="110"/>
      <c r="C921" s="132" t="s">
        <v>6938</v>
      </c>
      <c r="D921" s="141"/>
    </row>
    <row r="922" spans="2:4" ht="20.25" customHeight="1">
      <c r="B922" s="110"/>
      <c r="C922" s="132" t="s">
        <v>6939</v>
      </c>
      <c r="D922" s="141"/>
    </row>
    <row r="923" spans="2:4" ht="20.25" customHeight="1">
      <c r="B923" s="106"/>
      <c r="C923" s="132" t="s">
        <v>6940</v>
      </c>
      <c r="D923" s="141"/>
    </row>
    <row r="924" spans="2:4" ht="20.25" customHeight="1">
      <c r="B924" s="106"/>
      <c r="C924" s="132" t="s">
        <v>6941</v>
      </c>
      <c r="D924" s="141"/>
    </row>
    <row r="925" spans="2:4" ht="20.25" customHeight="1">
      <c r="B925" s="106"/>
      <c r="C925" s="132" t="s">
        <v>6942</v>
      </c>
      <c r="D925" s="141"/>
    </row>
    <row r="926" spans="2:4" ht="20.25" customHeight="1">
      <c r="B926" s="106"/>
      <c r="C926" s="132" t="s">
        <v>6943</v>
      </c>
      <c r="D926" s="131" t="s">
        <v>4361</v>
      </c>
    </row>
    <row r="927" spans="2:4" ht="20.25" customHeight="1">
      <c r="B927" s="106"/>
      <c r="C927" s="138" t="s">
        <v>6199</v>
      </c>
      <c r="D927" s="131" t="s">
        <v>4361</v>
      </c>
    </row>
    <row r="928" spans="2:4" ht="20.25" customHeight="1">
      <c r="B928" s="106"/>
      <c r="C928" s="138" t="s">
        <v>6199</v>
      </c>
      <c r="D928" s="141"/>
    </row>
    <row r="929" spans="2:4" ht="20.25" customHeight="1">
      <c r="B929" s="106"/>
      <c r="C929" s="138" t="s">
        <v>6199</v>
      </c>
      <c r="D929" s="141"/>
    </row>
    <row r="930" spans="2:4" ht="20.25" customHeight="1">
      <c r="B930" s="106"/>
      <c r="C930" s="132" t="s">
        <v>6944</v>
      </c>
      <c r="D930" s="141"/>
    </row>
    <row r="931" spans="2:4" ht="20.25" customHeight="1">
      <c r="B931" s="106"/>
      <c r="C931" s="132" t="s">
        <v>6945</v>
      </c>
      <c r="D931" s="141"/>
    </row>
    <row r="932" spans="2:4" ht="20.25" customHeight="1">
      <c r="B932" s="106"/>
      <c r="C932" s="138" t="s">
        <v>6199</v>
      </c>
      <c r="D932" s="141"/>
    </row>
    <row r="933" spans="2:4" ht="20.25" customHeight="1">
      <c r="B933" s="106"/>
      <c r="C933" s="138" t="s">
        <v>4628</v>
      </c>
      <c r="D933" s="141"/>
    </row>
    <row r="934" spans="2:4" ht="20.25" customHeight="1">
      <c r="B934" s="106"/>
      <c r="C934" s="138" t="s">
        <v>6199</v>
      </c>
      <c r="D934" s="141"/>
    </row>
    <row r="935" spans="2:4" ht="20.25" customHeight="1">
      <c r="B935" s="106"/>
      <c r="C935" s="132" t="s">
        <v>4628</v>
      </c>
      <c r="D935" s="141"/>
    </row>
    <row r="936" spans="2:4" ht="20.25" customHeight="1">
      <c r="B936" s="106"/>
      <c r="C936" s="138" t="s">
        <v>6946</v>
      </c>
      <c r="D936" s="141"/>
    </row>
    <row r="937" spans="2:4" ht="20.25" customHeight="1">
      <c r="B937" s="106"/>
      <c r="C937" s="165" t="s">
        <v>5513</v>
      </c>
      <c r="D937" s="141"/>
    </row>
    <row r="938" spans="2:4" ht="20.25" customHeight="1">
      <c r="B938" s="106"/>
      <c r="C938" s="165" t="s">
        <v>5516</v>
      </c>
      <c r="D938" s="131" t="s">
        <v>4361</v>
      </c>
    </row>
    <row r="939" spans="2:4" ht="20.25" customHeight="1">
      <c r="B939" s="106"/>
      <c r="C939" s="138" t="s">
        <v>5519</v>
      </c>
      <c r="D939" s="131" t="s">
        <v>4361</v>
      </c>
    </row>
    <row r="940" spans="2:4" ht="20.25" customHeight="1">
      <c r="B940" s="106"/>
      <c r="C940" s="138" t="s">
        <v>6947</v>
      </c>
      <c r="D940" s="141"/>
    </row>
    <row r="941" spans="2:4" ht="20.25" customHeight="1">
      <c r="B941" s="106"/>
      <c r="C941" s="138" t="s">
        <v>6199</v>
      </c>
      <c r="D941" s="141"/>
    </row>
    <row r="942" spans="2:4" ht="20.25" customHeight="1">
      <c r="B942" s="106"/>
      <c r="C942" s="132" t="s">
        <v>6948</v>
      </c>
      <c r="D942" s="141"/>
    </row>
    <row r="943" spans="2:4" ht="20.25" customHeight="1">
      <c r="B943" s="106"/>
      <c r="C943" s="132" t="s">
        <v>6949</v>
      </c>
      <c r="D943" s="141"/>
    </row>
    <row r="944" spans="2:4" ht="20.25" customHeight="1">
      <c r="B944" s="106"/>
      <c r="C944" s="138" t="s">
        <v>6950</v>
      </c>
      <c r="D944" s="136">
        <v>45049</v>
      </c>
    </row>
    <row r="945" spans="2:4" ht="20.25" customHeight="1">
      <c r="B945" s="106"/>
      <c r="C945" s="132" t="s">
        <v>6951</v>
      </c>
      <c r="D945" s="141"/>
    </row>
    <row r="946" spans="2:4" ht="20.25" customHeight="1">
      <c r="B946" s="106"/>
      <c r="C946" s="132" t="s">
        <v>6952</v>
      </c>
      <c r="D946" s="141"/>
    </row>
    <row r="947" spans="2:4" ht="20.25" customHeight="1">
      <c r="B947" s="106"/>
      <c r="C947" s="138" t="s">
        <v>6199</v>
      </c>
      <c r="D947" s="141"/>
    </row>
    <row r="948" spans="2:4" ht="20.25" customHeight="1">
      <c r="B948" s="106"/>
      <c r="C948" s="132" t="s">
        <v>6953</v>
      </c>
      <c r="D948" s="141"/>
    </row>
    <row r="949" spans="2:4" ht="20.25" customHeight="1">
      <c r="B949" s="106"/>
      <c r="C949" s="138" t="s">
        <v>4628</v>
      </c>
      <c r="D949" s="141"/>
    </row>
    <row r="950" spans="2:4" ht="20.25" customHeight="1">
      <c r="B950" s="106"/>
      <c r="C950" s="132" t="s">
        <v>6954</v>
      </c>
      <c r="D950" s="141"/>
    </row>
    <row r="951" spans="2:4" ht="20.25" customHeight="1">
      <c r="B951" s="106"/>
      <c r="C951" s="132" t="s">
        <v>6955</v>
      </c>
      <c r="D951" s="141"/>
    </row>
    <row r="952" spans="2:4" ht="20.25" customHeight="1">
      <c r="B952" s="106"/>
      <c r="C952" s="132" t="s">
        <v>6956</v>
      </c>
      <c r="D952" s="141"/>
    </row>
    <row r="953" spans="2:4" ht="20.25" customHeight="1">
      <c r="B953" s="106"/>
      <c r="C953" s="138" t="s">
        <v>6199</v>
      </c>
      <c r="D953" s="141"/>
    </row>
    <row r="954" spans="2:4" ht="20.25" customHeight="1">
      <c r="B954" s="106"/>
      <c r="C954" s="132" t="s">
        <v>6199</v>
      </c>
      <c r="D954" s="141"/>
    </row>
    <row r="955" spans="2:4" ht="20.25" customHeight="1">
      <c r="B955" s="106"/>
      <c r="C955" s="132" t="s">
        <v>6957</v>
      </c>
      <c r="D955" s="141"/>
    </row>
    <row r="956" spans="2:4" ht="20.25" customHeight="1">
      <c r="B956" s="106"/>
      <c r="C956" s="132" t="s">
        <v>6199</v>
      </c>
      <c r="D956" s="141"/>
    </row>
    <row r="957" spans="2:4" ht="20.25" customHeight="1">
      <c r="B957" s="106"/>
      <c r="C957" s="132" t="s">
        <v>6199</v>
      </c>
      <c r="D957" s="141"/>
    </row>
    <row r="958" spans="2:4" ht="20.25" customHeight="1">
      <c r="B958" s="106"/>
      <c r="C958" s="132" t="s">
        <v>6199</v>
      </c>
      <c r="D958" s="141"/>
    </row>
    <row r="959" spans="2:4" ht="20.25" customHeight="1">
      <c r="B959" s="106"/>
      <c r="C959" s="132" t="s">
        <v>6199</v>
      </c>
      <c r="D959" s="141"/>
    </row>
    <row r="960" spans="2:4" ht="20.25" customHeight="1">
      <c r="B960" s="106"/>
      <c r="C960" s="132" t="s">
        <v>6199</v>
      </c>
      <c r="D960" s="141"/>
    </row>
    <row r="961" spans="2:4" ht="20.25" customHeight="1">
      <c r="B961" s="106"/>
      <c r="C961" s="132" t="s">
        <v>6199</v>
      </c>
      <c r="D961" s="141"/>
    </row>
    <row r="962" spans="2:4" ht="20.25" customHeight="1">
      <c r="B962" s="106"/>
      <c r="C962" s="138" t="s">
        <v>6958</v>
      </c>
      <c r="D962" s="133">
        <v>44961</v>
      </c>
    </row>
    <row r="963" spans="2:4" ht="20.25" customHeight="1">
      <c r="B963" s="106"/>
      <c r="C963" s="138" t="s">
        <v>6958</v>
      </c>
      <c r="D963" s="141"/>
    </row>
    <row r="964" spans="2:4" ht="20.25" customHeight="1">
      <c r="C964" s="146" t="s">
        <v>6959</v>
      </c>
      <c r="D964" s="141"/>
    </row>
    <row r="965" spans="2:4" ht="20.25" customHeight="1">
      <c r="C965" s="146" t="s">
        <v>6960</v>
      </c>
      <c r="D965" s="141"/>
    </row>
    <row r="966" spans="2:4" ht="20.25" customHeight="1">
      <c r="C966" s="144" t="s">
        <v>6961</v>
      </c>
      <c r="D966" s="141"/>
    </row>
    <row r="967" spans="2:4" ht="20.25" customHeight="1">
      <c r="C967" s="146" t="s">
        <v>6962</v>
      </c>
      <c r="D967" s="141"/>
    </row>
    <row r="968" spans="2:4" ht="20.25" customHeight="1">
      <c r="C968" s="146" t="s">
        <v>6963</v>
      </c>
      <c r="D968" s="141"/>
    </row>
    <row r="969" spans="2:4" ht="20.25" customHeight="1">
      <c r="C969" s="146" t="s">
        <v>6964</v>
      </c>
      <c r="D969" s="141"/>
    </row>
    <row r="970" spans="2:4" ht="20.25" customHeight="1">
      <c r="C970" s="146" t="s">
        <v>6965</v>
      </c>
      <c r="D970" s="141"/>
    </row>
    <row r="971" spans="2:4" ht="20.25" customHeight="1">
      <c r="C971" s="146" t="s">
        <v>6966</v>
      </c>
      <c r="D971" s="141"/>
    </row>
    <row r="972" spans="2:4" ht="20.25" customHeight="1">
      <c r="C972" s="146" t="s">
        <v>6967</v>
      </c>
      <c r="D972" s="141"/>
    </row>
    <row r="973" spans="2:4" ht="20.25" customHeight="1">
      <c r="C973" s="146" t="s">
        <v>6968</v>
      </c>
      <c r="D973" s="141"/>
    </row>
    <row r="974" spans="2:4" ht="20.25" customHeight="1">
      <c r="C974" s="146" t="s">
        <v>4628</v>
      </c>
      <c r="D974" s="141"/>
    </row>
    <row r="975" spans="2:4" ht="20.25" customHeight="1">
      <c r="C975" s="146" t="s">
        <v>6969</v>
      </c>
      <c r="D975" s="141"/>
    </row>
    <row r="976" spans="2:4" ht="20.25" customHeight="1">
      <c r="C976" s="146" t="s">
        <v>6970</v>
      </c>
      <c r="D976" s="141"/>
    </row>
    <row r="977" spans="3:4" ht="20.25" customHeight="1">
      <c r="C977" s="146" t="s">
        <v>6971</v>
      </c>
      <c r="D977" s="141"/>
    </row>
    <row r="978" spans="3:4" ht="20.25" customHeight="1">
      <c r="C978" s="146" t="s">
        <v>6972</v>
      </c>
      <c r="D978" s="141"/>
    </row>
    <row r="979" spans="3:4" ht="20.25" customHeight="1">
      <c r="C979" s="146" t="s">
        <v>6973</v>
      </c>
      <c r="D979" s="141"/>
    </row>
    <row r="980" spans="3:4" ht="20.25" customHeight="1">
      <c r="C980" s="146" t="s">
        <v>6974</v>
      </c>
      <c r="D980" s="141"/>
    </row>
    <row r="981" spans="3:4" ht="20.25" customHeight="1">
      <c r="C981" s="146" t="s">
        <v>6975</v>
      </c>
      <c r="D981" s="141"/>
    </row>
    <row r="982" spans="3:4" ht="20.25" customHeight="1">
      <c r="C982" s="146" t="s">
        <v>6976</v>
      </c>
      <c r="D982" s="141"/>
    </row>
    <row r="983" spans="3:4" ht="20.25" customHeight="1">
      <c r="C983" s="146" t="s">
        <v>6977</v>
      </c>
      <c r="D983" s="141"/>
    </row>
    <row r="984" spans="3:4" ht="20.25" customHeight="1">
      <c r="C984" s="146" t="s">
        <v>6978</v>
      </c>
      <c r="D984" s="141"/>
    </row>
    <row r="985" spans="3:4" ht="20.25" customHeight="1">
      <c r="C985" s="146" t="s">
        <v>6955</v>
      </c>
      <c r="D985" s="141"/>
    </row>
    <row r="986" spans="3:4" ht="20.25" customHeight="1">
      <c r="C986" s="146" t="s">
        <v>6958</v>
      </c>
      <c r="D986" s="141"/>
    </row>
    <row r="987" spans="3:4" ht="20.25" customHeight="1">
      <c r="C987" s="146" t="s">
        <v>6958</v>
      </c>
      <c r="D987" s="141"/>
    </row>
    <row r="988" spans="3:4" ht="20.25" customHeight="1">
      <c r="C988" s="146" t="s">
        <v>6979</v>
      </c>
      <c r="D988" s="141"/>
    </row>
    <row r="989" spans="3:4" ht="20.25" customHeight="1">
      <c r="C989" s="146" t="s">
        <v>6979</v>
      </c>
      <c r="D989" s="141"/>
    </row>
    <row r="990" spans="3:4" ht="20.25" customHeight="1">
      <c r="C990" s="146" t="s">
        <v>6980</v>
      </c>
      <c r="D990" s="133">
        <v>44961</v>
      </c>
    </row>
    <row r="991" spans="3:4" ht="20.25" customHeight="1">
      <c r="C991" s="146" t="s">
        <v>6981</v>
      </c>
      <c r="D991" s="136">
        <v>45105</v>
      </c>
    </row>
    <row r="992" spans="3:4" ht="20.25" customHeight="1">
      <c r="C992" s="146" t="s">
        <v>6982</v>
      </c>
      <c r="D992" s="136">
        <v>45105</v>
      </c>
    </row>
    <row r="993" spans="3:4" ht="20.25" customHeight="1">
      <c r="C993" s="146" t="s">
        <v>6983</v>
      </c>
      <c r="D993" s="141"/>
    </row>
    <row r="994" spans="3:4" ht="20.25" customHeight="1">
      <c r="C994" s="145" t="s">
        <v>6984</v>
      </c>
      <c r="D994" s="131" t="s">
        <v>4361</v>
      </c>
    </row>
    <row r="995" spans="3:4" ht="20.25" customHeight="1">
      <c r="C995" s="146" t="s">
        <v>6985</v>
      </c>
      <c r="D995" s="133">
        <v>44961</v>
      </c>
    </row>
    <row r="996" spans="3:4" ht="20.25" customHeight="1">
      <c r="C996" s="146" t="s">
        <v>6986</v>
      </c>
      <c r="D996" s="141"/>
    </row>
    <row r="997" spans="3:4" ht="20.25" customHeight="1">
      <c r="C997" s="145" t="s">
        <v>6987</v>
      </c>
      <c r="D997" s="131" t="s">
        <v>4361</v>
      </c>
    </row>
    <row r="998" spans="3:4" ht="20.25" customHeight="1">
      <c r="C998" s="145" t="s">
        <v>6988</v>
      </c>
      <c r="D998" s="141"/>
    </row>
    <row r="999" spans="3:4" ht="20.25" customHeight="1">
      <c r="C999" s="146" t="s">
        <v>6989</v>
      </c>
      <c r="D999" s="158"/>
    </row>
    <row r="1000" spans="3:4" ht="20.25" customHeight="1">
      <c r="C1000" s="146" t="s">
        <v>6990</v>
      </c>
      <c r="D1000" s="141"/>
    </row>
    <row r="1001" spans="3:4" ht="20.25" customHeight="1">
      <c r="C1001" s="146" t="s">
        <v>6991</v>
      </c>
      <c r="D1001" s="141"/>
    </row>
    <row r="1002" spans="3:4" ht="20.25" customHeight="1">
      <c r="C1002" s="144"/>
    </row>
    <row r="1003" spans="3:4" ht="20.25" customHeight="1">
      <c r="C1003" s="151"/>
    </row>
    <row r="1004" spans="3:4" ht="20.25" customHeight="1">
      <c r="C1004" s="144"/>
    </row>
    <row r="1005" spans="3:4" ht="20.25" customHeight="1">
      <c r="C1005" s="144"/>
    </row>
    <row r="1006" spans="3:4" ht="20.25" customHeight="1">
      <c r="C1006" s="144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</sheetData>
  <conditionalFormatting sqref="B12:B20">
    <cfRule type="duplicateValues" dxfId="59" priority="35"/>
  </conditionalFormatting>
  <conditionalFormatting sqref="B21:B24">
    <cfRule type="duplicateValues" dxfId="58" priority="84"/>
  </conditionalFormatting>
  <conditionalFormatting sqref="B25:B32">
    <cfRule type="duplicateValues" dxfId="57" priority="304"/>
  </conditionalFormatting>
  <conditionalFormatting sqref="B33:B44">
    <cfRule type="duplicateValues" dxfId="56" priority="312"/>
  </conditionalFormatting>
  <conditionalFormatting sqref="C13">
    <cfRule type="duplicateValues" dxfId="55" priority="26"/>
  </conditionalFormatting>
  <conditionalFormatting sqref="C14 C12">
    <cfRule type="duplicateValues" dxfId="54" priority="33"/>
    <cfRule type="duplicateValues" dxfId="53" priority="34"/>
  </conditionalFormatting>
  <conditionalFormatting sqref="C15">
    <cfRule type="duplicateValues" dxfId="52" priority="25"/>
  </conditionalFormatting>
  <conditionalFormatting sqref="C16">
    <cfRule type="duplicateValues" dxfId="51" priority="24"/>
  </conditionalFormatting>
  <conditionalFormatting sqref="C17">
    <cfRule type="duplicateValues" dxfId="50" priority="23"/>
  </conditionalFormatting>
  <conditionalFormatting sqref="C18">
    <cfRule type="duplicateValues" dxfId="49" priority="22"/>
  </conditionalFormatting>
  <conditionalFormatting sqref="C19">
    <cfRule type="duplicateValues" dxfId="48" priority="20"/>
  </conditionalFormatting>
  <conditionalFormatting sqref="C20">
    <cfRule type="duplicateValues" dxfId="47" priority="21"/>
  </conditionalFormatting>
  <conditionalFormatting sqref="C21">
    <cfRule type="duplicateValues" dxfId="46" priority="66"/>
  </conditionalFormatting>
  <conditionalFormatting sqref="C22">
    <cfRule type="duplicateValues" dxfId="45" priority="64"/>
  </conditionalFormatting>
  <conditionalFormatting sqref="C23">
    <cfRule type="duplicateValues" dxfId="44" priority="65"/>
  </conditionalFormatting>
  <conditionalFormatting sqref="C24">
    <cfRule type="duplicateValues" dxfId="43" priority="83"/>
    <cfRule type="duplicateValues" dxfId="42" priority="82"/>
  </conditionalFormatting>
  <conditionalFormatting sqref="D25:D32">
    <cfRule type="cellIs" dxfId="41" priority="299" operator="between">
      <formula>36526</formula>
      <formula>47848</formula>
    </cfRule>
    <cfRule type="cellIs" dxfId="40" priority="300" operator="between">
      <formula>36526</formula>
      <formula>402133</formula>
    </cfRule>
    <cfRule type="cellIs" dxfId="39" priority="303" operator="between">
      <formula>36526</formula>
      <formula>"31/12/3000"</formula>
    </cfRule>
  </conditionalFormatting>
  <conditionalFormatting sqref="F3:F4">
    <cfRule type="duplicateValues" dxfId="38" priority="1087"/>
    <cfRule type="duplicateValues" dxfId="37" priority="1135"/>
    <cfRule type="duplicateValues" dxfId="36" priority="1133"/>
    <cfRule type="duplicateValues" dxfId="35" priority="1134"/>
  </conditionalFormatting>
  <conditionalFormatting sqref="F3:F5">
    <cfRule type="duplicateValues" dxfId="34" priority="1128"/>
  </conditionalFormatting>
  <conditionalFormatting sqref="F3:F57 H3:H54">
    <cfRule type="duplicateValues" dxfId="33" priority="1129"/>
  </conditionalFormatting>
  <conditionalFormatting sqref="F5">
    <cfRule type="duplicateValues" dxfId="32" priority="338"/>
    <cfRule type="duplicateValues" dxfId="31" priority="339"/>
    <cfRule type="duplicateValues" dxfId="30" priority="340"/>
    <cfRule type="duplicateValues" dxfId="29" priority="342"/>
    <cfRule type="duplicateValues" dxfId="28" priority="343"/>
    <cfRule type="duplicateValues" dxfId="27" priority="344"/>
    <cfRule type="duplicateValues" dxfId="26" priority="345"/>
    <cfRule type="duplicateValues" dxfId="25" priority="341"/>
  </conditionalFormatting>
  <conditionalFormatting sqref="B5:B11">
    <cfRule type="duplicateValues" dxfId="24" priority="7"/>
  </conditionalFormatting>
  <conditionalFormatting sqref="C10 C5:C6">
    <cfRule type="duplicateValues" dxfId="23" priority="5"/>
  </conditionalFormatting>
  <conditionalFormatting sqref="C10 C5:C6">
    <cfRule type="duplicateValues" dxfId="22" priority="6"/>
  </conditionalFormatting>
  <conditionalFormatting sqref="C7">
    <cfRule type="duplicateValues" dxfId="21" priority="3"/>
  </conditionalFormatting>
  <conditionalFormatting sqref="C8">
    <cfRule type="duplicateValues" dxfId="20" priority="4"/>
  </conditionalFormatting>
  <conditionalFormatting sqref="C9">
    <cfRule type="duplicateValues" dxfId="19" priority="2"/>
  </conditionalFormatting>
  <conditionalFormatting sqref="C11">
    <cfRule type="duplicateValues" dxfId="18" priority="1"/>
  </conditionalFormatting>
  <dataValidations count="1">
    <dataValidation allowBlank="1" showInputMessage="1" showErrorMessage="1" sqref="F4 B99:B130 D201:D223 D239:D243 D152:D155 D324 D293:D295 D260 D622:D623 D335:D337 D288:D291 D299 D653 D601 D501 D439:D441 D524 D650 D115:D150 D498 D496 D557:D561 D603 D605 D612 D657 D637 D552 D577:D581 D306 D996 D759 D568:D575 D738 D100:D110 D301:D303 D317:D320 D454:D458 D565:D566 D373:D374 D379:D383 D421 D273:D274 D721 D434:D436 D385 D112:D113 D460:D465 D618 D514 D554:D555 D484 D539:D545 D331 D263 D408:D411 D468:D474 D424 D963 D655 D719 D97:D98 D245 D427:D430 D746 D248:D257 D376:D377 D315 D160:D161 D271 D788 D689 D95 D797 D535:D536 D508 D490 D504 D771 D708 D794 D506 D805 D585 D277 D283:D286 D164:D178 D157:D158 D877 D308 D225:D237 D625:D628 D630:D632 D180:D199 D416:D417 D419 D340 D297 D329 A35:A98 A5:A2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>
      <c r="D10" s="113"/>
      <c r="E10" s="242"/>
      <c r="F10" s="113"/>
      <c r="G10" s="113"/>
      <c r="H10" s="243"/>
    </row>
    <row r="11" spans="4:8" ht="30" customHeight="1">
      <c r="D11" s="114"/>
      <c r="E11" s="244"/>
      <c r="F11" s="114"/>
      <c r="G11" s="114"/>
      <c r="H11" s="245"/>
    </row>
    <row r="12" spans="4:8" ht="30" customHeight="1">
      <c r="D12" s="113"/>
      <c r="E12" s="242"/>
      <c r="F12" s="113"/>
      <c r="G12" s="113"/>
      <c r="H12" s="243"/>
    </row>
    <row r="13" spans="4:8" ht="30" customHeight="1">
      <c r="D13" s="113"/>
      <c r="E13" s="242"/>
      <c r="F13" s="113"/>
      <c r="G13" s="113"/>
      <c r="H13" s="243"/>
    </row>
    <row r="14" spans="4:8" ht="30" customHeight="1">
      <c r="D14" s="113"/>
      <c r="E14" s="242"/>
      <c r="F14" s="113"/>
      <c r="G14" s="113"/>
      <c r="H14" s="243"/>
    </row>
    <row r="15" spans="4:8" ht="30" customHeight="1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Priscila Lucy Sato</cp:lastModifiedBy>
  <cp:revision/>
  <dcterms:created xsi:type="dcterms:W3CDTF">2017-02-23T11:47:08Z</dcterms:created>
  <dcterms:modified xsi:type="dcterms:W3CDTF">2026-07-29T14:03:09Z</dcterms:modified>
  <cp:category/>
  <cp:contentStatus/>
</cp:coreProperties>
</file>